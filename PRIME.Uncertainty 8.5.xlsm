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LR\Desktop\"/>
    </mc:Choice>
  </mc:AlternateContent>
  <xr:revisionPtr revIDLastSave="0" documentId="13_ncr:1_{4CBFB6A0-AF7C-4F5C-BB13-AFB548AF787E}" xr6:coauthVersionLast="47" xr6:coauthVersionMax="47" xr10:uidLastSave="{00000000-0000-0000-0000-000000000000}"/>
  <bookViews>
    <workbookView xWindow="-120" yWindow="-120" windowWidth="19440" windowHeight="10590" tabRatio="785" xr2:uid="{00000000-000D-0000-FFFF-FFFF00000000}"/>
  </bookViews>
  <sheets>
    <sheet name="Country selection" sheetId="2" r:id="rId1"/>
    <sheet name="Customisation" sheetId="7" r:id="rId2"/>
    <sheet name="Age data" sheetId="8" r:id="rId3"/>
    <sheet name="Output" sheetId="12" r:id="rId4"/>
    <sheet name="Life table" sheetId="4" state="hidden" r:id="rId5"/>
    <sheet name="USA" sheetId="17" r:id="rId6"/>
    <sheet name="PSA" sheetId="16" r:id="rId7"/>
    <sheet name="Sensitivity analysis output" sheetId="19" r:id="rId8"/>
    <sheet name="Model" sheetId="3" state="hidden" r:id="rId9"/>
    <sheet name="Parameters" sheetId="5" state="hidden" r:id="rId10"/>
    <sheet name="mortall" sheetId="9" state="hidden" r:id="rId11"/>
    <sheet name="mortcecx" sheetId="10" state="hidden" r:id="rId12"/>
    <sheet name="incidence" sheetId="11" state="hidden" r:id="rId13"/>
    <sheet name="changelog" sheetId="13" state="hidden" r:id="rId14"/>
  </sheets>
  <definedNames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1</definedName>
    <definedName name="_AtRisk_SimSetting_StdRecalcWithoutRiskStaticPercentile" hidden="1">0.5</definedName>
    <definedName name="ceac_source">PSA!$AC$37:$AF$37</definedName>
    <definedName name="ceac_target">PSA!$AC$40</definedName>
    <definedName name="Country">Parameters!$A$2:$A$195</definedName>
    <definedName name="modeltype">PSA!$E$17</definedName>
    <definedName name="psa_res_target">PSA!$J$41:$M$1040</definedName>
    <definedName name="psa_result">PSA!$C$41:$F$1040</definedName>
    <definedName name="psa_source">PSA!$C$37:$F$37</definedName>
    <definedName name="psa_target">PSA!$C$40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129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0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threshold">PSA!$J$16</definedName>
    <definedName name="threshold1">PSA!$K$16</definedName>
    <definedName name="threshold2">PSA!$L$16</definedName>
    <definedName name="threshold3">PSA!$M$16</definedName>
    <definedName name="Tornadochart">'Sensitivity analysis output'!$D$30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2" i="16" l="1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S41" i="16"/>
  <c r="R41" i="16"/>
  <c r="M37" i="16" l="1"/>
  <c r="L37" i="16"/>
  <c r="K37" i="16"/>
  <c r="J37" i="16"/>
  <c r="Y1040" i="16"/>
  <c r="X1040" i="16"/>
  <c r="Y1039" i="16"/>
  <c r="X1039" i="16"/>
  <c r="Y1038" i="16"/>
  <c r="X1038" i="16"/>
  <c r="Y1037" i="16"/>
  <c r="X1037" i="16"/>
  <c r="Y1036" i="16"/>
  <c r="X1036" i="16"/>
  <c r="Y1035" i="16"/>
  <c r="X1035" i="16"/>
  <c r="Y1034" i="16"/>
  <c r="X1034" i="16"/>
  <c r="Y1033" i="16"/>
  <c r="X1033" i="16"/>
  <c r="Y1032" i="16"/>
  <c r="X1032" i="16"/>
  <c r="Y1031" i="16"/>
  <c r="X1031" i="16"/>
  <c r="Y1030" i="16"/>
  <c r="X1030" i="16"/>
  <c r="Y1029" i="16"/>
  <c r="X1029" i="16"/>
  <c r="Y1028" i="16"/>
  <c r="X1028" i="16"/>
  <c r="Y1027" i="16"/>
  <c r="X1027" i="16"/>
  <c r="Y1026" i="16"/>
  <c r="X1026" i="16"/>
  <c r="Y1025" i="16"/>
  <c r="X1025" i="16"/>
  <c r="Y1024" i="16"/>
  <c r="X1024" i="16"/>
  <c r="Y1023" i="16"/>
  <c r="X1023" i="16"/>
  <c r="Y1022" i="16"/>
  <c r="X1022" i="16"/>
  <c r="Y1021" i="16"/>
  <c r="X1021" i="16"/>
  <c r="Y1020" i="16"/>
  <c r="X1020" i="16"/>
  <c r="Y1019" i="16"/>
  <c r="X1019" i="16"/>
  <c r="Y1018" i="16"/>
  <c r="X1018" i="16"/>
  <c r="Y1017" i="16"/>
  <c r="X1017" i="16"/>
  <c r="Y1016" i="16"/>
  <c r="X1016" i="16"/>
  <c r="Y1015" i="16"/>
  <c r="X1015" i="16"/>
  <c r="Y1014" i="16"/>
  <c r="X1014" i="16"/>
  <c r="Y1013" i="16"/>
  <c r="X1013" i="16"/>
  <c r="Y1012" i="16"/>
  <c r="X1012" i="16"/>
  <c r="Y1011" i="16"/>
  <c r="X1011" i="16"/>
  <c r="Y1010" i="16"/>
  <c r="X1010" i="16"/>
  <c r="Y1009" i="16"/>
  <c r="X1009" i="16"/>
  <c r="Y1008" i="16"/>
  <c r="X1008" i="16"/>
  <c r="Y1007" i="16"/>
  <c r="X1007" i="16"/>
  <c r="Y1006" i="16"/>
  <c r="X1006" i="16"/>
  <c r="Y1005" i="16"/>
  <c r="X1005" i="16"/>
  <c r="Y1004" i="16"/>
  <c r="X1004" i="16"/>
  <c r="Y1003" i="16"/>
  <c r="X1003" i="16"/>
  <c r="Y1002" i="16"/>
  <c r="X1002" i="16"/>
  <c r="Y1001" i="16"/>
  <c r="X1001" i="16"/>
  <c r="Y1000" i="16"/>
  <c r="X1000" i="16"/>
  <c r="Y999" i="16"/>
  <c r="X999" i="16"/>
  <c r="Y998" i="16"/>
  <c r="X998" i="16"/>
  <c r="Y997" i="16"/>
  <c r="X997" i="16"/>
  <c r="Y996" i="16"/>
  <c r="X996" i="16"/>
  <c r="Y995" i="16"/>
  <c r="X995" i="16"/>
  <c r="Y994" i="16"/>
  <c r="X994" i="16"/>
  <c r="Y993" i="16"/>
  <c r="X993" i="16"/>
  <c r="Y992" i="16"/>
  <c r="X992" i="16"/>
  <c r="Y991" i="16"/>
  <c r="X991" i="16"/>
  <c r="Y990" i="16"/>
  <c r="X990" i="16"/>
  <c r="Y989" i="16"/>
  <c r="X989" i="16"/>
  <c r="Y988" i="16"/>
  <c r="X988" i="16"/>
  <c r="Y987" i="16"/>
  <c r="X987" i="16"/>
  <c r="Y986" i="16"/>
  <c r="X986" i="16"/>
  <c r="Y985" i="16"/>
  <c r="X985" i="16"/>
  <c r="Y984" i="16"/>
  <c r="X984" i="16"/>
  <c r="Y983" i="16"/>
  <c r="X983" i="16"/>
  <c r="Y982" i="16"/>
  <c r="X982" i="16"/>
  <c r="Y981" i="16"/>
  <c r="X981" i="16"/>
  <c r="Y980" i="16"/>
  <c r="X980" i="16"/>
  <c r="Y979" i="16"/>
  <c r="X979" i="16"/>
  <c r="Y978" i="16"/>
  <c r="X978" i="16"/>
  <c r="Y977" i="16"/>
  <c r="X977" i="16"/>
  <c r="Y976" i="16"/>
  <c r="X976" i="16"/>
  <c r="Y975" i="16"/>
  <c r="X975" i="16"/>
  <c r="Y974" i="16"/>
  <c r="X974" i="16"/>
  <c r="Y973" i="16"/>
  <c r="X973" i="16"/>
  <c r="Y972" i="16"/>
  <c r="X972" i="16"/>
  <c r="Y971" i="16"/>
  <c r="X971" i="16"/>
  <c r="Y970" i="16"/>
  <c r="X970" i="16"/>
  <c r="Y969" i="16"/>
  <c r="X969" i="16"/>
  <c r="Y968" i="16"/>
  <c r="X968" i="16"/>
  <c r="Y967" i="16"/>
  <c r="X967" i="16"/>
  <c r="Y966" i="16"/>
  <c r="X966" i="16"/>
  <c r="Y965" i="16"/>
  <c r="X965" i="16"/>
  <c r="Y964" i="16"/>
  <c r="X964" i="16"/>
  <c r="Y963" i="16"/>
  <c r="X963" i="16"/>
  <c r="Y962" i="16"/>
  <c r="X962" i="16"/>
  <c r="Y961" i="16"/>
  <c r="X961" i="16"/>
  <c r="Y960" i="16"/>
  <c r="X960" i="16"/>
  <c r="Y959" i="16"/>
  <c r="X959" i="16"/>
  <c r="Y958" i="16"/>
  <c r="X958" i="16"/>
  <c r="Y957" i="16"/>
  <c r="X957" i="16"/>
  <c r="Y956" i="16"/>
  <c r="X956" i="16"/>
  <c r="Y955" i="16"/>
  <c r="X955" i="16"/>
  <c r="Y954" i="16"/>
  <c r="X954" i="16"/>
  <c r="Y953" i="16"/>
  <c r="X953" i="16"/>
  <c r="Y952" i="16"/>
  <c r="X952" i="16"/>
  <c r="Y951" i="16"/>
  <c r="X951" i="16"/>
  <c r="Y950" i="16"/>
  <c r="X950" i="16"/>
  <c r="Y949" i="16"/>
  <c r="X949" i="16"/>
  <c r="Y948" i="16"/>
  <c r="X948" i="16"/>
  <c r="Y947" i="16"/>
  <c r="X947" i="16"/>
  <c r="Y946" i="16"/>
  <c r="X946" i="16"/>
  <c r="Y945" i="16"/>
  <c r="X945" i="16"/>
  <c r="Y944" i="16"/>
  <c r="X944" i="16"/>
  <c r="Y943" i="16"/>
  <c r="X943" i="16"/>
  <c r="Y942" i="16"/>
  <c r="X942" i="16"/>
  <c r="Y941" i="16"/>
  <c r="X941" i="16"/>
  <c r="Y940" i="16"/>
  <c r="X940" i="16"/>
  <c r="Y939" i="16"/>
  <c r="X939" i="16"/>
  <c r="Y938" i="16"/>
  <c r="X938" i="16"/>
  <c r="Y937" i="16"/>
  <c r="X937" i="16"/>
  <c r="Y936" i="16"/>
  <c r="X936" i="16"/>
  <c r="Y935" i="16"/>
  <c r="X935" i="16"/>
  <c r="Y934" i="16"/>
  <c r="X934" i="16"/>
  <c r="Y933" i="16"/>
  <c r="X933" i="16"/>
  <c r="Y932" i="16"/>
  <c r="X932" i="16"/>
  <c r="Y931" i="16"/>
  <c r="X931" i="16"/>
  <c r="Y930" i="16"/>
  <c r="X930" i="16"/>
  <c r="Y929" i="16"/>
  <c r="X929" i="16"/>
  <c r="Y928" i="16"/>
  <c r="X928" i="16"/>
  <c r="Y927" i="16"/>
  <c r="X927" i="16"/>
  <c r="Y926" i="16"/>
  <c r="X926" i="16"/>
  <c r="Y925" i="16"/>
  <c r="X925" i="16"/>
  <c r="Y924" i="16"/>
  <c r="X924" i="16"/>
  <c r="Y923" i="16"/>
  <c r="X923" i="16"/>
  <c r="Y922" i="16"/>
  <c r="X922" i="16"/>
  <c r="Y921" i="16"/>
  <c r="X921" i="16"/>
  <c r="Y920" i="16"/>
  <c r="X920" i="16"/>
  <c r="Y919" i="16"/>
  <c r="X919" i="16"/>
  <c r="Y918" i="16"/>
  <c r="X918" i="16"/>
  <c r="Y917" i="16"/>
  <c r="X917" i="16"/>
  <c r="Y916" i="16"/>
  <c r="X916" i="16"/>
  <c r="Y915" i="16"/>
  <c r="X915" i="16"/>
  <c r="Y914" i="16"/>
  <c r="X914" i="16"/>
  <c r="Y913" i="16"/>
  <c r="X913" i="16"/>
  <c r="Y912" i="16"/>
  <c r="X912" i="16"/>
  <c r="Y911" i="16"/>
  <c r="X911" i="16"/>
  <c r="Y910" i="16"/>
  <c r="X910" i="16"/>
  <c r="Y909" i="16"/>
  <c r="X909" i="16"/>
  <c r="Y908" i="16"/>
  <c r="X908" i="16"/>
  <c r="Y907" i="16"/>
  <c r="X907" i="16"/>
  <c r="Y906" i="16"/>
  <c r="X906" i="16"/>
  <c r="Y905" i="16"/>
  <c r="X905" i="16"/>
  <c r="Y904" i="16"/>
  <c r="X904" i="16"/>
  <c r="Y903" i="16"/>
  <c r="X903" i="16"/>
  <c r="Y902" i="16"/>
  <c r="X902" i="16"/>
  <c r="Y901" i="16"/>
  <c r="X901" i="16"/>
  <c r="Y900" i="16"/>
  <c r="X900" i="16"/>
  <c r="Y899" i="16"/>
  <c r="X899" i="16"/>
  <c r="Y898" i="16"/>
  <c r="X898" i="16"/>
  <c r="Y897" i="16"/>
  <c r="X897" i="16"/>
  <c r="Y896" i="16"/>
  <c r="X896" i="16"/>
  <c r="Y895" i="16"/>
  <c r="X895" i="16"/>
  <c r="Y894" i="16"/>
  <c r="X894" i="16"/>
  <c r="Y893" i="16"/>
  <c r="X893" i="16"/>
  <c r="Y892" i="16"/>
  <c r="X892" i="16"/>
  <c r="Y891" i="16"/>
  <c r="X891" i="16"/>
  <c r="Y890" i="16"/>
  <c r="X890" i="16"/>
  <c r="Y889" i="16"/>
  <c r="X889" i="16"/>
  <c r="Y888" i="16"/>
  <c r="X888" i="16"/>
  <c r="Y887" i="16"/>
  <c r="X887" i="16"/>
  <c r="Y886" i="16"/>
  <c r="X886" i="16"/>
  <c r="Y885" i="16"/>
  <c r="X885" i="16"/>
  <c r="Y884" i="16"/>
  <c r="X884" i="16"/>
  <c r="Y883" i="16"/>
  <c r="X883" i="16"/>
  <c r="Y882" i="16"/>
  <c r="X882" i="16"/>
  <c r="Y881" i="16"/>
  <c r="X881" i="16"/>
  <c r="Y880" i="16"/>
  <c r="X880" i="16"/>
  <c r="Y879" i="16"/>
  <c r="X879" i="16"/>
  <c r="Y878" i="16"/>
  <c r="X878" i="16"/>
  <c r="Y877" i="16"/>
  <c r="X877" i="16"/>
  <c r="Y876" i="16"/>
  <c r="X876" i="16"/>
  <c r="Y875" i="16"/>
  <c r="X875" i="16"/>
  <c r="Y874" i="16"/>
  <c r="X874" i="16"/>
  <c r="Y873" i="16"/>
  <c r="X873" i="16"/>
  <c r="Y872" i="16"/>
  <c r="X872" i="16"/>
  <c r="Y871" i="16"/>
  <c r="X871" i="16"/>
  <c r="Y870" i="16"/>
  <c r="X870" i="16"/>
  <c r="Y869" i="16"/>
  <c r="X869" i="16"/>
  <c r="Y868" i="16"/>
  <c r="X868" i="16"/>
  <c r="Y867" i="16"/>
  <c r="X867" i="16"/>
  <c r="Y866" i="16"/>
  <c r="X866" i="16"/>
  <c r="Y865" i="16"/>
  <c r="X865" i="16"/>
  <c r="Y864" i="16"/>
  <c r="X864" i="16"/>
  <c r="Y863" i="16"/>
  <c r="X863" i="16"/>
  <c r="Y862" i="16"/>
  <c r="X862" i="16"/>
  <c r="Y861" i="16"/>
  <c r="X861" i="16"/>
  <c r="Y860" i="16"/>
  <c r="X860" i="16"/>
  <c r="Y859" i="16"/>
  <c r="X859" i="16"/>
  <c r="Y858" i="16"/>
  <c r="X858" i="16"/>
  <c r="Y857" i="16"/>
  <c r="X857" i="16"/>
  <c r="Y856" i="16"/>
  <c r="X856" i="16"/>
  <c r="Y855" i="16"/>
  <c r="X855" i="16"/>
  <c r="Y854" i="16"/>
  <c r="X854" i="16"/>
  <c r="Y853" i="16"/>
  <c r="X853" i="16"/>
  <c r="Y852" i="16"/>
  <c r="X852" i="16"/>
  <c r="Y851" i="16"/>
  <c r="X851" i="16"/>
  <c r="Y850" i="16"/>
  <c r="X850" i="16"/>
  <c r="Y849" i="16"/>
  <c r="X849" i="16"/>
  <c r="Y848" i="16"/>
  <c r="X848" i="16"/>
  <c r="Y847" i="16"/>
  <c r="X847" i="16"/>
  <c r="Y846" i="16"/>
  <c r="X846" i="16"/>
  <c r="Y845" i="16"/>
  <c r="X845" i="16"/>
  <c r="Y844" i="16"/>
  <c r="X844" i="16"/>
  <c r="Y843" i="16"/>
  <c r="X843" i="16"/>
  <c r="Y842" i="16"/>
  <c r="X842" i="16"/>
  <c r="Y841" i="16"/>
  <c r="X841" i="16"/>
  <c r="Y840" i="16"/>
  <c r="X840" i="16"/>
  <c r="Y839" i="16"/>
  <c r="X839" i="16"/>
  <c r="Y838" i="16"/>
  <c r="X838" i="16"/>
  <c r="Y837" i="16"/>
  <c r="X837" i="16"/>
  <c r="Y836" i="16"/>
  <c r="X836" i="16"/>
  <c r="Y835" i="16"/>
  <c r="X835" i="16"/>
  <c r="Y834" i="16"/>
  <c r="X834" i="16"/>
  <c r="Y833" i="16"/>
  <c r="X833" i="16"/>
  <c r="Y832" i="16"/>
  <c r="X832" i="16"/>
  <c r="Y831" i="16"/>
  <c r="X831" i="16"/>
  <c r="Y830" i="16"/>
  <c r="X830" i="16"/>
  <c r="Y829" i="16"/>
  <c r="X829" i="16"/>
  <c r="Y828" i="16"/>
  <c r="X828" i="16"/>
  <c r="Y827" i="16"/>
  <c r="X827" i="16"/>
  <c r="Y826" i="16"/>
  <c r="X826" i="16"/>
  <c r="Y825" i="16"/>
  <c r="X825" i="16"/>
  <c r="Y824" i="16"/>
  <c r="X824" i="16"/>
  <c r="Y823" i="16"/>
  <c r="X823" i="16"/>
  <c r="Y822" i="16"/>
  <c r="X822" i="16"/>
  <c r="Y821" i="16"/>
  <c r="X821" i="16"/>
  <c r="Y820" i="16"/>
  <c r="X820" i="16"/>
  <c r="Y819" i="16"/>
  <c r="X819" i="16"/>
  <c r="Y818" i="16"/>
  <c r="X818" i="16"/>
  <c r="Y817" i="16"/>
  <c r="X817" i="16"/>
  <c r="Y816" i="16"/>
  <c r="X816" i="16"/>
  <c r="Y815" i="16"/>
  <c r="X815" i="16"/>
  <c r="Y814" i="16"/>
  <c r="X814" i="16"/>
  <c r="Y813" i="16"/>
  <c r="X813" i="16"/>
  <c r="Y812" i="16"/>
  <c r="X812" i="16"/>
  <c r="Y811" i="16"/>
  <c r="X811" i="16"/>
  <c r="Y810" i="16"/>
  <c r="X810" i="16"/>
  <c r="Y809" i="16"/>
  <c r="X809" i="16"/>
  <c r="Y808" i="16"/>
  <c r="X808" i="16"/>
  <c r="Y807" i="16"/>
  <c r="X807" i="16"/>
  <c r="Y806" i="16"/>
  <c r="X806" i="16"/>
  <c r="Y805" i="16"/>
  <c r="X805" i="16"/>
  <c r="Y804" i="16"/>
  <c r="X804" i="16"/>
  <c r="Y803" i="16"/>
  <c r="X803" i="16"/>
  <c r="Y802" i="16"/>
  <c r="X802" i="16"/>
  <c r="Y801" i="16"/>
  <c r="X801" i="16"/>
  <c r="Y800" i="16"/>
  <c r="X800" i="16"/>
  <c r="Y799" i="16"/>
  <c r="X799" i="16"/>
  <c r="Y798" i="16"/>
  <c r="X798" i="16"/>
  <c r="Y797" i="16"/>
  <c r="X797" i="16"/>
  <c r="Y796" i="16"/>
  <c r="X796" i="16"/>
  <c r="Y795" i="16"/>
  <c r="X795" i="16"/>
  <c r="Y794" i="16"/>
  <c r="X794" i="16"/>
  <c r="Y793" i="16"/>
  <c r="X793" i="16"/>
  <c r="Y792" i="16"/>
  <c r="X792" i="16"/>
  <c r="Y791" i="16"/>
  <c r="X791" i="16"/>
  <c r="Y790" i="16"/>
  <c r="X790" i="16"/>
  <c r="Y789" i="16"/>
  <c r="X789" i="16"/>
  <c r="Y788" i="16"/>
  <c r="X788" i="16"/>
  <c r="Y787" i="16"/>
  <c r="X787" i="16"/>
  <c r="Y786" i="16"/>
  <c r="X786" i="16"/>
  <c r="Y785" i="16"/>
  <c r="X785" i="16"/>
  <c r="Y784" i="16"/>
  <c r="X784" i="16"/>
  <c r="Y783" i="16"/>
  <c r="X783" i="16"/>
  <c r="Y782" i="16"/>
  <c r="X782" i="16"/>
  <c r="Y781" i="16"/>
  <c r="X781" i="16"/>
  <c r="Y780" i="16"/>
  <c r="X780" i="16"/>
  <c r="Y779" i="16"/>
  <c r="X779" i="16"/>
  <c r="Y778" i="16"/>
  <c r="X778" i="16"/>
  <c r="Y777" i="16"/>
  <c r="X777" i="16"/>
  <c r="Y776" i="16"/>
  <c r="X776" i="16"/>
  <c r="Y775" i="16"/>
  <c r="X775" i="16"/>
  <c r="Y774" i="16"/>
  <c r="X774" i="16"/>
  <c r="Y773" i="16"/>
  <c r="X773" i="16"/>
  <c r="Y772" i="16"/>
  <c r="X772" i="16"/>
  <c r="Y771" i="16"/>
  <c r="X771" i="16"/>
  <c r="Y770" i="16"/>
  <c r="X770" i="16"/>
  <c r="Y769" i="16"/>
  <c r="X769" i="16"/>
  <c r="Y768" i="16"/>
  <c r="X768" i="16"/>
  <c r="Y767" i="16"/>
  <c r="X767" i="16"/>
  <c r="Y766" i="16"/>
  <c r="X766" i="16"/>
  <c r="Y765" i="16"/>
  <c r="X765" i="16"/>
  <c r="Y764" i="16"/>
  <c r="X764" i="16"/>
  <c r="Y763" i="16"/>
  <c r="X763" i="16"/>
  <c r="Y762" i="16"/>
  <c r="X762" i="16"/>
  <c r="Y761" i="16"/>
  <c r="X761" i="16"/>
  <c r="Y760" i="16"/>
  <c r="X760" i="16"/>
  <c r="Y759" i="16"/>
  <c r="X759" i="16"/>
  <c r="Y758" i="16"/>
  <c r="X758" i="16"/>
  <c r="Y757" i="16"/>
  <c r="X757" i="16"/>
  <c r="Y756" i="16"/>
  <c r="X756" i="16"/>
  <c r="Y755" i="16"/>
  <c r="X755" i="16"/>
  <c r="Y754" i="16"/>
  <c r="X754" i="16"/>
  <c r="Y753" i="16"/>
  <c r="X753" i="16"/>
  <c r="Y752" i="16"/>
  <c r="X752" i="16"/>
  <c r="Y751" i="16"/>
  <c r="X751" i="16"/>
  <c r="Y750" i="16"/>
  <c r="X750" i="16"/>
  <c r="Y749" i="16"/>
  <c r="X749" i="16"/>
  <c r="Y748" i="16"/>
  <c r="X748" i="16"/>
  <c r="Y747" i="16"/>
  <c r="X747" i="16"/>
  <c r="Y746" i="16"/>
  <c r="X746" i="16"/>
  <c r="Y745" i="16"/>
  <c r="X745" i="16"/>
  <c r="Y744" i="16"/>
  <c r="X744" i="16"/>
  <c r="Y743" i="16"/>
  <c r="X743" i="16"/>
  <c r="Y742" i="16"/>
  <c r="X742" i="16"/>
  <c r="Y741" i="16"/>
  <c r="X741" i="16"/>
  <c r="Y740" i="16"/>
  <c r="X740" i="16"/>
  <c r="Y739" i="16"/>
  <c r="X739" i="16"/>
  <c r="Y738" i="16"/>
  <c r="X738" i="16"/>
  <c r="Y737" i="16"/>
  <c r="X737" i="16"/>
  <c r="Y736" i="16"/>
  <c r="X736" i="16"/>
  <c r="Y735" i="16"/>
  <c r="X735" i="16"/>
  <c r="Y734" i="16"/>
  <c r="X734" i="16"/>
  <c r="Y733" i="16"/>
  <c r="X733" i="16"/>
  <c r="Y732" i="16"/>
  <c r="X732" i="16"/>
  <c r="Y731" i="16"/>
  <c r="X731" i="16"/>
  <c r="Y730" i="16"/>
  <c r="X730" i="16"/>
  <c r="Y729" i="16"/>
  <c r="X729" i="16"/>
  <c r="Y728" i="16"/>
  <c r="X728" i="16"/>
  <c r="Y727" i="16"/>
  <c r="X727" i="16"/>
  <c r="Y726" i="16"/>
  <c r="X726" i="16"/>
  <c r="Y725" i="16"/>
  <c r="X725" i="16"/>
  <c r="Y724" i="16"/>
  <c r="X724" i="16"/>
  <c r="Y723" i="16"/>
  <c r="X723" i="16"/>
  <c r="Y722" i="16"/>
  <c r="X722" i="16"/>
  <c r="Y721" i="16"/>
  <c r="X721" i="16"/>
  <c r="Y720" i="16"/>
  <c r="X720" i="16"/>
  <c r="Y719" i="16"/>
  <c r="X719" i="16"/>
  <c r="Y718" i="16"/>
  <c r="X718" i="16"/>
  <c r="Y717" i="16"/>
  <c r="X717" i="16"/>
  <c r="Y716" i="16"/>
  <c r="X716" i="16"/>
  <c r="Y715" i="16"/>
  <c r="X715" i="16"/>
  <c r="Y714" i="16"/>
  <c r="X714" i="16"/>
  <c r="Y713" i="16"/>
  <c r="X713" i="16"/>
  <c r="Y712" i="16"/>
  <c r="X712" i="16"/>
  <c r="Y711" i="16"/>
  <c r="X711" i="16"/>
  <c r="Y710" i="16"/>
  <c r="X710" i="16"/>
  <c r="Y709" i="16"/>
  <c r="X709" i="16"/>
  <c r="Y708" i="16"/>
  <c r="X708" i="16"/>
  <c r="Y707" i="16"/>
  <c r="X707" i="16"/>
  <c r="Y706" i="16"/>
  <c r="X706" i="16"/>
  <c r="Y705" i="16"/>
  <c r="X705" i="16"/>
  <c r="Y704" i="16"/>
  <c r="X704" i="16"/>
  <c r="Y703" i="16"/>
  <c r="X703" i="16"/>
  <c r="Y702" i="16"/>
  <c r="X702" i="16"/>
  <c r="Y701" i="16"/>
  <c r="X701" i="16"/>
  <c r="Y700" i="16"/>
  <c r="X700" i="16"/>
  <c r="Y699" i="16"/>
  <c r="X699" i="16"/>
  <c r="Y698" i="16"/>
  <c r="X698" i="16"/>
  <c r="Y697" i="16"/>
  <c r="X697" i="16"/>
  <c r="Y696" i="16"/>
  <c r="X696" i="16"/>
  <c r="Y695" i="16"/>
  <c r="X695" i="16"/>
  <c r="Y694" i="16"/>
  <c r="X694" i="16"/>
  <c r="Y693" i="16"/>
  <c r="X693" i="16"/>
  <c r="Y692" i="16"/>
  <c r="X692" i="16"/>
  <c r="Y691" i="16"/>
  <c r="X691" i="16"/>
  <c r="Y690" i="16"/>
  <c r="X690" i="16"/>
  <c r="Y689" i="16"/>
  <c r="X689" i="16"/>
  <c r="Y688" i="16"/>
  <c r="X688" i="16"/>
  <c r="Y687" i="16"/>
  <c r="X687" i="16"/>
  <c r="Y686" i="16"/>
  <c r="X686" i="16"/>
  <c r="Y685" i="16"/>
  <c r="X685" i="16"/>
  <c r="Y684" i="16"/>
  <c r="X684" i="16"/>
  <c r="Y683" i="16"/>
  <c r="X683" i="16"/>
  <c r="Y682" i="16"/>
  <c r="X682" i="16"/>
  <c r="Y681" i="16"/>
  <c r="X681" i="16"/>
  <c r="Y680" i="16"/>
  <c r="X680" i="16"/>
  <c r="Y679" i="16"/>
  <c r="X679" i="16"/>
  <c r="Y678" i="16"/>
  <c r="X678" i="16"/>
  <c r="Y677" i="16"/>
  <c r="X677" i="16"/>
  <c r="Y676" i="16"/>
  <c r="X676" i="16"/>
  <c r="Y675" i="16"/>
  <c r="X675" i="16"/>
  <c r="Y674" i="16"/>
  <c r="X674" i="16"/>
  <c r="Y673" i="16"/>
  <c r="X673" i="16"/>
  <c r="Y672" i="16"/>
  <c r="X672" i="16"/>
  <c r="Y671" i="16"/>
  <c r="X671" i="16"/>
  <c r="Y670" i="16"/>
  <c r="X670" i="16"/>
  <c r="Y669" i="16"/>
  <c r="X669" i="16"/>
  <c r="Y668" i="16"/>
  <c r="X668" i="16"/>
  <c r="Y667" i="16"/>
  <c r="X667" i="16"/>
  <c r="Y666" i="16"/>
  <c r="X666" i="16"/>
  <c r="Y665" i="16"/>
  <c r="X665" i="16"/>
  <c r="Y664" i="16"/>
  <c r="X664" i="16"/>
  <c r="Y663" i="16"/>
  <c r="X663" i="16"/>
  <c r="Y662" i="16"/>
  <c r="X662" i="16"/>
  <c r="Y661" i="16"/>
  <c r="X661" i="16"/>
  <c r="Y660" i="16"/>
  <c r="X660" i="16"/>
  <c r="Y659" i="16"/>
  <c r="X659" i="16"/>
  <c r="Y658" i="16"/>
  <c r="X658" i="16"/>
  <c r="Y657" i="16"/>
  <c r="X657" i="16"/>
  <c r="Y656" i="16"/>
  <c r="X656" i="16"/>
  <c r="Y655" i="16"/>
  <c r="X655" i="16"/>
  <c r="Y654" i="16"/>
  <c r="X654" i="16"/>
  <c r="Y653" i="16"/>
  <c r="X653" i="16"/>
  <c r="Y652" i="16"/>
  <c r="X652" i="16"/>
  <c r="Y651" i="16"/>
  <c r="X651" i="16"/>
  <c r="Y650" i="16"/>
  <c r="X650" i="16"/>
  <c r="Y649" i="16"/>
  <c r="X649" i="16"/>
  <c r="Y648" i="16"/>
  <c r="X648" i="16"/>
  <c r="Y647" i="16"/>
  <c r="X647" i="16"/>
  <c r="Y646" i="16"/>
  <c r="X646" i="16"/>
  <c r="Y645" i="16"/>
  <c r="X645" i="16"/>
  <c r="Y644" i="16"/>
  <c r="X644" i="16"/>
  <c r="Y643" i="16"/>
  <c r="X643" i="16"/>
  <c r="Y642" i="16"/>
  <c r="X642" i="16"/>
  <c r="Y641" i="16"/>
  <c r="X641" i="16"/>
  <c r="Y640" i="16"/>
  <c r="X640" i="16"/>
  <c r="Y639" i="16"/>
  <c r="X639" i="16"/>
  <c r="Y638" i="16"/>
  <c r="X638" i="16"/>
  <c r="Y637" i="16"/>
  <c r="X637" i="16"/>
  <c r="Y636" i="16"/>
  <c r="X636" i="16"/>
  <c r="Y635" i="16"/>
  <c r="X635" i="16"/>
  <c r="Y634" i="16"/>
  <c r="X634" i="16"/>
  <c r="Y633" i="16"/>
  <c r="X633" i="16"/>
  <c r="Y632" i="16"/>
  <c r="X632" i="16"/>
  <c r="Y631" i="16"/>
  <c r="X631" i="16"/>
  <c r="Y630" i="16"/>
  <c r="X630" i="16"/>
  <c r="Y629" i="16"/>
  <c r="X629" i="16"/>
  <c r="Y628" i="16"/>
  <c r="X628" i="16"/>
  <c r="Y627" i="16"/>
  <c r="X627" i="16"/>
  <c r="Y626" i="16"/>
  <c r="X626" i="16"/>
  <c r="Y625" i="16"/>
  <c r="X625" i="16"/>
  <c r="Y624" i="16"/>
  <c r="X624" i="16"/>
  <c r="Y623" i="16"/>
  <c r="X623" i="16"/>
  <c r="Y622" i="16"/>
  <c r="X622" i="16"/>
  <c r="Y621" i="16"/>
  <c r="X621" i="16"/>
  <c r="Y620" i="16"/>
  <c r="X620" i="16"/>
  <c r="Y619" i="16"/>
  <c r="X619" i="16"/>
  <c r="Y618" i="16"/>
  <c r="X618" i="16"/>
  <c r="Y617" i="16"/>
  <c r="X617" i="16"/>
  <c r="Y616" i="16"/>
  <c r="X616" i="16"/>
  <c r="Y615" i="16"/>
  <c r="X615" i="16"/>
  <c r="Y614" i="16"/>
  <c r="X614" i="16"/>
  <c r="Y613" i="16"/>
  <c r="X613" i="16"/>
  <c r="Y612" i="16"/>
  <c r="X612" i="16"/>
  <c r="Y611" i="16"/>
  <c r="X611" i="16"/>
  <c r="Y610" i="16"/>
  <c r="X610" i="16"/>
  <c r="Y609" i="16"/>
  <c r="X609" i="16"/>
  <c r="Y608" i="16"/>
  <c r="X608" i="16"/>
  <c r="Y607" i="16"/>
  <c r="X607" i="16"/>
  <c r="Y606" i="16"/>
  <c r="X606" i="16"/>
  <c r="Y605" i="16"/>
  <c r="X605" i="16"/>
  <c r="Y604" i="16"/>
  <c r="X604" i="16"/>
  <c r="Y603" i="16"/>
  <c r="X603" i="16"/>
  <c r="Y602" i="16"/>
  <c r="X602" i="16"/>
  <c r="Y601" i="16"/>
  <c r="X601" i="16"/>
  <c r="Y600" i="16"/>
  <c r="X600" i="16"/>
  <c r="Y599" i="16"/>
  <c r="X599" i="16"/>
  <c r="Y598" i="16"/>
  <c r="X598" i="16"/>
  <c r="Y597" i="16"/>
  <c r="X597" i="16"/>
  <c r="Y596" i="16"/>
  <c r="X596" i="16"/>
  <c r="Y595" i="16"/>
  <c r="X595" i="16"/>
  <c r="Y594" i="16"/>
  <c r="X594" i="16"/>
  <c r="Y593" i="16"/>
  <c r="X593" i="16"/>
  <c r="Y592" i="16"/>
  <c r="X592" i="16"/>
  <c r="Y591" i="16"/>
  <c r="X591" i="16"/>
  <c r="Y590" i="16"/>
  <c r="X590" i="16"/>
  <c r="Y589" i="16"/>
  <c r="X589" i="16"/>
  <c r="Y588" i="16"/>
  <c r="X588" i="16"/>
  <c r="Y587" i="16"/>
  <c r="X587" i="16"/>
  <c r="Y586" i="16"/>
  <c r="X586" i="16"/>
  <c r="Y585" i="16"/>
  <c r="X585" i="16"/>
  <c r="Y584" i="16"/>
  <c r="X584" i="16"/>
  <c r="Y583" i="16"/>
  <c r="X583" i="16"/>
  <c r="Y582" i="16"/>
  <c r="X582" i="16"/>
  <c r="Y581" i="16"/>
  <c r="X581" i="16"/>
  <c r="Y580" i="16"/>
  <c r="X580" i="16"/>
  <c r="Y579" i="16"/>
  <c r="X579" i="16"/>
  <c r="Y578" i="16"/>
  <c r="X578" i="16"/>
  <c r="Y577" i="16"/>
  <c r="X577" i="16"/>
  <c r="Y576" i="16"/>
  <c r="X576" i="16"/>
  <c r="Y575" i="16"/>
  <c r="X575" i="16"/>
  <c r="Y574" i="16"/>
  <c r="X574" i="16"/>
  <c r="Y573" i="16"/>
  <c r="X573" i="16"/>
  <c r="Y572" i="16"/>
  <c r="X572" i="16"/>
  <c r="Y571" i="16"/>
  <c r="X571" i="16"/>
  <c r="Y570" i="16"/>
  <c r="X570" i="16"/>
  <c r="Y569" i="16"/>
  <c r="X569" i="16"/>
  <c r="Y568" i="16"/>
  <c r="X568" i="16"/>
  <c r="Y567" i="16"/>
  <c r="X567" i="16"/>
  <c r="Y566" i="16"/>
  <c r="X566" i="16"/>
  <c r="Y565" i="16"/>
  <c r="X565" i="16"/>
  <c r="Y564" i="16"/>
  <c r="X564" i="16"/>
  <c r="Y563" i="16"/>
  <c r="X563" i="16"/>
  <c r="Y562" i="16"/>
  <c r="X562" i="16"/>
  <c r="Y561" i="16"/>
  <c r="X561" i="16"/>
  <c r="Y560" i="16"/>
  <c r="X560" i="16"/>
  <c r="Y559" i="16"/>
  <c r="X559" i="16"/>
  <c r="Y558" i="16"/>
  <c r="X558" i="16"/>
  <c r="Y557" i="16"/>
  <c r="X557" i="16"/>
  <c r="Y556" i="16"/>
  <c r="X556" i="16"/>
  <c r="Y555" i="16"/>
  <c r="X555" i="16"/>
  <c r="Y554" i="16"/>
  <c r="X554" i="16"/>
  <c r="Y553" i="16"/>
  <c r="X553" i="16"/>
  <c r="Y552" i="16"/>
  <c r="X552" i="16"/>
  <c r="Y551" i="16"/>
  <c r="X551" i="16"/>
  <c r="Y550" i="16"/>
  <c r="X550" i="16"/>
  <c r="Y549" i="16"/>
  <c r="X549" i="16"/>
  <c r="Y548" i="16"/>
  <c r="X548" i="16"/>
  <c r="Y547" i="16"/>
  <c r="X547" i="16"/>
  <c r="Y546" i="16"/>
  <c r="X546" i="16"/>
  <c r="Y545" i="16"/>
  <c r="X545" i="16"/>
  <c r="Y544" i="16"/>
  <c r="X544" i="16"/>
  <c r="Y543" i="16"/>
  <c r="X543" i="16"/>
  <c r="Y542" i="16"/>
  <c r="X542" i="16"/>
  <c r="Y541" i="16"/>
  <c r="X541" i="16"/>
  <c r="Y540" i="16"/>
  <c r="X540" i="16"/>
  <c r="Y539" i="16"/>
  <c r="X539" i="16"/>
  <c r="Y538" i="16"/>
  <c r="X538" i="16"/>
  <c r="Y537" i="16"/>
  <c r="X537" i="16"/>
  <c r="Y536" i="16"/>
  <c r="X536" i="16"/>
  <c r="Y535" i="16"/>
  <c r="X535" i="16"/>
  <c r="Y534" i="16"/>
  <c r="X534" i="16"/>
  <c r="Y533" i="16"/>
  <c r="X533" i="16"/>
  <c r="Y532" i="16"/>
  <c r="X532" i="16"/>
  <c r="Y531" i="16"/>
  <c r="X531" i="16"/>
  <c r="Y530" i="16"/>
  <c r="X530" i="16"/>
  <c r="Y529" i="16"/>
  <c r="X529" i="16"/>
  <c r="Y528" i="16"/>
  <c r="X528" i="16"/>
  <c r="Y527" i="16"/>
  <c r="X527" i="16"/>
  <c r="Y526" i="16"/>
  <c r="X526" i="16"/>
  <c r="Y525" i="16"/>
  <c r="X525" i="16"/>
  <c r="Y524" i="16"/>
  <c r="X524" i="16"/>
  <c r="Y523" i="16"/>
  <c r="X523" i="16"/>
  <c r="Y522" i="16"/>
  <c r="X522" i="16"/>
  <c r="Y521" i="16"/>
  <c r="X521" i="16"/>
  <c r="Y520" i="16"/>
  <c r="X520" i="16"/>
  <c r="Y519" i="16"/>
  <c r="X519" i="16"/>
  <c r="Y518" i="16"/>
  <c r="X518" i="16"/>
  <c r="Y517" i="16"/>
  <c r="X517" i="16"/>
  <c r="Y516" i="16"/>
  <c r="X516" i="16"/>
  <c r="Y515" i="16"/>
  <c r="X515" i="16"/>
  <c r="Y514" i="16"/>
  <c r="X514" i="16"/>
  <c r="Y513" i="16"/>
  <c r="X513" i="16"/>
  <c r="Y512" i="16"/>
  <c r="X512" i="16"/>
  <c r="Y511" i="16"/>
  <c r="X511" i="16"/>
  <c r="Y510" i="16"/>
  <c r="X510" i="16"/>
  <c r="Y509" i="16"/>
  <c r="X509" i="16"/>
  <c r="Y508" i="16"/>
  <c r="X508" i="16"/>
  <c r="Y507" i="16"/>
  <c r="X507" i="16"/>
  <c r="Y506" i="16"/>
  <c r="X506" i="16"/>
  <c r="Y505" i="16"/>
  <c r="X505" i="16"/>
  <c r="Y504" i="16"/>
  <c r="X504" i="16"/>
  <c r="Y503" i="16"/>
  <c r="X503" i="16"/>
  <c r="Y502" i="16"/>
  <c r="X502" i="16"/>
  <c r="Y501" i="16"/>
  <c r="X501" i="16"/>
  <c r="Y500" i="16"/>
  <c r="X500" i="16"/>
  <c r="Y499" i="16"/>
  <c r="X499" i="16"/>
  <c r="Y498" i="16"/>
  <c r="X498" i="16"/>
  <c r="Y497" i="16"/>
  <c r="X497" i="16"/>
  <c r="Y496" i="16"/>
  <c r="X496" i="16"/>
  <c r="Y495" i="16"/>
  <c r="X495" i="16"/>
  <c r="Y494" i="16"/>
  <c r="X494" i="16"/>
  <c r="Y493" i="16"/>
  <c r="X493" i="16"/>
  <c r="Y492" i="16"/>
  <c r="X492" i="16"/>
  <c r="Y491" i="16"/>
  <c r="X491" i="16"/>
  <c r="Y490" i="16"/>
  <c r="X490" i="16"/>
  <c r="Y489" i="16"/>
  <c r="X489" i="16"/>
  <c r="Y488" i="16"/>
  <c r="X488" i="16"/>
  <c r="Y487" i="16"/>
  <c r="X487" i="16"/>
  <c r="Y486" i="16"/>
  <c r="X486" i="16"/>
  <c r="Y485" i="16"/>
  <c r="X485" i="16"/>
  <c r="Y484" i="16"/>
  <c r="X484" i="16"/>
  <c r="Y483" i="16"/>
  <c r="X483" i="16"/>
  <c r="Y482" i="16"/>
  <c r="X482" i="16"/>
  <c r="Y481" i="16"/>
  <c r="X481" i="16"/>
  <c r="Y480" i="16"/>
  <c r="X480" i="16"/>
  <c r="Y479" i="16"/>
  <c r="X479" i="16"/>
  <c r="Y478" i="16"/>
  <c r="X478" i="16"/>
  <c r="Y477" i="16"/>
  <c r="X477" i="16"/>
  <c r="Y476" i="16"/>
  <c r="X476" i="16"/>
  <c r="Y475" i="16"/>
  <c r="X475" i="16"/>
  <c r="Y474" i="16"/>
  <c r="X474" i="16"/>
  <c r="Y473" i="16"/>
  <c r="X473" i="16"/>
  <c r="Y472" i="16"/>
  <c r="X472" i="16"/>
  <c r="Y471" i="16"/>
  <c r="X471" i="16"/>
  <c r="Y470" i="16"/>
  <c r="X470" i="16"/>
  <c r="Y469" i="16"/>
  <c r="X469" i="16"/>
  <c r="Y468" i="16"/>
  <c r="X468" i="16"/>
  <c r="Y467" i="16"/>
  <c r="X467" i="16"/>
  <c r="Y466" i="16"/>
  <c r="X466" i="16"/>
  <c r="Y465" i="16"/>
  <c r="X465" i="16"/>
  <c r="Y464" i="16"/>
  <c r="X464" i="16"/>
  <c r="Y463" i="16"/>
  <c r="X463" i="16"/>
  <c r="Y462" i="16"/>
  <c r="X462" i="16"/>
  <c r="Y461" i="16"/>
  <c r="X461" i="16"/>
  <c r="Y460" i="16"/>
  <c r="X460" i="16"/>
  <c r="Y459" i="16"/>
  <c r="X459" i="16"/>
  <c r="Y458" i="16"/>
  <c r="X458" i="16"/>
  <c r="Y457" i="16"/>
  <c r="X457" i="16"/>
  <c r="Y456" i="16"/>
  <c r="X456" i="16"/>
  <c r="Y455" i="16"/>
  <c r="X455" i="16"/>
  <c r="Y454" i="16"/>
  <c r="X454" i="16"/>
  <c r="Y453" i="16"/>
  <c r="X453" i="16"/>
  <c r="Y452" i="16"/>
  <c r="X452" i="16"/>
  <c r="Y451" i="16"/>
  <c r="X451" i="16"/>
  <c r="Y450" i="16"/>
  <c r="X450" i="16"/>
  <c r="Y449" i="16"/>
  <c r="X449" i="16"/>
  <c r="Y448" i="16"/>
  <c r="X448" i="16"/>
  <c r="Y447" i="16"/>
  <c r="X447" i="16"/>
  <c r="Y446" i="16"/>
  <c r="X446" i="16"/>
  <c r="Y445" i="16"/>
  <c r="X445" i="16"/>
  <c r="Y444" i="16"/>
  <c r="X444" i="16"/>
  <c r="Y443" i="16"/>
  <c r="X443" i="16"/>
  <c r="Y442" i="16"/>
  <c r="X442" i="16"/>
  <c r="Y441" i="16"/>
  <c r="X441" i="16"/>
  <c r="Y440" i="16"/>
  <c r="X440" i="16"/>
  <c r="Y439" i="16"/>
  <c r="X439" i="16"/>
  <c r="Y438" i="16"/>
  <c r="X438" i="16"/>
  <c r="Y437" i="16"/>
  <c r="X437" i="16"/>
  <c r="Y436" i="16"/>
  <c r="X436" i="16"/>
  <c r="Y435" i="16"/>
  <c r="X435" i="16"/>
  <c r="Y434" i="16"/>
  <c r="X434" i="16"/>
  <c r="Y433" i="16"/>
  <c r="X433" i="16"/>
  <c r="Y432" i="16"/>
  <c r="X432" i="16"/>
  <c r="Y431" i="16"/>
  <c r="X431" i="16"/>
  <c r="Y430" i="16"/>
  <c r="X430" i="16"/>
  <c r="Y429" i="16"/>
  <c r="X429" i="16"/>
  <c r="Y428" i="16"/>
  <c r="X428" i="16"/>
  <c r="Y427" i="16"/>
  <c r="X427" i="16"/>
  <c r="Y426" i="16"/>
  <c r="X426" i="16"/>
  <c r="Y425" i="16"/>
  <c r="X425" i="16"/>
  <c r="Y424" i="16"/>
  <c r="X424" i="16"/>
  <c r="Y423" i="16"/>
  <c r="X423" i="16"/>
  <c r="Y422" i="16"/>
  <c r="X422" i="16"/>
  <c r="Y421" i="16"/>
  <c r="X421" i="16"/>
  <c r="Y420" i="16"/>
  <c r="X420" i="16"/>
  <c r="Y419" i="16"/>
  <c r="X419" i="16"/>
  <c r="Y418" i="16"/>
  <c r="X418" i="16"/>
  <c r="Y417" i="16"/>
  <c r="X417" i="16"/>
  <c r="Y416" i="16"/>
  <c r="X416" i="16"/>
  <c r="Y415" i="16"/>
  <c r="X415" i="16"/>
  <c r="Y414" i="16"/>
  <c r="X414" i="16"/>
  <c r="Y413" i="16"/>
  <c r="X413" i="16"/>
  <c r="Y412" i="16"/>
  <c r="X412" i="16"/>
  <c r="Y411" i="16"/>
  <c r="X411" i="16"/>
  <c r="Y410" i="16"/>
  <c r="X410" i="16"/>
  <c r="Y409" i="16"/>
  <c r="X409" i="16"/>
  <c r="Y408" i="16"/>
  <c r="X408" i="16"/>
  <c r="Y407" i="16"/>
  <c r="X407" i="16"/>
  <c r="Y406" i="16"/>
  <c r="X406" i="16"/>
  <c r="Y405" i="16"/>
  <c r="X405" i="16"/>
  <c r="Y404" i="16"/>
  <c r="X404" i="16"/>
  <c r="Y403" i="16"/>
  <c r="X403" i="16"/>
  <c r="Y402" i="16"/>
  <c r="X402" i="16"/>
  <c r="Y401" i="16"/>
  <c r="X401" i="16"/>
  <c r="Y400" i="16"/>
  <c r="X400" i="16"/>
  <c r="Y399" i="16"/>
  <c r="X399" i="16"/>
  <c r="Y398" i="16"/>
  <c r="X398" i="16"/>
  <c r="Y397" i="16"/>
  <c r="X397" i="16"/>
  <c r="Y396" i="16"/>
  <c r="X396" i="16"/>
  <c r="Y395" i="16"/>
  <c r="X395" i="16"/>
  <c r="Y394" i="16"/>
  <c r="X394" i="16"/>
  <c r="Y393" i="16"/>
  <c r="X393" i="16"/>
  <c r="Y392" i="16"/>
  <c r="X392" i="16"/>
  <c r="Y391" i="16"/>
  <c r="X391" i="16"/>
  <c r="Y390" i="16"/>
  <c r="X390" i="16"/>
  <c r="Y389" i="16"/>
  <c r="X389" i="16"/>
  <c r="Y388" i="16"/>
  <c r="X388" i="16"/>
  <c r="Y387" i="16"/>
  <c r="X387" i="16"/>
  <c r="Y386" i="16"/>
  <c r="X386" i="16"/>
  <c r="Y385" i="16"/>
  <c r="X385" i="16"/>
  <c r="Y384" i="16"/>
  <c r="X384" i="16"/>
  <c r="Y383" i="16"/>
  <c r="X383" i="16"/>
  <c r="Y382" i="16"/>
  <c r="X382" i="16"/>
  <c r="Y381" i="16"/>
  <c r="X381" i="16"/>
  <c r="Y380" i="16"/>
  <c r="X380" i="16"/>
  <c r="Y379" i="16"/>
  <c r="X379" i="16"/>
  <c r="Y378" i="16"/>
  <c r="X378" i="16"/>
  <c r="Y377" i="16"/>
  <c r="X377" i="16"/>
  <c r="Y376" i="16"/>
  <c r="X376" i="16"/>
  <c r="Y375" i="16"/>
  <c r="X375" i="16"/>
  <c r="Y374" i="16"/>
  <c r="X374" i="16"/>
  <c r="Y373" i="16"/>
  <c r="X373" i="16"/>
  <c r="Y372" i="16"/>
  <c r="X372" i="16"/>
  <c r="Y371" i="16"/>
  <c r="X371" i="16"/>
  <c r="Y370" i="16"/>
  <c r="X370" i="16"/>
  <c r="Y369" i="16"/>
  <c r="X369" i="16"/>
  <c r="Y368" i="16"/>
  <c r="X368" i="16"/>
  <c r="Y367" i="16"/>
  <c r="X367" i="16"/>
  <c r="Y366" i="16"/>
  <c r="X366" i="16"/>
  <c r="Y365" i="16"/>
  <c r="X365" i="16"/>
  <c r="Y364" i="16"/>
  <c r="X364" i="16"/>
  <c r="Y363" i="16"/>
  <c r="X363" i="16"/>
  <c r="Y362" i="16"/>
  <c r="X362" i="16"/>
  <c r="Y361" i="16"/>
  <c r="X361" i="16"/>
  <c r="Y360" i="16"/>
  <c r="X360" i="16"/>
  <c r="Y359" i="16"/>
  <c r="X359" i="16"/>
  <c r="Y358" i="16"/>
  <c r="X358" i="16"/>
  <c r="Y357" i="16"/>
  <c r="X357" i="16"/>
  <c r="Y356" i="16"/>
  <c r="X356" i="16"/>
  <c r="Y355" i="16"/>
  <c r="X355" i="16"/>
  <c r="Y354" i="16"/>
  <c r="X354" i="16"/>
  <c r="Y353" i="16"/>
  <c r="X353" i="16"/>
  <c r="Y352" i="16"/>
  <c r="X352" i="16"/>
  <c r="Y351" i="16"/>
  <c r="X351" i="16"/>
  <c r="Y350" i="16"/>
  <c r="X350" i="16"/>
  <c r="Y349" i="16"/>
  <c r="X349" i="16"/>
  <c r="Y348" i="16"/>
  <c r="X348" i="16"/>
  <c r="Y347" i="16"/>
  <c r="X347" i="16"/>
  <c r="Y346" i="16"/>
  <c r="X346" i="16"/>
  <c r="Y345" i="16"/>
  <c r="X345" i="16"/>
  <c r="Y344" i="16"/>
  <c r="X344" i="16"/>
  <c r="Y343" i="16"/>
  <c r="X343" i="16"/>
  <c r="Y342" i="16"/>
  <c r="X342" i="16"/>
  <c r="Y341" i="16"/>
  <c r="X341" i="16"/>
  <c r="Y340" i="16"/>
  <c r="X340" i="16"/>
  <c r="Y339" i="16"/>
  <c r="X339" i="16"/>
  <c r="Y338" i="16"/>
  <c r="X338" i="16"/>
  <c r="Y337" i="16"/>
  <c r="X337" i="16"/>
  <c r="Y336" i="16"/>
  <c r="X336" i="16"/>
  <c r="Y335" i="16"/>
  <c r="X335" i="16"/>
  <c r="Y334" i="16"/>
  <c r="X334" i="16"/>
  <c r="Y333" i="16"/>
  <c r="X333" i="16"/>
  <c r="Y332" i="16"/>
  <c r="X332" i="16"/>
  <c r="Y331" i="16"/>
  <c r="X331" i="16"/>
  <c r="Y330" i="16"/>
  <c r="X330" i="16"/>
  <c r="Y329" i="16"/>
  <c r="X329" i="16"/>
  <c r="Y328" i="16"/>
  <c r="X328" i="16"/>
  <c r="Y327" i="16"/>
  <c r="X327" i="16"/>
  <c r="Y326" i="16"/>
  <c r="X326" i="16"/>
  <c r="Y325" i="16"/>
  <c r="X325" i="16"/>
  <c r="Y324" i="16"/>
  <c r="X324" i="16"/>
  <c r="Y323" i="16"/>
  <c r="X323" i="16"/>
  <c r="Y322" i="16"/>
  <c r="X322" i="16"/>
  <c r="Y321" i="16"/>
  <c r="X321" i="16"/>
  <c r="Y320" i="16"/>
  <c r="X320" i="16"/>
  <c r="Y319" i="16"/>
  <c r="X319" i="16"/>
  <c r="Y318" i="16"/>
  <c r="X318" i="16"/>
  <c r="Y317" i="16"/>
  <c r="X317" i="16"/>
  <c r="Y316" i="16"/>
  <c r="X316" i="16"/>
  <c r="Y315" i="16"/>
  <c r="X315" i="16"/>
  <c r="Y314" i="16"/>
  <c r="X314" i="16"/>
  <c r="Y313" i="16"/>
  <c r="X313" i="16"/>
  <c r="Y312" i="16"/>
  <c r="X312" i="16"/>
  <c r="Y311" i="16"/>
  <c r="X311" i="16"/>
  <c r="Y310" i="16"/>
  <c r="X310" i="16"/>
  <c r="Y309" i="16"/>
  <c r="X309" i="16"/>
  <c r="Y308" i="16"/>
  <c r="X308" i="16"/>
  <c r="Y307" i="16"/>
  <c r="X307" i="16"/>
  <c r="Y306" i="16"/>
  <c r="X306" i="16"/>
  <c r="Y305" i="16"/>
  <c r="X305" i="16"/>
  <c r="Y304" i="16"/>
  <c r="X304" i="16"/>
  <c r="Y303" i="16"/>
  <c r="X303" i="16"/>
  <c r="Y302" i="16"/>
  <c r="X302" i="16"/>
  <c r="Y301" i="16"/>
  <c r="X301" i="16"/>
  <c r="Y300" i="16"/>
  <c r="X300" i="16"/>
  <c r="Y299" i="16"/>
  <c r="X299" i="16"/>
  <c r="Y298" i="16"/>
  <c r="X298" i="16"/>
  <c r="Y297" i="16"/>
  <c r="X297" i="16"/>
  <c r="Y296" i="16"/>
  <c r="X296" i="16"/>
  <c r="Y295" i="16"/>
  <c r="X295" i="16"/>
  <c r="Y294" i="16"/>
  <c r="X294" i="16"/>
  <c r="Y293" i="16"/>
  <c r="X293" i="16"/>
  <c r="Y292" i="16"/>
  <c r="X292" i="16"/>
  <c r="Y291" i="16"/>
  <c r="X291" i="16"/>
  <c r="Y290" i="16"/>
  <c r="X290" i="16"/>
  <c r="Y289" i="16"/>
  <c r="X289" i="16"/>
  <c r="Y288" i="16"/>
  <c r="X288" i="16"/>
  <c r="Y287" i="16"/>
  <c r="X287" i="16"/>
  <c r="Y286" i="16"/>
  <c r="X286" i="16"/>
  <c r="Y285" i="16"/>
  <c r="X285" i="16"/>
  <c r="Y284" i="16"/>
  <c r="X284" i="16"/>
  <c r="Y283" i="16"/>
  <c r="X283" i="16"/>
  <c r="Y282" i="16"/>
  <c r="X282" i="16"/>
  <c r="Y281" i="16"/>
  <c r="X281" i="16"/>
  <c r="Y280" i="16"/>
  <c r="X280" i="16"/>
  <c r="Y279" i="16"/>
  <c r="X279" i="16"/>
  <c r="Y278" i="16"/>
  <c r="X278" i="16"/>
  <c r="Y277" i="16"/>
  <c r="X277" i="16"/>
  <c r="Y276" i="16"/>
  <c r="X276" i="16"/>
  <c r="Y275" i="16"/>
  <c r="X275" i="16"/>
  <c r="Y274" i="16"/>
  <c r="X274" i="16"/>
  <c r="Y273" i="16"/>
  <c r="X273" i="16"/>
  <c r="Y272" i="16"/>
  <c r="X272" i="16"/>
  <c r="Y271" i="16"/>
  <c r="X271" i="16"/>
  <c r="Y270" i="16"/>
  <c r="X270" i="16"/>
  <c r="Y269" i="16"/>
  <c r="X269" i="16"/>
  <c r="Y268" i="16"/>
  <c r="X268" i="16"/>
  <c r="Y267" i="16"/>
  <c r="X267" i="16"/>
  <c r="Y266" i="16"/>
  <c r="X266" i="16"/>
  <c r="Y265" i="16"/>
  <c r="X265" i="16"/>
  <c r="Y264" i="16"/>
  <c r="X264" i="16"/>
  <c r="Y263" i="16"/>
  <c r="X263" i="16"/>
  <c r="Y262" i="16"/>
  <c r="X262" i="16"/>
  <c r="Y261" i="16"/>
  <c r="X261" i="16"/>
  <c r="Y260" i="16"/>
  <c r="X260" i="16"/>
  <c r="Y259" i="16"/>
  <c r="X259" i="16"/>
  <c r="Y258" i="16"/>
  <c r="X258" i="16"/>
  <c r="Y257" i="16"/>
  <c r="X257" i="16"/>
  <c r="Y256" i="16"/>
  <c r="X256" i="16"/>
  <c r="Y255" i="16"/>
  <c r="X255" i="16"/>
  <c r="Y254" i="16"/>
  <c r="X254" i="16"/>
  <c r="Y253" i="16"/>
  <c r="X253" i="16"/>
  <c r="Y252" i="16"/>
  <c r="X252" i="16"/>
  <c r="Y251" i="16"/>
  <c r="X251" i="16"/>
  <c r="Y250" i="16"/>
  <c r="X250" i="16"/>
  <c r="Y249" i="16"/>
  <c r="X249" i="16"/>
  <c r="Y248" i="16"/>
  <c r="X248" i="16"/>
  <c r="Y247" i="16"/>
  <c r="X247" i="16"/>
  <c r="Y246" i="16"/>
  <c r="X246" i="16"/>
  <c r="Y245" i="16"/>
  <c r="X245" i="16"/>
  <c r="Y244" i="16"/>
  <c r="X244" i="16"/>
  <c r="Y243" i="16"/>
  <c r="X243" i="16"/>
  <c r="Y242" i="16"/>
  <c r="X242" i="16"/>
  <c r="Y241" i="16"/>
  <c r="X241" i="16"/>
  <c r="Y240" i="16"/>
  <c r="X240" i="16"/>
  <c r="Y239" i="16"/>
  <c r="X239" i="16"/>
  <c r="Y238" i="16"/>
  <c r="X238" i="16"/>
  <c r="Y237" i="16"/>
  <c r="X237" i="16"/>
  <c r="Y236" i="16"/>
  <c r="X236" i="16"/>
  <c r="Y235" i="16"/>
  <c r="X235" i="16"/>
  <c r="Y234" i="16"/>
  <c r="X234" i="16"/>
  <c r="Y233" i="16"/>
  <c r="X233" i="16"/>
  <c r="Y232" i="16"/>
  <c r="X232" i="16"/>
  <c r="Y231" i="16"/>
  <c r="X231" i="16"/>
  <c r="Y230" i="16"/>
  <c r="X230" i="16"/>
  <c r="Y229" i="16"/>
  <c r="X229" i="16"/>
  <c r="Y228" i="16"/>
  <c r="X228" i="16"/>
  <c r="Y227" i="16"/>
  <c r="X227" i="16"/>
  <c r="Y226" i="16"/>
  <c r="X226" i="16"/>
  <c r="Y225" i="16"/>
  <c r="X225" i="16"/>
  <c r="Y224" i="16"/>
  <c r="X224" i="16"/>
  <c r="Y223" i="16"/>
  <c r="X223" i="16"/>
  <c r="Y222" i="16"/>
  <c r="X222" i="16"/>
  <c r="Y221" i="16"/>
  <c r="X221" i="16"/>
  <c r="Y220" i="16"/>
  <c r="X220" i="16"/>
  <c r="Y219" i="16"/>
  <c r="X219" i="16"/>
  <c r="Y218" i="16"/>
  <c r="X218" i="16"/>
  <c r="Y217" i="16"/>
  <c r="X217" i="16"/>
  <c r="Y216" i="16"/>
  <c r="X216" i="16"/>
  <c r="Y215" i="16"/>
  <c r="X215" i="16"/>
  <c r="Y214" i="16"/>
  <c r="X214" i="16"/>
  <c r="Y213" i="16"/>
  <c r="X213" i="16"/>
  <c r="Y212" i="16"/>
  <c r="X212" i="16"/>
  <c r="Y211" i="16"/>
  <c r="X211" i="16"/>
  <c r="Y210" i="16"/>
  <c r="X210" i="16"/>
  <c r="Y209" i="16"/>
  <c r="X209" i="16"/>
  <c r="Y208" i="16"/>
  <c r="X208" i="16"/>
  <c r="Y207" i="16"/>
  <c r="X207" i="16"/>
  <c r="Y206" i="16"/>
  <c r="X206" i="16"/>
  <c r="Y205" i="16"/>
  <c r="X205" i="16"/>
  <c r="Y204" i="16"/>
  <c r="X204" i="16"/>
  <c r="Y203" i="16"/>
  <c r="X203" i="16"/>
  <c r="Y202" i="16"/>
  <c r="X202" i="16"/>
  <c r="Y201" i="16"/>
  <c r="X201" i="16"/>
  <c r="Y200" i="16"/>
  <c r="X200" i="16"/>
  <c r="Y199" i="16"/>
  <c r="X199" i="16"/>
  <c r="Y198" i="16"/>
  <c r="X198" i="16"/>
  <c r="Y197" i="16"/>
  <c r="X197" i="16"/>
  <c r="Y196" i="16"/>
  <c r="X196" i="16"/>
  <c r="Y195" i="16"/>
  <c r="X195" i="16"/>
  <c r="Y194" i="16"/>
  <c r="X194" i="16"/>
  <c r="Y193" i="16"/>
  <c r="X193" i="16"/>
  <c r="Y192" i="16"/>
  <c r="X192" i="16"/>
  <c r="Y191" i="16"/>
  <c r="X191" i="16"/>
  <c r="Y190" i="16"/>
  <c r="X190" i="16"/>
  <c r="Y189" i="16"/>
  <c r="X189" i="16"/>
  <c r="Y188" i="16"/>
  <c r="X188" i="16"/>
  <c r="Y187" i="16"/>
  <c r="X187" i="16"/>
  <c r="Y186" i="16"/>
  <c r="X186" i="16"/>
  <c r="Y185" i="16"/>
  <c r="X185" i="16"/>
  <c r="Y184" i="16"/>
  <c r="X184" i="16"/>
  <c r="Y183" i="16"/>
  <c r="X183" i="16"/>
  <c r="Y182" i="16"/>
  <c r="X182" i="16"/>
  <c r="Y181" i="16"/>
  <c r="X181" i="16"/>
  <c r="Y180" i="16"/>
  <c r="X180" i="16"/>
  <c r="Y179" i="16"/>
  <c r="X179" i="16"/>
  <c r="Y178" i="16"/>
  <c r="X178" i="16"/>
  <c r="Y177" i="16"/>
  <c r="X177" i="16"/>
  <c r="Y176" i="16"/>
  <c r="X176" i="16"/>
  <c r="Y175" i="16"/>
  <c r="X175" i="16"/>
  <c r="Y174" i="16"/>
  <c r="X174" i="16"/>
  <c r="Y173" i="16"/>
  <c r="X173" i="16"/>
  <c r="Y172" i="16"/>
  <c r="X172" i="16"/>
  <c r="Y171" i="16"/>
  <c r="X171" i="16"/>
  <c r="Y170" i="16"/>
  <c r="X170" i="16"/>
  <c r="Y169" i="16"/>
  <c r="X169" i="16"/>
  <c r="Y168" i="16"/>
  <c r="X168" i="16"/>
  <c r="Y167" i="16"/>
  <c r="X167" i="16"/>
  <c r="Y166" i="16"/>
  <c r="X166" i="16"/>
  <c r="Y165" i="16"/>
  <c r="X165" i="16"/>
  <c r="Y164" i="16"/>
  <c r="X164" i="16"/>
  <c r="Y163" i="16"/>
  <c r="X163" i="16"/>
  <c r="Y162" i="16"/>
  <c r="X162" i="16"/>
  <c r="Y161" i="16"/>
  <c r="X161" i="16"/>
  <c r="Y160" i="16"/>
  <c r="X160" i="16"/>
  <c r="Y159" i="16"/>
  <c r="X159" i="16"/>
  <c r="Y158" i="16"/>
  <c r="X158" i="16"/>
  <c r="Y157" i="16"/>
  <c r="X157" i="16"/>
  <c r="Y156" i="16"/>
  <c r="X156" i="16"/>
  <c r="Y155" i="16"/>
  <c r="X155" i="16"/>
  <c r="Y154" i="16"/>
  <c r="X154" i="16"/>
  <c r="Y153" i="16"/>
  <c r="X153" i="16"/>
  <c r="Y152" i="16"/>
  <c r="X152" i="16"/>
  <c r="Y151" i="16"/>
  <c r="X151" i="16"/>
  <c r="Y150" i="16"/>
  <c r="X150" i="16"/>
  <c r="Y149" i="16"/>
  <c r="X149" i="16"/>
  <c r="Y148" i="16"/>
  <c r="X148" i="16"/>
  <c r="Y147" i="16"/>
  <c r="X147" i="16"/>
  <c r="Y146" i="16"/>
  <c r="X146" i="16"/>
  <c r="Y145" i="16"/>
  <c r="X145" i="16"/>
  <c r="Y144" i="16"/>
  <c r="X144" i="16"/>
  <c r="Y143" i="16"/>
  <c r="X143" i="16"/>
  <c r="Y142" i="16"/>
  <c r="X142" i="16"/>
  <c r="Y141" i="16"/>
  <c r="X141" i="16"/>
  <c r="Y140" i="16"/>
  <c r="X140" i="16"/>
  <c r="Y139" i="16"/>
  <c r="X139" i="16"/>
  <c r="Y138" i="16"/>
  <c r="X138" i="16"/>
  <c r="Y137" i="16"/>
  <c r="X137" i="16"/>
  <c r="Y136" i="16"/>
  <c r="X136" i="16"/>
  <c r="Y135" i="16"/>
  <c r="X135" i="16"/>
  <c r="Y134" i="16"/>
  <c r="X134" i="16"/>
  <c r="Y133" i="16"/>
  <c r="X133" i="16"/>
  <c r="Y132" i="16"/>
  <c r="X132" i="16"/>
  <c r="Y131" i="16"/>
  <c r="X131" i="16"/>
  <c r="Y130" i="16"/>
  <c r="X130" i="16"/>
  <c r="Y129" i="16"/>
  <c r="X129" i="16"/>
  <c r="Y128" i="16"/>
  <c r="X128" i="16"/>
  <c r="Y127" i="16"/>
  <c r="X127" i="16"/>
  <c r="Y126" i="16"/>
  <c r="X126" i="16"/>
  <c r="Y125" i="16"/>
  <c r="X125" i="16"/>
  <c r="Y124" i="16"/>
  <c r="X124" i="16"/>
  <c r="Y123" i="16"/>
  <c r="X123" i="16"/>
  <c r="Y122" i="16"/>
  <c r="X122" i="16"/>
  <c r="Y121" i="16"/>
  <c r="X121" i="16"/>
  <c r="Y120" i="16"/>
  <c r="X120" i="16"/>
  <c r="Y119" i="16"/>
  <c r="X119" i="16"/>
  <c r="Y118" i="16"/>
  <c r="X118" i="16"/>
  <c r="Y117" i="16"/>
  <c r="X117" i="16"/>
  <c r="Y116" i="16"/>
  <c r="X116" i="16"/>
  <c r="Y115" i="16"/>
  <c r="X115" i="16"/>
  <c r="Y114" i="16"/>
  <c r="X114" i="16"/>
  <c r="Y113" i="16"/>
  <c r="X113" i="16"/>
  <c r="Y112" i="16"/>
  <c r="X112" i="16"/>
  <c r="Y111" i="16"/>
  <c r="X111" i="16"/>
  <c r="Y110" i="16"/>
  <c r="X110" i="16"/>
  <c r="Y109" i="16"/>
  <c r="X109" i="16"/>
  <c r="Y108" i="16"/>
  <c r="X108" i="16"/>
  <c r="Y107" i="16"/>
  <c r="X107" i="16"/>
  <c r="Y106" i="16"/>
  <c r="X106" i="16"/>
  <c r="Y105" i="16"/>
  <c r="X105" i="16"/>
  <c r="Y104" i="16"/>
  <c r="X104" i="16"/>
  <c r="Y103" i="16"/>
  <c r="X103" i="16"/>
  <c r="Y102" i="16"/>
  <c r="X102" i="16"/>
  <c r="Y101" i="16"/>
  <c r="X101" i="16"/>
  <c r="Y100" i="16"/>
  <c r="X100" i="16"/>
  <c r="Y99" i="16"/>
  <c r="X99" i="16"/>
  <c r="Y98" i="16"/>
  <c r="X98" i="16"/>
  <c r="Y97" i="16"/>
  <c r="X97" i="16"/>
  <c r="Y96" i="16"/>
  <c r="X96" i="16"/>
  <c r="Y95" i="16"/>
  <c r="X95" i="16"/>
  <c r="Y94" i="16"/>
  <c r="X94" i="16"/>
  <c r="Y93" i="16"/>
  <c r="X93" i="16"/>
  <c r="Y92" i="16"/>
  <c r="X92" i="16"/>
  <c r="Y91" i="16"/>
  <c r="X91" i="16"/>
  <c r="Y90" i="16"/>
  <c r="X90" i="16"/>
  <c r="Y89" i="16"/>
  <c r="X89" i="16"/>
  <c r="Y88" i="16"/>
  <c r="X88" i="16"/>
  <c r="Y87" i="16"/>
  <c r="X87" i="16"/>
  <c r="Y86" i="16"/>
  <c r="X86" i="16"/>
  <c r="Y85" i="16"/>
  <c r="X85" i="16"/>
  <c r="Y84" i="16"/>
  <c r="X84" i="16"/>
  <c r="Y83" i="16"/>
  <c r="X83" i="16"/>
  <c r="Y82" i="16"/>
  <c r="X82" i="16"/>
  <c r="Y81" i="16"/>
  <c r="X81" i="16"/>
  <c r="Y80" i="16"/>
  <c r="X80" i="16"/>
  <c r="Y79" i="16"/>
  <c r="X79" i="16"/>
  <c r="Y78" i="16"/>
  <c r="X78" i="16"/>
  <c r="Y77" i="16"/>
  <c r="X77" i="16"/>
  <c r="Y76" i="16"/>
  <c r="X76" i="16"/>
  <c r="Y75" i="16"/>
  <c r="X75" i="16"/>
  <c r="Y74" i="16"/>
  <c r="X74" i="16"/>
  <c r="Y73" i="16"/>
  <c r="X73" i="16"/>
  <c r="Y72" i="16"/>
  <c r="X72" i="16"/>
  <c r="Y71" i="16"/>
  <c r="X71" i="16"/>
  <c r="Y70" i="16"/>
  <c r="X70" i="16"/>
  <c r="Y69" i="16"/>
  <c r="X69" i="16"/>
  <c r="Y68" i="16"/>
  <c r="X68" i="16"/>
  <c r="Y67" i="16"/>
  <c r="X67" i="16"/>
  <c r="Y66" i="16"/>
  <c r="X66" i="16"/>
  <c r="Y65" i="16"/>
  <c r="X65" i="16"/>
  <c r="Y64" i="16"/>
  <c r="X64" i="16"/>
  <c r="Y63" i="16"/>
  <c r="X63" i="16"/>
  <c r="Y62" i="16"/>
  <c r="X62" i="16"/>
  <c r="Y61" i="16"/>
  <c r="X61" i="16"/>
  <c r="Y60" i="16"/>
  <c r="X60" i="16"/>
  <c r="Y59" i="16"/>
  <c r="X59" i="16"/>
  <c r="Y58" i="16"/>
  <c r="X58" i="16"/>
  <c r="Y57" i="16"/>
  <c r="X57" i="16"/>
  <c r="Y56" i="16"/>
  <c r="X56" i="16"/>
  <c r="Y55" i="16"/>
  <c r="X55" i="16"/>
  <c r="Y54" i="16"/>
  <c r="X54" i="16"/>
  <c r="Y53" i="16"/>
  <c r="X53" i="16"/>
  <c r="Y52" i="16"/>
  <c r="X52" i="16"/>
  <c r="Y51" i="16"/>
  <c r="X51" i="16"/>
  <c r="Y50" i="16"/>
  <c r="X50" i="16"/>
  <c r="Y49" i="16"/>
  <c r="X49" i="16"/>
  <c r="Y48" i="16"/>
  <c r="X48" i="16"/>
  <c r="Y47" i="16"/>
  <c r="X47" i="16"/>
  <c r="Y46" i="16"/>
  <c r="X46" i="16"/>
  <c r="Y45" i="16"/>
  <c r="X45" i="16"/>
  <c r="Y44" i="16"/>
  <c r="X44" i="16"/>
  <c r="Y43" i="16"/>
  <c r="X43" i="16"/>
  <c r="Y42" i="16"/>
  <c r="X42" i="16"/>
  <c r="Y41" i="16"/>
  <c r="X41" i="16"/>
  <c r="AE37" i="16" l="1"/>
  <c r="AF37" i="16"/>
  <c r="T50" i="16"/>
  <c r="T56" i="16"/>
  <c r="T62" i="16"/>
  <c r="T74" i="16"/>
  <c r="T122" i="16"/>
  <c r="T218" i="16"/>
  <c r="T230" i="16"/>
  <c r="T266" i="16"/>
  <c r="T290" i="16"/>
  <c r="T302" i="16"/>
  <c r="T326" i="16"/>
  <c r="T410" i="16"/>
  <c r="T434" i="16"/>
  <c r="T458" i="16"/>
  <c r="T506" i="16"/>
  <c r="T518" i="16"/>
  <c r="T572" i="16"/>
  <c r="T650" i="16"/>
  <c r="T656" i="16"/>
  <c r="T668" i="16"/>
  <c r="T932" i="16"/>
  <c r="T769" i="16"/>
  <c r="T41" i="16"/>
  <c r="T47" i="16"/>
  <c r="T53" i="16"/>
  <c r="T59" i="16"/>
  <c r="T65" i="16"/>
  <c r="T71" i="16"/>
  <c r="T77" i="16"/>
  <c r="T83" i="16"/>
  <c r="T89" i="16"/>
  <c r="T95" i="16"/>
  <c r="T101" i="16"/>
  <c r="T107" i="16"/>
  <c r="T113" i="16"/>
  <c r="T125" i="16"/>
  <c r="T131" i="16"/>
  <c r="T137" i="16"/>
  <c r="T203" i="16"/>
  <c r="T227" i="16"/>
  <c r="T239" i="16"/>
  <c r="T251" i="16"/>
  <c r="T263" i="16"/>
  <c r="T287" i="16"/>
  <c r="T299" i="16"/>
  <c r="T335" i="16"/>
  <c r="T347" i="16"/>
  <c r="T653" i="16"/>
  <c r="T45" i="16"/>
  <c r="T51" i="16"/>
  <c r="T57" i="16"/>
  <c r="T63" i="16"/>
  <c r="T69" i="16"/>
  <c r="T75" i="16"/>
  <c r="T81" i="16"/>
  <c r="T87" i="16"/>
  <c r="T93" i="16"/>
  <c r="T99" i="16"/>
  <c r="T105" i="16"/>
  <c r="T111" i="16"/>
  <c r="T117" i="16"/>
  <c r="T141" i="16"/>
  <c r="T147" i="16"/>
  <c r="T231" i="16"/>
  <c r="T243" i="16"/>
  <c r="T255" i="16"/>
  <c r="T279" i="16"/>
  <c r="T291" i="16"/>
  <c r="T303" i="16"/>
  <c r="T315" i="16"/>
  <c r="T327" i="16"/>
  <c r="T339" i="16"/>
  <c r="T351" i="16"/>
  <c r="T363" i="16"/>
  <c r="T375" i="16"/>
  <c r="T387" i="16"/>
  <c r="T399" i="16"/>
  <c r="T405" i="16"/>
  <c r="T793" i="16"/>
  <c r="T44" i="16"/>
  <c r="T68" i="16"/>
  <c r="T680" i="16"/>
  <c r="T489" i="16"/>
  <c r="T495" i="16"/>
  <c r="T501" i="16"/>
  <c r="T561" i="16"/>
  <c r="T567" i="16"/>
  <c r="T933" i="16"/>
  <c r="T957" i="16"/>
  <c r="T138" i="16"/>
  <c r="T150" i="16"/>
  <c r="T156" i="16"/>
  <c r="T168" i="16"/>
  <c r="T204" i="16"/>
  <c r="T216" i="16"/>
  <c r="T234" i="16"/>
  <c r="T677" i="16"/>
  <c r="T246" i="16"/>
  <c r="T282" i="16"/>
  <c r="T306" i="16"/>
  <c r="T318" i="16"/>
  <c r="T330" i="16"/>
  <c r="T342" i="16"/>
  <c r="T354" i="16"/>
  <c r="T366" i="16"/>
  <c r="T390" i="16"/>
  <c r="T432" i="16"/>
  <c r="T504" i="16"/>
  <c r="T552" i="16"/>
  <c r="T558" i="16"/>
  <c r="T588" i="16"/>
  <c r="T594" i="16"/>
  <c r="T606" i="16"/>
  <c r="T612" i="16"/>
  <c r="T648" i="16"/>
  <c r="T840" i="16"/>
  <c r="T852" i="16"/>
  <c r="T1021" i="16"/>
  <c r="T244" i="16"/>
  <c r="T280" i="16"/>
  <c r="T316" i="16"/>
  <c r="T580" i="16"/>
  <c r="T652" i="16"/>
  <c r="T658" i="16"/>
  <c r="T682" i="16"/>
  <c r="T694" i="16"/>
  <c r="T808" i="16"/>
  <c r="T820" i="16"/>
  <c r="T844" i="16"/>
  <c r="T868" i="16"/>
  <c r="T874" i="16"/>
  <c r="T898" i="16"/>
  <c r="T904" i="16"/>
  <c r="T916" i="16"/>
  <c r="T928" i="16"/>
  <c r="T359" i="16"/>
  <c r="T371" i="16"/>
  <c r="T395" i="16"/>
  <c r="T407" i="16"/>
  <c r="T443" i="16"/>
  <c r="T449" i="16"/>
  <c r="T623" i="16"/>
  <c r="T869" i="16"/>
  <c r="T953" i="16"/>
  <c r="T660" i="16"/>
  <c r="T655" i="16"/>
  <c r="T805" i="16"/>
  <c r="T859" i="16"/>
  <c r="T931" i="16"/>
  <c r="T1026" i="16"/>
  <c r="T596" i="16"/>
  <c r="T602" i="16"/>
  <c r="T608" i="16"/>
  <c r="T1009" i="16"/>
  <c r="T692" i="16"/>
  <c r="T1033" i="16"/>
  <c r="T819" i="16"/>
  <c r="T825" i="16"/>
  <c r="T843" i="16"/>
  <c r="T1022" i="16"/>
  <c r="T1028" i="16"/>
  <c r="T1034" i="16"/>
  <c r="T993" i="16"/>
  <c r="T999" i="16"/>
  <c r="T1005" i="16"/>
  <c r="T43" i="16"/>
  <c r="T49" i="16"/>
  <c r="T55" i="16"/>
  <c r="T61" i="16"/>
  <c r="T67" i="16"/>
  <c r="T73" i="16"/>
  <c r="T79" i="16"/>
  <c r="T85" i="16"/>
  <c r="T91" i="16"/>
  <c r="T97" i="16"/>
  <c r="T103" i="16"/>
  <c r="T109" i="16"/>
  <c r="T115" i="16"/>
  <c r="T121" i="16"/>
  <c r="T127" i="16"/>
  <c r="T133" i="16"/>
  <c r="T139" i="16"/>
  <c r="T211" i="16"/>
  <c r="T259" i="16"/>
  <c r="T295" i="16"/>
  <c r="T331" i="16"/>
  <c r="T343" i="16"/>
  <c r="T367" i="16"/>
  <c r="T403" i="16"/>
  <c r="T445" i="16"/>
  <c r="T469" i="16"/>
  <c r="T475" i="16"/>
  <c r="T493" i="16"/>
  <c r="T499" i="16"/>
  <c r="T678" i="16"/>
  <c r="T845" i="16"/>
  <c r="T851" i="16"/>
  <c r="T696" i="16"/>
  <c r="T708" i="16"/>
  <c r="T762" i="16"/>
  <c r="T768" i="16"/>
  <c r="T774" i="16"/>
  <c r="T780" i="16"/>
  <c r="T792" i="16"/>
  <c r="T798" i="16"/>
  <c r="T935" i="16"/>
  <c r="T941" i="16"/>
  <c r="T965" i="16"/>
  <c r="T995" i="16"/>
  <c r="T344" i="16"/>
  <c r="T380" i="16"/>
  <c r="T440" i="16"/>
  <c r="T685" i="16"/>
  <c r="T727" i="16"/>
  <c r="T751" i="16"/>
  <c r="T900" i="16"/>
  <c r="T912" i="16"/>
  <c r="T924" i="16"/>
  <c r="T954" i="16"/>
  <c r="T189" i="16"/>
  <c r="T621" i="16"/>
  <c r="T639" i="16"/>
  <c r="T752" i="16"/>
  <c r="T758" i="16"/>
  <c r="T764" i="16"/>
  <c r="T770" i="16"/>
  <c r="T776" i="16"/>
  <c r="T889" i="16"/>
  <c r="T901" i="16"/>
  <c r="T949" i="16"/>
  <c r="T46" i="16"/>
  <c r="T52" i="16"/>
  <c r="T58" i="16"/>
  <c r="T64" i="16"/>
  <c r="T70" i="16"/>
  <c r="T76" i="16"/>
  <c r="T82" i="16"/>
  <c r="T88" i="16"/>
  <c r="T94" i="16"/>
  <c r="T100" i="16"/>
  <c r="T160" i="16"/>
  <c r="T166" i="16"/>
  <c r="T178" i="16"/>
  <c r="T202" i="16"/>
  <c r="T208" i="16"/>
  <c r="T214" i="16"/>
  <c r="T406" i="16"/>
  <c r="T412" i="16"/>
  <c r="T418" i="16"/>
  <c r="T424" i="16"/>
  <c r="T436" i="16"/>
  <c r="T442" i="16"/>
  <c r="T454" i="16"/>
  <c r="T490" i="16"/>
  <c r="T502" i="16"/>
  <c r="T562" i="16"/>
  <c r="T860" i="16"/>
  <c r="T896" i="16"/>
  <c r="T902" i="16"/>
  <c r="T914" i="16"/>
  <c r="T920" i="16"/>
  <c r="T926" i="16"/>
  <c r="T634" i="16"/>
  <c r="T640" i="16"/>
  <c r="T693" i="16"/>
  <c r="T783" i="16"/>
  <c r="T974" i="16"/>
  <c r="T980" i="16"/>
  <c r="T173" i="16"/>
  <c r="T185" i="16"/>
  <c r="T635" i="16"/>
  <c r="T641" i="16"/>
  <c r="T897" i="16"/>
  <c r="T909" i="16"/>
  <c r="T796" i="16"/>
  <c r="T528" i="16"/>
  <c r="T731" i="16"/>
  <c r="T773" i="16"/>
  <c r="T832" i="16"/>
  <c r="T1029" i="16"/>
  <c r="T163" i="16"/>
  <c r="T199" i="16"/>
  <c r="T414" i="16"/>
  <c r="T515" i="16"/>
  <c r="T598" i="16"/>
  <c r="T604" i="16"/>
  <c r="T610" i="16"/>
  <c r="T698" i="16"/>
  <c r="T710" i="16"/>
  <c r="T716" i="16"/>
  <c r="T728" i="16"/>
  <c r="T734" i="16"/>
  <c r="T746" i="16"/>
  <c r="T876" i="16"/>
  <c r="T894" i="16"/>
  <c r="T930" i="16"/>
  <c r="T1024" i="16"/>
  <c r="T1030" i="16"/>
  <c r="T1036" i="16"/>
  <c r="T170" i="16"/>
  <c r="T182" i="16"/>
  <c r="T247" i="16"/>
  <c r="T283" i="16"/>
  <c r="T319" i="16"/>
  <c r="T355" i="16"/>
  <c r="T391" i="16"/>
  <c r="T451" i="16"/>
  <c r="T462" i="16"/>
  <c r="T468" i="16"/>
  <c r="T480" i="16"/>
  <c r="T510" i="16"/>
  <c r="T546" i="16"/>
  <c r="T605" i="16"/>
  <c r="T616" i="16"/>
  <c r="T628" i="16"/>
  <c r="T664" i="16"/>
  <c r="T670" i="16"/>
  <c r="T676" i="16"/>
  <c r="T735" i="16"/>
  <c r="T800" i="16"/>
  <c r="T812" i="16"/>
  <c r="T836" i="16"/>
  <c r="T842" i="16"/>
  <c r="T895" i="16"/>
  <c r="T1013" i="16"/>
  <c r="T338" i="16"/>
  <c r="T374" i="16"/>
  <c r="T570" i="16"/>
  <c r="T913" i="16"/>
  <c r="T129" i="16"/>
  <c r="T171" i="16"/>
  <c r="T236" i="16"/>
  <c r="T248" i="16"/>
  <c r="T356" i="16"/>
  <c r="T392" i="16"/>
  <c r="T712" i="16"/>
  <c r="T937" i="16"/>
  <c r="T1032" i="16"/>
  <c r="T106" i="16"/>
  <c r="T154" i="16"/>
  <c r="T494" i="16"/>
  <c r="T500" i="16"/>
  <c r="T565" i="16"/>
  <c r="T571" i="16"/>
  <c r="T618" i="16"/>
  <c r="T624" i="16"/>
  <c r="T636" i="16"/>
  <c r="T642" i="16"/>
  <c r="T695" i="16"/>
  <c r="T760" i="16"/>
  <c r="T766" i="16"/>
  <c r="T772" i="16"/>
  <c r="T884" i="16"/>
  <c r="T961" i="16"/>
  <c r="T973" i="16"/>
  <c r="T979" i="16"/>
  <c r="T1003" i="16"/>
  <c r="T184" i="16"/>
  <c r="T190" i="16"/>
  <c r="T225" i="16"/>
  <c r="T261" i="16"/>
  <c r="T267" i="16"/>
  <c r="T333" i="16"/>
  <c r="T369" i="16"/>
  <c r="T441" i="16"/>
  <c r="T447" i="16"/>
  <c r="T453" i="16"/>
  <c r="T524" i="16"/>
  <c r="T542" i="16"/>
  <c r="T548" i="16"/>
  <c r="T607" i="16"/>
  <c r="T749" i="16"/>
  <c r="T826" i="16"/>
  <c r="T867" i="16"/>
  <c r="T950" i="16"/>
  <c r="T956" i="16"/>
  <c r="T430" i="16"/>
  <c r="T554" i="16"/>
  <c r="T566" i="16"/>
  <c r="T707" i="16"/>
  <c r="T713" i="16"/>
  <c r="T803" i="16"/>
  <c r="T986" i="16"/>
  <c r="T167" i="16"/>
  <c r="T191" i="16"/>
  <c r="T352" i="16"/>
  <c r="T388" i="16"/>
  <c r="T448" i="16"/>
  <c r="T732" i="16"/>
  <c r="T744" i="16"/>
  <c r="T750" i="16"/>
  <c r="T951" i="16"/>
  <c r="T584" i="16"/>
  <c r="T880" i="16"/>
  <c r="T892" i="16"/>
  <c r="T132" i="16"/>
  <c r="T215" i="16"/>
  <c r="T257" i="16"/>
  <c r="T269" i="16"/>
  <c r="T293" i="16"/>
  <c r="T305" i="16"/>
  <c r="T317" i="16"/>
  <c r="T329" i="16"/>
  <c r="T365" i="16"/>
  <c r="T401" i="16"/>
  <c r="T478" i="16"/>
  <c r="T550" i="16"/>
  <c r="T881" i="16"/>
  <c r="T923" i="16"/>
  <c r="T952" i="16"/>
  <c r="T1017" i="16"/>
  <c r="T703" i="16"/>
  <c r="T757" i="16"/>
  <c r="T828" i="16"/>
  <c r="T221" i="16"/>
  <c r="T152" i="16"/>
  <c r="T175" i="16"/>
  <c r="T180" i="16"/>
  <c r="T192" i="16"/>
  <c r="T198" i="16"/>
  <c r="T272" i="16"/>
  <c r="T284" i="16"/>
  <c r="T307" i="16"/>
  <c r="T341" i="16"/>
  <c r="T353" i="16"/>
  <c r="T517" i="16"/>
  <c r="T523" i="16"/>
  <c r="T575" i="16"/>
  <c r="T581" i="16"/>
  <c r="T587" i="16"/>
  <c r="T593" i="16"/>
  <c r="T622" i="16"/>
  <c r="T651" i="16"/>
  <c r="T657" i="16"/>
  <c r="T669" i="16"/>
  <c r="T686" i="16"/>
  <c r="T714" i="16"/>
  <c r="T720" i="16"/>
  <c r="T726" i="16"/>
  <c r="T737" i="16"/>
  <c r="T784" i="16"/>
  <c r="T824" i="16"/>
  <c r="T858" i="16"/>
  <c r="T875" i="16"/>
  <c r="T886" i="16"/>
  <c r="T915" i="16"/>
  <c r="T966" i="16"/>
  <c r="T972" i="16"/>
  <c r="T978" i="16"/>
  <c r="T984" i="16"/>
  <c r="T996" i="16"/>
  <c r="T1002" i="16"/>
  <c r="T1031" i="16"/>
  <c r="T1037" i="16"/>
  <c r="T187" i="16"/>
  <c r="T256" i="16"/>
  <c r="T296" i="16"/>
  <c r="T464" i="16"/>
  <c r="T482" i="16"/>
  <c r="T864" i="16"/>
  <c r="T222" i="16"/>
  <c r="T233" i="16"/>
  <c r="T245" i="16"/>
  <c r="T308" i="16"/>
  <c r="T320" i="16"/>
  <c r="T377" i="16"/>
  <c r="T383" i="16"/>
  <c r="T389" i="16"/>
  <c r="T530" i="16"/>
  <c r="T704" i="16"/>
  <c r="T756" i="16"/>
  <c r="T785" i="16"/>
  <c r="T853" i="16"/>
  <c r="T939" i="16"/>
  <c r="T945" i="16"/>
  <c r="T962" i="16"/>
  <c r="T400" i="16"/>
  <c r="T148" i="16"/>
  <c r="T188" i="16"/>
  <c r="T297" i="16"/>
  <c r="T537" i="16"/>
  <c r="T543" i="16"/>
  <c r="T549" i="16"/>
  <c r="T589" i="16"/>
  <c r="T600" i="16"/>
  <c r="T688" i="16"/>
  <c r="T722" i="16"/>
  <c r="T848" i="16"/>
  <c r="T882" i="16"/>
  <c r="T888" i="16"/>
  <c r="T126" i="16"/>
  <c r="T183" i="16"/>
  <c r="T200" i="16"/>
  <c r="T252" i="16"/>
  <c r="T258" i="16"/>
  <c r="T292" i="16"/>
  <c r="T321" i="16"/>
  <c r="T332" i="16"/>
  <c r="T362" i="16"/>
  <c r="T378" i="16"/>
  <c r="T396" i="16"/>
  <c r="T402" i="16"/>
  <c r="T496" i="16"/>
  <c r="T699" i="16"/>
  <c r="T711" i="16"/>
  <c r="T804" i="16"/>
  <c r="T837" i="16"/>
  <c r="T905" i="16"/>
  <c r="T917" i="16"/>
  <c r="T929" i="16"/>
  <c r="T934" i="16"/>
  <c r="T963" i="16"/>
  <c r="T155" i="16"/>
  <c r="T195" i="16"/>
  <c r="T235" i="16"/>
  <c r="T275" i="16"/>
  <c r="T281" i="16"/>
  <c r="T379" i="16"/>
  <c r="T408" i="16"/>
  <c r="T508" i="16"/>
  <c r="T514" i="16"/>
  <c r="T520" i="16"/>
  <c r="T526" i="16"/>
  <c r="T538" i="16"/>
  <c r="T544" i="16"/>
  <c r="T590" i="16"/>
  <c r="T619" i="16"/>
  <c r="T625" i="16"/>
  <c r="T666" i="16"/>
  <c r="T672" i="16"/>
  <c r="T700" i="16"/>
  <c r="T723" i="16"/>
  <c r="T740" i="16"/>
  <c r="T799" i="16"/>
  <c r="T827" i="16"/>
  <c r="T872" i="16"/>
  <c r="T420" i="16"/>
  <c r="T969" i="16"/>
  <c r="T981" i="16"/>
  <c r="T116" i="16"/>
  <c r="T144" i="16"/>
  <c r="T224" i="16"/>
  <c r="T254" i="16"/>
  <c r="T270" i="16"/>
  <c r="T288" i="16"/>
  <c r="T294" i="16"/>
  <c r="T311" i="16"/>
  <c r="T323" i="16"/>
  <c r="T328" i="16"/>
  <c r="T357" i="16"/>
  <c r="T368" i="16"/>
  <c r="T398" i="16"/>
  <c r="T450" i="16"/>
  <c r="T521" i="16"/>
  <c r="T539" i="16"/>
  <c r="T545" i="16"/>
  <c r="T591" i="16"/>
  <c r="T667" i="16"/>
  <c r="T684" i="16"/>
  <c r="T701" i="16"/>
  <c r="T718" i="16"/>
  <c r="T741" i="16"/>
  <c r="T753" i="16"/>
  <c r="T782" i="16"/>
  <c r="T811" i="16"/>
  <c r="T816" i="16"/>
  <c r="T856" i="16"/>
  <c r="T907" i="16"/>
  <c r="T919" i="16"/>
  <c r="T925" i="16"/>
  <c r="T976" i="16"/>
  <c r="T982" i="16"/>
  <c r="T988" i="16"/>
  <c r="T360" i="16"/>
  <c r="T145" i="16"/>
  <c r="T151" i="16"/>
  <c r="T179" i="16"/>
  <c r="T219" i="16"/>
  <c r="T271" i="16"/>
  <c r="T404" i="16"/>
  <c r="T456" i="16"/>
  <c r="T498" i="16"/>
  <c r="T568" i="16"/>
  <c r="T632" i="16"/>
  <c r="T638" i="16"/>
  <c r="T644" i="16"/>
  <c r="T679" i="16"/>
  <c r="T742" i="16"/>
  <c r="T771" i="16"/>
  <c r="T936" i="16"/>
  <c r="T1006" i="16"/>
  <c r="T1012" i="16"/>
  <c r="T1018" i="16"/>
  <c r="T128" i="16"/>
  <c r="T522" i="16"/>
  <c r="T702" i="16"/>
  <c r="T736" i="16"/>
  <c r="T285" i="16"/>
  <c r="T112" i="16"/>
  <c r="T123" i="16"/>
  <c r="T249" i="16"/>
  <c r="T260" i="16"/>
  <c r="T324" i="16"/>
  <c r="T364" i="16"/>
  <c r="T393" i="16"/>
  <c r="T416" i="16"/>
  <c r="T534" i="16"/>
  <c r="T789" i="16"/>
  <c r="T835" i="16"/>
  <c r="T908" i="16"/>
  <c r="T943" i="16"/>
  <c r="T977" i="16"/>
  <c r="T989" i="16"/>
  <c r="S35" i="16"/>
  <c r="R35" i="16"/>
  <c r="T268" i="16"/>
  <c r="T376" i="16"/>
  <c r="T906" i="16"/>
  <c r="T922" i="16"/>
  <c r="T927" i="16"/>
  <c r="T942" i="16"/>
  <c r="T964" i="16"/>
  <c r="T975" i="16"/>
  <c r="T987" i="16"/>
  <c r="T998" i="16"/>
  <c r="T1004" i="16"/>
  <c r="T1027" i="16"/>
  <c r="T136" i="16"/>
  <c r="T232" i="16"/>
  <c r="T118" i="16"/>
  <c r="T134" i="16"/>
  <c r="T177" i="16"/>
  <c r="T240" i="16"/>
  <c r="T276" i="16"/>
  <c r="T312" i="16"/>
  <c r="T348" i="16"/>
  <c r="T384" i="16"/>
  <c r="T422" i="16"/>
  <c r="T428" i="16"/>
  <c r="T438" i="16"/>
  <c r="T444" i="16"/>
  <c r="T467" i="16"/>
  <c r="T473" i="16"/>
  <c r="T573" i="16"/>
  <c r="T613" i="16"/>
  <c r="T630" i="16"/>
  <c r="T675" i="16"/>
  <c r="T691" i="16"/>
  <c r="T717" i="16"/>
  <c r="T729" i="16"/>
  <c r="T745" i="16"/>
  <c r="T761" i="16"/>
  <c r="T779" i="16"/>
  <c r="T790" i="16"/>
  <c r="T801" i="16"/>
  <c r="T806" i="16"/>
  <c r="T822" i="16"/>
  <c r="T838" i="16"/>
  <c r="T854" i="16"/>
  <c r="T870" i="16"/>
  <c r="T885" i="16"/>
  <c r="T891" i="16"/>
  <c r="T948" i="16"/>
  <c r="T959" i="16"/>
  <c r="T970" i="16"/>
  <c r="T1010" i="16"/>
  <c r="T1016" i="16"/>
  <c r="T1039" i="16"/>
  <c r="T205" i="16"/>
  <c r="T340" i="16"/>
  <c r="T120" i="16"/>
  <c r="T304" i="16"/>
  <c r="T345" i="16"/>
  <c r="T119" i="16"/>
  <c r="T124" i="16"/>
  <c r="T135" i="16"/>
  <c r="T140" i="16"/>
  <c r="T161" i="16"/>
  <c r="T172" i="16"/>
  <c r="T193" i="16"/>
  <c r="T209" i="16"/>
  <c r="T220" i="16"/>
  <c r="T226" i="16"/>
  <c r="T241" i="16"/>
  <c r="T262" i="16"/>
  <c r="T277" i="16"/>
  <c r="T298" i="16"/>
  <c r="T313" i="16"/>
  <c r="T334" i="16"/>
  <c r="T349" i="16"/>
  <c r="T370" i="16"/>
  <c r="T385" i="16"/>
  <c r="T417" i="16"/>
  <c r="T423" i="16"/>
  <c r="T429" i="16"/>
  <c r="T474" i="16"/>
  <c r="T512" i="16"/>
  <c r="T540" i="16"/>
  <c r="T574" i="16"/>
  <c r="T597" i="16"/>
  <c r="T614" i="16"/>
  <c r="T681" i="16"/>
  <c r="T697" i="16"/>
  <c r="T730" i="16"/>
  <c r="T791" i="16"/>
  <c r="T802" i="16"/>
  <c r="T807" i="16"/>
  <c r="T817" i="16"/>
  <c r="T823" i="16"/>
  <c r="T833" i="16"/>
  <c r="T839" i="16"/>
  <c r="T849" i="16"/>
  <c r="T855" i="16"/>
  <c r="T865" i="16"/>
  <c r="T871" i="16"/>
  <c r="T918" i="16"/>
  <c r="T938" i="16"/>
  <c r="T960" i="16"/>
  <c r="T971" i="16"/>
  <c r="T1011" i="16"/>
  <c r="T1040" i="16"/>
  <c r="T42" i="16"/>
  <c r="T48" i="16"/>
  <c r="T54" i="16"/>
  <c r="T60" i="16"/>
  <c r="T66" i="16"/>
  <c r="T72" i="16"/>
  <c r="T78" i="16"/>
  <c r="T84" i="16"/>
  <c r="T90" i="16"/>
  <c r="T96" i="16"/>
  <c r="T102" i="16"/>
  <c r="T108" i="16"/>
  <c r="T114" i="16"/>
  <c r="T130" i="16"/>
  <c r="T146" i="16"/>
  <c r="T162" i="16"/>
  <c r="T194" i="16"/>
  <c r="T210" i="16"/>
  <c r="T242" i="16"/>
  <c r="T278" i="16"/>
  <c r="T314" i="16"/>
  <c r="T350" i="16"/>
  <c r="T386" i="16"/>
  <c r="T446" i="16"/>
  <c r="T452" i="16"/>
  <c r="T491" i="16"/>
  <c r="T497" i="16"/>
  <c r="T513" i="16"/>
  <c r="T519" i="16"/>
  <c r="T525" i="16"/>
  <c r="T541" i="16"/>
  <c r="T547" i="16"/>
  <c r="T563" i="16"/>
  <c r="T569" i="16"/>
  <c r="T586" i="16"/>
  <c r="T592" i="16"/>
  <c r="T603" i="16"/>
  <c r="T609" i="16"/>
  <c r="T620" i="16"/>
  <c r="T626" i="16"/>
  <c r="T637" i="16"/>
  <c r="T654" i="16"/>
  <c r="T671" i="16"/>
  <c r="T687" i="16"/>
  <c r="T725" i="16"/>
  <c r="T747" i="16"/>
  <c r="T763" i="16"/>
  <c r="T775" i="16"/>
  <c r="T797" i="16"/>
  <c r="T818" i="16"/>
  <c r="T834" i="16"/>
  <c r="T850" i="16"/>
  <c r="T866" i="16"/>
  <c r="T887" i="16"/>
  <c r="T903" i="16"/>
  <c r="T944" i="16"/>
  <c r="T955" i="16"/>
  <c r="T983" i="16"/>
  <c r="T994" i="16"/>
  <c r="T1000" i="16"/>
  <c r="T1023" i="16"/>
  <c r="T1035" i="16"/>
  <c r="T309" i="16"/>
  <c r="T877" i="16"/>
  <c r="T142" i="16"/>
  <c r="T153" i="16"/>
  <c r="T158" i="16"/>
  <c r="T174" i="16"/>
  <c r="T201" i="16"/>
  <c r="T206" i="16"/>
  <c r="T238" i="16"/>
  <c r="T253" i="16"/>
  <c r="T274" i="16"/>
  <c r="T289" i="16"/>
  <c r="T310" i="16"/>
  <c r="T325" i="16"/>
  <c r="T346" i="16"/>
  <c r="T361" i="16"/>
  <c r="T382" i="16"/>
  <c r="T397" i="16"/>
  <c r="T419" i="16"/>
  <c r="T425" i="16"/>
  <c r="T470" i="16"/>
  <c r="T476" i="16"/>
  <c r="T486" i="16"/>
  <c r="T492" i="16"/>
  <c r="T536" i="16"/>
  <c r="T564" i="16"/>
  <c r="T576" i="16"/>
  <c r="T582" i="16"/>
  <c r="T661" i="16"/>
  <c r="T683" i="16"/>
  <c r="T709" i="16"/>
  <c r="T715" i="16"/>
  <c r="T754" i="16"/>
  <c r="T759" i="16"/>
  <c r="T781" i="16"/>
  <c r="T787" i="16"/>
  <c r="T814" i="16"/>
  <c r="T830" i="16"/>
  <c r="T846" i="16"/>
  <c r="T862" i="16"/>
  <c r="T878" i="16"/>
  <c r="T883" i="16"/>
  <c r="T893" i="16"/>
  <c r="T899" i="16"/>
  <c r="T940" i="16"/>
  <c r="T967" i="16"/>
  <c r="T990" i="16"/>
  <c r="T1001" i="16"/>
  <c r="T1007" i="16"/>
  <c r="T1019" i="16"/>
  <c r="T157" i="16"/>
  <c r="T273" i="16"/>
  <c r="T829" i="16"/>
  <c r="T80" i="16"/>
  <c r="T86" i="16"/>
  <c r="T92" i="16"/>
  <c r="T98" i="16"/>
  <c r="T104" i="16"/>
  <c r="T110" i="16"/>
  <c r="T143" i="16"/>
  <c r="T159" i="16"/>
  <c r="T164" i="16"/>
  <c r="T169" i="16"/>
  <c r="T186" i="16"/>
  <c r="T196" i="16"/>
  <c r="T207" i="16"/>
  <c r="T212" i="16"/>
  <c r="T217" i="16"/>
  <c r="T223" i="16"/>
  <c r="T228" i="16"/>
  <c r="T264" i="16"/>
  <c r="T300" i="16"/>
  <c r="T336" i="16"/>
  <c r="T372" i="16"/>
  <c r="T426" i="16"/>
  <c r="T465" i="16"/>
  <c r="T471" i="16"/>
  <c r="T477" i="16"/>
  <c r="T532" i="16"/>
  <c r="T577" i="16"/>
  <c r="T645" i="16"/>
  <c r="T662" i="16"/>
  <c r="T673" i="16"/>
  <c r="T689" i="16"/>
  <c r="T705" i="16"/>
  <c r="T721" i="16"/>
  <c r="T738" i="16"/>
  <c r="T755" i="16"/>
  <c r="T765" i="16"/>
  <c r="T777" i="16"/>
  <c r="T788" i="16"/>
  <c r="T794" i="16"/>
  <c r="T809" i="16"/>
  <c r="T815" i="16"/>
  <c r="T831" i="16"/>
  <c r="T841" i="16"/>
  <c r="T847" i="16"/>
  <c r="T857" i="16"/>
  <c r="T863" i="16"/>
  <c r="T873" i="16"/>
  <c r="T879" i="16"/>
  <c r="T910" i="16"/>
  <c r="T946" i="16"/>
  <c r="T968" i="16"/>
  <c r="T985" i="16"/>
  <c r="T991" i="16"/>
  <c r="T1008" i="16"/>
  <c r="T1014" i="16"/>
  <c r="T1020" i="16"/>
  <c r="T1025" i="16"/>
  <c r="T237" i="16"/>
  <c r="T381" i="16"/>
  <c r="T813" i="16"/>
  <c r="T861" i="16"/>
  <c r="T149" i="16"/>
  <c r="T165" i="16"/>
  <c r="T176" i="16"/>
  <c r="T181" i="16"/>
  <c r="T197" i="16"/>
  <c r="T213" i="16"/>
  <c r="T229" i="16"/>
  <c r="T250" i="16"/>
  <c r="T265" i="16"/>
  <c r="T286" i="16"/>
  <c r="T301" i="16"/>
  <c r="T322" i="16"/>
  <c r="T337" i="16"/>
  <c r="T358" i="16"/>
  <c r="T373" i="16"/>
  <c r="T394" i="16"/>
  <c r="T421" i="16"/>
  <c r="T427" i="16"/>
  <c r="T460" i="16"/>
  <c r="T466" i="16"/>
  <c r="T472" i="16"/>
  <c r="T488" i="16"/>
  <c r="T516" i="16"/>
  <c r="T560" i="16"/>
  <c r="T578" i="16"/>
  <c r="T629" i="16"/>
  <c r="T646" i="16"/>
  <c r="T663" i="16"/>
  <c r="T674" i="16"/>
  <c r="T690" i="16"/>
  <c r="T733" i="16"/>
  <c r="T739" i="16"/>
  <c r="T778" i="16"/>
  <c r="T795" i="16"/>
  <c r="T821" i="16"/>
  <c r="T890" i="16"/>
  <c r="T911" i="16"/>
  <c r="T921" i="16"/>
  <c r="T947" i="16"/>
  <c r="T958" i="16"/>
  <c r="T992" i="16"/>
  <c r="T997" i="16"/>
  <c r="T1015" i="16"/>
  <c r="T1038" i="16"/>
  <c r="T484" i="16"/>
  <c r="T556" i="16"/>
  <c r="T411" i="16"/>
  <c r="T435" i="16"/>
  <c r="T459" i="16"/>
  <c r="T483" i="16"/>
  <c r="T507" i="16"/>
  <c r="T531" i="16"/>
  <c r="T555" i="16"/>
  <c r="T585" i="16"/>
  <c r="T601" i="16"/>
  <c r="T617" i="16"/>
  <c r="T633" i="16"/>
  <c r="T649" i="16"/>
  <c r="T665" i="16"/>
  <c r="T724" i="16"/>
  <c r="T431" i="16"/>
  <c r="T455" i="16"/>
  <c r="T479" i="16"/>
  <c r="T503" i="16"/>
  <c r="T527" i="16"/>
  <c r="T551" i="16"/>
  <c r="T719" i="16"/>
  <c r="T413" i="16"/>
  <c r="T437" i="16"/>
  <c r="T461" i="16"/>
  <c r="T485" i="16"/>
  <c r="T509" i="16"/>
  <c r="T533" i="16"/>
  <c r="T557" i="16"/>
  <c r="T748" i="16"/>
  <c r="T786" i="16"/>
  <c r="T409" i="16"/>
  <c r="T433" i="16"/>
  <c r="T457" i="16"/>
  <c r="T481" i="16"/>
  <c r="T505" i="16"/>
  <c r="T529" i="16"/>
  <c r="T553" i="16"/>
  <c r="T583" i="16"/>
  <c r="T599" i="16"/>
  <c r="T615" i="16"/>
  <c r="T631" i="16"/>
  <c r="T647" i="16"/>
  <c r="T743" i="16"/>
  <c r="T415" i="16"/>
  <c r="T439" i="16"/>
  <c r="T463" i="16"/>
  <c r="T487" i="16"/>
  <c r="T511" i="16"/>
  <c r="T535" i="16"/>
  <c r="T559" i="16"/>
  <c r="T579" i="16"/>
  <c r="T595" i="16"/>
  <c r="T611" i="16"/>
  <c r="T627" i="16"/>
  <c r="T643" i="16"/>
  <c r="T659" i="16"/>
  <c r="T810" i="16"/>
  <c r="T767" i="16"/>
  <c r="T706" i="16"/>
  <c r="E9" i="2"/>
  <c r="T35" i="16" l="1"/>
  <c r="T38" i="16"/>
  <c r="AD37" i="16" s="1"/>
  <c r="S38" i="16"/>
  <c r="AC37" i="16" s="1"/>
  <c r="E21" i="2" l="1"/>
  <c r="E11" i="2"/>
  <c r="E21" i="16" l="1"/>
  <c r="E22" i="16"/>
  <c r="E23" i="16"/>
  <c r="E24" i="16"/>
  <c r="E25" i="16"/>
  <c r="E26" i="16"/>
  <c r="E27" i="16"/>
  <c r="E28" i="16"/>
  <c r="E29" i="16"/>
  <c r="O22" i="17" l="1"/>
  <c r="O23" i="17"/>
  <c r="O24" i="17"/>
  <c r="O25" i="17"/>
  <c r="O26" i="17"/>
  <c r="O27" i="17"/>
  <c r="O28" i="17"/>
  <c r="O29" i="17"/>
  <c r="O30" i="17"/>
  <c r="E8" i="2" l="1"/>
  <c r="E20" i="7"/>
  <c r="E18" i="7"/>
  <c r="E23" i="2"/>
  <c r="E22" i="2"/>
  <c r="E17" i="2"/>
  <c r="E14" i="2"/>
  <c r="E13" i="2"/>
  <c r="E12" i="2"/>
  <c r="E10" i="2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2" i="5"/>
  <c r="C25" i="16" l="1"/>
  <c r="F26" i="17"/>
  <c r="C27" i="16"/>
  <c r="F28" i="17"/>
  <c r="H28" i="17" s="1"/>
  <c r="E19" i="2"/>
  <c r="E19" i="7" s="1"/>
  <c r="AM2" i="3"/>
  <c r="AL2" i="3"/>
  <c r="B4" i="3"/>
  <c r="E10" i="7"/>
  <c r="H10" i="7" s="1"/>
  <c r="F27" i="17" l="1"/>
  <c r="C26" i="16"/>
  <c r="K28" i="17"/>
  <c r="M27" i="16" s="1"/>
  <c r="L27" i="16"/>
  <c r="C8" i="12"/>
  <c r="D8" i="12"/>
  <c r="K27" i="16" l="1"/>
  <c r="H27" i="16" s="1"/>
  <c r="H9" i="8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42" i="8" s="1"/>
  <c r="H43" i="8" s="1"/>
  <c r="H44" i="8" s="1"/>
  <c r="H45" i="8" s="1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J27" i="16" l="1"/>
  <c r="D27" i="16" s="1"/>
  <c r="B27" i="16" s="1"/>
  <c r="H20" i="7" s="1"/>
  <c r="F8" i="8"/>
  <c r="O8" i="8" s="1"/>
  <c r="E8" i="8"/>
  <c r="N8" i="8" s="1"/>
  <c r="D8" i="8"/>
  <c r="M8" i="8" s="1"/>
  <c r="E23" i="7"/>
  <c r="H23" i="7" s="1"/>
  <c r="E22" i="7"/>
  <c r="E21" i="7"/>
  <c r="E17" i="7"/>
  <c r="E13" i="7"/>
  <c r="H13" i="7" s="1"/>
  <c r="E11" i="7"/>
  <c r="H11" i="7" s="1"/>
  <c r="E9" i="7"/>
  <c r="H9" i="7" s="1"/>
  <c r="C24" i="16" l="1"/>
  <c r="F25" i="17"/>
  <c r="F29" i="17"/>
  <c r="H29" i="17" s="1"/>
  <c r="C28" i="16"/>
  <c r="C29" i="16"/>
  <c r="F30" i="17"/>
  <c r="H30" i="17" s="1"/>
  <c r="H27" i="17"/>
  <c r="H26" i="17"/>
  <c r="D25" i="12"/>
  <c r="D7" i="12"/>
  <c r="E8" i="7"/>
  <c r="H8" i="7" s="1"/>
  <c r="D4" i="12"/>
  <c r="E12" i="7"/>
  <c r="C21" i="16" s="1"/>
  <c r="C7" i="12"/>
  <c r="C25" i="12"/>
  <c r="M16" i="16" l="1"/>
  <c r="L16" i="16"/>
  <c r="K16" i="16"/>
  <c r="L30" i="17"/>
  <c r="K30" i="17" s="1"/>
  <c r="M29" i="16" s="1"/>
  <c r="F22" i="17"/>
  <c r="L22" i="17" s="1"/>
  <c r="K22" i="17" s="1"/>
  <c r="K29" i="17"/>
  <c r="M28" i="16" s="1"/>
  <c r="K27" i="17"/>
  <c r="M26" i="16" s="1"/>
  <c r="K26" i="17"/>
  <c r="M25" i="16" s="1"/>
  <c r="L29" i="16"/>
  <c r="L28" i="16"/>
  <c r="L26" i="16"/>
  <c r="L25" i="16"/>
  <c r="L24" i="16"/>
  <c r="C9" i="8"/>
  <c r="D23" i="7"/>
  <c r="D22" i="7"/>
  <c r="D21" i="7"/>
  <c r="D17" i="7"/>
  <c r="D16" i="7"/>
  <c r="D15" i="7"/>
  <c r="D14" i="7"/>
  <c r="D13" i="7"/>
  <c r="D12" i="7"/>
  <c r="D11" i="7"/>
  <c r="D8" i="7"/>
  <c r="O195" i="5"/>
  <c r="G195" i="5"/>
  <c r="O194" i="5"/>
  <c r="G194" i="5"/>
  <c r="O193" i="5"/>
  <c r="G193" i="5"/>
  <c r="O192" i="5"/>
  <c r="G192" i="5"/>
  <c r="O191" i="5"/>
  <c r="G191" i="5"/>
  <c r="O190" i="5"/>
  <c r="G190" i="5"/>
  <c r="O189" i="5"/>
  <c r="G189" i="5"/>
  <c r="O188" i="5"/>
  <c r="G188" i="5"/>
  <c r="O187" i="5"/>
  <c r="O186" i="5"/>
  <c r="G186" i="5"/>
  <c r="O185" i="5"/>
  <c r="G185" i="5"/>
  <c r="O184" i="5"/>
  <c r="G184" i="5"/>
  <c r="O183" i="5"/>
  <c r="G183" i="5"/>
  <c r="O182" i="5"/>
  <c r="G182" i="5"/>
  <c r="O181" i="5"/>
  <c r="G181" i="5"/>
  <c r="O180" i="5"/>
  <c r="G180" i="5"/>
  <c r="O179" i="5"/>
  <c r="G179" i="5"/>
  <c r="O178" i="5"/>
  <c r="G178" i="5"/>
  <c r="O177" i="5"/>
  <c r="G177" i="5"/>
  <c r="O176" i="5"/>
  <c r="G176" i="5"/>
  <c r="O175" i="5"/>
  <c r="G175" i="5"/>
  <c r="O174" i="5"/>
  <c r="G174" i="5"/>
  <c r="O173" i="5"/>
  <c r="G173" i="5"/>
  <c r="O172" i="5"/>
  <c r="G172" i="5"/>
  <c r="O171" i="5"/>
  <c r="G171" i="5"/>
  <c r="O170" i="5"/>
  <c r="G170" i="5"/>
  <c r="O169" i="5"/>
  <c r="G169" i="5"/>
  <c r="O168" i="5"/>
  <c r="G168" i="5"/>
  <c r="O167" i="5"/>
  <c r="G167" i="5"/>
  <c r="O166" i="5"/>
  <c r="G166" i="5"/>
  <c r="O165" i="5"/>
  <c r="G165" i="5"/>
  <c r="O164" i="5"/>
  <c r="G164" i="5"/>
  <c r="O163" i="5"/>
  <c r="G163" i="5"/>
  <c r="O162" i="5"/>
  <c r="G162" i="5"/>
  <c r="O161" i="5"/>
  <c r="G161" i="5"/>
  <c r="O160" i="5"/>
  <c r="G160" i="5"/>
  <c r="O159" i="5"/>
  <c r="G159" i="5"/>
  <c r="O158" i="5"/>
  <c r="G158" i="5"/>
  <c r="O157" i="5"/>
  <c r="G157" i="5"/>
  <c r="O156" i="5"/>
  <c r="G156" i="5"/>
  <c r="O155" i="5"/>
  <c r="G155" i="5"/>
  <c r="O154" i="5"/>
  <c r="G154" i="5"/>
  <c r="O153" i="5"/>
  <c r="G153" i="5"/>
  <c r="O152" i="5"/>
  <c r="G152" i="5"/>
  <c r="O151" i="5"/>
  <c r="G151" i="5"/>
  <c r="O150" i="5"/>
  <c r="G150" i="5"/>
  <c r="O149" i="5"/>
  <c r="G149" i="5"/>
  <c r="O148" i="5"/>
  <c r="G148" i="5"/>
  <c r="O147" i="5"/>
  <c r="G147" i="5"/>
  <c r="O146" i="5"/>
  <c r="G146" i="5"/>
  <c r="O145" i="5"/>
  <c r="G145" i="5"/>
  <c r="O144" i="5"/>
  <c r="G144" i="5"/>
  <c r="O143" i="5"/>
  <c r="G143" i="5"/>
  <c r="O142" i="5"/>
  <c r="G142" i="5"/>
  <c r="O141" i="5"/>
  <c r="G141" i="5"/>
  <c r="O140" i="5"/>
  <c r="G140" i="5"/>
  <c r="O139" i="5"/>
  <c r="G139" i="5"/>
  <c r="O138" i="5"/>
  <c r="G138" i="5"/>
  <c r="O137" i="5"/>
  <c r="G137" i="5"/>
  <c r="O136" i="5"/>
  <c r="G136" i="5"/>
  <c r="O135" i="5"/>
  <c r="G135" i="5"/>
  <c r="O134" i="5"/>
  <c r="G134" i="5"/>
  <c r="O133" i="5"/>
  <c r="G133" i="5"/>
  <c r="O132" i="5"/>
  <c r="G132" i="5"/>
  <c r="O131" i="5"/>
  <c r="G131" i="5"/>
  <c r="O130" i="5"/>
  <c r="G130" i="5"/>
  <c r="O129" i="5"/>
  <c r="G129" i="5"/>
  <c r="O128" i="5"/>
  <c r="G128" i="5"/>
  <c r="O127" i="5"/>
  <c r="G127" i="5"/>
  <c r="O126" i="5"/>
  <c r="G126" i="5"/>
  <c r="O125" i="5"/>
  <c r="G125" i="5"/>
  <c r="O124" i="5"/>
  <c r="G124" i="5"/>
  <c r="O123" i="5"/>
  <c r="G123" i="5"/>
  <c r="O122" i="5"/>
  <c r="G122" i="5"/>
  <c r="O121" i="5"/>
  <c r="G121" i="5"/>
  <c r="O120" i="5"/>
  <c r="G120" i="5"/>
  <c r="O119" i="5"/>
  <c r="G119" i="5"/>
  <c r="O118" i="5"/>
  <c r="G118" i="5"/>
  <c r="O117" i="5"/>
  <c r="G117" i="5"/>
  <c r="O116" i="5"/>
  <c r="G116" i="5"/>
  <c r="O115" i="5"/>
  <c r="G115" i="5"/>
  <c r="O114" i="5"/>
  <c r="G114" i="5"/>
  <c r="O113" i="5"/>
  <c r="O112" i="5"/>
  <c r="G112" i="5"/>
  <c r="O111" i="5"/>
  <c r="G111" i="5"/>
  <c r="O110" i="5"/>
  <c r="G110" i="5"/>
  <c r="O109" i="5"/>
  <c r="G109" i="5"/>
  <c r="O108" i="5"/>
  <c r="G108" i="5"/>
  <c r="O107" i="5"/>
  <c r="G107" i="5"/>
  <c r="O106" i="5"/>
  <c r="G106" i="5"/>
  <c r="O105" i="5"/>
  <c r="G105" i="5"/>
  <c r="O104" i="5"/>
  <c r="G104" i="5"/>
  <c r="O103" i="5"/>
  <c r="G103" i="5"/>
  <c r="O102" i="5"/>
  <c r="G102" i="5"/>
  <c r="O101" i="5"/>
  <c r="G101" i="5"/>
  <c r="O100" i="5"/>
  <c r="G100" i="5"/>
  <c r="O99" i="5"/>
  <c r="G99" i="5"/>
  <c r="O98" i="5"/>
  <c r="G98" i="5"/>
  <c r="O97" i="5"/>
  <c r="G97" i="5"/>
  <c r="O96" i="5"/>
  <c r="G96" i="5"/>
  <c r="O95" i="5"/>
  <c r="G95" i="5"/>
  <c r="O94" i="5"/>
  <c r="G94" i="5"/>
  <c r="O93" i="5"/>
  <c r="G93" i="5"/>
  <c r="O92" i="5"/>
  <c r="G92" i="5"/>
  <c r="O91" i="5"/>
  <c r="G91" i="5"/>
  <c r="O90" i="5"/>
  <c r="G90" i="5"/>
  <c r="O89" i="5"/>
  <c r="G89" i="5"/>
  <c r="O88" i="5"/>
  <c r="G88" i="5"/>
  <c r="O87" i="5"/>
  <c r="G87" i="5"/>
  <c r="O86" i="5"/>
  <c r="G86" i="5"/>
  <c r="O85" i="5"/>
  <c r="G85" i="5"/>
  <c r="O84" i="5"/>
  <c r="G84" i="5"/>
  <c r="O83" i="5"/>
  <c r="G83" i="5"/>
  <c r="O82" i="5"/>
  <c r="G82" i="5"/>
  <c r="O81" i="5"/>
  <c r="G81" i="5"/>
  <c r="O80" i="5"/>
  <c r="G80" i="5"/>
  <c r="O79" i="5"/>
  <c r="G79" i="5"/>
  <c r="O78" i="5"/>
  <c r="G78" i="5"/>
  <c r="O77" i="5"/>
  <c r="G77" i="5"/>
  <c r="O76" i="5"/>
  <c r="G76" i="5"/>
  <c r="O75" i="5"/>
  <c r="G75" i="5"/>
  <c r="O74" i="5"/>
  <c r="G74" i="5"/>
  <c r="O73" i="5"/>
  <c r="G73" i="5"/>
  <c r="O72" i="5"/>
  <c r="G72" i="5"/>
  <c r="O71" i="5"/>
  <c r="G71" i="5"/>
  <c r="O70" i="5"/>
  <c r="G70" i="5"/>
  <c r="O69" i="5"/>
  <c r="G69" i="5"/>
  <c r="O68" i="5"/>
  <c r="G68" i="5"/>
  <c r="O67" i="5"/>
  <c r="G67" i="5"/>
  <c r="O66" i="5"/>
  <c r="G66" i="5"/>
  <c r="O65" i="5"/>
  <c r="G65" i="5"/>
  <c r="O64" i="5"/>
  <c r="G64" i="5"/>
  <c r="O63" i="5"/>
  <c r="G63" i="5"/>
  <c r="O62" i="5"/>
  <c r="G62" i="5"/>
  <c r="O61" i="5"/>
  <c r="G61" i="5"/>
  <c r="O60" i="5"/>
  <c r="G60" i="5"/>
  <c r="O59" i="5"/>
  <c r="G59" i="5"/>
  <c r="O58" i="5"/>
  <c r="G58" i="5"/>
  <c r="O57" i="5"/>
  <c r="G57" i="5"/>
  <c r="O56" i="5"/>
  <c r="G56" i="5"/>
  <c r="O55" i="5"/>
  <c r="G55" i="5"/>
  <c r="O54" i="5"/>
  <c r="G54" i="5"/>
  <c r="O53" i="5"/>
  <c r="G53" i="5"/>
  <c r="O52" i="5"/>
  <c r="G52" i="5"/>
  <c r="O51" i="5"/>
  <c r="G51" i="5"/>
  <c r="O50" i="5"/>
  <c r="G50" i="5"/>
  <c r="O49" i="5"/>
  <c r="G49" i="5"/>
  <c r="O48" i="5"/>
  <c r="G48" i="5"/>
  <c r="O47" i="5"/>
  <c r="G47" i="5"/>
  <c r="O46" i="5"/>
  <c r="G46" i="5"/>
  <c r="O45" i="5"/>
  <c r="G45" i="5"/>
  <c r="O44" i="5"/>
  <c r="G44" i="5"/>
  <c r="O43" i="5"/>
  <c r="G43" i="5"/>
  <c r="O42" i="5"/>
  <c r="G42" i="5"/>
  <c r="O41" i="5"/>
  <c r="G41" i="5"/>
  <c r="O40" i="5"/>
  <c r="G40" i="5"/>
  <c r="O39" i="5"/>
  <c r="G39" i="5"/>
  <c r="O38" i="5"/>
  <c r="G38" i="5"/>
  <c r="O37" i="5"/>
  <c r="G37" i="5"/>
  <c r="O36" i="5"/>
  <c r="G36" i="5"/>
  <c r="O35" i="5"/>
  <c r="G35" i="5"/>
  <c r="O34" i="5"/>
  <c r="G34" i="5"/>
  <c r="O33" i="5"/>
  <c r="G33" i="5"/>
  <c r="O32" i="5"/>
  <c r="O31" i="5"/>
  <c r="G31" i="5"/>
  <c r="O30" i="5"/>
  <c r="G30" i="5"/>
  <c r="O29" i="5"/>
  <c r="G29" i="5"/>
  <c r="O28" i="5"/>
  <c r="G28" i="5"/>
  <c r="O27" i="5"/>
  <c r="G27" i="5"/>
  <c r="O26" i="5"/>
  <c r="G26" i="5"/>
  <c r="O25" i="5"/>
  <c r="G25" i="5"/>
  <c r="O24" i="5"/>
  <c r="G24" i="5"/>
  <c r="O23" i="5"/>
  <c r="G23" i="5"/>
  <c r="O22" i="5"/>
  <c r="G22" i="5"/>
  <c r="O21" i="5"/>
  <c r="G21" i="5"/>
  <c r="O20" i="5"/>
  <c r="G20" i="5"/>
  <c r="O19" i="5"/>
  <c r="G19" i="5"/>
  <c r="O18" i="5"/>
  <c r="G18" i="5"/>
  <c r="O17" i="5"/>
  <c r="G17" i="5"/>
  <c r="O16" i="5"/>
  <c r="G16" i="5"/>
  <c r="O15" i="5"/>
  <c r="G15" i="5"/>
  <c r="O14" i="5"/>
  <c r="G14" i="5"/>
  <c r="O13" i="5"/>
  <c r="G13" i="5"/>
  <c r="O12" i="5"/>
  <c r="G12" i="5"/>
  <c r="O11" i="5"/>
  <c r="G11" i="5"/>
  <c r="O10" i="5"/>
  <c r="G10" i="5"/>
  <c r="O9" i="5"/>
  <c r="E15" i="2" s="1"/>
  <c r="G9" i="5"/>
  <c r="O8" i="5"/>
  <c r="G8" i="5"/>
  <c r="O7" i="5"/>
  <c r="G7" i="5"/>
  <c r="O6" i="5"/>
  <c r="G6" i="5"/>
  <c r="O5" i="5"/>
  <c r="G5" i="5"/>
  <c r="O4" i="5"/>
  <c r="G4" i="5"/>
  <c r="O3" i="5"/>
  <c r="G3" i="5"/>
  <c r="O2" i="5"/>
  <c r="G2" i="5"/>
  <c r="C48" i="19" l="1"/>
  <c r="C49" i="19"/>
  <c r="K28" i="16"/>
  <c r="H28" i="16" s="1"/>
  <c r="K26" i="16"/>
  <c r="H26" i="16" s="1"/>
  <c r="K29" i="16"/>
  <c r="H29" i="16" s="1"/>
  <c r="J29" i="16" s="1"/>
  <c r="K25" i="16"/>
  <c r="H25" i="16" s="1"/>
  <c r="J25" i="16" s="1"/>
  <c r="H22" i="17"/>
  <c r="M21" i="16" s="1"/>
  <c r="E15" i="7"/>
  <c r="E14" i="7"/>
  <c r="C10" i="8"/>
  <c r="D9" i="8"/>
  <c r="M9" i="8" s="1"/>
  <c r="E9" i="8"/>
  <c r="N9" i="8" s="1"/>
  <c r="F9" i="8"/>
  <c r="O9" i="8" s="1"/>
  <c r="B3" i="4" s="1"/>
  <c r="C3" i="4" s="1"/>
  <c r="B2" i="4"/>
  <c r="C2" i="4" s="1"/>
  <c r="D3" i="4" s="1"/>
  <c r="B5" i="3" s="1"/>
  <c r="A5" i="3"/>
  <c r="A6" i="3" s="1"/>
  <c r="A17" i="3"/>
  <c r="A18" i="3" s="1"/>
  <c r="K21" i="16" l="1"/>
  <c r="H21" i="16" s="1"/>
  <c r="J28" i="16"/>
  <c r="D28" i="16" s="1"/>
  <c r="B28" i="16" s="1"/>
  <c r="H21" i="7" s="1"/>
  <c r="C22" i="16"/>
  <c r="L22" i="16" s="1"/>
  <c r="F23" i="17"/>
  <c r="H23" i="17" s="1"/>
  <c r="C23" i="16"/>
  <c r="F24" i="17"/>
  <c r="H24" i="17" s="1"/>
  <c r="D25" i="16"/>
  <c r="B25" i="16" s="1"/>
  <c r="H18" i="7" s="1"/>
  <c r="J26" i="16"/>
  <c r="D26" i="16" s="1"/>
  <c r="B26" i="16" s="1"/>
  <c r="H19" i="7" s="1"/>
  <c r="D29" i="16"/>
  <c r="B29" i="16" s="1"/>
  <c r="A7" i="3"/>
  <c r="A19" i="3"/>
  <c r="E16" i="2"/>
  <c r="E16" i="7" s="1"/>
  <c r="C11" i="8"/>
  <c r="D10" i="8"/>
  <c r="M10" i="8" s="1"/>
  <c r="E10" i="8"/>
  <c r="N10" i="8" s="1"/>
  <c r="F10" i="8"/>
  <c r="O10" i="8" s="1"/>
  <c r="B4" i="4" s="1"/>
  <c r="C4" i="4" s="1"/>
  <c r="E2" i="4"/>
  <c r="D4" i="4"/>
  <c r="D16" i="3" l="1"/>
  <c r="H22" i="7"/>
  <c r="I5" i="3" s="1"/>
  <c r="S5" i="3" s="1"/>
  <c r="AC5" i="3" s="1"/>
  <c r="D17" i="3"/>
  <c r="D4" i="3"/>
  <c r="E5" i="3" s="1"/>
  <c r="D6" i="3"/>
  <c r="D5" i="3"/>
  <c r="D18" i="3"/>
  <c r="AW5" i="3"/>
  <c r="AW4" i="3"/>
  <c r="AW6" i="3"/>
  <c r="AW3" i="3"/>
  <c r="K24" i="17"/>
  <c r="M23" i="16" s="1"/>
  <c r="L23" i="16"/>
  <c r="K23" i="17"/>
  <c r="M22" i="16" s="1"/>
  <c r="J22" i="16" s="1"/>
  <c r="D19" i="3"/>
  <c r="A20" i="3"/>
  <c r="D7" i="3"/>
  <c r="A8" i="3"/>
  <c r="E3" i="4"/>
  <c r="B6" i="3"/>
  <c r="C12" i="8"/>
  <c r="F11" i="8"/>
  <c r="O11" i="8" s="1"/>
  <c r="B5" i="4" s="1"/>
  <c r="C5" i="4" s="1"/>
  <c r="D11" i="8"/>
  <c r="M11" i="8" s="1"/>
  <c r="E11" i="8"/>
  <c r="N11" i="8" s="1"/>
  <c r="D5" i="4"/>
  <c r="I6" i="3" l="1"/>
  <c r="S6" i="3" s="1"/>
  <c r="AC6" i="3" s="1"/>
  <c r="G6" i="3"/>
  <c r="Q6" i="3" s="1"/>
  <c r="AA6" i="3" s="1"/>
  <c r="G7" i="3"/>
  <c r="Q7" i="3" s="1"/>
  <c r="G5" i="3"/>
  <c r="N5" i="3" s="1"/>
  <c r="X5" i="3" s="1"/>
  <c r="AH5" i="3" s="1"/>
  <c r="I7" i="3"/>
  <c r="S7" i="3" s="1"/>
  <c r="AC7" i="3" s="1"/>
  <c r="G4" i="3"/>
  <c r="H4" i="3" s="1"/>
  <c r="I4" i="3"/>
  <c r="S4" i="3" s="1"/>
  <c r="AC4" i="3" s="1"/>
  <c r="E6" i="3"/>
  <c r="E7" i="3" s="1"/>
  <c r="E8" i="3" s="1"/>
  <c r="J5" i="3"/>
  <c r="T5" i="3" s="1"/>
  <c r="AD5" i="3" s="1"/>
  <c r="J23" i="16"/>
  <c r="H22" i="16"/>
  <c r="K22" i="16" s="1"/>
  <c r="H23" i="16"/>
  <c r="D8" i="3"/>
  <c r="A9" i="3"/>
  <c r="A21" i="3"/>
  <c r="D20" i="3"/>
  <c r="E4" i="4"/>
  <c r="B7" i="3"/>
  <c r="C13" i="8"/>
  <c r="D12" i="8"/>
  <c r="M12" i="8" s="1"/>
  <c r="G8" i="3" s="1"/>
  <c r="E12" i="8"/>
  <c r="N12" i="8" s="1"/>
  <c r="I8" i="3" s="1"/>
  <c r="F12" i="8"/>
  <c r="O12" i="8" s="1"/>
  <c r="B6" i="4" s="1"/>
  <c r="C6" i="4" s="1"/>
  <c r="D6" i="4"/>
  <c r="M6" i="3" l="1"/>
  <c r="W6" i="3" s="1"/>
  <c r="AG6" i="3" s="1"/>
  <c r="AL6" i="3"/>
  <c r="H5" i="3"/>
  <c r="R5" i="3" s="1"/>
  <c r="AB5" i="3" s="1"/>
  <c r="AL7" i="3"/>
  <c r="H7" i="3"/>
  <c r="R7" i="3" s="1"/>
  <c r="AB7" i="3" s="1"/>
  <c r="J6" i="3"/>
  <c r="T6" i="3" s="1"/>
  <c r="AD6" i="3" s="1"/>
  <c r="M7" i="3"/>
  <c r="W7" i="3" s="1"/>
  <c r="AG7" i="3" s="1"/>
  <c r="H6" i="3"/>
  <c r="R6" i="3" s="1"/>
  <c r="N7" i="3"/>
  <c r="X7" i="3" s="1"/>
  <c r="AH7" i="3" s="1"/>
  <c r="J7" i="3"/>
  <c r="T7" i="3" s="1"/>
  <c r="AD7" i="3" s="1"/>
  <c r="AM6" i="3"/>
  <c r="AL4" i="3"/>
  <c r="Q4" i="3"/>
  <c r="AM4" i="3" s="1"/>
  <c r="M5" i="3"/>
  <c r="W5" i="3" s="1"/>
  <c r="AG5" i="3" s="1"/>
  <c r="AL5" i="3"/>
  <c r="Q5" i="3"/>
  <c r="AM5" i="3" s="1"/>
  <c r="M4" i="3"/>
  <c r="W4" i="3" s="1"/>
  <c r="N6" i="3"/>
  <c r="X6" i="3" s="1"/>
  <c r="AH6" i="3" s="1"/>
  <c r="J4" i="3"/>
  <c r="T4" i="3" s="1"/>
  <c r="AD4" i="3" s="1"/>
  <c r="N4" i="3"/>
  <c r="X4" i="3" s="1"/>
  <c r="AH4" i="3" s="1"/>
  <c r="D22" i="16"/>
  <c r="R4" i="3"/>
  <c r="AB4" i="3" s="1"/>
  <c r="K23" i="16"/>
  <c r="D23" i="16"/>
  <c r="B23" i="16" s="1"/>
  <c r="H15" i="7" s="1"/>
  <c r="E9" i="3"/>
  <c r="D21" i="3"/>
  <c r="A22" i="3"/>
  <c r="A10" i="3"/>
  <c r="D9" i="3"/>
  <c r="M8" i="3"/>
  <c r="N8" i="3"/>
  <c r="H8" i="3"/>
  <c r="R8" i="3" s="1"/>
  <c r="AB8" i="3" s="1"/>
  <c r="AL8" i="3"/>
  <c r="E5" i="4"/>
  <c r="B8" i="3"/>
  <c r="AA7" i="3"/>
  <c r="AM7" i="3"/>
  <c r="J8" i="3"/>
  <c r="S8" i="3"/>
  <c r="AC8" i="3" s="1"/>
  <c r="C14" i="8"/>
  <c r="D13" i="8"/>
  <c r="M13" i="8" s="1"/>
  <c r="G9" i="3" s="1"/>
  <c r="E13" i="8"/>
  <c r="N13" i="8" s="1"/>
  <c r="I9" i="3" s="1"/>
  <c r="F13" i="8"/>
  <c r="O13" i="8" s="1"/>
  <c r="B7" i="4" s="1"/>
  <c r="C7" i="4" s="1"/>
  <c r="Q8" i="3"/>
  <c r="D7" i="4"/>
  <c r="B9" i="3" s="1"/>
  <c r="B22" i="16" l="1"/>
  <c r="H14" i="7" s="1"/>
  <c r="F16" i="7" s="1"/>
  <c r="AB6" i="3"/>
  <c r="AG4" i="3"/>
  <c r="AA4" i="3"/>
  <c r="AA5" i="3"/>
  <c r="E10" i="3"/>
  <c r="A11" i="3"/>
  <c r="D10" i="3"/>
  <c r="A23" i="3"/>
  <c r="D22" i="3"/>
  <c r="M9" i="3"/>
  <c r="N9" i="3"/>
  <c r="H9" i="3"/>
  <c r="R9" i="3" s="1"/>
  <c r="AB9" i="3" s="1"/>
  <c r="AL9" i="3"/>
  <c r="AA8" i="3"/>
  <c r="AM8" i="3"/>
  <c r="T8" i="3"/>
  <c r="AD8" i="3" s="1"/>
  <c r="Q9" i="3"/>
  <c r="C15" i="8"/>
  <c r="E14" i="8"/>
  <c r="N14" i="8" s="1"/>
  <c r="I10" i="3" s="1"/>
  <c r="F14" i="8"/>
  <c r="O14" i="8" s="1"/>
  <c r="B8" i="4" s="1"/>
  <c r="C8" i="4" s="1"/>
  <c r="D14" i="8"/>
  <c r="M14" i="8" s="1"/>
  <c r="G10" i="3" s="1"/>
  <c r="X8" i="3"/>
  <c r="AH8" i="3" s="1"/>
  <c r="W8" i="3"/>
  <c r="AG8" i="3" s="1"/>
  <c r="S9" i="3"/>
  <c r="AC9" i="3" s="1"/>
  <c r="J9" i="3"/>
  <c r="D8" i="4"/>
  <c r="E6" i="4"/>
  <c r="H16" i="7" l="1"/>
  <c r="H25" i="17"/>
  <c r="K25" i="17"/>
  <c r="E11" i="3"/>
  <c r="D23" i="3"/>
  <c r="A24" i="3"/>
  <c r="A12" i="3"/>
  <c r="D11" i="3"/>
  <c r="N10" i="3"/>
  <c r="M10" i="3"/>
  <c r="H10" i="3"/>
  <c r="R10" i="3" s="1"/>
  <c r="AB10" i="3" s="1"/>
  <c r="AL10" i="3"/>
  <c r="E7" i="4"/>
  <c r="B10" i="3"/>
  <c r="AA9" i="3"/>
  <c r="AM9" i="3"/>
  <c r="T9" i="3"/>
  <c r="AD9" i="3" s="1"/>
  <c r="Q10" i="3"/>
  <c r="C16" i="8"/>
  <c r="D15" i="8"/>
  <c r="M15" i="8" s="1"/>
  <c r="G11" i="3" s="1"/>
  <c r="F15" i="8"/>
  <c r="O15" i="8" s="1"/>
  <c r="B9" i="4" s="1"/>
  <c r="C9" i="4" s="1"/>
  <c r="E15" i="8"/>
  <c r="N15" i="8" s="1"/>
  <c r="I11" i="3" s="1"/>
  <c r="S10" i="3"/>
  <c r="AC10" i="3" s="1"/>
  <c r="J10" i="3"/>
  <c r="W9" i="3"/>
  <c r="AG9" i="3" s="1"/>
  <c r="X9" i="3"/>
  <c r="AH9" i="3" s="1"/>
  <c r="D9" i="4"/>
  <c r="M24" i="16" l="1"/>
  <c r="J24" i="16" s="1"/>
  <c r="E12" i="3"/>
  <c r="D12" i="3"/>
  <c r="A13" i="3"/>
  <c r="D24" i="3"/>
  <c r="A25" i="3"/>
  <c r="N11" i="3"/>
  <c r="M11" i="3"/>
  <c r="H11" i="3"/>
  <c r="R11" i="3" s="1"/>
  <c r="AB11" i="3" s="1"/>
  <c r="AL11" i="3"/>
  <c r="E8" i="4"/>
  <c r="B11" i="3"/>
  <c r="AA10" i="3"/>
  <c r="AM10" i="3"/>
  <c r="S11" i="3"/>
  <c r="AC11" i="3" s="1"/>
  <c r="J11" i="3"/>
  <c r="C17" i="8"/>
  <c r="D16" i="8"/>
  <c r="M16" i="8" s="1"/>
  <c r="G12" i="3" s="1"/>
  <c r="E16" i="8"/>
  <c r="N16" i="8" s="1"/>
  <c r="I12" i="3" s="1"/>
  <c r="F16" i="8"/>
  <c r="O16" i="8" s="1"/>
  <c r="B10" i="4" s="1"/>
  <c r="C10" i="4" s="1"/>
  <c r="Q11" i="3"/>
  <c r="T10" i="3"/>
  <c r="AD10" i="3" s="1"/>
  <c r="W10" i="3"/>
  <c r="AG10" i="3" s="1"/>
  <c r="X10" i="3"/>
  <c r="AH10" i="3" s="1"/>
  <c r="D10" i="4"/>
  <c r="H24" i="16" l="1"/>
  <c r="K24" i="16" s="1"/>
  <c r="E13" i="3"/>
  <c r="A26" i="3"/>
  <c r="D25" i="3"/>
  <c r="A14" i="3"/>
  <c r="D13" i="3"/>
  <c r="M12" i="3"/>
  <c r="N12" i="3"/>
  <c r="E9" i="4"/>
  <c r="B12" i="3"/>
  <c r="H12" i="3"/>
  <c r="R12" i="3" s="1"/>
  <c r="AB12" i="3" s="1"/>
  <c r="AL12" i="3"/>
  <c r="AA11" i="3"/>
  <c r="AM11" i="3"/>
  <c r="Q12" i="3"/>
  <c r="C18" i="8"/>
  <c r="D17" i="8"/>
  <c r="M17" i="8" s="1"/>
  <c r="G13" i="3" s="1"/>
  <c r="F17" i="8"/>
  <c r="O17" i="8" s="1"/>
  <c r="B11" i="4" s="1"/>
  <c r="C11" i="4" s="1"/>
  <c r="E17" i="8"/>
  <c r="N17" i="8" s="1"/>
  <c r="I13" i="3" s="1"/>
  <c r="T11" i="3"/>
  <c r="AD11" i="3" s="1"/>
  <c r="S12" i="3"/>
  <c r="AC12" i="3" s="1"/>
  <c r="J12" i="3"/>
  <c r="X11" i="3"/>
  <c r="AH11" i="3" s="1"/>
  <c r="W11" i="3"/>
  <c r="AG11" i="3" s="1"/>
  <c r="D11" i="4"/>
  <c r="D24" i="16" l="1"/>
  <c r="B24" i="16" s="1"/>
  <c r="E14" i="3"/>
  <c r="A15" i="3"/>
  <c r="D15" i="3" s="1"/>
  <c r="D14" i="3"/>
  <c r="D26" i="3"/>
  <c r="A27" i="3"/>
  <c r="N13" i="3"/>
  <c r="M13" i="3"/>
  <c r="H13" i="3"/>
  <c r="R13" i="3" s="1"/>
  <c r="AB13" i="3" s="1"/>
  <c r="AL13" i="3"/>
  <c r="E10" i="4"/>
  <c r="B13" i="3"/>
  <c r="AA12" i="3"/>
  <c r="AM12" i="3"/>
  <c r="T12" i="3"/>
  <c r="AD12" i="3" s="1"/>
  <c r="C19" i="8"/>
  <c r="E18" i="8"/>
  <c r="N18" i="8" s="1"/>
  <c r="I14" i="3" s="1"/>
  <c r="F18" i="8"/>
  <c r="O18" i="8" s="1"/>
  <c r="B12" i="4" s="1"/>
  <c r="C12" i="4" s="1"/>
  <c r="D18" i="8"/>
  <c r="M18" i="8" s="1"/>
  <c r="G14" i="3" s="1"/>
  <c r="S13" i="3"/>
  <c r="AC13" i="3" s="1"/>
  <c r="J13" i="3"/>
  <c r="W12" i="3"/>
  <c r="AG12" i="3" s="1"/>
  <c r="X12" i="3"/>
  <c r="AH12" i="3" s="1"/>
  <c r="Q13" i="3"/>
  <c r="D12" i="4"/>
  <c r="B14" i="3" s="1"/>
  <c r="H17" i="7" l="1"/>
  <c r="O12" i="3" s="1"/>
  <c r="E15" i="3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A28" i="3"/>
  <c r="D27" i="3"/>
  <c r="N14" i="3"/>
  <c r="M14" i="3"/>
  <c r="H14" i="3"/>
  <c r="R14" i="3" s="1"/>
  <c r="AB14" i="3" s="1"/>
  <c r="AL14" i="3"/>
  <c r="AA13" i="3"/>
  <c r="AM13" i="3"/>
  <c r="S14" i="3"/>
  <c r="AC14" i="3" s="1"/>
  <c r="J14" i="3"/>
  <c r="Q14" i="3"/>
  <c r="C20" i="8"/>
  <c r="F19" i="8"/>
  <c r="O19" i="8" s="1"/>
  <c r="B13" i="4" s="1"/>
  <c r="C13" i="4" s="1"/>
  <c r="D19" i="8"/>
  <c r="M19" i="8" s="1"/>
  <c r="G15" i="3" s="1"/>
  <c r="E19" i="8"/>
  <c r="N19" i="8" s="1"/>
  <c r="I15" i="3" s="1"/>
  <c r="X13" i="3"/>
  <c r="AH13" i="3" s="1"/>
  <c r="W13" i="3"/>
  <c r="AG13" i="3" s="1"/>
  <c r="T13" i="3"/>
  <c r="AD13" i="3" s="1"/>
  <c r="D13" i="4"/>
  <c r="E11" i="4"/>
  <c r="O14" i="3" l="1"/>
  <c r="Y14" i="3" s="1"/>
  <c r="AI14" i="3" s="1"/>
  <c r="O6" i="3"/>
  <c r="Y6" i="3" s="1"/>
  <c r="AI6" i="3" s="1"/>
  <c r="O11" i="3"/>
  <c r="P11" i="3" s="1"/>
  <c r="Z11" i="3" s="1"/>
  <c r="AJ11" i="3" s="1"/>
  <c r="O4" i="3"/>
  <c r="Y4" i="3" s="1"/>
  <c r="AI4" i="3" s="1"/>
  <c r="O10" i="3"/>
  <c r="Y10" i="3" s="1"/>
  <c r="AI10" i="3" s="1"/>
  <c r="O5" i="3"/>
  <c r="P5" i="3" s="1"/>
  <c r="Z5" i="3" s="1"/>
  <c r="AJ5" i="3" s="1"/>
  <c r="O7" i="3"/>
  <c r="P7" i="3" s="1"/>
  <c r="Z7" i="3" s="1"/>
  <c r="AJ7" i="3" s="1"/>
  <c r="O8" i="3"/>
  <c r="Y8" i="3" s="1"/>
  <c r="AI8" i="3" s="1"/>
  <c r="P12" i="3"/>
  <c r="Z12" i="3" s="1"/>
  <c r="AJ12" i="3" s="1"/>
  <c r="Y12" i="3"/>
  <c r="AI12" i="3" s="1"/>
  <c r="O9" i="3"/>
  <c r="P9" i="3" s="1"/>
  <c r="Z9" i="3" s="1"/>
  <c r="AJ9" i="3" s="1"/>
  <c r="O13" i="3"/>
  <c r="Y13" i="3" s="1"/>
  <c r="AI13" i="3" s="1"/>
  <c r="E28" i="3"/>
  <c r="D28" i="3"/>
  <c r="A29" i="3"/>
  <c r="N15" i="3"/>
  <c r="M15" i="3"/>
  <c r="E12" i="4"/>
  <c r="B15" i="3"/>
  <c r="H15" i="3"/>
  <c r="AL15" i="3"/>
  <c r="AA14" i="3"/>
  <c r="AM14" i="3"/>
  <c r="C21" i="8"/>
  <c r="D20" i="8"/>
  <c r="M20" i="8" s="1"/>
  <c r="G16" i="3" s="1"/>
  <c r="E20" i="8"/>
  <c r="N20" i="8" s="1"/>
  <c r="I16" i="3" s="1"/>
  <c r="F20" i="8"/>
  <c r="O20" i="8" s="1"/>
  <c r="B14" i="4" s="1"/>
  <c r="C14" i="4" s="1"/>
  <c r="W14" i="3"/>
  <c r="AG14" i="3" s="1"/>
  <c r="X14" i="3"/>
  <c r="AH14" i="3" s="1"/>
  <c r="J15" i="3"/>
  <c r="T14" i="3"/>
  <c r="AD14" i="3" s="1"/>
  <c r="O15" i="3"/>
  <c r="D14" i="4"/>
  <c r="P10" i="3" l="1"/>
  <c r="Z10" i="3" s="1"/>
  <c r="AJ10" i="3" s="1"/>
  <c r="P14" i="3"/>
  <c r="Z14" i="3" s="1"/>
  <c r="AJ14" i="3" s="1"/>
  <c r="P6" i="3"/>
  <c r="Z6" i="3" s="1"/>
  <c r="AJ6" i="3" s="1"/>
  <c r="Y11" i="3"/>
  <c r="AI11" i="3" s="1"/>
  <c r="P4" i="3"/>
  <c r="P8" i="3"/>
  <c r="Z8" i="3" s="1"/>
  <c r="AJ8" i="3" s="1"/>
  <c r="P13" i="3"/>
  <c r="Z13" i="3" s="1"/>
  <c r="AJ13" i="3" s="1"/>
  <c r="Y5" i="3"/>
  <c r="AI5" i="3" s="1"/>
  <c r="Y7" i="3"/>
  <c r="AI7" i="3" s="1"/>
  <c r="Y9" i="3"/>
  <c r="AI9" i="3" s="1"/>
  <c r="E29" i="3"/>
  <c r="A30" i="3"/>
  <c r="D29" i="3"/>
  <c r="M16" i="3"/>
  <c r="N16" i="3"/>
  <c r="E13" i="4"/>
  <c r="B16" i="3"/>
  <c r="H16" i="3"/>
  <c r="AL16" i="3"/>
  <c r="P15" i="3"/>
  <c r="J16" i="3"/>
  <c r="O16" i="3"/>
  <c r="C22" i="8"/>
  <c r="D21" i="8"/>
  <c r="M21" i="8" s="1"/>
  <c r="G17" i="3" s="1"/>
  <c r="E21" i="8"/>
  <c r="N21" i="8" s="1"/>
  <c r="I17" i="3" s="1"/>
  <c r="F21" i="8"/>
  <c r="O21" i="8" s="1"/>
  <c r="B15" i="4" s="1"/>
  <c r="C15" i="4" s="1"/>
  <c r="D15" i="4"/>
  <c r="Z4" i="3" l="1"/>
  <c r="AJ4" i="3" s="1"/>
  <c r="E30" i="3"/>
  <c r="D30" i="3"/>
  <c r="A31" i="3"/>
  <c r="N17" i="3"/>
  <c r="M17" i="3"/>
  <c r="E14" i="4"/>
  <c r="B17" i="3"/>
  <c r="H17" i="3"/>
  <c r="AL17" i="3"/>
  <c r="O17" i="3"/>
  <c r="C23" i="8"/>
  <c r="E22" i="8"/>
  <c r="N22" i="8" s="1"/>
  <c r="I18" i="3" s="1"/>
  <c r="F22" i="8"/>
  <c r="O22" i="8" s="1"/>
  <c r="B16" i="4" s="1"/>
  <c r="C16" i="4" s="1"/>
  <c r="D22" i="8"/>
  <c r="M22" i="8" s="1"/>
  <c r="G18" i="3" s="1"/>
  <c r="P16" i="3"/>
  <c r="J17" i="3"/>
  <c r="D16" i="4"/>
  <c r="E31" i="3" l="1"/>
  <c r="A32" i="3"/>
  <c r="D31" i="3"/>
  <c r="N18" i="3"/>
  <c r="M18" i="3"/>
  <c r="H18" i="3"/>
  <c r="AL18" i="3"/>
  <c r="E15" i="4"/>
  <c r="B18" i="3"/>
  <c r="O18" i="3"/>
  <c r="J18" i="3"/>
  <c r="C24" i="8"/>
  <c r="D23" i="8"/>
  <c r="M23" i="8" s="1"/>
  <c r="G19" i="3" s="1"/>
  <c r="F23" i="8"/>
  <c r="O23" i="8" s="1"/>
  <c r="B17" i="4" s="1"/>
  <c r="C17" i="4" s="1"/>
  <c r="E23" i="8"/>
  <c r="N23" i="8" s="1"/>
  <c r="I19" i="3" s="1"/>
  <c r="P17" i="3"/>
  <c r="D17" i="4"/>
  <c r="E32" i="3" l="1"/>
  <c r="A33" i="3"/>
  <c r="D32" i="3"/>
  <c r="N19" i="3"/>
  <c r="M19" i="3"/>
  <c r="E16" i="4"/>
  <c r="B19" i="3"/>
  <c r="H19" i="3"/>
  <c r="AL19" i="3"/>
  <c r="O19" i="3"/>
  <c r="C25" i="8"/>
  <c r="D24" i="8"/>
  <c r="M24" i="8" s="1"/>
  <c r="G20" i="3" s="1"/>
  <c r="E24" i="8"/>
  <c r="N24" i="8" s="1"/>
  <c r="I20" i="3" s="1"/>
  <c r="F24" i="8"/>
  <c r="O24" i="8" s="1"/>
  <c r="B18" i="4" s="1"/>
  <c r="C18" i="4" s="1"/>
  <c r="P18" i="3"/>
  <c r="J19" i="3"/>
  <c r="D18" i="4"/>
  <c r="E33" i="3" l="1"/>
  <c r="D33" i="3"/>
  <c r="A34" i="3"/>
  <c r="M20" i="3"/>
  <c r="N20" i="3"/>
  <c r="E17" i="4"/>
  <c r="B20" i="3"/>
  <c r="H20" i="3"/>
  <c r="AL20" i="3"/>
  <c r="O20" i="3"/>
  <c r="C26" i="8"/>
  <c r="D25" i="8"/>
  <c r="M25" i="8" s="1"/>
  <c r="G21" i="3" s="1"/>
  <c r="E25" i="8"/>
  <c r="N25" i="8" s="1"/>
  <c r="I21" i="3" s="1"/>
  <c r="F25" i="8"/>
  <c r="O25" i="8" s="1"/>
  <c r="B19" i="4" s="1"/>
  <c r="C19" i="4" s="1"/>
  <c r="J20" i="3"/>
  <c r="P19" i="3"/>
  <c r="D19" i="4"/>
  <c r="B21" i="3" s="1"/>
  <c r="E34" i="3" l="1"/>
  <c r="A35" i="3"/>
  <c r="D34" i="3"/>
  <c r="M21" i="3"/>
  <c r="N21" i="3"/>
  <c r="H21" i="3"/>
  <c r="AL21" i="3"/>
  <c r="J21" i="3"/>
  <c r="C27" i="8"/>
  <c r="E26" i="8"/>
  <c r="N26" i="8" s="1"/>
  <c r="I22" i="3" s="1"/>
  <c r="F26" i="8"/>
  <c r="O26" i="8" s="1"/>
  <c r="B20" i="4" s="1"/>
  <c r="C20" i="4" s="1"/>
  <c r="D26" i="8"/>
  <c r="M26" i="8" s="1"/>
  <c r="G22" i="3" s="1"/>
  <c r="O21" i="3"/>
  <c r="P20" i="3"/>
  <c r="D20" i="4"/>
  <c r="E18" i="4"/>
  <c r="E35" i="3" l="1"/>
  <c r="D35" i="3"/>
  <c r="A36" i="3"/>
  <c r="N22" i="3"/>
  <c r="M22" i="3"/>
  <c r="H22" i="3"/>
  <c r="AL22" i="3"/>
  <c r="E19" i="4"/>
  <c r="B22" i="3"/>
  <c r="J22" i="3"/>
  <c r="O22" i="3"/>
  <c r="C28" i="8"/>
  <c r="F27" i="8"/>
  <c r="O27" i="8" s="1"/>
  <c r="B21" i="4" s="1"/>
  <c r="C21" i="4" s="1"/>
  <c r="D27" i="8"/>
  <c r="M27" i="8" s="1"/>
  <c r="G23" i="3" s="1"/>
  <c r="E27" i="8"/>
  <c r="N27" i="8" s="1"/>
  <c r="I23" i="3" s="1"/>
  <c r="P21" i="3"/>
  <c r="D21" i="4"/>
  <c r="B23" i="3" s="1"/>
  <c r="E36" i="3" l="1"/>
  <c r="A37" i="3"/>
  <c r="D36" i="3"/>
  <c r="N23" i="3"/>
  <c r="M23" i="3"/>
  <c r="H23" i="3"/>
  <c r="AL23" i="3"/>
  <c r="O23" i="3"/>
  <c r="C29" i="8"/>
  <c r="E28" i="8"/>
  <c r="N28" i="8" s="1"/>
  <c r="I24" i="3" s="1"/>
  <c r="D28" i="8"/>
  <c r="M28" i="8" s="1"/>
  <c r="G24" i="3" s="1"/>
  <c r="F28" i="8"/>
  <c r="O28" i="8" s="1"/>
  <c r="B22" i="4" s="1"/>
  <c r="C22" i="4" s="1"/>
  <c r="P22" i="3"/>
  <c r="J23" i="3"/>
  <c r="D22" i="4"/>
  <c r="B24" i="3" s="1"/>
  <c r="E20" i="4"/>
  <c r="E37" i="3" l="1"/>
  <c r="A38" i="3"/>
  <c r="D37" i="3"/>
  <c r="M24" i="3"/>
  <c r="N24" i="3"/>
  <c r="H24" i="3"/>
  <c r="AL24" i="3"/>
  <c r="O24" i="3"/>
  <c r="J24" i="3"/>
  <c r="C30" i="8"/>
  <c r="D29" i="8"/>
  <c r="M29" i="8" s="1"/>
  <c r="G25" i="3" s="1"/>
  <c r="E29" i="8"/>
  <c r="N29" i="8" s="1"/>
  <c r="I25" i="3" s="1"/>
  <c r="F29" i="8"/>
  <c r="O29" i="8" s="1"/>
  <c r="B23" i="4" s="1"/>
  <c r="C23" i="4" s="1"/>
  <c r="P23" i="3"/>
  <c r="D23" i="4"/>
  <c r="E21" i="4"/>
  <c r="E38" i="3" l="1"/>
  <c r="D38" i="3"/>
  <c r="A39" i="3"/>
  <c r="M25" i="3"/>
  <c r="N25" i="3"/>
  <c r="E22" i="4"/>
  <c r="B25" i="3"/>
  <c r="H25" i="3"/>
  <c r="AL25" i="3"/>
  <c r="C31" i="8"/>
  <c r="E30" i="8"/>
  <c r="N30" i="8" s="1"/>
  <c r="I26" i="3" s="1"/>
  <c r="F30" i="8"/>
  <c r="O30" i="8" s="1"/>
  <c r="B24" i="4" s="1"/>
  <c r="C24" i="4" s="1"/>
  <c r="D30" i="8"/>
  <c r="M30" i="8" s="1"/>
  <c r="G26" i="3" s="1"/>
  <c r="O25" i="3"/>
  <c r="J25" i="3"/>
  <c r="P24" i="3"/>
  <c r="D24" i="4"/>
  <c r="E39" i="3" l="1"/>
  <c r="D39" i="3"/>
  <c r="A40" i="3"/>
  <c r="N26" i="3"/>
  <c r="M26" i="3"/>
  <c r="H26" i="3"/>
  <c r="AL26" i="3"/>
  <c r="E23" i="4"/>
  <c r="B26" i="3"/>
  <c r="O26" i="3"/>
  <c r="J26" i="3"/>
  <c r="P25" i="3"/>
  <c r="C32" i="8"/>
  <c r="F31" i="8"/>
  <c r="O31" i="8" s="1"/>
  <c r="B25" i="4" s="1"/>
  <c r="C25" i="4" s="1"/>
  <c r="D31" i="8"/>
  <c r="M31" i="8" s="1"/>
  <c r="G27" i="3" s="1"/>
  <c r="E31" i="8"/>
  <c r="N31" i="8" s="1"/>
  <c r="I27" i="3" s="1"/>
  <c r="D25" i="4"/>
  <c r="E40" i="3" l="1"/>
  <c r="D40" i="3"/>
  <c r="A41" i="3"/>
  <c r="N27" i="3"/>
  <c r="M27" i="3"/>
  <c r="E24" i="4"/>
  <c r="B27" i="3"/>
  <c r="H27" i="3"/>
  <c r="AL27" i="3"/>
  <c r="C33" i="8"/>
  <c r="E32" i="8"/>
  <c r="N32" i="8" s="1"/>
  <c r="I28" i="3" s="1"/>
  <c r="F32" i="8"/>
  <c r="O32" i="8" s="1"/>
  <c r="B26" i="4" s="1"/>
  <c r="C26" i="4" s="1"/>
  <c r="D32" i="8"/>
  <c r="M32" i="8" s="1"/>
  <c r="G28" i="3" s="1"/>
  <c r="J27" i="3"/>
  <c r="P26" i="3"/>
  <c r="O27" i="3"/>
  <c r="D26" i="4"/>
  <c r="B28" i="3" s="1"/>
  <c r="E41" i="3" l="1"/>
  <c r="D41" i="3"/>
  <c r="A42" i="3"/>
  <c r="M28" i="3"/>
  <c r="N28" i="3"/>
  <c r="H28" i="3"/>
  <c r="AL28" i="3"/>
  <c r="O28" i="3"/>
  <c r="J28" i="3"/>
  <c r="P27" i="3"/>
  <c r="C34" i="8"/>
  <c r="D33" i="8"/>
  <c r="M33" i="8" s="1"/>
  <c r="G29" i="3" s="1"/>
  <c r="F33" i="8"/>
  <c r="O33" i="8" s="1"/>
  <c r="B27" i="4" s="1"/>
  <c r="C27" i="4" s="1"/>
  <c r="E33" i="8"/>
  <c r="N33" i="8" s="1"/>
  <c r="I29" i="3" s="1"/>
  <c r="D27" i="4"/>
  <c r="B29" i="3" s="1"/>
  <c r="E25" i="4"/>
  <c r="E42" i="3" l="1"/>
  <c r="A43" i="3"/>
  <c r="D42" i="3"/>
  <c r="M29" i="3"/>
  <c r="N29" i="3"/>
  <c r="H29" i="3"/>
  <c r="AL29" i="3"/>
  <c r="J29" i="3"/>
  <c r="O29" i="3"/>
  <c r="C35" i="8"/>
  <c r="E34" i="8"/>
  <c r="N34" i="8" s="1"/>
  <c r="I30" i="3" s="1"/>
  <c r="D34" i="8"/>
  <c r="M34" i="8" s="1"/>
  <c r="G30" i="3" s="1"/>
  <c r="F34" i="8"/>
  <c r="O34" i="8" s="1"/>
  <c r="B28" i="4" s="1"/>
  <c r="C28" i="4" s="1"/>
  <c r="P28" i="3"/>
  <c r="D28" i="4"/>
  <c r="B30" i="3" s="1"/>
  <c r="E26" i="4"/>
  <c r="E43" i="3" l="1"/>
  <c r="A44" i="3"/>
  <c r="D43" i="3"/>
  <c r="N30" i="3"/>
  <c r="M30" i="3"/>
  <c r="H30" i="3"/>
  <c r="AL30" i="3"/>
  <c r="J30" i="3"/>
  <c r="C36" i="8"/>
  <c r="F35" i="8"/>
  <c r="O35" i="8" s="1"/>
  <c r="B29" i="4" s="1"/>
  <c r="C29" i="4" s="1"/>
  <c r="D35" i="8"/>
  <c r="M35" i="8" s="1"/>
  <c r="G31" i="3" s="1"/>
  <c r="E35" i="8"/>
  <c r="N35" i="8" s="1"/>
  <c r="I31" i="3" s="1"/>
  <c r="P29" i="3"/>
  <c r="O30" i="3"/>
  <c r="D29" i="4"/>
  <c r="B31" i="3" s="1"/>
  <c r="E27" i="4"/>
  <c r="E44" i="3" l="1"/>
  <c r="D44" i="3"/>
  <c r="A45" i="3"/>
  <c r="N31" i="3"/>
  <c r="M31" i="3"/>
  <c r="H31" i="3"/>
  <c r="AL31" i="3"/>
  <c r="C37" i="8"/>
  <c r="D36" i="8"/>
  <c r="M36" i="8" s="1"/>
  <c r="G32" i="3" s="1"/>
  <c r="E36" i="8"/>
  <c r="N36" i="8" s="1"/>
  <c r="I32" i="3" s="1"/>
  <c r="F36" i="8"/>
  <c r="O36" i="8" s="1"/>
  <c r="B30" i="4" s="1"/>
  <c r="C30" i="4" s="1"/>
  <c r="O31" i="3"/>
  <c r="J31" i="3"/>
  <c r="P30" i="3"/>
  <c r="D30" i="4"/>
  <c r="E28" i="4"/>
  <c r="E45" i="3" l="1"/>
  <c r="D45" i="3"/>
  <c r="A46" i="3"/>
  <c r="M32" i="3"/>
  <c r="N32" i="3"/>
  <c r="E29" i="4"/>
  <c r="B32" i="3"/>
  <c r="H32" i="3"/>
  <c r="AL32" i="3"/>
  <c r="J32" i="3"/>
  <c r="O32" i="3"/>
  <c r="C38" i="8"/>
  <c r="D37" i="8"/>
  <c r="M37" i="8" s="1"/>
  <c r="G33" i="3" s="1"/>
  <c r="F37" i="8"/>
  <c r="O37" i="8" s="1"/>
  <c r="B31" i="4" s="1"/>
  <c r="C31" i="4" s="1"/>
  <c r="E37" i="8"/>
  <c r="N37" i="8" s="1"/>
  <c r="I33" i="3" s="1"/>
  <c r="P31" i="3"/>
  <c r="D31" i="4"/>
  <c r="E46" i="3" l="1"/>
  <c r="A47" i="3"/>
  <c r="D46" i="3"/>
  <c r="M33" i="3"/>
  <c r="N33" i="3"/>
  <c r="E30" i="4"/>
  <c r="B33" i="3"/>
  <c r="H33" i="3"/>
  <c r="AL33" i="3"/>
  <c r="C39" i="8"/>
  <c r="E38" i="8"/>
  <c r="N38" i="8" s="1"/>
  <c r="I34" i="3" s="1"/>
  <c r="F38" i="8"/>
  <c r="O38" i="8" s="1"/>
  <c r="B32" i="4" s="1"/>
  <c r="C32" i="4" s="1"/>
  <c r="D38" i="8"/>
  <c r="M38" i="8" s="1"/>
  <c r="G34" i="3" s="1"/>
  <c r="O33" i="3"/>
  <c r="P32" i="3"/>
  <c r="J33" i="3"/>
  <c r="D32" i="4"/>
  <c r="B34" i="3" s="1"/>
  <c r="E47" i="3" l="1"/>
  <c r="A48" i="3"/>
  <c r="D47" i="3"/>
  <c r="N34" i="3"/>
  <c r="M34" i="3"/>
  <c r="H34" i="3"/>
  <c r="AL34" i="3"/>
  <c r="P33" i="3"/>
  <c r="O34" i="3"/>
  <c r="J34" i="3"/>
  <c r="C40" i="8"/>
  <c r="D39" i="8"/>
  <c r="M39" i="8" s="1"/>
  <c r="G35" i="3" s="1"/>
  <c r="F39" i="8"/>
  <c r="O39" i="8" s="1"/>
  <c r="B33" i="4" s="1"/>
  <c r="C33" i="4" s="1"/>
  <c r="E39" i="8"/>
  <c r="N39" i="8" s="1"/>
  <c r="I35" i="3" s="1"/>
  <c r="D33" i="4"/>
  <c r="E31" i="4"/>
  <c r="E48" i="3" l="1"/>
  <c r="D48" i="3"/>
  <c r="A49" i="3"/>
  <c r="N35" i="3"/>
  <c r="M35" i="3"/>
  <c r="E32" i="4"/>
  <c r="B35" i="3"/>
  <c r="H35" i="3"/>
  <c r="AL35" i="3"/>
  <c r="O35" i="3"/>
  <c r="C41" i="8"/>
  <c r="E40" i="8"/>
  <c r="N40" i="8" s="1"/>
  <c r="I36" i="3" s="1"/>
  <c r="F40" i="8"/>
  <c r="O40" i="8" s="1"/>
  <c r="B34" i="4" s="1"/>
  <c r="C34" i="4" s="1"/>
  <c r="D40" i="8"/>
  <c r="M40" i="8" s="1"/>
  <c r="G36" i="3" s="1"/>
  <c r="P34" i="3"/>
  <c r="J35" i="3"/>
  <c r="D34" i="4"/>
  <c r="B36" i="3" s="1"/>
  <c r="E49" i="3" l="1"/>
  <c r="A50" i="3"/>
  <c r="D49" i="3"/>
  <c r="M36" i="3"/>
  <c r="N36" i="3"/>
  <c r="H36" i="3"/>
  <c r="AL36" i="3"/>
  <c r="C42" i="8"/>
  <c r="D41" i="8"/>
  <c r="M41" i="8" s="1"/>
  <c r="G37" i="3" s="1"/>
  <c r="E41" i="8"/>
  <c r="N41" i="8" s="1"/>
  <c r="I37" i="3" s="1"/>
  <c r="F41" i="8"/>
  <c r="O41" i="8" s="1"/>
  <c r="B35" i="4" s="1"/>
  <c r="C35" i="4" s="1"/>
  <c r="J36" i="3"/>
  <c r="P35" i="3"/>
  <c r="O36" i="3"/>
  <c r="D35" i="4"/>
  <c r="E33" i="4"/>
  <c r="E50" i="3" l="1"/>
  <c r="A51" i="3"/>
  <c r="D50" i="3"/>
  <c r="M37" i="3"/>
  <c r="N37" i="3"/>
  <c r="H37" i="3"/>
  <c r="AL37" i="3"/>
  <c r="E34" i="4"/>
  <c r="B37" i="3"/>
  <c r="J37" i="3"/>
  <c r="P36" i="3"/>
  <c r="O37" i="3"/>
  <c r="C43" i="8"/>
  <c r="E42" i="8"/>
  <c r="N42" i="8" s="1"/>
  <c r="I38" i="3" s="1"/>
  <c r="D42" i="8"/>
  <c r="M42" i="8" s="1"/>
  <c r="G38" i="3" s="1"/>
  <c r="F42" i="8"/>
  <c r="O42" i="8" s="1"/>
  <c r="B36" i="4" s="1"/>
  <c r="C36" i="4" s="1"/>
  <c r="D36" i="4"/>
  <c r="B38" i="3" s="1"/>
  <c r="E51" i="3" l="1"/>
  <c r="D51" i="3"/>
  <c r="A52" i="3"/>
  <c r="N38" i="3"/>
  <c r="M38" i="3"/>
  <c r="H38" i="3"/>
  <c r="AL38" i="3"/>
  <c r="C44" i="8"/>
  <c r="F43" i="8"/>
  <c r="O43" i="8" s="1"/>
  <c r="B37" i="4" s="1"/>
  <c r="C37" i="4" s="1"/>
  <c r="D43" i="8"/>
  <c r="M43" i="8" s="1"/>
  <c r="G39" i="3" s="1"/>
  <c r="E43" i="8"/>
  <c r="N43" i="8" s="1"/>
  <c r="I39" i="3" s="1"/>
  <c r="J38" i="3"/>
  <c r="P37" i="3"/>
  <c r="O38" i="3"/>
  <c r="D37" i="4"/>
  <c r="E35" i="4"/>
  <c r="E52" i="3" l="1"/>
  <c r="D52" i="3"/>
  <c r="A53" i="3"/>
  <c r="N39" i="3"/>
  <c r="M39" i="3"/>
  <c r="E36" i="4"/>
  <c r="B39" i="3"/>
  <c r="H39" i="3"/>
  <c r="AL39" i="3"/>
  <c r="P38" i="3"/>
  <c r="J39" i="3"/>
  <c r="O39" i="3"/>
  <c r="C45" i="8"/>
  <c r="E44" i="8"/>
  <c r="N44" i="8" s="1"/>
  <c r="I40" i="3" s="1"/>
  <c r="D44" i="8"/>
  <c r="M44" i="8" s="1"/>
  <c r="G40" i="3" s="1"/>
  <c r="F44" i="8"/>
  <c r="O44" i="8" s="1"/>
  <c r="B38" i="4" s="1"/>
  <c r="C38" i="4" s="1"/>
  <c r="D38" i="4"/>
  <c r="E53" i="3" l="1"/>
  <c r="C39" i="3"/>
  <c r="F39" i="3" s="1"/>
  <c r="A54" i="3"/>
  <c r="D53" i="3"/>
  <c r="M40" i="3"/>
  <c r="N40" i="3"/>
  <c r="H40" i="3"/>
  <c r="AL40" i="3"/>
  <c r="E37" i="4"/>
  <c r="B40" i="3"/>
  <c r="C40" i="3" s="1"/>
  <c r="F40" i="3" s="1"/>
  <c r="P39" i="3"/>
  <c r="O40" i="3"/>
  <c r="J40" i="3"/>
  <c r="C46" i="8"/>
  <c r="D45" i="8"/>
  <c r="M45" i="8" s="1"/>
  <c r="G41" i="3" s="1"/>
  <c r="F45" i="8"/>
  <c r="O45" i="8" s="1"/>
  <c r="B39" i="4" s="1"/>
  <c r="C39" i="4" s="1"/>
  <c r="E45" i="8"/>
  <c r="N45" i="8" s="1"/>
  <c r="I41" i="3" s="1"/>
  <c r="D39" i="4"/>
  <c r="B41" i="3" s="1"/>
  <c r="C41" i="3" s="1"/>
  <c r="E54" i="3" l="1"/>
  <c r="C9" i="3"/>
  <c r="F9" i="3" s="1"/>
  <c r="C13" i="3"/>
  <c r="F13" i="3" s="1"/>
  <c r="C4" i="3"/>
  <c r="C6" i="3"/>
  <c r="F6" i="3" s="1"/>
  <c r="C16" i="3"/>
  <c r="F16" i="3" s="1"/>
  <c r="C15" i="3"/>
  <c r="F15" i="3" s="1"/>
  <c r="C8" i="3"/>
  <c r="F8" i="3" s="1"/>
  <c r="C11" i="3"/>
  <c r="F11" i="3" s="1"/>
  <c r="C7" i="3"/>
  <c r="F7" i="3" s="1"/>
  <c r="C10" i="3"/>
  <c r="F10" i="3" s="1"/>
  <c r="C12" i="3"/>
  <c r="F12" i="3" s="1"/>
  <c r="C5" i="3"/>
  <c r="F5" i="3" s="1"/>
  <c r="C14" i="3"/>
  <c r="F14" i="3" s="1"/>
  <c r="C17" i="3"/>
  <c r="F17" i="3" s="1"/>
  <c r="C18" i="3"/>
  <c r="F18" i="3" s="1"/>
  <c r="C19" i="3"/>
  <c r="F19" i="3" s="1"/>
  <c r="C20" i="3"/>
  <c r="F20" i="3" s="1"/>
  <c r="C21" i="3"/>
  <c r="F21" i="3" s="1"/>
  <c r="C23" i="3"/>
  <c r="F23" i="3" s="1"/>
  <c r="C22" i="3"/>
  <c r="F22" i="3" s="1"/>
  <c r="C24" i="3"/>
  <c r="F24" i="3" s="1"/>
  <c r="C25" i="3"/>
  <c r="F25" i="3" s="1"/>
  <c r="C26" i="3"/>
  <c r="F26" i="3" s="1"/>
  <c r="C27" i="3"/>
  <c r="F27" i="3" s="1"/>
  <c r="C28" i="3"/>
  <c r="F28" i="3" s="1"/>
  <c r="C29" i="3"/>
  <c r="F29" i="3" s="1"/>
  <c r="C30" i="3"/>
  <c r="F30" i="3" s="1"/>
  <c r="C31" i="3"/>
  <c r="F31" i="3" s="1"/>
  <c r="C32" i="3"/>
  <c r="F32" i="3" s="1"/>
  <c r="C33" i="3"/>
  <c r="F33" i="3" s="1"/>
  <c r="C34" i="3"/>
  <c r="F34" i="3" s="1"/>
  <c r="C35" i="3"/>
  <c r="F35" i="3" s="1"/>
  <c r="C36" i="3"/>
  <c r="F36" i="3" s="1"/>
  <c r="C38" i="3"/>
  <c r="F38" i="3" s="1"/>
  <c r="C37" i="3"/>
  <c r="F37" i="3" s="1"/>
  <c r="D54" i="3"/>
  <c r="A55" i="3"/>
  <c r="M41" i="3"/>
  <c r="N41" i="3"/>
  <c r="H41" i="3"/>
  <c r="AL41" i="3"/>
  <c r="J41" i="3"/>
  <c r="O41" i="3"/>
  <c r="C47" i="8"/>
  <c r="E46" i="8"/>
  <c r="N46" i="8" s="1"/>
  <c r="I42" i="3" s="1"/>
  <c r="F46" i="8"/>
  <c r="O46" i="8" s="1"/>
  <c r="B40" i="4" s="1"/>
  <c r="C40" i="4" s="1"/>
  <c r="D46" i="8"/>
  <c r="M46" i="8" s="1"/>
  <c r="G42" i="3" s="1"/>
  <c r="P40" i="3"/>
  <c r="D40" i="4"/>
  <c r="F41" i="3"/>
  <c r="E38" i="4"/>
  <c r="E55" i="3" l="1"/>
  <c r="F4" i="3"/>
  <c r="D55" i="3"/>
  <c r="A56" i="3"/>
  <c r="N42" i="3"/>
  <c r="M42" i="3"/>
  <c r="H42" i="3"/>
  <c r="AL42" i="3"/>
  <c r="E39" i="4"/>
  <c r="B42" i="3"/>
  <c r="C42" i="3" s="1"/>
  <c r="F42" i="3" s="1"/>
  <c r="P41" i="3"/>
  <c r="O42" i="3"/>
  <c r="J42" i="3"/>
  <c r="C48" i="8"/>
  <c r="D47" i="8"/>
  <c r="M47" i="8" s="1"/>
  <c r="G43" i="3" s="1"/>
  <c r="F47" i="8"/>
  <c r="O47" i="8" s="1"/>
  <c r="B41" i="4" s="1"/>
  <c r="C41" i="4" s="1"/>
  <c r="E47" i="8"/>
  <c r="N47" i="8" s="1"/>
  <c r="I43" i="3" s="1"/>
  <c r="D41" i="4"/>
  <c r="E56" i="3" l="1"/>
  <c r="D56" i="3"/>
  <c r="A57" i="3"/>
  <c r="N43" i="3"/>
  <c r="M43" i="3"/>
  <c r="E40" i="4"/>
  <c r="B43" i="3"/>
  <c r="C43" i="3" s="1"/>
  <c r="F43" i="3" s="1"/>
  <c r="H43" i="3"/>
  <c r="AL43" i="3"/>
  <c r="C49" i="8"/>
  <c r="E48" i="8"/>
  <c r="N48" i="8" s="1"/>
  <c r="I44" i="3" s="1"/>
  <c r="F48" i="8"/>
  <c r="O48" i="8" s="1"/>
  <c r="B42" i="4" s="1"/>
  <c r="C42" i="4" s="1"/>
  <c r="D48" i="8"/>
  <c r="M48" i="8" s="1"/>
  <c r="G44" i="3" s="1"/>
  <c r="P42" i="3"/>
  <c r="O43" i="3"/>
  <c r="J43" i="3"/>
  <c r="D42" i="4"/>
  <c r="E57" i="3" l="1"/>
  <c r="D57" i="3"/>
  <c r="A58" i="3"/>
  <c r="M44" i="3"/>
  <c r="N44" i="3"/>
  <c r="E41" i="4"/>
  <c r="B44" i="3"/>
  <c r="C44" i="3" s="1"/>
  <c r="F44" i="3" s="1"/>
  <c r="H44" i="3"/>
  <c r="AL44" i="3"/>
  <c r="O44" i="3"/>
  <c r="C50" i="8"/>
  <c r="D49" i="8"/>
  <c r="M49" i="8" s="1"/>
  <c r="G45" i="3" s="1"/>
  <c r="E49" i="8"/>
  <c r="N49" i="8" s="1"/>
  <c r="I45" i="3" s="1"/>
  <c r="F49" i="8"/>
  <c r="O49" i="8" s="1"/>
  <c r="B43" i="4" s="1"/>
  <c r="C43" i="4" s="1"/>
  <c r="P43" i="3"/>
  <c r="J44" i="3"/>
  <c r="D43" i="4"/>
  <c r="E58" i="3" l="1"/>
  <c r="D58" i="3"/>
  <c r="A59" i="3"/>
  <c r="M45" i="3"/>
  <c r="N45" i="3"/>
  <c r="E42" i="4"/>
  <c r="B45" i="3"/>
  <c r="C45" i="3" s="1"/>
  <c r="F45" i="3" s="1"/>
  <c r="H45" i="3"/>
  <c r="AL45" i="3"/>
  <c r="J45" i="3"/>
  <c r="O45" i="3"/>
  <c r="C51" i="8"/>
  <c r="E50" i="8"/>
  <c r="N50" i="8" s="1"/>
  <c r="I46" i="3" s="1"/>
  <c r="D50" i="8"/>
  <c r="M50" i="8" s="1"/>
  <c r="G46" i="3" s="1"/>
  <c r="F50" i="8"/>
  <c r="O50" i="8" s="1"/>
  <c r="B44" i="4" s="1"/>
  <c r="C44" i="4" s="1"/>
  <c r="P44" i="3"/>
  <c r="D44" i="4"/>
  <c r="E59" i="3" l="1"/>
  <c r="A60" i="3"/>
  <c r="D59" i="3"/>
  <c r="N46" i="3"/>
  <c r="M46" i="3"/>
  <c r="E43" i="4"/>
  <c r="B46" i="3"/>
  <c r="C46" i="3" s="1"/>
  <c r="F46" i="3" s="1"/>
  <c r="H46" i="3"/>
  <c r="AL46" i="3"/>
  <c r="O46" i="3"/>
  <c r="J46" i="3"/>
  <c r="C52" i="8"/>
  <c r="F51" i="8"/>
  <c r="O51" i="8" s="1"/>
  <c r="B45" i="4" s="1"/>
  <c r="C45" i="4" s="1"/>
  <c r="D51" i="8"/>
  <c r="M51" i="8" s="1"/>
  <c r="G47" i="3" s="1"/>
  <c r="E51" i="8"/>
  <c r="N51" i="8" s="1"/>
  <c r="I47" i="3" s="1"/>
  <c r="P45" i="3"/>
  <c r="D45" i="4"/>
  <c r="B47" i="3" s="1"/>
  <c r="C47" i="3" s="1"/>
  <c r="E60" i="3" l="1"/>
  <c r="D60" i="3"/>
  <c r="A61" i="3"/>
  <c r="N47" i="3"/>
  <c r="M47" i="3"/>
  <c r="H47" i="3"/>
  <c r="AL47" i="3"/>
  <c r="J47" i="3"/>
  <c r="O47" i="3"/>
  <c r="C53" i="8"/>
  <c r="E52" i="8"/>
  <c r="N52" i="8" s="1"/>
  <c r="I48" i="3" s="1"/>
  <c r="D52" i="8"/>
  <c r="M52" i="8" s="1"/>
  <c r="G48" i="3" s="1"/>
  <c r="F52" i="8"/>
  <c r="O52" i="8" s="1"/>
  <c r="B46" i="4" s="1"/>
  <c r="C46" i="4" s="1"/>
  <c r="P46" i="3"/>
  <c r="D46" i="4"/>
  <c r="F47" i="3"/>
  <c r="E44" i="4"/>
  <c r="E61" i="3" l="1"/>
  <c r="A62" i="3"/>
  <c r="D61" i="3"/>
  <c r="M48" i="3"/>
  <c r="N48" i="3"/>
  <c r="H48" i="3"/>
  <c r="AL48" i="3"/>
  <c r="E45" i="4"/>
  <c r="B48" i="3"/>
  <c r="C48" i="3" s="1"/>
  <c r="F48" i="3" s="1"/>
  <c r="P47" i="3"/>
  <c r="O48" i="3"/>
  <c r="J48" i="3"/>
  <c r="C54" i="8"/>
  <c r="D53" i="8"/>
  <c r="M53" i="8" s="1"/>
  <c r="G49" i="3" s="1"/>
  <c r="F53" i="8"/>
  <c r="O53" i="8" s="1"/>
  <c r="B47" i="4" s="1"/>
  <c r="C47" i="4" s="1"/>
  <c r="E53" i="8"/>
  <c r="N53" i="8" s="1"/>
  <c r="I49" i="3" s="1"/>
  <c r="D47" i="4"/>
  <c r="E62" i="3" l="1"/>
  <c r="A63" i="3"/>
  <c r="D62" i="3"/>
  <c r="M49" i="3"/>
  <c r="N49" i="3"/>
  <c r="H49" i="3"/>
  <c r="AL49" i="3"/>
  <c r="E46" i="4"/>
  <c r="B49" i="3"/>
  <c r="C49" i="3" s="1"/>
  <c r="F49" i="3" s="1"/>
  <c r="P48" i="3"/>
  <c r="J49" i="3"/>
  <c r="C55" i="8"/>
  <c r="E54" i="8"/>
  <c r="N54" i="8" s="1"/>
  <c r="I50" i="3" s="1"/>
  <c r="F54" i="8"/>
  <c r="O54" i="8" s="1"/>
  <c r="B48" i="4" s="1"/>
  <c r="C48" i="4" s="1"/>
  <c r="D54" i="8"/>
  <c r="M54" i="8" s="1"/>
  <c r="G50" i="3" s="1"/>
  <c r="O49" i="3"/>
  <c r="D48" i="4"/>
  <c r="E63" i="3" l="1"/>
  <c r="A64" i="3"/>
  <c r="D63" i="3"/>
  <c r="N50" i="3"/>
  <c r="M50" i="3"/>
  <c r="E47" i="4"/>
  <c r="B50" i="3"/>
  <c r="C50" i="3" s="1"/>
  <c r="F50" i="3" s="1"/>
  <c r="H50" i="3"/>
  <c r="AL50" i="3"/>
  <c r="O50" i="3"/>
  <c r="P49" i="3"/>
  <c r="J50" i="3"/>
  <c r="C56" i="8"/>
  <c r="D55" i="8"/>
  <c r="M55" i="8" s="1"/>
  <c r="G51" i="3" s="1"/>
  <c r="F55" i="8"/>
  <c r="O55" i="8" s="1"/>
  <c r="B49" i="4" s="1"/>
  <c r="C49" i="4" s="1"/>
  <c r="E55" i="8"/>
  <c r="N55" i="8" s="1"/>
  <c r="I51" i="3" s="1"/>
  <c r="D49" i="4"/>
  <c r="E64" i="3" l="1"/>
  <c r="D64" i="3"/>
  <c r="A65" i="3"/>
  <c r="N51" i="3"/>
  <c r="M51" i="3"/>
  <c r="E48" i="4"/>
  <c r="B51" i="3"/>
  <c r="C51" i="3" s="1"/>
  <c r="F51" i="3" s="1"/>
  <c r="H51" i="3"/>
  <c r="AL51" i="3"/>
  <c r="O51" i="3"/>
  <c r="J51" i="3"/>
  <c r="C57" i="8"/>
  <c r="E56" i="8"/>
  <c r="N56" i="8" s="1"/>
  <c r="I52" i="3" s="1"/>
  <c r="F56" i="8"/>
  <c r="O56" i="8" s="1"/>
  <c r="B50" i="4" s="1"/>
  <c r="C50" i="4" s="1"/>
  <c r="D56" i="8"/>
  <c r="M56" i="8" s="1"/>
  <c r="G52" i="3" s="1"/>
  <c r="P50" i="3"/>
  <c r="D50" i="4"/>
  <c r="E65" i="3" l="1"/>
  <c r="A66" i="3"/>
  <c r="D65" i="3"/>
  <c r="M52" i="3"/>
  <c r="N52" i="3"/>
  <c r="E49" i="4"/>
  <c r="B52" i="3"/>
  <c r="C52" i="3" s="1"/>
  <c r="F52" i="3" s="1"/>
  <c r="H52" i="3"/>
  <c r="AL52" i="3"/>
  <c r="C58" i="8"/>
  <c r="D57" i="8"/>
  <c r="M57" i="8" s="1"/>
  <c r="G53" i="3" s="1"/>
  <c r="F57" i="8"/>
  <c r="O57" i="8" s="1"/>
  <c r="B51" i="4" s="1"/>
  <c r="C51" i="4" s="1"/>
  <c r="E57" i="8"/>
  <c r="N57" i="8" s="1"/>
  <c r="I53" i="3" s="1"/>
  <c r="J52" i="3"/>
  <c r="O52" i="3"/>
  <c r="P51" i="3"/>
  <c r="D51" i="4"/>
  <c r="E66" i="3" l="1"/>
  <c r="A67" i="3"/>
  <c r="D66" i="3"/>
  <c r="M53" i="3"/>
  <c r="N53" i="3"/>
  <c r="E50" i="4"/>
  <c r="B53" i="3"/>
  <c r="C53" i="3" s="1"/>
  <c r="F53" i="3" s="1"/>
  <c r="H53" i="3"/>
  <c r="AL53" i="3"/>
  <c r="P52" i="3"/>
  <c r="J53" i="3"/>
  <c r="O53" i="3"/>
  <c r="C59" i="8"/>
  <c r="E58" i="8"/>
  <c r="N58" i="8" s="1"/>
  <c r="I54" i="3" s="1"/>
  <c r="D58" i="8"/>
  <c r="M58" i="8" s="1"/>
  <c r="G54" i="3" s="1"/>
  <c r="F58" i="8"/>
  <c r="O58" i="8" s="1"/>
  <c r="B52" i="4" s="1"/>
  <c r="C52" i="4" s="1"/>
  <c r="D52" i="4"/>
  <c r="B54" i="3" s="1"/>
  <c r="C54" i="3" s="1"/>
  <c r="E67" i="3" l="1"/>
  <c r="A68" i="3"/>
  <c r="D67" i="3"/>
  <c r="N54" i="3"/>
  <c r="M54" i="3"/>
  <c r="H54" i="3"/>
  <c r="AL54" i="3"/>
  <c r="J54" i="3"/>
  <c r="O54" i="3"/>
  <c r="C60" i="8"/>
  <c r="F59" i="8"/>
  <c r="O59" i="8" s="1"/>
  <c r="B53" i="4" s="1"/>
  <c r="C53" i="4" s="1"/>
  <c r="D59" i="8"/>
  <c r="M59" i="8" s="1"/>
  <c r="G55" i="3" s="1"/>
  <c r="E59" i="8"/>
  <c r="N59" i="8" s="1"/>
  <c r="I55" i="3" s="1"/>
  <c r="P53" i="3"/>
  <c r="D53" i="4"/>
  <c r="B55" i="3" s="1"/>
  <c r="C55" i="3" s="1"/>
  <c r="F54" i="3"/>
  <c r="E51" i="4"/>
  <c r="E68" i="3" l="1"/>
  <c r="D68" i="3"/>
  <c r="A69" i="3"/>
  <c r="N55" i="3"/>
  <c r="M55" i="3"/>
  <c r="H55" i="3"/>
  <c r="AL55" i="3"/>
  <c r="P54" i="3"/>
  <c r="J55" i="3"/>
  <c r="O55" i="3"/>
  <c r="C61" i="8"/>
  <c r="D60" i="8"/>
  <c r="M60" i="8" s="1"/>
  <c r="G56" i="3" s="1"/>
  <c r="E60" i="8"/>
  <c r="N60" i="8" s="1"/>
  <c r="I56" i="3" s="1"/>
  <c r="F60" i="8"/>
  <c r="O60" i="8" s="1"/>
  <c r="B54" i="4" s="1"/>
  <c r="C54" i="4" s="1"/>
  <c r="D54" i="4"/>
  <c r="F55" i="3"/>
  <c r="E52" i="4"/>
  <c r="E69" i="3" l="1"/>
  <c r="D69" i="3"/>
  <c r="A70" i="3"/>
  <c r="M56" i="3"/>
  <c r="N56" i="3"/>
  <c r="H56" i="3"/>
  <c r="AL56" i="3"/>
  <c r="E53" i="4"/>
  <c r="B56" i="3"/>
  <c r="C56" i="3" s="1"/>
  <c r="F56" i="3" s="1"/>
  <c r="J56" i="3"/>
  <c r="O56" i="3"/>
  <c r="C62" i="8"/>
  <c r="D61" i="8"/>
  <c r="M61" i="8" s="1"/>
  <c r="G57" i="3" s="1"/>
  <c r="F61" i="8"/>
  <c r="O61" i="8" s="1"/>
  <c r="B55" i="4" s="1"/>
  <c r="C55" i="4" s="1"/>
  <c r="E61" i="8"/>
  <c r="N61" i="8" s="1"/>
  <c r="I57" i="3" s="1"/>
  <c r="P55" i="3"/>
  <c r="D55" i="4"/>
  <c r="B57" i="3" s="1"/>
  <c r="C57" i="3" s="1"/>
  <c r="E70" i="3" l="1"/>
  <c r="A71" i="3"/>
  <c r="D70" i="3"/>
  <c r="M57" i="3"/>
  <c r="N57" i="3"/>
  <c r="H57" i="3"/>
  <c r="AL57" i="3"/>
  <c r="O57" i="3"/>
  <c r="C63" i="8"/>
  <c r="E62" i="8"/>
  <c r="N62" i="8" s="1"/>
  <c r="I58" i="3" s="1"/>
  <c r="F62" i="8"/>
  <c r="O62" i="8" s="1"/>
  <c r="B56" i="4" s="1"/>
  <c r="C56" i="4" s="1"/>
  <c r="D62" i="8"/>
  <c r="M62" i="8" s="1"/>
  <c r="G58" i="3" s="1"/>
  <c r="P56" i="3"/>
  <c r="J57" i="3"/>
  <c r="F57" i="3"/>
  <c r="D56" i="4"/>
  <c r="E54" i="4"/>
  <c r="E71" i="3" l="1"/>
  <c r="A72" i="3"/>
  <c r="D71" i="3"/>
  <c r="N58" i="3"/>
  <c r="M58" i="3"/>
  <c r="E55" i="4"/>
  <c r="B58" i="3"/>
  <c r="C58" i="3" s="1"/>
  <c r="F58" i="3" s="1"/>
  <c r="H58" i="3"/>
  <c r="AL58" i="3"/>
  <c r="O58" i="3"/>
  <c r="J58" i="3"/>
  <c r="C64" i="8"/>
  <c r="D63" i="8"/>
  <c r="M63" i="8" s="1"/>
  <c r="G59" i="3" s="1"/>
  <c r="F63" i="8"/>
  <c r="O63" i="8" s="1"/>
  <c r="B57" i="4" s="1"/>
  <c r="C57" i="4" s="1"/>
  <c r="E63" i="8"/>
  <c r="N63" i="8" s="1"/>
  <c r="I59" i="3" s="1"/>
  <c r="P57" i="3"/>
  <c r="D57" i="4"/>
  <c r="E72" i="3" l="1"/>
  <c r="A73" i="3"/>
  <c r="D72" i="3"/>
  <c r="N59" i="3"/>
  <c r="M59" i="3"/>
  <c r="E56" i="4"/>
  <c r="B59" i="3"/>
  <c r="C59" i="3" s="1"/>
  <c r="F59" i="3" s="1"/>
  <c r="H59" i="3"/>
  <c r="AL59" i="3"/>
  <c r="O59" i="3"/>
  <c r="C65" i="8"/>
  <c r="E64" i="8"/>
  <c r="N64" i="8" s="1"/>
  <c r="I60" i="3" s="1"/>
  <c r="F64" i="8"/>
  <c r="O64" i="8" s="1"/>
  <c r="B58" i="4" s="1"/>
  <c r="C58" i="4" s="1"/>
  <c r="D64" i="8"/>
  <c r="M64" i="8" s="1"/>
  <c r="G60" i="3" s="1"/>
  <c r="J59" i="3"/>
  <c r="P58" i="3"/>
  <c r="D58" i="4"/>
  <c r="B60" i="3" s="1"/>
  <c r="C60" i="3" s="1"/>
  <c r="E73" i="3" l="1"/>
  <c r="D73" i="3"/>
  <c r="A74" i="3"/>
  <c r="M60" i="3"/>
  <c r="N60" i="3"/>
  <c r="H60" i="3"/>
  <c r="AL60" i="3"/>
  <c r="O60" i="3"/>
  <c r="J60" i="3"/>
  <c r="C66" i="8"/>
  <c r="D65" i="8"/>
  <c r="M65" i="8" s="1"/>
  <c r="G61" i="3" s="1"/>
  <c r="E65" i="8"/>
  <c r="N65" i="8" s="1"/>
  <c r="I61" i="3" s="1"/>
  <c r="F65" i="8"/>
  <c r="O65" i="8" s="1"/>
  <c r="B59" i="4" s="1"/>
  <c r="C59" i="4" s="1"/>
  <c r="P59" i="3"/>
  <c r="F60" i="3"/>
  <c r="D59" i="4"/>
  <c r="E57" i="4"/>
  <c r="E74" i="3" l="1"/>
  <c r="A75" i="3"/>
  <c r="D74" i="3"/>
  <c r="M61" i="3"/>
  <c r="N61" i="3"/>
  <c r="E58" i="4"/>
  <c r="B61" i="3"/>
  <c r="C61" i="3" s="1"/>
  <c r="F61" i="3" s="1"/>
  <c r="H61" i="3"/>
  <c r="AL61" i="3"/>
  <c r="J61" i="3"/>
  <c r="O61" i="3"/>
  <c r="C67" i="8"/>
  <c r="E66" i="8"/>
  <c r="N66" i="8" s="1"/>
  <c r="I62" i="3" s="1"/>
  <c r="D66" i="8"/>
  <c r="M66" i="8" s="1"/>
  <c r="G62" i="3" s="1"/>
  <c r="F66" i="8"/>
  <c r="O66" i="8" s="1"/>
  <c r="B60" i="4" s="1"/>
  <c r="C60" i="4" s="1"/>
  <c r="P60" i="3"/>
  <c r="D60" i="4"/>
  <c r="E75" i="3" l="1"/>
  <c r="A76" i="3"/>
  <c r="D75" i="3"/>
  <c r="N62" i="3"/>
  <c r="M62" i="3"/>
  <c r="E59" i="4"/>
  <c r="B62" i="3"/>
  <c r="C62" i="3" s="1"/>
  <c r="F62" i="3" s="1"/>
  <c r="H62" i="3"/>
  <c r="AL62" i="3"/>
  <c r="O62" i="3"/>
  <c r="J62" i="3"/>
  <c r="P61" i="3"/>
  <c r="C68" i="8"/>
  <c r="F67" i="8"/>
  <c r="O67" i="8" s="1"/>
  <c r="B61" i="4" s="1"/>
  <c r="C61" i="4" s="1"/>
  <c r="D67" i="8"/>
  <c r="M67" i="8" s="1"/>
  <c r="G63" i="3" s="1"/>
  <c r="E67" i="8"/>
  <c r="N67" i="8" s="1"/>
  <c r="I63" i="3" s="1"/>
  <c r="D61" i="4"/>
  <c r="E76" i="3" l="1"/>
  <c r="A77" i="3"/>
  <c r="D76" i="3"/>
  <c r="N63" i="3"/>
  <c r="M63" i="3"/>
  <c r="H63" i="3"/>
  <c r="AL63" i="3"/>
  <c r="E60" i="4"/>
  <c r="B63" i="3"/>
  <c r="C63" i="3" s="1"/>
  <c r="F63" i="3" s="1"/>
  <c r="J63" i="3"/>
  <c r="C69" i="8"/>
  <c r="E68" i="8"/>
  <c r="N68" i="8" s="1"/>
  <c r="I64" i="3" s="1"/>
  <c r="D68" i="8"/>
  <c r="M68" i="8" s="1"/>
  <c r="G64" i="3" s="1"/>
  <c r="F68" i="8"/>
  <c r="O68" i="8" s="1"/>
  <c r="B62" i="4" s="1"/>
  <c r="C62" i="4" s="1"/>
  <c r="O63" i="3"/>
  <c r="P62" i="3"/>
  <c r="D62" i="4"/>
  <c r="E77" i="3" l="1"/>
  <c r="A78" i="3"/>
  <c r="D77" i="3"/>
  <c r="M64" i="3"/>
  <c r="N64" i="3"/>
  <c r="H64" i="3"/>
  <c r="AL64" i="3"/>
  <c r="E61" i="4"/>
  <c r="B64" i="3"/>
  <c r="C64" i="3" s="1"/>
  <c r="F64" i="3" s="1"/>
  <c r="P63" i="3"/>
  <c r="O64" i="3"/>
  <c r="J64" i="3"/>
  <c r="C70" i="8"/>
  <c r="D69" i="8"/>
  <c r="M69" i="8" s="1"/>
  <c r="G65" i="3" s="1"/>
  <c r="F69" i="8"/>
  <c r="O69" i="8" s="1"/>
  <c r="B63" i="4" s="1"/>
  <c r="C63" i="4" s="1"/>
  <c r="E69" i="8"/>
  <c r="N69" i="8" s="1"/>
  <c r="I65" i="3" s="1"/>
  <c r="D63" i="4"/>
  <c r="B65" i="3" s="1"/>
  <c r="C65" i="3" s="1"/>
  <c r="E78" i="3" l="1"/>
  <c r="A79" i="3"/>
  <c r="D78" i="3"/>
  <c r="M65" i="3"/>
  <c r="N65" i="3"/>
  <c r="H65" i="3"/>
  <c r="AL65" i="3"/>
  <c r="C71" i="8"/>
  <c r="E70" i="8"/>
  <c r="N70" i="8" s="1"/>
  <c r="I66" i="3" s="1"/>
  <c r="F70" i="8"/>
  <c r="O70" i="8" s="1"/>
  <c r="B64" i="4" s="1"/>
  <c r="C64" i="4" s="1"/>
  <c r="D70" i="8"/>
  <c r="M70" i="8" s="1"/>
  <c r="G66" i="3" s="1"/>
  <c r="J65" i="3"/>
  <c r="P64" i="3"/>
  <c r="O65" i="3"/>
  <c r="F65" i="3"/>
  <c r="D64" i="4"/>
  <c r="E62" i="4"/>
  <c r="E79" i="3" l="1"/>
  <c r="A80" i="3"/>
  <c r="D79" i="3"/>
  <c r="N66" i="3"/>
  <c r="M66" i="3"/>
  <c r="E63" i="4"/>
  <c r="B66" i="3"/>
  <c r="C66" i="3" s="1"/>
  <c r="F66" i="3" s="1"/>
  <c r="H66" i="3"/>
  <c r="AL66" i="3"/>
  <c r="O66" i="3"/>
  <c r="J66" i="3"/>
  <c r="P65" i="3"/>
  <c r="C72" i="8"/>
  <c r="F71" i="8"/>
  <c r="O71" i="8" s="1"/>
  <c r="B65" i="4" s="1"/>
  <c r="C65" i="4" s="1"/>
  <c r="D71" i="8"/>
  <c r="M71" i="8" s="1"/>
  <c r="G67" i="3" s="1"/>
  <c r="E71" i="8"/>
  <c r="N71" i="8" s="1"/>
  <c r="I67" i="3" s="1"/>
  <c r="D65" i="4"/>
  <c r="B67" i="3" s="1"/>
  <c r="C67" i="3" s="1"/>
  <c r="E80" i="3" l="1"/>
  <c r="D80" i="3"/>
  <c r="A81" i="3"/>
  <c r="N67" i="3"/>
  <c r="M67" i="3"/>
  <c r="H67" i="3"/>
  <c r="AL67" i="3"/>
  <c r="C73" i="8"/>
  <c r="E72" i="8"/>
  <c r="N72" i="8" s="1"/>
  <c r="I68" i="3" s="1"/>
  <c r="F72" i="8"/>
  <c r="O72" i="8" s="1"/>
  <c r="B66" i="4" s="1"/>
  <c r="C66" i="4" s="1"/>
  <c r="D72" i="8"/>
  <c r="M72" i="8" s="1"/>
  <c r="G68" i="3" s="1"/>
  <c r="J67" i="3"/>
  <c r="O67" i="3"/>
  <c r="P66" i="3"/>
  <c r="D66" i="4"/>
  <c r="B68" i="3" s="1"/>
  <c r="C68" i="3" s="1"/>
  <c r="F67" i="3"/>
  <c r="E64" i="4"/>
  <c r="E81" i="3" l="1"/>
  <c r="D81" i="3"/>
  <c r="A82" i="3"/>
  <c r="M68" i="3"/>
  <c r="N68" i="3"/>
  <c r="H68" i="3"/>
  <c r="AL68" i="3"/>
  <c r="P67" i="3"/>
  <c r="O68" i="3"/>
  <c r="J68" i="3"/>
  <c r="C74" i="8"/>
  <c r="D73" i="8"/>
  <c r="M73" i="8" s="1"/>
  <c r="G69" i="3" s="1"/>
  <c r="F73" i="8"/>
  <c r="O73" i="8" s="1"/>
  <c r="B67" i="4" s="1"/>
  <c r="C67" i="4" s="1"/>
  <c r="E73" i="8"/>
  <c r="N73" i="8" s="1"/>
  <c r="I69" i="3" s="1"/>
  <c r="D67" i="4"/>
  <c r="F68" i="3"/>
  <c r="E65" i="4"/>
  <c r="E82" i="3" l="1"/>
  <c r="A83" i="3"/>
  <c r="D82" i="3"/>
  <c r="M69" i="3"/>
  <c r="N69" i="3"/>
  <c r="E66" i="4"/>
  <c r="B69" i="3"/>
  <c r="C69" i="3" s="1"/>
  <c r="F69" i="3" s="1"/>
  <c r="H69" i="3"/>
  <c r="AL69" i="3"/>
  <c r="C75" i="8"/>
  <c r="E74" i="8"/>
  <c r="N74" i="8" s="1"/>
  <c r="I70" i="3" s="1"/>
  <c r="D74" i="8"/>
  <c r="M74" i="8" s="1"/>
  <c r="G70" i="3" s="1"/>
  <c r="F74" i="8"/>
  <c r="O74" i="8" s="1"/>
  <c r="B68" i="4" s="1"/>
  <c r="C68" i="4" s="1"/>
  <c r="P68" i="3"/>
  <c r="O69" i="3"/>
  <c r="J69" i="3"/>
  <c r="D68" i="4"/>
  <c r="B70" i="3" s="1"/>
  <c r="C70" i="3" s="1"/>
  <c r="E83" i="3" l="1"/>
  <c r="D83" i="3"/>
  <c r="A84" i="3"/>
  <c r="N70" i="3"/>
  <c r="M70" i="3"/>
  <c r="H70" i="3"/>
  <c r="AL70" i="3"/>
  <c r="O70" i="3"/>
  <c r="J70" i="3"/>
  <c r="P69" i="3"/>
  <c r="C76" i="8"/>
  <c r="F75" i="8"/>
  <c r="O75" i="8" s="1"/>
  <c r="B69" i="4" s="1"/>
  <c r="C69" i="4" s="1"/>
  <c r="D75" i="8"/>
  <c r="M75" i="8" s="1"/>
  <c r="G71" i="3" s="1"/>
  <c r="E75" i="8"/>
  <c r="N75" i="8" s="1"/>
  <c r="I71" i="3" s="1"/>
  <c r="F70" i="3"/>
  <c r="D69" i="4"/>
  <c r="B71" i="3" s="1"/>
  <c r="C71" i="3" s="1"/>
  <c r="E67" i="4"/>
  <c r="E84" i="3" l="1"/>
  <c r="A85" i="3"/>
  <c r="D84" i="3"/>
  <c r="N71" i="3"/>
  <c r="M71" i="3"/>
  <c r="H71" i="3"/>
  <c r="AL71" i="3"/>
  <c r="O71" i="3"/>
  <c r="J71" i="3"/>
  <c r="C77" i="8"/>
  <c r="D76" i="8"/>
  <c r="M76" i="8" s="1"/>
  <c r="G72" i="3" s="1"/>
  <c r="E76" i="8"/>
  <c r="N76" i="8" s="1"/>
  <c r="I72" i="3" s="1"/>
  <c r="F76" i="8"/>
  <c r="O76" i="8" s="1"/>
  <c r="B70" i="4" s="1"/>
  <c r="C70" i="4" s="1"/>
  <c r="P70" i="3"/>
  <c r="D70" i="4"/>
  <c r="B72" i="3" s="1"/>
  <c r="C72" i="3" s="1"/>
  <c r="F71" i="3"/>
  <c r="E68" i="4"/>
  <c r="E85" i="3" l="1"/>
  <c r="D85" i="3"/>
  <c r="A86" i="3"/>
  <c r="M72" i="3"/>
  <c r="N72" i="3"/>
  <c r="H72" i="3"/>
  <c r="AL72" i="3"/>
  <c r="O72" i="3"/>
  <c r="C78" i="8"/>
  <c r="D77" i="8"/>
  <c r="M77" i="8" s="1"/>
  <c r="G73" i="3" s="1"/>
  <c r="F77" i="8"/>
  <c r="O77" i="8" s="1"/>
  <c r="B71" i="4" s="1"/>
  <c r="C71" i="4" s="1"/>
  <c r="E77" i="8"/>
  <c r="N77" i="8" s="1"/>
  <c r="I73" i="3" s="1"/>
  <c r="J72" i="3"/>
  <c r="P71" i="3"/>
  <c r="F72" i="3"/>
  <c r="D71" i="4"/>
  <c r="E69" i="4"/>
  <c r="E86" i="3" l="1"/>
  <c r="A87" i="3"/>
  <c r="D86" i="3"/>
  <c r="M73" i="3"/>
  <c r="N73" i="3"/>
  <c r="H73" i="3"/>
  <c r="AL73" i="3"/>
  <c r="E70" i="4"/>
  <c r="B73" i="3"/>
  <c r="C73" i="3" s="1"/>
  <c r="F73" i="3" s="1"/>
  <c r="O73" i="3"/>
  <c r="C79" i="8"/>
  <c r="E78" i="8"/>
  <c r="N78" i="8" s="1"/>
  <c r="I74" i="3" s="1"/>
  <c r="F78" i="8"/>
  <c r="O78" i="8" s="1"/>
  <c r="B72" i="4" s="1"/>
  <c r="C72" i="4" s="1"/>
  <c r="D78" i="8"/>
  <c r="M78" i="8" s="1"/>
  <c r="G74" i="3" s="1"/>
  <c r="P72" i="3"/>
  <c r="J73" i="3"/>
  <c r="D72" i="4"/>
  <c r="E87" i="3" l="1"/>
  <c r="D87" i="3"/>
  <c r="A88" i="3"/>
  <c r="N74" i="3"/>
  <c r="M74" i="3"/>
  <c r="H74" i="3"/>
  <c r="AL74" i="3"/>
  <c r="E71" i="4"/>
  <c r="B74" i="3"/>
  <c r="C74" i="3" s="1"/>
  <c r="F74" i="3" s="1"/>
  <c r="J74" i="3"/>
  <c r="C80" i="8"/>
  <c r="D79" i="8"/>
  <c r="M79" i="8" s="1"/>
  <c r="G75" i="3" s="1"/>
  <c r="E79" i="8"/>
  <c r="N79" i="8" s="1"/>
  <c r="I75" i="3" s="1"/>
  <c r="F79" i="8"/>
  <c r="O79" i="8" s="1"/>
  <c r="B73" i="4" s="1"/>
  <c r="C73" i="4" s="1"/>
  <c r="O74" i="3"/>
  <c r="P73" i="3"/>
  <c r="D73" i="4"/>
  <c r="E88" i="3" l="1"/>
  <c r="A89" i="3"/>
  <c r="D88" i="3"/>
  <c r="N75" i="3"/>
  <c r="M75" i="3"/>
  <c r="H75" i="3"/>
  <c r="AL75" i="3"/>
  <c r="E72" i="4"/>
  <c r="B75" i="3"/>
  <c r="C75" i="3" s="1"/>
  <c r="F75" i="3" s="1"/>
  <c r="P74" i="3"/>
  <c r="J75" i="3"/>
  <c r="O75" i="3"/>
  <c r="C81" i="8"/>
  <c r="E80" i="8"/>
  <c r="N80" i="8" s="1"/>
  <c r="I76" i="3" s="1"/>
  <c r="F80" i="8"/>
  <c r="O80" i="8" s="1"/>
  <c r="B74" i="4" s="1"/>
  <c r="C74" i="4" s="1"/>
  <c r="D80" i="8"/>
  <c r="M80" i="8" s="1"/>
  <c r="G76" i="3" s="1"/>
  <c r="D74" i="4"/>
  <c r="E89" i="3" l="1"/>
  <c r="D89" i="3"/>
  <c r="A90" i="3"/>
  <c r="M76" i="3"/>
  <c r="N76" i="3"/>
  <c r="H76" i="3"/>
  <c r="AL76" i="3"/>
  <c r="E73" i="4"/>
  <c r="B76" i="3"/>
  <c r="C76" i="3" s="1"/>
  <c r="F76" i="3" s="1"/>
  <c r="O76" i="3"/>
  <c r="P75" i="3"/>
  <c r="J76" i="3"/>
  <c r="C82" i="8"/>
  <c r="D81" i="8"/>
  <c r="M81" i="8" s="1"/>
  <c r="G77" i="3" s="1"/>
  <c r="E81" i="8"/>
  <c r="N81" i="8" s="1"/>
  <c r="I77" i="3" s="1"/>
  <c r="F81" i="8"/>
  <c r="O81" i="8" s="1"/>
  <c r="B75" i="4" s="1"/>
  <c r="C75" i="4" s="1"/>
  <c r="D75" i="4"/>
  <c r="B77" i="3" s="1"/>
  <c r="C77" i="3" s="1"/>
  <c r="E90" i="3" l="1"/>
  <c r="A91" i="3"/>
  <c r="D90" i="3"/>
  <c r="M77" i="3"/>
  <c r="N77" i="3"/>
  <c r="H77" i="3"/>
  <c r="AL77" i="3"/>
  <c r="J77" i="3"/>
  <c r="C83" i="8"/>
  <c r="D82" i="8"/>
  <c r="M82" i="8" s="1"/>
  <c r="G78" i="3" s="1"/>
  <c r="E82" i="8"/>
  <c r="N82" i="8" s="1"/>
  <c r="I78" i="3" s="1"/>
  <c r="F82" i="8"/>
  <c r="O82" i="8" s="1"/>
  <c r="B76" i="4" s="1"/>
  <c r="C76" i="4" s="1"/>
  <c r="O77" i="3"/>
  <c r="P76" i="3"/>
  <c r="D76" i="4"/>
  <c r="F77" i="3"/>
  <c r="E74" i="4"/>
  <c r="E91" i="3" l="1"/>
  <c r="D91" i="3"/>
  <c r="A92" i="3"/>
  <c r="N78" i="3"/>
  <c r="M78" i="3"/>
  <c r="H78" i="3"/>
  <c r="AL78" i="3"/>
  <c r="E75" i="4"/>
  <c r="B78" i="3"/>
  <c r="C78" i="3" s="1"/>
  <c r="F78" i="3" s="1"/>
  <c r="J78" i="3"/>
  <c r="C84" i="8"/>
  <c r="F83" i="8"/>
  <c r="O83" i="8" s="1"/>
  <c r="B77" i="4" s="1"/>
  <c r="C77" i="4" s="1"/>
  <c r="D83" i="8"/>
  <c r="M83" i="8" s="1"/>
  <c r="G79" i="3" s="1"/>
  <c r="E83" i="8"/>
  <c r="N83" i="8" s="1"/>
  <c r="I79" i="3" s="1"/>
  <c r="O78" i="3"/>
  <c r="P77" i="3"/>
  <c r="D77" i="4"/>
  <c r="E92" i="3" l="1"/>
  <c r="D92" i="3"/>
  <c r="A93" i="3"/>
  <c r="N79" i="3"/>
  <c r="M79" i="3"/>
  <c r="E76" i="4"/>
  <c r="B79" i="3"/>
  <c r="C79" i="3" s="1"/>
  <c r="F79" i="3" s="1"/>
  <c r="H79" i="3"/>
  <c r="AL79" i="3"/>
  <c r="J79" i="3"/>
  <c r="O79" i="3"/>
  <c r="C85" i="8"/>
  <c r="E84" i="8"/>
  <c r="N84" i="8" s="1"/>
  <c r="I80" i="3" s="1"/>
  <c r="D84" i="8"/>
  <c r="M84" i="8" s="1"/>
  <c r="G80" i="3" s="1"/>
  <c r="F84" i="8"/>
  <c r="O84" i="8" s="1"/>
  <c r="B78" i="4" s="1"/>
  <c r="C78" i="4" s="1"/>
  <c r="P78" i="3"/>
  <c r="D78" i="4"/>
  <c r="E93" i="3" l="1"/>
  <c r="A94" i="3"/>
  <c r="D93" i="3"/>
  <c r="M80" i="3"/>
  <c r="N80" i="3"/>
  <c r="H80" i="3"/>
  <c r="AL80" i="3"/>
  <c r="E77" i="4"/>
  <c r="B80" i="3"/>
  <c r="C80" i="3" s="1"/>
  <c r="F80" i="3" s="1"/>
  <c r="P79" i="3"/>
  <c r="O80" i="3"/>
  <c r="J80" i="3"/>
  <c r="C86" i="8"/>
  <c r="D85" i="8"/>
  <c r="M85" i="8" s="1"/>
  <c r="G81" i="3" s="1"/>
  <c r="F85" i="8"/>
  <c r="O85" i="8" s="1"/>
  <c r="B79" i="4" s="1"/>
  <c r="C79" i="4" s="1"/>
  <c r="E85" i="8"/>
  <c r="N85" i="8" s="1"/>
  <c r="I81" i="3" s="1"/>
  <c r="D79" i="4"/>
  <c r="B81" i="3" s="1"/>
  <c r="C81" i="3" s="1"/>
  <c r="E94" i="3" l="1"/>
  <c r="D94" i="3"/>
  <c r="A95" i="3"/>
  <c r="M81" i="3"/>
  <c r="N81" i="3"/>
  <c r="H81" i="3"/>
  <c r="AL81" i="3"/>
  <c r="J81" i="3"/>
  <c r="P80" i="3"/>
  <c r="O81" i="3"/>
  <c r="C87" i="8"/>
  <c r="E86" i="8"/>
  <c r="N86" i="8" s="1"/>
  <c r="I82" i="3" s="1"/>
  <c r="F86" i="8"/>
  <c r="O86" i="8" s="1"/>
  <c r="B80" i="4" s="1"/>
  <c r="C80" i="4" s="1"/>
  <c r="D86" i="8"/>
  <c r="M86" i="8" s="1"/>
  <c r="G82" i="3" s="1"/>
  <c r="F81" i="3"/>
  <c r="D80" i="4"/>
  <c r="B82" i="3" s="1"/>
  <c r="C82" i="3" s="1"/>
  <c r="E78" i="4"/>
  <c r="E95" i="3" l="1"/>
  <c r="A96" i="3"/>
  <c r="D95" i="3"/>
  <c r="N82" i="3"/>
  <c r="M82" i="3"/>
  <c r="H82" i="3"/>
  <c r="AL82" i="3"/>
  <c r="C88" i="8"/>
  <c r="E87" i="8"/>
  <c r="N87" i="8" s="1"/>
  <c r="I83" i="3" s="1"/>
  <c r="F87" i="8"/>
  <c r="O87" i="8" s="1"/>
  <c r="B81" i="4" s="1"/>
  <c r="C81" i="4" s="1"/>
  <c r="D87" i="8"/>
  <c r="M87" i="8" s="1"/>
  <c r="G83" i="3" s="1"/>
  <c r="O82" i="3"/>
  <c r="J82" i="3"/>
  <c r="P81" i="3"/>
  <c r="D81" i="4"/>
  <c r="F82" i="3"/>
  <c r="E79" i="4"/>
  <c r="E96" i="3" l="1"/>
  <c r="D96" i="3"/>
  <c r="A97" i="3"/>
  <c r="N83" i="3"/>
  <c r="M83" i="3"/>
  <c r="E80" i="4"/>
  <c r="B83" i="3"/>
  <c r="C83" i="3" s="1"/>
  <c r="F83" i="3" s="1"/>
  <c r="H83" i="3"/>
  <c r="AL83" i="3"/>
  <c r="O83" i="3"/>
  <c r="J83" i="3"/>
  <c r="C89" i="8"/>
  <c r="E88" i="8"/>
  <c r="N88" i="8" s="1"/>
  <c r="I84" i="3" s="1"/>
  <c r="F88" i="8"/>
  <c r="O88" i="8" s="1"/>
  <c r="B82" i="4" s="1"/>
  <c r="C82" i="4" s="1"/>
  <c r="D88" i="8"/>
  <c r="M88" i="8" s="1"/>
  <c r="G84" i="3" s="1"/>
  <c r="P82" i="3"/>
  <c r="D82" i="4"/>
  <c r="B84" i="3" s="1"/>
  <c r="C84" i="3" s="1"/>
  <c r="E97" i="3" l="1"/>
  <c r="A98" i="3"/>
  <c r="D97" i="3"/>
  <c r="M84" i="3"/>
  <c r="N84" i="3"/>
  <c r="H84" i="3"/>
  <c r="AL84" i="3"/>
  <c r="C90" i="8"/>
  <c r="D89" i="8"/>
  <c r="M89" i="8" s="1"/>
  <c r="G85" i="3" s="1"/>
  <c r="F89" i="8"/>
  <c r="O89" i="8" s="1"/>
  <c r="B83" i="4" s="1"/>
  <c r="C83" i="4" s="1"/>
  <c r="E89" i="8"/>
  <c r="N89" i="8" s="1"/>
  <c r="I85" i="3" s="1"/>
  <c r="J84" i="3"/>
  <c r="O84" i="3"/>
  <c r="P83" i="3"/>
  <c r="F84" i="3"/>
  <c r="D83" i="4"/>
  <c r="E81" i="4"/>
  <c r="E98" i="3" l="1"/>
  <c r="A99" i="3"/>
  <c r="D98" i="3"/>
  <c r="M85" i="3"/>
  <c r="N85" i="3"/>
  <c r="H85" i="3"/>
  <c r="AL85" i="3"/>
  <c r="E82" i="4"/>
  <c r="B85" i="3"/>
  <c r="C85" i="3" s="1"/>
  <c r="F85" i="3" s="1"/>
  <c r="J85" i="3"/>
  <c r="O85" i="3"/>
  <c r="P84" i="3"/>
  <c r="C91" i="8"/>
  <c r="D90" i="8"/>
  <c r="M90" i="8" s="1"/>
  <c r="G86" i="3" s="1"/>
  <c r="E90" i="8"/>
  <c r="N90" i="8" s="1"/>
  <c r="I86" i="3" s="1"/>
  <c r="F90" i="8"/>
  <c r="O90" i="8" s="1"/>
  <c r="B84" i="4" s="1"/>
  <c r="C84" i="4" s="1"/>
  <c r="D84" i="4"/>
  <c r="B86" i="3" s="1"/>
  <c r="C86" i="3" s="1"/>
  <c r="E99" i="3" l="1"/>
  <c r="D99" i="3"/>
  <c r="A100" i="3"/>
  <c r="N86" i="3"/>
  <c r="M86" i="3"/>
  <c r="H86" i="3"/>
  <c r="AL86" i="3"/>
  <c r="O86" i="3"/>
  <c r="C92" i="8"/>
  <c r="F91" i="8"/>
  <c r="O91" i="8" s="1"/>
  <c r="B85" i="4" s="1"/>
  <c r="C85" i="4" s="1"/>
  <c r="D91" i="8"/>
  <c r="M91" i="8" s="1"/>
  <c r="G87" i="3" s="1"/>
  <c r="E91" i="8"/>
  <c r="N91" i="8" s="1"/>
  <c r="I87" i="3" s="1"/>
  <c r="P85" i="3"/>
  <c r="J86" i="3"/>
  <c r="D85" i="4"/>
  <c r="F86" i="3"/>
  <c r="E83" i="4"/>
  <c r="E100" i="3" l="1"/>
  <c r="A101" i="3"/>
  <c r="D100" i="3"/>
  <c r="N87" i="3"/>
  <c r="M87" i="3"/>
  <c r="E84" i="4"/>
  <c r="B87" i="3"/>
  <c r="C87" i="3" s="1"/>
  <c r="F87" i="3" s="1"/>
  <c r="H87" i="3"/>
  <c r="AL87" i="3"/>
  <c r="C93" i="8"/>
  <c r="F92" i="8"/>
  <c r="O92" i="8" s="1"/>
  <c r="B86" i="4" s="1"/>
  <c r="C86" i="4" s="1"/>
  <c r="D92" i="8"/>
  <c r="M92" i="8" s="1"/>
  <c r="G88" i="3" s="1"/>
  <c r="E92" i="8"/>
  <c r="N92" i="8" s="1"/>
  <c r="I88" i="3" s="1"/>
  <c r="J87" i="3"/>
  <c r="O87" i="3"/>
  <c r="P86" i="3"/>
  <c r="D86" i="4"/>
  <c r="B88" i="3" s="1"/>
  <c r="C88" i="3" s="1"/>
  <c r="E101" i="3" l="1"/>
  <c r="A102" i="3"/>
  <c r="D101" i="3"/>
  <c r="M88" i="3"/>
  <c r="N88" i="3"/>
  <c r="H88" i="3"/>
  <c r="AL88" i="3"/>
  <c r="P87" i="3"/>
  <c r="J88" i="3"/>
  <c r="O88" i="3"/>
  <c r="C94" i="8"/>
  <c r="D93" i="8"/>
  <c r="M93" i="8" s="1"/>
  <c r="G89" i="3" s="1"/>
  <c r="F93" i="8"/>
  <c r="O93" i="8" s="1"/>
  <c r="B87" i="4" s="1"/>
  <c r="C87" i="4" s="1"/>
  <c r="E93" i="8"/>
  <c r="N93" i="8" s="1"/>
  <c r="I89" i="3" s="1"/>
  <c r="F88" i="3"/>
  <c r="D87" i="4"/>
  <c r="E85" i="4"/>
  <c r="E102" i="3" l="1"/>
  <c r="A103" i="3"/>
  <c r="D102" i="3"/>
  <c r="M89" i="3"/>
  <c r="N89" i="3"/>
  <c r="E86" i="4"/>
  <c r="B89" i="3"/>
  <c r="C89" i="3" s="1"/>
  <c r="F89" i="3" s="1"/>
  <c r="H89" i="3"/>
  <c r="AL89" i="3"/>
  <c r="C95" i="8"/>
  <c r="E94" i="8"/>
  <c r="N94" i="8" s="1"/>
  <c r="I90" i="3" s="1"/>
  <c r="F94" i="8"/>
  <c r="O94" i="8" s="1"/>
  <c r="B88" i="4" s="1"/>
  <c r="C88" i="4" s="1"/>
  <c r="D94" i="8"/>
  <c r="M94" i="8" s="1"/>
  <c r="G90" i="3" s="1"/>
  <c r="O89" i="3"/>
  <c r="J89" i="3"/>
  <c r="P88" i="3"/>
  <c r="D88" i="4"/>
  <c r="E103" i="3" l="1"/>
  <c r="A104" i="3"/>
  <c r="D104" i="3" s="1"/>
  <c r="D103" i="3"/>
  <c r="N90" i="3"/>
  <c r="M90" i="3"/>
  <c r="H90" i="3"/>
  <c r="AL90" i="3"/>
  <c r="E87" i="4"/>
  <c r="B90" i="3"/>
  <c r="C90" i="3" s="1"/>
  <c r="F90" i="3" s="1"/>
  <c r="O90" i="3"/>
  <c r="J90" i="3"/>
  <c r="C96" i="8"/>
  <c r="D95" i="8"/>
  <c r="M95" i="8" s="1"/>
  <c r="G91" i="3" s="1"/>
  <c r="E95" i="8"/>
  <c r="N95" i="8" s="1"/>
  <c r="I91" i="3" s="1"/>
  <c r="F95" i="8"/>
  <c r="O95" i="8" s="1"/>
  <c r="B89" i="4" s="1"/>
  <c r="C89" i="4" s="1"/>
  <c r="P89" i="3"/>
  <c r="D89" i="4"/>
  <c r="E104" i="3" l="1"/>
  <c r="N91" i="3"/>
  <c r="M91" i="3"/>
  <c r="E88" i="4"/>
  <c r="B91" i="3"/>
  <c r="C91" i="3" s="1"/>
  <c r="H91" i="3"/>
  <c r="AL91" i="3"/>
  <c r="P90" i="3"/>
  <c r="J91" i="3"/>
  <c r="C97" i="8"/>
  <c r="E96" i="8"/>
  <c r="N96" i="8" s="1"/>
  <c r="I92" i="3" s="1"/>
  <c r="D96" i="8"/>
  <c r="M96" i="8" s="1"/>
  <c r="G92" i="3" s="1"/>
  <c r="F96" i="8"/>
  <c r="O96" i="8" s="1"/>
  <c r="B90" i="4" s="1"/>
  <c r="C90" i="4" s="1"/>
  <c r="O91" i="3"/>
  <c r="D90" i="4"/>
  <c r="M92" i="3" l="1"/>
  <c r="N92" i="3"/>
  <c r="H92" i="3"/>
  <c r="AL92" i="3"/>
  <c r="E89" i="4"/>
  <c r="B92" i="3"/>
  <c r="C92" i="3" s="1"/>
  <c r="P91" i="3"/>
  <c r="O92" i="3"/>
  <c r="J92" i="3"/>
  <c r="C98" i="8"/>
  <c r="D97" i="8"/>
  <c r="M97" i="8" s="1"/>
  <c r="G93" i="3" s="1"/>
  <c r="F97" i="8"/>
  <c r="O97" i="8" s="1"/>
  <c r="B91" i="4" s="1"/>
  <c r="C91" i="4" s="1"/>
  <c r="E97" i="8"/>
  <c r="N97" i="8" s="1"/>
  <c r="I93" i="3" s="1"/>
  <c r="D91" i="4"/>
  <c r="B93" i="3" s="1"/>
  <c r="C93" i="3" s="1"/>
  <c r="F91" i="3"/>
  <c r="M93" i="3" l="1"/>
  <c r="N93" i="3"/>
  <c r="H93" i="3"/>
  <c r="AL93" i="3"/>
  <c r="P92" i="3"/>
  <c r="C99" i="8"/>
  <c r="D98" i="8"/>
  <c r="M98" i="8" s="1"/>
  <c r="G94" i="3" s="1"/>
  <c r="E98" i="8"/>
  <c r="N98" i="8" s="1"/>
  <c r="I94" i="3" s="1"/>
  <c r="F98" i="8"/>
  <c r="O98" i="8" s="1"/>
  <c r="B92" i="4" s="1"/>
  <c r="C92" i="4" s="1"/>
  <c r="J93" i="3"/>
  <c r="O93" i="3"/>
  <c r="F92" i="3"/>
  <c r="D92" i="4"/>
  <c r="E90" i="4"/>
  <c r="N94" i="3" l="1"/>
  <c r="M94" i="3"/>
  <c r="E91" i="4"/>
  <c r="B94" i="3"/>
  <c r="C94" i="3" s="1"/>
  <c r="H94" i="3"/>
  <c r="AL94" i="3"/>
  <c r="C100" i="8"/>
  <c r="F99" i="8"/>
  <c r="O99" i="8" s="1"/>
  <c r="B93" i="4" s="1"/>
  <c r="C93" i="4" s="1"/>
  <c r="D99" i="8"/>
  <c r="M99" i="8" s="1"/>
  <c r="G95" i="3" s="1"/>
  <c r="E99" i="8"/>
  <c r="N99" i="8" s="1"/>
  <c r="I95" i="3" s="1"/>
  <c r="J94" i="3"/>
  <c r="P93" i="3"/>
  <c r="O94" i="3"/>
  <c r="D93" i="4"/>
  <c r="F93" i="3"/>
  <c r="N95" i="3" l="1"/>
  <c r="M95" i="3"/>
  <c r="H95" i="3"/>
  <c r="AL95" i="3"/>
  <c r="E92" i="4"/>
  <c r="B95" i="3"/>
  <c r="C95" i="3" s="1"/>
  <c r="J95" i="3"/>
  <c r="O95" i="3"/>
  <c r="P94" i="3"/>
  <c r="C101" i="8"/>
  <c r="F100" i="8"/>
  <c r="O100" i="8" s="1"/>
  <c r="B94" i="4" s="1"/>
  <c r="C94" i="4" s="1"/>
  <c r="D100" i="8"/>
  <c r="M100" i="8" s="1"/>
  <c r="G96" i="3" s="1"/>
  <c r="E100" i="8"/>
  <c r="N100" i="8" s="1"/>
  <c r="I96" i="3" s="1"/>
  <c r="D94" i="4"/>
  <c r="F94" i="3"/>
  <c r="M96" i="3" l="1"/>
  <c r="N96" i="3"/>
  <c r="H96" i="3"/>
  <c r="AL96" i="3"/>
  <c r="E93" i="4"/>
  <c r="B96" i="3"/>
  <c r="C96" i="3" s="1"/>
  <c r="J96" i="3"/>
  <c r="P95" i="3"/>
  <c r="O96" i="3"/>
  <c r="C102" i="8"/>
  <c r="D101" i="8"/>
  <c r="M101" i="8" s="1"/>
  <c r="G97" i="3" s="1"/>
  <c r="F101" i="8"/>
  <c r="O101" i="8" s="1"/>
  <c r="B95" i="4" s="1"/>
  <c r="C95" i="4" s="1"/>
  <c r="E101" i="8"/>
  <c r="N101" i="8" s="1"/>
  <c r="I97" i="3" s="1"/>
  <c r="D95" i="4"/>
  <c r="B97" i="3" s="1"/>
  <c r="C97" i="3" s="1"/>
  <c r="F95" i="3"/>
  <c r="M97" i="3" l="1"/>
  <c r="N97" i="3"/>
  <c r="H97" i="3"/>
  <c r="AL97" i="3"/>
  <c r="P96" i="3"/>
  <c r="J97" i="3"/>
  <c r="C103" i="8"/>
  <c r="E102" i="8"/>
  <c r="N102" i="8" s="1"/>
  <c r="I98" i="3" s="1"/>
  <c r="F102" i="8"/>
  <c r="O102" i="8" s="1"/>
  <c r="B96" i="4" s="1"/>
  <c r="C96" i="4" s="1"/>
  <c r="D102" i="8"/>
  <c r="M102" i="8" s="1"/>
  <c r="G98" i="3" s="1"/>
  <c r="O97" i="3"/>
  <c r="D96" i="4"/>
  <c r="F96" i="3"/>
  <c r="E94" i="4"/>
  <c r="N98" i="3" l="1"/>
  <c r="M98" i="3"/>
  <c r="H98" i="3"/>
  <c r="AL98" i="3"/>
  <c r="E95" i="4"/>
  <c r="B98" i="3"/>
  <c r="C98" i="3" s="1"/>
  <c r="F98" i="3" s="1"/>
  <c r="P97" i="3"/>
  <c r="O98" i="3"/>
  <c r="J98" i="3"/>
  <c r="C104" i="8"/>
  <c r="D103" i="8"/>
  <c r="M103" i="8" s="1"/>
  <c r="G99" i="3" s="1"/>
  <c r="F103" i="8"/>
  <c r="O103" i="8" s="1"/>
  <c r="B97" i="4" s="1"/>
  <c r="C97" i="4" s="1"/>
  <c r="E103" i="8"/>
  <c r="N103" i="8" s="1"/>
  <c r="I99" i="3" s="1"/>
  <c r="F97" i="3"/>
  <c r="D97" i="4"/>
  <c r="B99" i="3" s="1"/>
  <c r="C99" i="3" s="1"/>
  <c r="N99" i="3" l="1"/>
  <c r="M99" i="3"/>
  <c r="H99" i="3"/>
  <c r="AL99" i="3"/>
  <c r="P98" i="3"/>
  <c r="C105" i="8"/>
  <c r="E104" i="8"/>
  <c r="N104" i="8" s="1"/>
  <c r="I100" i="3" s="1"/>
  <c r="F104" i="8"/>
  <c r="O104" i="8" s="1"/>
  <c r="B98" i="4" s="1"/>
  <c r="C98" i="4" s="1"/>
  <c r="D104" i="8"/>
  <c r="M104" i="8" s="1"/>
  <c r="G100" i="3" s="1"/>
  <c r="O99" i="3"/>
  <c r="J99" i="3"/>
  <c r="F99" i="3"/>
  <c r="D98" i="4"/>
  <c r="B100" i="3" s="1"/>
  <c r="C100" i="3" s="1"/>
  <c r="E96" i="4"/>
  <c r="M100" i="3" l="1"/>
  <c r="N100" i="3"/>
  <c r="H100" i="3"/>
  <c r="AL100" i="3"/>
  <c r="O100" i="3"/>
  <c r="J100" i="3"/>
  <c r="C106" i="8"/>
  <c r="D105" i="8"/>
  <c r="M105" i="8" s="1"/>
  <c r="G101" i="3" s="1"/>
  <c r="E105" i="8"/>
  <c r="N105" i="8" s="1"/>
  <c r="I101" i="3" s="1"/>
  <c r="F105" i="8"/>
  <c r="O105" i="8" s="1"/>
  <c r="B99" i="4" s="1"/>
  <c r="C99" i="4" s="1"/>
  <c r="P99" i="3"/>
  <c r="F100" i="3"/>
  <c r="D99" i="4"/>
  <c r="E97" i="4"/>
  <c r="M101" i="3" l="1"/>
  <c r="N101" i="3"/>
  <c r="E98" i="4"/>
  <c r="B101" i="3"/>
  <c r="C101" i="3" s="1"/>
  <c r="F101" i="3" s="1"/>
  <c r="H101" i="3"/>
  <c r="AL101" i="3"/>
  <c r="O101" i="3"/>
  <c r="C107" i="8"/>
  <c r="D106" i="8"/>
  <c r="M106" i="8" s="1"/>
  <c r="G102" i="3" s="1"/>
  <c r="E106" i="8"/>
  <c r="N106" i="8" s="1"/>
  <c r="I102" i="3" s="1"/>
  <c r="F106" i="8"/>
  <c r="O106" i="8" s="1"/>
  <c r="B100" i="4" s="1"/>
  <c r="C100" i="4" s="1"/>
  <c r="J101" i="3"/>
  <c r="P100" i="3"/>
  <c r="D100" i="4"/>
  <c r="N102" i="3" l="1"/>
  <c r="M102" i="3"/>
  <c r="H102" i="3"/>
  <c r="AL102" i="3"/>
  <c r="E99" i="4"/>
  <c r="B102" i="3"/>
  <c r="C102" i="3" s="1"/>
  <c r="F102" i="3" s="1"/>
  <c r="O102" i="3"/>
  <c r="C108" i="8"/>
  <c r="F107" i="8"/>
  <c r="O107" i="8" s="1"/>
  <c r="B101" i="4" s="1"/>
  <c r="C101" i="4" s="1"/>
  <c r="D107" i="8"/>
  <c r="M107" i="8" s="1"/>
  <c r="G103" i="3" s="1"/>
  <c r="E107" i="8"/>
  <c r="N107" i="8" s="1"/>
  <c r="I103" i="3" s="1"/>
  <c r="J102" i="3"/>
  <c r="P101" i="3"/>
  <c r="D101" i="4"/>
  <c r="B103" i="3" s="1"/>
  <c r="C103" i="3" s="1"/>
  <c r="N103" i="3" l="1"/>
  <c r="M103" i="3"/>
  <c r="H103" i="3"/>
  <c r="AL103" i="3"/>
  <c r="O103" i="3"/>
  <c r="J103" i="3"/>
  <c r="E108" i="8"/>
  <c r="N108" i="8" s="1"/>
  <c r="I104" i="3" s="1"/>
  <c r="D108" i="8"/>
  <c r="M108" i="8" s="1"/>
  <c r="G104" i="3" s="1"/>
  <c r="F108" i="8"/>
  <c r="O108" i="8" s="1"/>
  <c r="B102" i="4" s="1"/>
  <c r="C102" i="4" s="1"/>
  <c r="P102" i="3"/>
  <c r="D102" i="4"/>
  <c r="F103" i="3"/>
  <c r="E100" i="4"/>
  <c r="M104" i="3" l="1"/>
  <c r="N104" i="3"/>
  <c r="E101" i="4"/>
  <c r="B104" i="3"/>
  <c r="C104" i="3" s="1"/>
  <c r="H104" i="3"/>
  <c r="AL104" i="3"/>
  <c r="O104" i="3"/>
  <c r="J104" i="3"/>
  <c r="P103" i="3"/>
  <c r="E102" i="4"/>
  <c r="H3" i="3" l="1"/>
  <c r="F97" i="4"/>
  <c r="G97" i="4" s="1"/>
  <c r="I97" i="4" s="1"/>
  <c r="J97" i="4" s="1"/>
  <c r="L99" i="3" s="1"/>
  <c r="P104" i="3"/>
  <c r="P3" i="3" s="1"/>
  <c r="F96" i="4"/>
  <c r="G96" i="4" s="1"/>
  <c r="I96" i="4" s="1"/>
  <c r="J96" i="4" s="1"/>
  <c r="L98" i="3" s="1"/>
  <c r="F98" i="4"/>
  <c r="G98" i="4" s="1"/>
  <c r="I98" i="4" s="1"/>
  <c r="F104" i="3"/>
  <c r="G3" i="3"/>
  <c r="O3" i="3"/>
  <c r="I3" i="3"/>
  <c r="M3" i="3"/>
  <c r="J3" i="3"/>
  <c r="F99" i="4"/>
  <c r="G99" i="4" s="1"/>
  <c r="I99" i="4" s="1"/>
  <c r="F101" i="4"/>
  <c r="G101" i="4" s="1"/>
  <c r="I101" i="4" s="1"/>
  <c r="F102" i="4"/>
  <c r="G102" i="4" s="1"/>
  <c r="I102" i="4" s="1"/>
  <c r="F3" i="4"/>
  <c r="G3" i="4" s="1"/>
  <c r="I3" i="4" s="1"/>
  <c r="F2" i="4"/>
  <c r="G2" i="4" s="1"/>
  <c r="I2" i="4" s="1"/>
  <c r="F4" i="4"/>
  <c r="G4" i="4" s="1"/>
  <c r="I4" i="4" s="1"/>
  <c r="F5" i="4"/>
  <c r="G5" i="4" s="1"/>
  <c r="I5" i="4" s="1"/>
  <c r="F7" i="4"/>
  <c r="G7" i="4" s="1"/>
  <c r="I7" i="4" s="1"/>
  <c r="F6" i="4"/>
  <c r="G6" i="4" s="1"/>
  <c r="I6" i="4" s="1"/>
  <c r="F8" i="4"/>
  <c r="G8" i="4" s="1"/>
  <c r="I8" i="4" s="1"/>
  <c r="F9" i="4"/>
  <c r="G9" i="4" s="1"/>
  <c r="I9" i="4" s="1"/>
  <c r="F10" i="4"/>
  <c r="G10" i="4" s="1"/>
  <c r="I10" i="4" s="1"/>
  <c r="F12" i="4"/>
  <c r="G12" i="4" s="1"/>
  <c r="I12" i="4" s="1"/>
  <c r="F11" i="4"/>
  <c r="G11" i="4" s="1"/>
  <c r="I11" i="4" s="1"/>
  <c r="F13" i="4"/>
  <c r="G13" i="4" s="1"/>
  <c r="I13" i="4" s="1"/>
  <c r="F14" i="4"/>
  <c r="G14" i="4" s="1"/>
  <c r="I14" i="4" s="1"/>
  <c r="F15" i="4"/>
  <c r="G15" i="4" s="1"/>
  <c r="I15" i="4" s="1"/>
  <c r="F16" i="4"/>
  <c r="G16" i="4" s="1"/>
  <c r="I16" i="4" s="1"/>
  <c r="F19" i="4"/>
  <c r="G19" i="4" s="1"/>
  <c r="I19" i="4" s="1"/>
  <c r="F17" i="4"/>
  <c r="G17" i="4" s="1"/>
  <c r="I17" i="4" s="1"/>
  <c r="F18" i="4"/>
  <c r="G18" i="4" s="1"/>
  <c r="I18" i="4" s="1"/>
  <c r="F22" i="4"/>
  <c r="G22" i="4" s="1"/>
  <c r="I22" i="4" s="1"/>
  <c r="F20" i="4"/>
  <c r="G20" i="4" s="1"/>
  <c r="I20" i="4" s="1"/>
  <c r="F21" i="4"/>
  <c r="G21" i="4" s="1"/>
  <c r="I21" i="4" s="1"/>
  <c r="F23" i="4"/>
  <c r="G23" i="4" s="1"/>
  <c r="I23" i="4" s="1"/>
  <c r="F24" i="4"/>
  <c r="G24" i="4" s="1"/>
  <c r="I24" i="4" s="1"/>
  <c r="F26" i="4"/>
  <c r="G26" i="4" s="1"/>
  <c r="I26" i="4" s="1"/>
  <c r="F25" i="4"/>
  <c r="G25" i="4" s="1"/>
  <c r="I25" i="4" s="1"/>
  <c r="F27" i="4"/>
  <c r="G27" i="4" s="1"/>
  <c r="I27" i="4" s="1"/>
  <c r="F29" i="4"/>
  <c r="G29" i="4" s="1"/>
  <c r="I29" i="4" s="1"/>
  <c r="F28" i="4"/>
  <c r="G28" i="4" s="1"/>
  <c r="I28" i="4" s="1"/>
  <c r="F30" i="4"/>
  <c r="G30" i="4" s="1"/>
  <c r="I30" i="4" s="1"/>
  <c r="F32" i="4"/>
  <c r="G32" i="4" s="1"/>
  <c r="I32" i="4" s="1"/>
  <c r="F33" i="4"/>
  <c r="G33" i="4" s="1"/>
  <c r="I33" i="4" s="1"/>
  <c r="F34" i="4"/>
  <c r="G34" i="4" s="1"/>
  <c r="I34" i="4" s="1"/>
  <c r="F35" i="4"/>
  <c r="G35" i="4" s="1"/>
  <c r="I35" i="4" s="1"/>
  <c r="F31" i="4"/>
  <c r="G31" i="4" s="1"/>
  <c r="I31" i="4" s="1"/>
  <c r="F36" i="4"/>
  <c r="G36" i="4" s="1"/>
  <c r="I36" i="4" s="1"/>
  <c r="F37" i="4"/>
  <c r="G37" i="4" s="1"/>
  <c r="I37" i="4" s="1"/>
  <c r="F39" i="4"/>
  <c r="G39" i="4" s="1"/>
  <c r="I39" i="4" s="1"/>
  <c r="F40" i="4"/>
  <c r="G40" i="4" s="1"/>
  <c r="I40" i="4" s="1"/>
  <c r="F41" i="4"/>
  <c r="G41" i="4" s="1"/>
  <c r="I41" i="4" s="1"/>
  <c r="F38" i="4"/>
  <c r="G38" i="4" s="1"/>
  <c r="I38" i="4" s="1"/>
  <c r="F45" i="4"/>
  <c r="G45" i="4" s="1"/>
  <c r="I45" i="4" s="1"/>
  <c r="F42" i="4"/>
  <c r="G42" i="4" s="1"/>
  <c r="I42" i="4" s="1"/>
  <c r="F43" i="4"/>
  <c r="G43" i="4" s="1"/>
  <c r="I43" i="4" s="1"/>
  <c r="F44" i="4"/>
  <c r="G44" i="4" s="1"/>
  <c r="I44" i="4" s="1"/>
  <c r="F48" i="4"/>
  <c r="G48" i="4" s="1"/>
  <c r="I48" i="4" s="1"/>
  <c r="F47" i="4"/>
  <c r="G47" i="4" s="1"/>
  <c r="I47" i="4" s="1"/>
  <c r="F46" i="4"/>
  <c r="G46" i="4" s="1"/>
  <c r="I46" i="4" s="1"/>
  <c r="F50" i="4"/>
  <c r="G50" i="4" s="1"/>
  <c r="I50" i="4" s="1"/>
  <c r="F49" i="4"/>
  <c r="G49" i="4" s="1"/>
  <c r="I49" i="4" s="1"/>
  <c r="F53" i="4"/>
  <c r="G53" i="4" s="1"/>
  <c r="I53" i="4" s="1"/>
  <c r="F52" i="4"/>
  <c r="G52" i="4" s="1"/>
  <c r="I52" i="4" s="1"/>
  <c r="F51" i="4"/>
  <c r="G51" i="4" s="1"/>
  <c r="I51" i="4" s="1"/>
  <c r="F55" i="4"/>
  <c r="G55" i="4" s="1"/>
  <c r="I55" i="4" s="1"/>
  <c r="F54" i="4"/>
  <c r="G54" i="4" s="1"/>
  <c r="I54" i="4" s="1"/>
  <c r="F57" i="4"/>
  <c r="G57" i="4" s="1"/>
  <c r="I57" i="4" s="1"/>
  <c r="F56" i="4"/>
  <c r="G56" i="4" s="1"/>
  <c r="I56" i="4" s="1"/>
  <c r="F58" i="4"/>
  <c r="G58" i="4" s="1"/>
  <c r="I58" i="4" s="1"/>
  <c r="F60" i="4"/>
  <c r="G60" i="4" s="1"/>
  <c r="I60" i="4" s="1"/>
  <c r="F59" i="4"/>
  <c r="G59" i="4" s="1"/>
  <c r="I59" i="4" s="1"/>
  <c r="F61" i="4"/>
  <c r="G61" i="4" s="1"/>
  <c r="I61" i="4" s="1"/>
  <c r="F63" i="4"/>
  <c r="G63" i="4" s="1"/>
  <c r="I63" i="4" s="1"/>
  <c r="F65" i="4"/>
  <c r="G65" i="4" s="1"/>
  <c r="I65" i="4" s="1"/>
  <c r="F62" i="4"/>
  <c r="G62" i="4" s="1"/>
  <c r="I62" i="4" s="1"/>
  <c r="F64" i="4"/>
  <c r="G64" i="4" s="1"/>
  <c r="I64" i="4" s="1"/>
  <c r="F66" i="4"/>
  <c r="G66" i="4" s="1"/>
  <c r="I66" i="4" s="1"/>
  <c r="F67" i="4"/>
  <c r="G67" i="4" s="1"/>
  <c r="I67" i="4" s="1"/>
  <c r="F68" i="4"/>
  <c r="G68" i="4" s="1"/>
  <c r="I68" i="4" s="1"/>
  <c r="F69" i="4"/>
  <c r="G69" i="4" s="1"/>
  <c r="I69" i="4" s="1"/>
  <c r="F70" i="4"/>
  <c r="G70" i="4" s="1"/>
  <c r="I70" i="4" s="1"/>
  <c r="F71" i="4"/>
  <c r="G71" i="4" s="1"/>
  <c r="I71" i="4" s="1"/>
  <c r="F75" i="4"/>
  <c r="G75" i="4" s="1"/>
  <c r="I75" i="4" s="1"/>
  <c r="F72" i="4"/>
  <c r="G72" i="4" s="1"/>
  <c r="I72" i="4" s="1"/>
  <c r="F73" i="4"/>
  <c r="G73" i="4" s="1"/>
  <c r="I73" i="4" s="1"/>
  <c r="F76" i="4"/>
  <c r="G76" i="4" s="1"/>
  <c r="I76" i="4" s="1"/>
  <c r="F74" i="4"/>
  <c r="G74" i="4" s="1"/>
  <c r="I74" i="4" s="1"/>
  <c r="F77" i="4"/>
  <c r="G77" i="4" s="1"/>
  <c r="I77" i="4" s="1"/>
  <c r="F78" i="4"/>
  <c r="G78" i="4" s="1"/>
  <c r="I78" i="4" s="1"/>
  <c r="F80" i="4"/>
  <c r="G80" i="4" s="1"/>
  <c r="I80" i="4" s="1"/>
  <c r="F79" i="4"/>
  <c r="G79" i="4" s="1"/>
  <c r="I79" i="4" s="1"/>
  <c r="F82" i="4"/>
  <c r="G82" i="4" s="1"/>
  <c r="I82" i="4" s="1"/>
  <c r="F84" i="4"/>
  <c r="G84" i="4" s="1"/>
  <c r="I84" i="4" s="1"/>
  <c r="F87" i="4"/>
  <c r="G87" i="4" s="1"/>
  <c r="I87" i="4" s="1"/>
  <c r="F81" i="4"/>
  <c r="G81" i="4" s="1"/>
  <c r="I81" i="4" s="1"/>
  <c r="F86" i="4"/>
  <c r="G86" i="4" s="1"/>
  <c r="I86" i="4" s="1"/>
  <c r="F83" i="4"/>
  <c r="G83" i="4" s="1"/>
  <c r="I83" i="4" s="1"/>
  <c r="F85" i="4"/>
  <c r="G85" i="4" s="1"/>
  <c r="I85" i="4" s="1"/>
  <c r="F88" i="4"/>
  <c r="G88" i="4" s="1"/>
  <c r="I88" i="4" s="1"/>
  <c r="F91" i="4"/>
  <c r="G91" i="4" s="1"/>
  <c r="I91" i="4" s="1"/>
  <c r="F92" i="4"/>
  <c r="G92" i="4" s="1"/>
  <c r="I92" i="4" s="1"/>
  <c r="F89" i="4"/>
  <c r="G89" i="4" s="1"/>
  <c r="I89" i="4" s="1"/>
  <c r="F90" i="4"/>
  <c r="G90" i="4" s="1"/>
  <c r="I90" i="4" s="1"/>
  <c r="F93" i="4"/>
  <c r="G93" i="4" s="1"/>
  <c r="I93" i="4" s="1"/>
  <c r="F95" i="4"/>
  <c r="G95" i="4" s="1"/>
  <c r="I95" i="4" s="1"/>
  <c r="F94" i="4"/>
  <c r="G94" i="4" s="1"/>
  <c r="I94" i="4" s="1"/>
  <c r="F100" i="4"/>
  <c r="G100" i="4" s="1"/>
  <c r="I100" i="4" s="1"/>
  <c r="E37" i="16" l="1"/>
  <c r="K99" i="3"/>
  <c r="N3" i="3"/>
  <c r="K98" i="3"/>
  <c r="J94" i="4"/>
  <c r="L96" i="3" s="1"/>
  <c r="K96" i="3"/>
  <c r="J85" i="4"/>
  <c r="L87" i="3" s="1"/>
  <c r="K87" i="3"/>
  <c r="K82" i="3"/>
  <c r="J80" i="4"/>
  <c r="L82" i="3" s="1"/>
  <c r="K73" i="3"/>
  <c r="J71" i="4"/>
  <c r="L73" i="3" s="1"/>
  <c r="J65" i="4"/>
  <c r="L67" i="3" s="1"/>
  <c r="K67" i="3"/>
  <c r="J54" i="4"/>
  <c r="L56" i="3" s="1"/>
  <c r="K56" i="3"/>
  <c r="K49" i="3"/>
  <c r="J47" i="4"/>
  <c r="L49" i="3" s="1"/>
  <c r="J40" i="4"/>
  <c r="L42" i="3" s="1"/>
  <c r="K42" i="3"/>
  <c r="J32" i="4"/>
  <c r="L34" i="3" s="1"/>
  <c r="K34" i="3"/>
  <c r="J23" i="4"/>
  <c r="L25" i="3" s="1"/>
  <c r="K25" i="3"/>
  <c r="J15" i="4"/>
  <c r="L17" i="3" s="1"/>
  <c r="K17" i="3"/>
  <c r="K14" i="3"/>
  <c r="J12" i="4"/>
  <c r="L14" i="3" s="1"/>
  <c r="J6" i="4"/>
  <c r="L8" i="3" s="1"/>
  <c r="K8" i="3"/>
  <c r="J2" i="4"/>
  <c r="L4" i="3" s="1"/>
  <c r="K4" i="3"/>
  <c r="K101" i="3"/>
  <c r="J99" i="4"/>
  <c r="L101" i="3" s="1"/>
  <c r="J92" i="4"/>
  <c r="L94" i="3" s="1"/>
  <c r="K94" i="3"/>
  <c r="K86" i="3"/>
  <c r="J84" i="4"/>
  <c r="L86" i="3" s="1"/>
  <c r="K75" i="3"/>
  <c r="J73" i="4"/>
  <c r="L75" i="3" s="1"/>
  <c r="K68" i="3"/>
  <c r="J66" i="4"/>
  <c r="L68" i="3" s="1"/>
  <c r="J63" i="4"/>
  <c r="L65" i="3" s="1"/>
  <c r="K65" i="3"/>
  <c r="K57" i="3"/>
  <c r="J55" i="4"/>
  <c r="L57" i="3" s="1"/>
  <c r="K50" i="3"/>
  <c r="J48" i="4"/>
  <c r="L50" i="3" s="1"/>
  <c r="J39" i="4"/>
  <c r="L41" i="3" s="1"/>
  <c r="K41" i="3"/>
  <c r="K32" i="3"/>
  <c r="J30" i="4"/>
  <c r="L32" i="3" s="1"/>
  <c r="K23" i="3"/>
  <c r="J21" i="4"/>
  <c r="L23" i="3" s="1"/>
  <c r="J14" i="4"/>
  <c r="L16" i="3" s="1"/>
  <c r="K16" i="3"/>
  <c r="J10" i="4"/>
  <c r="L12" i="3" s="1"/>
  <c r="K12" i="3"/>
  <c r="J7" i="4"/>
  <c r="L9" i="3" s="1"/>
  <c r="K9" i="3"/>
  <c r="J3" i="4"/>
  <c r="L5" i="3" s="1"/>
  <c r="K5" i="3"/>
  <c r="J93" i="4"/>
  <c r="L95" i="3" s="1"/>
  <c r="K95" i="3"/>
  <c r="K93" i="3"/>
  <c r="J91" i="4"/>
  <c r="L93" i="3" s="1"/>
  <c r="J86" i="4"/>
  <c r="L88" i="3" s="1"/>
  <c r="K88" i="3"/>
  <c r="J82" i="4"/>
  <c r="L84" i="3" s="1"/>
  <c r="K84" i="3"/>
  <c r="J77" i="4"/>
  <c r="L79" i="3" s="1"/>
  <c r="K79" i="3"/>
  <c r="K74" i="3"/>
  <c r="J72" i="4"/>
  <c r="L74" i="3" s="1"/>
  <c r="K71" i="3"/>
  <c r="J69" i="4"/>
  <c r="L71" i="3" s="1"/>
  <c r="K66" i="3"/>
  <c r="J64" i="4"/>
  <c r="L66" i="3" s="1"/>
  <c r="J61" i="4"/>
  <c r="L63" i="3" s="1"/>
  <c r="K63" i="3"/>
  <c r="K58" i="3"/>
  <c r="J56" i="4"/>
  <c r="L58" i="3" s="1"/>
  <c r="J51" i="4"/>
  <c r="L53" i="3" s="1"/>
  <c r="K53" i="3"/>
  <c r="K52" i="3"/>
  <c r="J50" i="4"/>
  <c r="L52" i="3" s="1"/>
  <c r="K46" i="3"/>
  <c r="J44" i="4"/>
  <c r="L46" i="3" s="1"/>
  <c r="J38" i="4"/>
  <c r="L40" i="3" s="1"/>
  <c r="K40" i="3"/>
  <c r="J37" i="4"/>
  <c r="L39" i="3" s="1"/>
  <c r="K39" i="3"/>
  <c r="J34" i="4"/>
  <c r="L36" i="3" s="1"/>
  <c r="K36" i="3"/>
  <c r="J28" i="4"/>
  <c r="L30" i="3" s="1"/>
  <c r="K30" i="3"/>
  <c r="J26" i="4"/>
  <c r="L28" i="3" s="1"/>
  <c r="K28" i="3"/>
  <c r="J20" i="4"/>
  <c r="L22" i="3" s="1"/>
  <c r="K22" i="3"/>
  <c r="J19" i="4"/>
  <c r="L21" i="3" s="1"/>
  <c r="K21" i="3"/>
  <c r="J13" i="4"/>
  <c r="L15" i="3" s="1"/>
  <c r="K15" i="3"/>
  <c r="J9" i="4"/>
  <c r="L11" i="3" s="1"/>
  <c r="K11" i="3"/>
  <c r="J5" i="4"/>
  <c r="L7" i="3" s="1"/>
  <c r="K7" i="3"/>
  <c r="J102" i="4"/>
  <c r="L104" i="3" s="1"/>
  <c r="K104" i="3"/>
  <c r="J89" i="4"/>
  <c r="L91" i="3" s="1"/>
  <c r="K91" i="3"/>
  <c r="K89" i="3"/>
  <c r="J87" i="4"/>
  <c r="L89" i="3" s="1"/>
  <c r="K78" i="3"/>
  <c r="J76" i="4"/>
  <c r="L78" i="3" s="1"/>
  <c r="J67" i="4"/>
  <c r="L69" i="3" s="1"/>
  <c r="K69" i="3"/>
  <c r="K62" i="3"/>
  <c r="J60" i="4"/>
  <c r="L62" i="3" s="1"/>
  <c r="J53" i="4"/>
  <c r="L55" i="3" s="1"/>
  <c r="K55" i="3"/>
  <c r="K44" i="3"/>
  <c r="J42" i="4"/>
  <c r="L44" i="3" s="1"/>
  <c r="K33" i="3"/>
  <c r="J31" i="4"/>
  <c r="L33" i="3" s="1"/>
  <c r="J27" i="4"/>
  <c r="L29" i="3" s="1"/>
  <c r="K29" i="3"/>
  <c r="J18" i="4"/>
  <c r="L20" i="3" s="1"/>
  <c r="K20" i="3"/>
  <c r="J95" i="4"/>
  <c r="L97" i="3" s="1"/>
  <c r="K97" i="3"/>
  <c r="K85" i="3"/>
  <c r="J83" i="4"/>
  <c r="L85" i="3" s="1"/>
  <c r="K80" i="3"/>
  <c r="J78" i="4"/>
  <c r="L80" i="3" s="1"/>
  <c r="J70" i="4"/>
  <c r="L72" i="3" s="1"/>
  <c r="K72" i="3"/>
  <c r="J58" i="4"/>
  <c r="L60" i="3" s="1"/>
  <c r="K60" i="3"/>
  <c r="J49" i="4"/>
  <c r="L51" i="3" s="1"/>
  <c r="K51" i="3"/>
  <c r="J45" i="4"/>
  <c r="L47" i="3" s="1"/>
  <c r="K47" i="3"/>
  <c r="K37" i="3"/>
  <c r="J35" i="4"/>
  <c r="L37" i="3" s="1"/>
  <c r="K27" i="3"/>
  <c r="J25" i="4"/>
  <c r="L27" i="3" s="1"/>
  <c r="J17" i="4"/>
  <c r="L19" i="3" s="1"/>
  <c r="K19" i="3"/>
  <c r="J100" i="4"/>
  <c r="L102" i="3" s="1"/>
  <c r="K102" i="3"/>
  <c r="K92" i="3"/>
  <c r="J90" i="4"/>
  <c r="L92" i="3" s="1"/>
  <c r="J88" i="4"/>
  <c r="L90" i="3" s="1"/>
  <c r="K90" i="3"/>
  <c r="J81" i="4"/>
  <c r="L83" i="3" s="1"/>
  <c r="K83" i="3"/>
  <c r="J79" i="4"/>
  <c r="L81" i="3" s="1"/>
  <c r="K81" i="3"/>
  <c r="J74" i="4"/>
  <c r="L76" i="3" s="1"/>
  <c r="K76" i="3"/>
  <c r="K77" i="3"/>
  <c r="J75" i="4"/>
  <c r="L77" i="3" s="1"/>
  <c r="J68" i="4"/>
  <c r="L70" i="3" s="1"/>
  <c r="K70" i="3"/>
  <c r="J62" i="4"/>
  <c r="L64" i="3" s="1"/>
  <c r="K64" i="3"/>
  <c r="K61" i="3"/>
  <c r="J59" i="4"/>
  <c r="L61" i="3" s="1"/>
  <c r="J57" i="4"/>
  <c r="L59" i="3" s="1"/>
  <c r="K59" i="3"/>
  <c r="J52" i="4"/>
  <c r="L54" i="3" s="1"/>
  <c r="K54" i="3"/>
  <c r="J46" i="4"/>
  <c r="L48" i="3" s="1"/>
  <c r="K48" i="3"/>
  <c r="J43" i="4"/>
  <c r="L45" i="3" s="1"/>
  <c r="K45" i="3"/>
  <c r="J41" i="4"/>
  <c r="L43" i="3" s="1"/>
  <c r="K43" i="3"/>
  <c r="K38" i="3"/>
  <c r="J36" i="4"/>
  <c r="L38" i="3" s="1"/>
  <c r="J33" i="4"/>
  <c r="L35" i="3" s="1"/>
  <c r="K35" i="3"/>
  <c r="J29" i="4"/>
  <c r="L31" i="3" s="1"/>
  <c r="K31" i="3"/>
  <c r="K26" i="3"/>
  <c r="J24" i="4"/>
  <c r="L26" i="3" s="1"/>
  <c r="K24" i="3"/>
  <c r="J22" i="4"/>
  <c r="L24" i="3" s="1"/>
  <c r="J16" i="4"/>
  <c r="L18" i="3" s="1"/>
  <c r="K18" i="3"/>
  <c r="J11" i="4"/>
  <c r="L13" i="3" s="1"/>
  <c r="K13" i="3"/>
  <c r="K10" i="3"/>
  <c r="J8" i="4"/>
  <c r="L10" i="3" s="1"/>
  <c r="K6" i="3"/>
  <c r="J4" i="4"/>
  <c r="L6" i="3" s="1"/>
  <c r="J101" i="4"/>
  <c r="L103" i="3" s="1"/>
  <c r="K103" i="3"/>
  <c r="J98" i="4"/>
  <c r="L100" i="3" s="1"/>
  <c r="K100" i="3"/>
  <c r="V11" i="3" l="1"/>
  <c r="AF11" i="3" s="1"/>
  <c r="U5" i="3"/>
  <c r="AE5" i="3" s="1"/>
  <c r="U12" i="3"/>
  <c r="AE12" i="3" s="1"/>
  <c r="U4" i="3"/>
  <c r="AE4" i="3" s="1"/>
  <c r="K3" i="3"/>
  <c r="V14" i="3"/>
  <c r="AF14" i="3" s="1"/>
  <c r="U10" i="3"/>
  <c r="AE10" i="3" s="1"/>
  <c r="U7" i="3"/>
  <c r="AE7" i="3" s="1"/>
  <c r="V5" i="3"/>
  <c r="AF5" i="3" s="1"/>
  <c r="V12" i="3"/>
  <c r="AF12" i="3" s="1"/>
  <c r="L3" i="3"/>
  <c r="V4" i="3"/>
  <c r="U14" i="3"/>
  <c r="AE14" i="3" s="1"/>
  <c r="V10" i="3"/>
  <c r="AF10" i="3" s="1"/>
  <c r="V6" i="3"/>
  <c r="AF6" i="3" s="1"/>
  <c r="U13" i="3"/>
  <c r="AE13" i="3" s="1"/>
  <c r="V7" i="3"/>
  <c r="AF7" i="3" s="1"/>
  <c r="U9" i="3"/>
  <c r="AE9" i="3" s="1"/>
  <c r="U8" i="3"/>
  <c r="AE8" i="3" s="1"/>
  <c r="U6" i="3"/>
  <c r="AE6" i="3" s="1"/>
  <c r="V13" i="3"/>
  <c r="AF13" i="3" s="1"/>
  <c r="U11" i="3"/>
  <c r="AE11" i="3" s="1"/>
  <c r="V9" i="3"/>
  <c r="AF9" i="3" s="1"/>
  <c r="V8" i="3"/>
  <c r="AF8" i="3" s="1"/>
  <c r="AF4" i="3" l="1"/>
  <c r="C10" i="12" l="1"/>
  <c r="D10" i="12"/>
  <c r="J21" i="16" l="1"/>
  <c r="D21" i="16" s="1"/>
  <c r="B21" i="16" s="1"/>
  <c r="H12" i="7" l="1"/>
  <c r="S15" i="3" l="1"/>
  <c r="AC15" i="3" s="1"/>
  <c r="U15" i="3"/>
  <c r="AE15" i="3" s="1"/>
  <c r="Y15" i="3"/>
  <c r="AI15" i="3" s="1"/>
  <c r="W15" i="3"/>
  <c r="AG15" i="3" s="1"/>
  <c r="R15" i="3"/>
  <c r="AB15" i="3" s="1"/>
  <c r="V15" i="3"/>
  <c r="AF15" i="3" s="1"/>
  <c r="Z15" i="3"/>
  <c r="AJ15" i="3" s="1"/>
  <c r="Q15" i="3"/>
  <c r="T15" i="3"/>
  <c r="AD15" i="3" s="1"/>
  <c r="X15" i="3"/>
  <c r="AH15" i="3" s="1"/>
  <c r="Z26" i="3"/>
  <c r="AJ26" i="3" s="1"/>
  <c r="V59" i="3"/>
  <c r="AF59" i="3" s="1"/>
  <c r="T78" i="3"/>
  <c r="AD78" i="3" s="1"/>
  <c r="X47" i="3"/>
  <c r="AH47" i="3" s="1"/>
  <c r="Q101" i="3"/>
  <c r="AM101" i="3" s="1"/>
  <c r="T37" i="3"/>
  <c r="AD37" i="3" s="1"/>
  <c r="V78" i="3"/>
  <c r="AF78" i="3" s="1"/>
  <c r="V16" i="3"/>
  <c r="AF16" i="3" s="1"/>
  <c r="R52" i="3"/>
  <c r="AB52" i="3" s="1"/>
  <c r="S98" i="3"/>
  <c r="AC98" i="3" s="1"/>
  <c r="S32" i="3"/>
  <c r="AC32" i="3" s="1"/>
  <c r="Z73" i="3"/>
  <c r="AJ73" i="3" s="1"/>
  <c r="U51" i="3"/>
  <c r="AE51" i="3" s="1"/>
  <c r="Z98" i="3"/>
  <c r="AJ98" i="3" s="1"/>
  <c r="V96" i="3"/>
  <c r="AF96" i="3" s="1"/>
  <c r="Y47" i="3"/>
  <c r="AI47" i="3" s="1"/>
  <c r="U73" i="3"/>
  <c r="AE73" i="3" s="1"/>
  <c r="Z79" i="3"/>
  <c r="AJ79" i="3" s="1"/>
  <c r="R95" i="3"/>
  <c r="AB95" i="3" s="1"/>
  <c r="Z34" i="3"/>
  <c r="AJ34" i="3" s="1"/>
  <c r="W101" i="3"/>
  <c r="AG101" i="3" s="1"/>
  <c r="U80" i="3"/>
  <c r="AE80" i="3" s="1"/>
  <c r="Q46" i="3"/>
  <c r="AA46" i="3" s="1"/>
  <c r="R57" i="3"/>
  <c r="AB57" i="3" s="1"/>
  <c r="T20" i="3"/>
  <c r="AD20" i="3" s="1"/>
  <c r="S61" i="3"/>
  <c r="AC61" i="3" s="1"/>
  <c r="U55" i="3"/>
  <c r="AE55" i="3" s="1"/>
  <c r="V92" i="3"/>
  <c r="AF92" i="3" s="1"/>
  <c r="Z68" i="3"/>
  <c r="AJ68" i="3" s="1"/>
  <c r="U28" i="3"/>
  <c r="AE28" i="3" s="1"/>
  <c r="W98" i="3"/>
  <c r="AG98" i="3" s="1"/>
  <c r="W84" i="3"/>
  <c r="AG84" i="3" s="1"/>
  <c r="V90" i="3"/>
  <c r="AF90" i="3" s="1"/>
  <c r="W70" i="3"/>
  <c r="AG70" i="3" s="1"/>
  <c r="S39" i="3"/>
  <c r="AC39" i="3" s="1"/>
  <c r="W82" i="3"/>
  <c r="AG82" i="3" s="1"/>
  <c r="T41" i="3"/>
  <c r="AD41" i="3" s="1"/>
  <c r="X18" i="3"/>
  <c r="AH18" i="3" s="1"/>
  <c r="R75" i="3"/>
  <c r="AB75" i="3" s="1"/>
  <c r="Y31" i="3"/>
  <c r="AI31" i="3" s="1"/>
  <c r="S76" i="3"/>
  <c r="AC76" i="3" s="1"/>
  <c r="Y88" i="3"/>
  <c r="AI88" i="3" s="1"/>
  <c r="Q96" i="3"/>
  <c r="AA96" i="3" s="1"/>
  <c r="T39" i="3"/>
  <c r="AD39" i="3" s="1"/>
  <c r="S73" i="3"/>
  <c r="AC73" i="3" s="1"/>
  <c r="S48" i="3"/>
  <c r="AC48" i="3" s="1"/>
  <c r="S60" i="3"/>
  <c r="AC60" i="3" s="1"/>
  <c r="Q29" i="3"/>
  <c r="AM29" i="3" s="1"/>
  <c r="S74" i="3"/>
  <c r="AC74" i="3" s="1"/>
  <c r="X81" i="3"/>
  <c r="AH81" i="3" s="1"/>
  <c r="U23" i="3"/>
  <c r="AE23" i="3" s="1"/>
  <c r="U84" i="3"/>
  <c r="AE84" i="3" s="1"/>
  <c r="Y72" i="3"/>
  <c r="AI72" i="3" s="1"/>
  <c r="R30" i="3"/>
  <c r="AB30" i="3" s="1"/>
  <c r="Z22" i="3"/>
  <c r="AJ22" i="3" s="1"/>
  <c r="U90" i="3"/>
  <c r="AE90" i="3" s="1"/>
  <c r="W19" i="3"/>
  <c r="AG19" i="3" s="1"/>
  <c r="U61" i="3"/>
  <c r="AE61" i="3" s="1"/>
  <c r="W57" i="3"/>
  <c r="AG57" i="3" s="1"/>
  <c r="S65" i="3"/>
  <c r="AC65" i="3" s="1"/>
  <c r="Y27" i="3"/>
  <c r="AI27" i="3" s="1"/>
  <c r="V103" i="3"/>
  <c r="AF103" i="3" s="1"/>
  <c r="S83" i="3"/>
  <c r="AC83" i="3" s="1"/>
  <c r="U74" i="3"/>
  <c r="AE74" i="3" s="1"/>
  <c r="Y46" i="3"/>
  <c r="AI46" i="3" s="1"/>
  <c r="U21" i="3"/>
  <c r="AE21" i="3" s="1"/>
  <c r="Y77" i="3"/>
  <c r="AI77" i="3" s="1"/>
  <c r="W29" i="3"/>
  <c r="AG29" i="3" s="1"/>
  <c r="Z63" i="3"/>
  <c r="AJ63" i="3" s="1"/>
  <c r="Q97" i="3"/>
  <c r="AM97" i="3" s="1"/>
  <c r="T58" i="3"/>
  <c r="AD58" i="3" s="1"/>
  <c r="X25" i="3"/>
  <c r="AH25" i="3" s="1"/>
  <c r="T26" i="3"/>
  <c r="AD26" i="3" s="1"/>
  <c r="X72" i="3"/>
  <c r="AH72" i="3" s="1"/>
  <c r="T63" i="3"/>
  <c r="AD63" i="3" s="1"/>
  <c r="U68" i="3"/>
  <c r="AE68" i="3" s="1"/>
  <c r="Z91" i="3"/>
  <c r="AJ91" i="3" s="1"/>
  <c r="T60" i="3"/>
  <c r="AD60" i="3" s="1"/>
  <c r="Y97" i="3"/>
  <c r="AI97" i="3" s="1"/>
  <c r="Z66" i="3"/>
  <c r="AJ66" i="3" s="1"/>
  <c r="X39" i="3"/>
  <c r="AH39" i="3" s="1"/>
  <c r="W90" i="3"/>
  <c r="AG90" i="3" s="1"/>
  <c r="Z92" i="3"/>
  <c r="AJ92" i="3" s="1"/>
  <c r="X40" i="3"/>
  <c r="AH40" i="3" s="1"/>
  <c r="Q81" i="3"/>
  <c r="AM81" i="3" s="1"/>
  <c r="Y20" i="3"/>
  <c r="AI20" i="3" s="1"/>
  <c r="T69" i="3"/>
  <c r="AD69" i="3" s="1"/>
  <c r="T61" i="3"/>
  <c r="AD61" i="3" s="1"/>
  <c r="S59" i="3"/>
  <c r="AC59" i="3" s="1"/>
  <c r="W50" i="3"/>
  <c r="AG50" i="3" s="1"/>
  <c r="U19" i="3"/>
  <c r="AE19" i="3" s="1"/>
  <c r="W64" i="3"/>
  <c r="AG64" i="3" s="1"/>
  <c r="T98" i="3"/>
  <c r="AD98" i="3" s="1"/>
  <c r="Q68" i="3"/>
  <c r="AM68" i="3" s="1"/>
  <c r="S81" i="3"/>
  <c r="AC81" i="3" s="1"/>
  <c r="X73" i="3"/>
  <c r="AH73" i="3" s="1"/>
  <c r="V93" i="3"/>
  <c r="AF93" i="3" s="1"/>
  <c r="V67" i="3"/>
  <c r="AF67" i="3" s="1"/>
  <c r="X33" i="3"/>
  <c r="AH33" i="3" s="1"/>
  <c r="R65" i="3"/>
  <c r="AB65" i="3" s="1"/>
  <c r="Z72" i="3"/>
  <c r="AJ72" i="3" s="1"/>
  <c r="S93" i="3"/>
  <c r="AC93" i="3" s="1"/>
  <c r="S104" i="3"/>
  <c r="AC104" i="3" s="1"/>
  <c r="U102" i="3"/>
  <c r="AE102" i="3" s="1"/>
  <c r="R91" i="3"/>
  <c r="AB91" i="3" s="1"/>
  <c r="V99" i="3"/>
  <c r="AF99" i="3" s="1"/>
  <c r="Z37" i="3"/>
  <c r="AJ37" i="3" s="1"/>
  <c r="R66" i="3"/>
  <c r="AB66" i="3" s="1"/>
  <c r="W99" i="3"/>
  <c r="AG99" i="3" s="1"/>
  <c r="Y19" i="3"/>
  <c r="AI19" i="3" s="1"/>
  <c r="U31" i="3"/>
  <c r="AE31" i="3" s="1"/>
  <c r="Q24" i="3"/>
  <c r="AA24" i="3" s="1"/>
  <c r="W39" i="3"/>
  <c r="AG39" i="3" s="1"/>
  <c r="X31" i="3"/>
  <c r="AH31" i="3" s="1"/>
  <c r="U63" i="3"/>
  <c r="AE63" i="3" s="1"/>
  <c r="X50" i="3"/>
  <c r="AH50" i="3" s="1"/>
  <c r="S30" i="3"/>
  <c r="AC30" i="3" s="1"/>
  <c r="V71" i="3"/>
  <c r="AF71" i="3" s="1"/>
  <c r="S90" i="3"/>
  <c r="AC90" i="3" s="1"/>
  <c r="Y81" i="3"/>
  <c r="AI81" i="3" s="1"/>
  <c r="Z78" i="3"/>
  <c r="AJ78" i="3" s="1"/>
  <c r="Z16" i="3"/>
  <c r="AJ16" i="3" s="1"/>
  <c r="X86" i="3"/>
  <c r="AH86" i="3" s="1"/>
  <c r="T90" i="3"/>
  <c r="AD90" i="3" s="1"/>
  <c r="Q25" i="3"/>
  <c r="AM25" i="3" s="1"/>
  <c r="T83" i="3"/>
  <c r="AD83" i="3" s="1"/>
  <c r="Y16" i="3"/>
  <c r="AI16" i="3" s="1"/>
  <c r="Y92" i="3"/>
  <c r="AI92" i="3" s="1"/>
  <c r="W75" i="3"/>
  <c r="AG75" i="3" s="1"/>
  <c r="W22" i="3"/>
  <c r="AG22" i="3" s="1"/>
  <c r="U96" i="3"/>
  <c r="AE96" i="3" s="1"/>
  <c r="V69" i="3"/>
  <c r="AF69" i="3" s="1"/>
  <c r="Y89" i="3"/>
  <c r="AI89" i="3" s="1"/>
  <c r="T87" i="3"/>
  <c r="AD87" i="3" s="1"/>
  <c r="S23" i="3"/>
  <c r="AC23" i="3" s="1"/>
  <c r="X78" i="3"/>
  <c r="AH78" i="3" s="1"/>
  <c r="S44" i="3"/>
  <c r="AC44" i="3" s="1"/>
  <c r="W96" i="3"/>
  <c r="AG96" i="3" s="1"/>
  <c r="V80" i="3"/>
  <c r="AF80" i="3" s="1"/>
  <c r="Y63" i="3"/>
  <c r="AI63" i="3" s="1"/>
  <c r="T56" i="3"/>
  <c r="AD56" i="3" s="1"/>
  <c r="X94" i="3"/>
  <c r="AH94" i="3" s="1"/>
  <c r="W36" i="3"/>
  <c r="AG36" i="3" s="1"/>
  <c r="Y45" i="3"/>
  <c r="AI45" i="3" s="1"/>
  <c r="S57" i="3"/>
  <c r="AC57" i="3" s="1"/>
  <c r="S66" i="3"/>
  <c r="AC66" i="3" s="1"/>
  <c r="T22" i="3"/>
  <c r="AD22" i="3" s="1"/>
  <c r="V87" i="3"/>
  <c r="AF87" i="3" s="1"/>
  <c r="U103" i="3"/>
  <c r="AE103" i="3" s="1"/>
  <c r="X21" i="3"/>
  <c r="AH21" i="3" s="1"/>
  <c r="R71" i="3"/>
  <c r="AB71" i="3" s="1"/>
  <c r="Q71" i="3"/>
  <c r="AA71" i="3" s="1"/>
  <c r="Q64" i="3"/>
  <c r="AA64" i="3" s="1"/>
  <c r="T62" i="3"/>
  <c r="AD62" i="3" s="1"/>
  <c r="X16" i="3"/>
  <c r="AH16" i="3" s="1"/>
  <c r="U75" i="3"/>
  <c r="AE75" i="3" s="1"/>
  <c r="Z94" i="3"/>
  <c r="AJ94" i="3" s="1"/>
  <c r="T21" i="3"/>
  <c r="AD21" i="3" s="1"/>
  <c r="S96" i="3"/>
  <c r="AC96" i="3" s="1"/>
  <c r="Y17" i="3"/>
  <c r="AI17" i="3" s="1"/>
  <c r="Q104" i="3"/>
  <c r="AA104" i="3" s="1"/>
  <c r="T64" i="3"/>
  <c r="AD64" i="3" s="1"/>
  <c r="Z44" i="3"/>
  <c r="AJ44" i="3" s="1"/>
  <c r="W60" i="3"/>
  <c r="AG60" i="3" s="1"/>
  <c r="U46" i="3"/>
  <c r="AE46" i="3" s="1"/>
  <c r="U79" i="3"/>
  <c r="AE79" i="3" s="1"/>
  <c r="Z81" i="3"/>
  <c r="AJ81" i="3" s="1"/>
  <c r="Y25" i="3"/>
  <c r="AI25" i="3" s="1"/>
  <c r="X49" i="3"/>
  <c r="AH49" i="3" s="1"/>
  <c r="V88" i="3"/>
  <c r="AF88" i="3" s="1"/>
  <c r="Y29" i="3"/>
  <c r="AI29" i="3" s="1"/>
  <c r="W95" i="3"/>
  <c r="AG95" i="3" s="1"/>
  <c r="V91" i="3"/>
  <c r="AF91" i="3" s="1"/>
  <c r="Y86" i="3"/>
  <c r="AI86" i="3" s="1"/>
  <c r="Z67" i="3"/>
  <c r="AJ67" i="3" s="1"/>
  <c r="V95" i="3"/>
  <c r="AF95" i="3" s="1"/>
  <c r="U26" i="3"/>
  <c r="AE26" i="3" s="1"/>
  <c r="S80" i="3"/>
  <c r="AC80" i="3" s="1"/>
  <c r="R49" i="3"/>
  <c r="AB49" i="3" s="1"/>
  <c r="W35" i="3"/>
  <c r="AG35" i="3" s="1"/>
  <c r="T97" i="3"/>
  <c r="AD97" i="3" s="1"/>
  <c r="Z57" i="3"/>
  <c r="AJ57" i="3" s="1"/>
  <c r="V64" i="3"/>
  <c r="AF64" i="3" s="1"/>
  <c r="Q49" i="3"/>
  <c r="AA49" i="3" s="1"/>
  <c r="Z21" i="3"/>
  <c r="AJ21" i="3" s="1"/>
  <c r="V51" i="3"/>
  <c r="AF51" i="3" s="1"/>
  <c r="V54" i="3"/>
  <c r="AF54" i="3" s="1"/>
  <c r="Y18" i="3"/>
  <c r="AI18" i="3" s="1"/>
  <c r="Y103" i="3"/>
  <c r="AI103" i="3" s="1"/>
  <c r="U72" i="3"/>
  <c r="AE72" i="3" s="1"/>
  <c r="Q74" i="3"/>
  <c r="AA74" i="3" s="1"/>
  <c r="X32" i="3"/>
  <c r="AH32" i="3" s="1"/>
  <c r="R92" i="3"/>
  <c r="AB92" i="3" s="1"/>
  <c r="W63" i="3"/>
  <c r="AG63" i="3" s="1"/>
  <c r="V102" i="3"/>
  <c r="AF102" i="3" s="1"/>
  <c r="Z75" i="3"/>
  <c r="AJ75" i="3" s="1"/>
  <c r="Y93" i="3"/>
  <c r="AI93" i="3" s="1"/>
  <c r="X30" i="3"/>
  <c r="AH30" i="3" s="1"/>
  <c r="Q89" i="3"/>
  <c r="AA89" i="3" s="1"/>
  <c r="S95" i="3"/>
  <c r="AC95" i="3" s="1"/>
  <c r="Z101" i="3"/>
  <c r="AJ101" i="3" s="1"/>
  <c r="U69" i="3"/>
  <c r="AE69" i="3" s="1"/>
  <c r="Z53" i="3"/>
  <c r="AJ53" i="3" s="1"/>
  <c r="Q100" i="3"/>
  <c r="AA100" i="3" s="1"/>
  <c r="X64" i="3"/>
  <c r="AH64" i="3" s="1"/>
  <c r="X62" i="3"/>
  <c r="AH62" i="3" s="1"/>
  <c r="V34" i="3"/>
  <c r="AF34" i="3" s="1"/>
  <c r="Z56" i="3"/>
  <c r="AJ56" i="3" s="1"/>
  <c r="X65" i="3"/>
  <c r="AH65" i="3" s="1"/>
  <c r="V47" i="3"/>
  <c r="AF47" i="3" s="1"/>
  <c r="Y85" i="3"/>
  <c r="AI85" i="3" s="1"/>
  <c r="R35" i="3"/>
  <c r="AB35" i="3" s="1"/>
  <c r="V104" i="3"/>
  <c r="AF104" i="3" s="1"/>
  <c r="Z45" i="3"/>
  <c r="AJ45" i="3" s="1"/>
  <c r="S88" i="3"/>
  <c r="AC88" i="3" s="1"/>
  <c r="V76" i="3"/>
  <c r="AF76" i="3" s="1"/>
  <c r="U87" i="3"/>
  <c r="AE87" i="3" s="1"/>
  <c r="R39" i="3"/>
  <c r="AB39" i="3" s="1"/>
  <c r="R21" i="3"/>
  <c r="AB21" i="3" s="1"/>
  <c r="X82" i="3"/>
  <c r="AH82" i="3" s="1"/>
  <c r="Q82" i="3"/>
  <c r="AA82" i="3" s="1"/>
  <c r="R31" i="3"/>
  <c r="AB31" i="3" s="1"/>
  <c r="R69" i="3"/>
  <c r="AB69" i="3" s="1"/>
  <c r="X85" i="3"/>
  <c r="AH85" i="3" s="1"/>
  <c r="X98" i="3"/>
  <c r="AH98" i="3" s="1"/>
  <c r="Z64" i="3"/>
  <c r="AJ64" i="3" s="1"/>
  <c r="X101" i="3"/>
  <c r="AH101" i="3" s="1"/>
  <c r="Z54" i="3"/>
  <c r="AJ54" i="3" s="1"/>
  <c r="V52" i="3"/>
  <c r="AF52" i="3" s="1"/>
  <c r="W25" i="3"/>
  <c r="AG25" i="3" s="1"/>
  <c r="Q87" i="3"/>
  <c r="AM87" i="3" s="1"/>
  <c r="V97" i="3"/>
  <c r="AF97" i="3" s="1"/>
  <c r="V84" i="3"/>
  <c r="AF84" i="3" s="1"/>
  <c r="U70" i="3"/>
  <c r="AE70" i="3" s="1"/>
  <c r="W66" i="3"/>
  <c r="AG66" i="3" s="1"/>
  <c r="X27" i="3"/>
  <c r="AH27" i="3" s="1"/>
  <c r="U17" i="3"/>
  <c r="AE17" i="3" s="1"/>
  <c r="R85" i="3"/>
  <c r="AB85" i="3" s="1"/>
  <c r="Z35" i="3"/>
  <c r="AJ35" i="3" s="1"/>
  <c r="T48" i="3"/>
  <c r="AD48" i="3" s="1"/>
  <c r="R26" i="3"/>
  <c r="AB26" i="3" s="1"/>
  <c r="S35" i="3"/>
  <c r="AC35" i="3" s="1"/>
  <c r="S79" i="3"/>
  <c r="AC79" i="3" s="1"/>
  <c r="U54" i="3"/>
  <c r="AE54" i="3" s="1"/>
  <c r="X22" i="3"/>
  <c r="AH22" i="3" s="1"/>
  <c r="S91" i="3"/>
  <c r="AC91" i="3" s="1"/>
  <c r="Z70" i="3"/>
  <c r="AJ70" i="3" s="1"/>
  <c r="T57" i="3"/>
  <c r="AD57" i="3" s="1"/>
  <c r="V85" i="3"/>
  <c r="AF85" i="3" s="1"/>
  <c r="V33" i="3"/>
  <c r="AF33" i="3" s="1"/>
  <c r="W21" i="3"/>
  <c r="AG21" i="3" s="1"/>
  <c r="Z59" i="3"/>
  <c r="AJ59" i="3" s="1"/>
  <c r="Q78" i="3"/>
  <c r="AA78" i="3" s="1"/>
  <c r="S43" i="3"/>
  <c r="AC43" i="3" s="1"/>
  <c r="Q32" i="3"/>
  <c r="AM32" i="3" s="1"/>
  <c r="X55" i="3"/>
  <c r="AH55" i="3" s="1"/>
  <c r="X95" i="3"/>
  <c r="AH95" i="3" s="1"/>
  <c r="Z62" i="3"/>
  <c r="AJ62" i="3" s="1"/>
  <c r="R60" i="3"/>
  <c r="AB60" i="3" s="1"/>
  <c r="Y36" i="3"/>
  <c r="AI36" i="3" s="1"/>
  <c r="X75" i="3"/>
  <c r="AH75" i="3" s="1"/>
  <c r="Q91" i="3"/>
  <c r="AA91" i="3" s="1"/>
  <c r="R22" i="3"/>
  <c r="AB22" i="3" s="1"/>
  <c r="V46" i="3"/>
  <c r="AF46" i="3" s="1"/>
  <c r="T96" i="3"/>
  <c r="AD96" i="3" s="1"/>
  <c r="T94" i="3"/>
  <c r="AD94" i="3" s="1"/>
  <c r="R74" i="3"/>
  <c r="AB74" i="3" s="1"/>
  <c r="T66" i="3"/>
  <c r="AD66" i="3" s="1"/>
  <c r="Q28" i="3"/>
  <c r="AM28" i="3" s="1"/>
  <c r="R104" i="3"/>
  <c r="AB104" i="3" s="1"/>
  <c r="X69" i="3"/>
  <c r="AH69" i="3" s="1"/>
  <c r="X92" i="3"/>
  <c r="AH92" i="3" s="1"/>
  <c r="S54" i="3"/>
  <c r="AC54" i="3" s="1"/>
  <c r="V55" i="3"/>
  <c r="AF55" i="3" s="1"/>
  <c r="R62" i="3"/>
  <c r="AB62" i="3" s="1"/>
  <c r="Y96" i="3"/>
  <c r="AI96" i="3" s="1"/>
  <c r="R77" i="3"/>
  <c r="AB77" i="3" s="1"/>
  <c r="U48" i="3"/>
  <c r="AE48" i="3" s="1"/>
  <c r="R86" i="3"/>
  <c r="AB86" i="3" s="1"/>
  <c r="U41" i="3"/>
  <c r="AE41" i="3" s="1"/>
  <c r="V58" i="3"/>
  <c r="AF58" i="3" s="1"/>
  <c r="U60" i="3"/>
  <c r="AE60" i="3" s="1"/>
  <c r="T73" i="3"/>
  <c r="AD73" i="3" s="1"/>
  <c r="W16" i="3"/>
  <c r="AG16" i="3" s="1"/>
  <c r="T23" i="3"/>
  <c r="AD23" i="3" s="1"/>
  <c r="W44" i="3"/>
  <c r="AG44" i="3" s="1"/>
  <c r="X57" i="3"/>
  <c r="AH57" i="3" s="1"/>
  <c r="Z103" i="3"/>
  <c r="AJ103" i="3" s="1"/>
  <c r="Z76" i="3"/>
  <c r="AJ76" i="3" s="1"/>
  <c r="Q69" i="3"/>
  <c r="AM69" i="3" s="1"/>
  <c r="V65" i="3"/>
  <c r="AF65" i="3" s="1"/>
  <c r="R76" i="3"/>
  <c r="AB76" i="3" s="1"/>
  <c r="X100" i="3"/>
  <c r="AH100" i="3" s="1"/>
  <c r="Q42" i="3"/>
  <c r="AM42" i="3" s="1"/>
  <c r="V27" i="3"/>
  <c r="AF27" i="3" s="1"/>
  <c r="X103" i="3"/>
  <c r="AH103" i="3" s="1"/>
  <c r="X104" i="3"/>
  <c r="AH104" i="3" s="1"/>
  <c r="Q41" i="3"/>
  <c r="AA41" i="3" s="1"/>
  <c r="S72" i="3"/>
  <c r="AC72" i="3" s="1"/>
  <c r="R81" i="3"/>
  <c r="AB81" i="3" s="1"/>
  <c r="Y60" i="3"/>
  <c r="AI60" i="3" s="1"/>
  <c r="Y57" i="3"/>
  <c r="AI57" i="3" s="1"/>
  <c r="Y34" i="3"/>
  <c r="AI34" i="3" s="1"/>
  <c r="Z32" i="3"/>
  <c r="AJ32" i="3" s="1"/>
  <c r="W56" i="3"/>
  <c r="AG56" i="3" s="1"/>
  <c r="Q61" i="3"/>
  <c r="AM61" i="3" s="1"/>
  <c r="Q59" i="3"/>
  <c r="AM59" i="3" s="1"/>
  <c r="V26" i="3"/>
  <c r="AF26" i="3" s="1"/>
  <c r="X61" i="3"/>
  <c r="AH61" i="3" s="1"/>
  <c r="Q56" i="3"/>
  <c r="AM56" i="3" s="1"/>
  <c r="Z17" i="3"/>
  <c r="AJ17" i="3" s="1"/>
  <c r="Q92" i="3"/>
  <c r="AA92" i="3" s="1"/>
  <c r="R38" i="3"/>
  <c r="AB38" i="3" s="1"/>
  <c r="T27" i="3"/>
  <c r="AD27" i="3" s="1"/>
  <c r="R45" i="3"/>
  <c r="AB45" i="3" s="1"/>
  <c r="U65" i="3"/>
  <c r="AE65" i="3" s="1"/>
  <c r="U44" i="3"/>
  <c r="AE44" i="3" s="1"/>
  <c r="R27" i="3"/>
  <c r="AB27" i="3" s="1"/>
  <c r="T42" i="3"/>
  <c r="AD42" i="3" s="1"/>
  <c r="Q19" i="3"/>
  <c r="AA19" i="3" s="1"/>
  <c r="Q36" i="3"/>
  <c r="AA36" i="3" s="1"/>
  <c r="Y54" i="3"/>
  <c r="AI54" i="3" s="1"/>
  <c r="Y53" i="3"/>
  <c r="AI53" i="3" s="1"/>
  <c r="Z85" i="3"/>
  <c r="AJ85" i="3" s="1"/>
  <c r="X17" i="3"/>
  <c r="AH17" i="3" s="1"/>
  <c r="X28" i="3"/>
  <c r="AH28" i="3" s="1"/>
  <c r="S64" i="3"/>
  <c r="AC64" i="3" s="1"/>
  <c r="W23" i="3"/>
  <c r="Z84" i="3"/>
  <c r="AJ84" i="3" s="1"/>
  <c r="Z55" i="3"/>
  <c r="AJ55" i="3" s="1"/>
  <c r="R53" i="3"/>
  <c r="AB53" i="3" s="1"/>
  <c r="W68" i="3"/>
  <c r="AG68" i="3" s="1"/>
  <c r="Z18" i="3"/>
  <c r="AJ18" i="3" s="1"/>
  <c r="U42" i="3"/>
  <c r="AE42" i="3" s="1"/>
  <c r="Q16" i="3"/>
  <c r="AM16" i="3" s="1"/>
  <c r="S99" i="3"/>
  <c r="AC99" i="3" s="1"/>
  <c r="U30" i="3"/>
  <c r="AE30" i="3" s="1"/>
  <c r="R83" i="3"/>
  <c r="AB83" i="3" s="1"/>
  <c r="U95" i="3"/>
  <c r="AE95" i="3" s="1"/>
  <c r="W43" i="3"/>
  <c r="AG43" i="3" s="1"/>
  <c r="Z24" i="3"/>
  <c r="AJ24" i="3" s="1"/>
  <c r="U104" i="3"/>
  <c r="AE104" i="3" s="1"/>
  <c r="W87" i="3"/>
  <c r="AG87" i="3" s="1"/>
  <c r="S52" i="3"/>
  <c r="AC52" i="3" s="1"/>
  <c r="X53" i="3"/>
  <c r="AH53" i="3" s="1"/>
  <c r="Q35" i="3"/>
  <c r="AA35" i="3" s="1"/>
  <c r="U53" i="3"/>
  <c r="AE53" i="3" s="1"/>
  <c r="T84" i="3"/>
  <c r="AD84" i="3" s="1"/>
  <c r="X71" i="3"/>
  <c r="AH71" i="3" s="1"/>
  <c r="W32" i="3"/>
  <c r="AG32" i="3" s="1"/>
  <c r="S17" i="3"/>
  <c r="AC17" i="3" s="1"/>
  <c r="S24" i="3"/>
  <c r="AC24" i="3" s="1"/>
  <c r="W49" i="3"/>
  <c r="AG49" i="3" s="1"/>
  <c r="U91" i="3"/>
  <c r="AE91" i="3" s="1"/>
  <c r="T95" i="3"/>
  <c r="AD95" i="3" s="1"/>
  <c r="Z95" i="3"/>
  <c r="AJ95" i="3" s="1"/>
  <c r="W47" i="3"/>
  <c r="AG47" i="3" s="1"/>
  <c r="S19" i="3"/>
  <c r="AC19" i="3" s="1"/>
  <c r="Q21" i="3"/>
  <c r="AM21" i="3" s="1"/>
  <c r="R32" i="3"/>
  <c r="AB32" i="3" s="1"/>
  <c r="Y104" i="3"/>
  <c r="AI104" i="3" s="1"/>
  <c r="Q58" i="3"/>
  <c r="AA58" i="3" s="1"/>
  <c r="T99" i="3"/>
  <c r="AD99" i="3" s="1"/>
  <c r="X87" i="3"/>
  <c r="AH87" i="3" s="1"/>
  <c r="W104" i="3"/>
  <c r="AG104" i="3" s="1"/>
  <c r="U35" i="3"/>
  <c r="AE35" i="3" s="1"/>
  <c r="V42" i="3"/>
  <c r="AF42" i="3" s="1"/>
  <c r="Q51" i="3"/>
  <c r="AA51" i="3" s="1"/>
  <c r="Y35" i="3"/>
  <c r="AI35" i="3" s="1"/>
  <c r="Z102" i="3"/>
  <c r="AJ102" i="3" s="1"/>
  <c r="T29" i="3"/>
  <c r="AD29" i="3" s="1"/>
  <c r="Y79" i="3"/>
  <c r="AI79" i="3" s="1"/>
  <c r="T85" i="3"/>
  <c r="AD85" i="3" s="1"/>
  <c r="X91" i="3"/>
  <c r="AH91" i="3" s="1"/>
  <c r="Q103" i="3"/>
  <c r="AM103" i="3" s="1"/>
  <c r="V41" i="3"/>
  <c r="AF41" i="3" s="1"/>
  <c r="U39" i="3"/>
  <c r="AE39" i="3" s="1"/>
  <c r="R100" i="3"/>
  <c r="AB100" i="3" s="1"/>
  <c r="Y82" i="3"/>
  <c r="AI82" i="3" s="1"/>
  <c r="W76" i="3"/>
  <c r="AG76" i="3" s="1"/>
  <c r="U83" i="3"/>
  <c r="AE83" i="3" s="1"/>
  <c r="Z39" i="3"/>
  <c r="AJ39" i="3" s="1"/>
  <c r="Z74" i="3"/>
  <c r="AJ74" i="3" s="1"/>
  <c r="Q30" i="3"/>
  <c r="AA30" i="3" s="1"/>
  <c r="S49" i="3"/>
  <c r="AC49" i="3" s="1"/>
  <c r="R64" i="3"/>
  <c r="AB64" i="3" s="1"/>
  <c r="Z69" i="3"/>
  <c r="AJ69" i="3" s="1"/>
  <c r="V31" i="3"/>
  <c r="AF31" i="3" s="1"/>
  <c r="W81" i="3"/>
  <c r="AG81" i="3" s="1"/>
  <c r="T93" i="3"/>
  <c r="AD93" i="3" s="1"/>
  <c r="R84" i="3"/>
  <c r="AB84" i="3" s="1"/>
  <c r="W51" i="3"/>
  <c r="AG51" i="3" s="1"/>
  <c r="Y68" i="3"/>
  <c r="AI68" i="3" s="1"/>
  <c r="Y58" i="3"/>
  <c r="AI58" i="3" s="1"/>
  <c r="Q31" i="3"/>
  <c r="AA31" i="3" s="1"/>
  <c r="T55" i="3"/>
  <c r="AD55" i="3" s="1"/>
  <c r="R47" i="3"/>
  <c r="AB47" i="3" s="1"/>
  <c r="Y84" i="3"/>
  <c r="AI84" i="3" s="1"/>
  <c r="Z96" i="3"/>
  <c r="AJ96" i="3" s="1"/>
  <c r="S45" i="3"/>
  <c r="AC45" i="3" s="1"/>
  <c r="Y38" i="3"/>
  <c r="AI38" i="3" s="1"/>
  <c r="Y32" i="3"/>
  <c r="AI32" i="3" s="1"/>
  <c r="W34" i="3"/>
  <c r="AG34" i="3" s="1"/>
  <c r="R72" i="3"/>
  <c r="AB72" i="3" s="1"/>
  <c r="Y23" i="3"/>
  <c r="AI23" i="3" s="1"/>
  <c r="T65" i="3"/>
  <c r="AD65" i="3" s="1"/>
  <c r="V39" i="3"/>
  <c r="AF39" i="3" s="1"/>
  <c r="Y71" i="3"/>
  <c r="AI71" i="3" s="1"/>
  <c r="T67" i="3"/>
  <c r="AD67" i="3" s="1"/>
  <c r="X80" i="3"/>
  <c r="AH80" i="3" s="1"/>
  <c r="R33" i="3"/>
  <c r="AB33" i="3" s="1"/>
  <c r="W48" i="3"/>
  <c r="AG48" i="3" s="1"/>
  <c r="T40" i="3"/>
  <c r="AD40" i="3" s="1"/>
  <c r="Y99" i="3"/>
  <c r="AI99" i="3" s="1"/>
  <c r="R36" i="3"/>
  <c r="AB36" i="3" s="1"/>
  <c r="S21" i="3"/>
  <c r="AC21" i="3" s="1"/>
  <c r="S94" i="3"/>
  <c r="AC94" i="3" s="1"/>
  <c r="S40" i="3"/>
  <c r="AC40" i="3" s="1"/>
  <c r="S46" i="3"/>
  <c r="AC46" i="3" s="1"/>
  <c r="Z77" i="3"/>
  <c r="AJ77" i="3" s="1"/>
  <c r="V86" i="3"/>
  <c r="AF86" i="3" s="1"/>
  <c r="S29" i="3"/>
  <c r="AC29" i="3" s="1"/>
  <c r="R80" i="3"/>
  <c r="AB80" i="3" s="1"/>
  <c r="R58" i="3"/>
  <c r="AB58" i="3" s="1"/>
  <c r="R19" i="3"/>
  <c r="AB19" i="3" s="1"/>
  <c r="T104" i="3"/>
  <c r="AD104" i="3" s="1"/>
  <c r="U76" i="3"/>
  <c r="AE76" i="3" s="1"/>
  <c r="R40" i="3"/>
  <c r="AB40" i="3" s="1"/>
  <c r="S26" i="3"/>
  <c r="AC26" i="3" s="1"/>
  <c r="X83" i="3"/>
  <c r="AH83" i="3" s="1"/>
  <c r="W73" i="3"/>
  <c r="AG73" i="3" s="1"/>
  <c r="X44" i="3"/>
  <c r="AH44" i="3" s="1"/>
  <c r="Y65" i="3"/>
  <c r="AI65" i="3" s="1"/>
  <c r="W100" i="3"/>
  <c r="AG100" i="3" s="1"/>
  <c r="W97" i="3"/>
  <c r="AG97" i="3" s="1"/>
  <c r="Y70" i="3"/>
  <c r="AI70" i="3" s="1"/>
  <c r="X88" i="3"/>
  <c r="AH88" i="3" s="1"/>
  <c r="R96" i="3"/>
  <c r="AB96" i="3" s="1"/>
  <c r="Y24" i="3"/>
  <c r="AI24" i="3" s="1"/>
  <c r="Y52" i="3"/>
  <c r="AI52" i="3" s="1"/>
  <c r="Q22" i="3"/>
  <c r="AM22" i="3" s="1"/>
  <c r="S31" i="3"/>
  <c r="AC31" i="3" s="1"/>
  <c r="R34" i="3"/>
  <c r="AB34" i="3" s="1"/>
  <c r="U64" i="3"/>
  <c r="AE64" i="3" s="1"/>
  <c r="V68" i="3"/>
  <c r="AF68" i="3" s="1"/>
  <c r="W78" i="3"/>
  <c r="AG78" i="3" s="1"/>
  <c r="Z83" i="3"/>
  <c r="AJ83" i="3" s="1"/>
  <c r="R16" i="3"/>
  <c r="AB16" i="3" s="1"/>
  <c r="S67" i="3"/>
  <c r="AC67" i="3" s="1"/>
  <c r="T46" i="3"/>
  <c r="AD46" i="3" s="1"/>
  <c r="V101" i="3"/>
  <c r="AF101" i="3" s="1"/>
  <c r="Q62" i="3"/>
  <c r="AA62" i="3" s="1"/>
  <c r="U78" i="3"/>
  <c r="AE78" i="3" s="1"/>
  <c r="Y33" i="3"/>
  <c r="AI33" i="3" s="1"/>
  <c r="W31" i="3"/>
  <c r="AG31" i="3" s="1"/>
  <c r="R37" i="3"/>
  <c r="AB37" i="3" s="1"/>
  <c r="Y94" i="3"/>
  <c r="AI94" i="3" s="1"/>
  <c r="T50" i="3"/>
  <c r="AD50" i="3" s="1"/>
  <c r="W61" i="3"/>
  <c r="AG61" i="3" s="1"/>
  <c r="W59" i="3"/>
  <c r="AG59" i="3" s="1"/>
  <c r="Y69" i="3"/>
  <c r="AI69" i="3" s="1"/>
  <c r="R102" i="3"/>
  <c r="AB102" i="3" s="1"/>
  <c r="S102" i="3"/>
  <c r="AC102" i="3" s="1"/>
  <c r="V61" i="3"/>
  <c r="AF61" i="3" s="1"/>
  <c r="X23" i="3"/>
  <c r="AH23" i="3" s="1"/>
  <c r="R48" i="3"/>
  <c r="AB48" i="3" s="1"/>
  <c r="T35" i="3"/>
  <c r="AD35" i="3" s="1"/>
  <c r="W20" i="3"/>
  <c r="AG20" i="3" s="1"/>
  <c r="T54" i="3"/>
  <c r="AD54" i="3" s="1"/>
  <c r="W92" i="3"/>
  <c r="AG92" i="3" s="1"/>
  <c r="Y41" i="3"/>
  <c r="AI41" i="3" s="1"/>
  <c r="S89" i="3"/>
  <c r="AC89" i="3" s="1"/>
  <c r="X60" i="3"/>
  <c r="AH60" i="3" s="1"/>
  <c r="Y48" i="3"/>
  <c r="AI48" i="3" s="1"/>
  <c r="X38" i="3"/>
  <c r="AH38" i="3" s="1"/>
  <c r="V20" i="3"/>
  <c r="AF20" i="3" s="1"/>
  <c r="U71" i="3"/>
  <c r="AE71" i="3" s="1"/>
  <c r="S20" i="3"/>
  <c r="AC20" i="3" s="1"/>
  <c r="V77" i="3"/>
  <c r="AF77" i="3" s="1"/>
  <c r="S77" i="3"/>
  <c r="AC77" i="3" s="1"/>
  <c r="Y39" i="3"/>
  <c r="AI39" i="3" s="1"/>
  <c r="V32" i="3"/>
  <c r="AF32" i="3" s="1"/>
  <c r="V70" i="3"/>
  <c r="AF70" i="3" s="1"/>
  <c r="S16" i="3"/>
  <c r="AC16" i="3" s="1"/>
  <c r="U89" i="3"/>
  <c r="AE89" i="3" s="1"/>
  <c r="X20" i="3"/>
  <c r="AH20" i="3" s="1"/>
  <c r="Z58" i="3"/>
  <c r="AJ58" i="3" s="1"/>
  <c r="S41" i="3"/>
  <c r="AC41" i="3" s="1"/>
  <c r="S18" i="3"/>
  <c r="AC18" i="3" s="1"/>
  <c r="X63" i="3"/>
  <c r="AH63" i="3" s="1"/>
  <c r="U67" i="3"/>
  <c r="AE67" i="3" s="1"/>
  <c r="R88" i="3"/>
  <c r="AB88" i="3" s="1"/>
  <c r="W26" i="3"/>
  <c r="AG26" i="3" s="1"/>
  <c r="R90" i="3"/>
  <c r="AB90" i="3" s="1"/>
  <c r="U22" i="3"/>
  <c r="AE22" i="3" s="1"/>
  <c r="U92" i="3"/>
  <c r="AE92" i="3" s="1"/>
  <c r="U85" i="3"/>
  <c r="AE85" i="3" s="1"/>
  <c r="Q93" i="3"/>
  <c r="AM93" i="3" s="1"/>
  <c r="R87" i="3"/>
  <c r="AB87" i="3" s="1"/>
  <c r="Y74" i="3"/>
  <c r="AI74" i="3" s="1"/>
  <c r="V24" i="3"/>
  <c r="AF24" i="3" s="1"/>
  <c r="Z36" i="3"/>
  <c r="AJ36" i="3" s="1"/>
  <c r="V82" i="3"/>
  <c r="AF82" i="3" s="1"/>
  <c r="Q66" i="3"/>
  <c r="AA66" i="3" s="1"/>
  <c r="R67" i="3"/>
  <c r="AB67" i="3" s="1"/>
  <c r="S78" i="3"/>
  <c r="AC78" i="3" s="1"/>
  <c r="Q38" i="3"/>
  <c r="AM38" i="3" s="1"/>
  <c r="T71" i="3"/>
  <c r="AD71" i="3" s="1"/>
  <c r="Y21" i="3"/>
  <c r="AI21" i="3" s="1"/>
  <c r="Z60" i="3"/>
  <c r="AJ60" i="3" s="1"/>
  <c r="X93" i="3"/>
  <c r="AH93" i="3" s="1"/>
  <c r="U88" i="3"/>
  <c r="AE88" i="3" s="1"/>
  <c r="S37" i="3"/>
  <c r="AC37" i="3" s="1"/>
  <c r="S75" i="3"/>
  <c r="AC75" i="3" s="1"/>
  <c r="Q94" i="3"/>
  <c r="AM94" i="3" s="1"/>
  <c r="V60" i="3"/>
  <c r="AF60" i="3" s="1"/>
  <c r="S101" i="3"/>
  <c r="AC101" i="3" s="1"/>
  <c r="U58" i="3"/>
  <c r="AE58" i="3" s="1"/>
  <c r="W71" i="3"/>
  <c r="AG71" i="3" s="1"/>
  <c r="Q76" i="3"/>
  <c r="AM76" i="3" s="1"/>
  <c r="T79" i="3"/>
  <c r="AD79" i="3" s="1"/>
  <c r="V19" i="3"/>
  <c r="AF19" i="3" s="1"/>
  <c r="X34" i="3"/>
  <c r="AH34" i="3" s="1"/>
  <c r="R18" i="3"/>
  <c r="AB18" i="3" s="1"/>
  <c r="R51" i="3"/>
  <c r="AB51" i="3" s="1"/>
  <c r="W94" i="3"/>
  <c r="AG94" i="3" s="1"/>
  <c r="T19" i="3"/>
  <c r="AD19" i="3" s="1"/>
  <c r="V73" i="3"/>
  <c r="AF73" i="3" s="1"/>
  <c r="S62" i="3"/>
  <c r="AC62" i="3" s="1"/>
  <c r="R70" i="3"/>
  <c r="AB70" i="3" s="1"/>
  <c r="Q60" i="3"/>
  <c r="AA60" i="3" s="1"/>
  <c r="R46" i="3"/>
  <c r="AB46" i="3" s="1"/>
  <c r="T80" i="3"/>
  <c r="AD80" i="3" s="1"/>
  <c r="R50" i="3"/>
  <c r="AB50" i="3" s="1"/>
  <c r="X52" i="3"/>
  <c r="AH52" i="3" s="1"/>
  <c r="S22" i="3"/>
  <c r="AC22" i="3" s="1"/>
  <c r="Y100" i="3"/>
  <c r="AI100" i="3" s="1"/>
  <c r="S68" i="3"/>
  <c r="AC68" i="3" s="1"/>
  <c r="S50" i="3"/>
  <c r="AC50" i="3" s="1"/>
  <c r="V29" i="3"/>
  <c r="AF29" i="3" s="1"/>
  <c r="S86" i="3"/>
  <c r="AC86" i="3" s="1"/>
  <c r="X90" i="3"/>
  <c r="AH90" i="3" s="1"/>
  <c r="Y83" i="3"/>
  <c r="AI83" i="3" s="1"/>
  <c r="T32" i="3"/>
  <c r="AD32" i="3" s="1"/>
  <c r="W55" i="3"/>
  <c r="AG55" i="3" s="1"/>
  <c r="U33" i="3"/>
  <c r="AE33" i="3" s="1"/>
  <c r="Z93" i="3"/>
  <c r="AJ93" i="3" s="1"/>
  <c r="Y78" i="3"/>
  <c r="AI78" i="3" s="1"/>
  <c r="X79" i="3"/>
  <c r="AH79" i="3" s="1"/>
  <c r="R28" i="3"/>
  <c r="AB28" i="3" s="1"/>
  <c r="T70" i="3"/>
  <c r="AD70" i="3" s="1"/>
  <c r="Q90" i="3"/>
  <c r="AA90" i="3" s="1"/>
  <c r="U20" i="3"/>
  <c r="AE20" i="3" s="1"/>
  <c r="R41" i="3"/>
  <c r="AB41" i="3" s="1"/>
  <c r="T89" i="3"/>
  <c r="AD89" i="3" s="1"/>
  <c r="T33" i="3"/>
  <c r="AD33" i="3" s="1"/>
  <c r="Y75" i="3"/>
  <c r="AI75" i="3" s="1"/>
  <c r="W86" i="3"/>
  <c r="AG86" i="3" s="1"/>
  <c r="T86" i="3"/>
  <c r="AD86" i="3" s="1"/>
  <c r="Z99" i="3"/>
  <c r="AJ99" i="3" s="1"/>
  <c r="U66" i="3"/>
  <c r="AE66" i="3" s="1"/>
  <c r="Y42" i="3"/>
  <c r="AI42" i="3" s="1"/>
  <c r="Z71" i="3"/>
  <c r="AJ71" i="3" s="1"/>
  <c r="U29" i="3"/>
  <c r="AE29" i="3" s="1"/>
  <c r="R20" i="3"/>
  <c r="AB20" i="3" s="1"/>
  <c r="Z87" i="3"/>
  <c r="AJ87" i="3" s="1"/>
  <c r="Z20" i="3"/>
  <c r="AJ20" i="3" s="1"/>
  <c r="V50" i="3"/>
  <c r="AF50" i="3" s="1"/>
  <c r="X51" i="3"/>
  <c r="AH51" i="3" s="1"/>
  <c r="W102" i="3"/>
  <c r="AG102" i="3" s="1"/>
  <c r="Q43" i="3"/>
  <c r="AM43" i="3" s="1"/>
  <c r="U59" i="3"/>
  <c r="AE59" i="3" s="1"/>
  <c r="Q53" i="3"/>
  <c r="AA53" i="3" s="1"/>
  <c r="R93" i="3"/>
  <c r="AB93" i="3" s="1"/>
  <c r="Z47" i="3"/>
  <c r="AJ47" i="3" s="1"/>
  <c r="Q27" i="3"/>
  <c r="AA27" i="3" s="1"/>
  <c r="X97" i="3"/>
  <c r="AH97" i="3" s="1"/>
  <c r="W58" i="3"/>
  <c r="AG58" i="3" s="1"/>
  <c r="Q75" i="3"/>
  <c r="AM75" i="3" s="1"/>
  <c r="T75" i="3"/>
  <c r="AD75" i="3" s="1"/>
  <c r="Q52" i="3"/>
  <c r="AA52" i="3" s="1"/>
  <c r="V75" i="3"/>
  <c r="AF75" i="3" s="1"/>
  <c r="V17" i="3"/>
  <c r="AF17" i="3" s="1"/>
  <c r="W41" i="3"/>
  <c r="AG41" i="3" s="1"/>
  <c r="V53" i="3"/>
  <c r="AF53" i="3" s="1"/>
  <c r="V43" i="3"/>
  <c r="AF43" i="3" s="1"/>
  <c r="U50" i="3"/>
  <c r="AE50" i="3" s="1"/>
  <c r="Y43" i="3"/>
  <c r="AI43" i="3" s="1"/>
  <c r="T25" i="3"/>
  <c r="AD25" i="3" s="1"/>
  <c r="R55" i="3"/>
  <c r="AB55" i="3" s="1"/>
  <c r="T59" i="3"/>
  <c r="AD59" i="3" s="1"/>
  <c r="U45" i="3"/>
  <c r="AE45" i="3" s="1"/>
  <c r="Y26" i="3"/>
  <c r="AI26" i="3" s="1"/>
  <c r="U97" i="3"/>
  <c r="AE97" i="3" s="1"/>
  <c r="Z97" i="3"/>
  <c r="AJ97" i="3" s="1"/>
  <c r="R79" i="3"/>
  <c r="AB79" i="3" s="1"/>
  <c r="X46" i="3"/>
  <c r="AH46" i="3" s="1"/>
  <c r="Q37" i="3"/>
  <c r="AM37" i="3" s="1"/>
  <c r="W74" i="3"/>
  <c r="AG74" i="3" s="1"/>
  <c r="V83" i="3"/>
  <c r="AF83" i="3" s="1"/>
  <c r="V38" i="3"/>
  <c r="AF38" i="3" s="1"/>
  <c r="S28" i="3"/>
  <c r="AC28" i="3" s="1"/>
  <c r="X19" i="3"/>
  <c r="AH19" i="3" s="1"/>
  <c r="Y76" i="3"/>
  <c r="AI76" i="3" s="1"/>
  <c r="Y95" i="3"/>
  <c r="AI95" i="3" s="1"/>
  <c r="Y73" i="3"/>
  <c r="AI73" i="3" s="1"/>
  <c r="W83" i="3"/>
  <c r="AG83" i="3" s="1"/>
  <c r="R56" i="3"/>
  <c r="AB56" i="3" s="1"/>
  <c r="T16" i="3"/>
  <c r="AD16" i="3" s="1"/>
  <c r="X89" i="3"/>
  <c r="AH89" i="3" s="1"/>
  <c r="U94" i="3"/>
  <c r="AE94" i="3" s="1"/>
  <c r="U36" i="3"/>
  <c r="AE36" i="3" s="1"/>
  <c r="S58" i="3"/>
  <c r="AC58" i="3" s="1"/>
  <c r="R23" i="3"/>
  <c r="AB23" i="3" s="1"/>
  <c r="Y66" i="3"/>
  <c r="AI66" i="3" s="1"/>
  <c r="U62" i="3"/>
  <c r="AE62" i="3" s="1"/>
  <c r="X54" i="3"/>
  <c r="AH54" i="3" s="1"/>
  <c r="Y67" i="3"/>
  <c r="AI67" i="3" s="1"/>
  <c r="X67" i="3"/>
  <c r="AH67" i="3" s="1"/>
  <c r="X42" i="3"/>
  <c r="AH42" i="3" s="1"/>
  <c r="Z100" i="3"/>
  <c r="AJ100" i="3" s="1"/>
  <c r="W67" i="3"/>
  <c r="AG67" i="3" s="1"/>
  <c r="Y90" i="3"/>
  <c r="AI90" i="3" s="1"/>
  <c r="U86" i="3"/>
  <c r="AE86" i="3" s="1"/>
  <c r="Z28" i="3"/>
  <c r="AJ28" i="3" s="1"/>
  <c r="V57" i="3"/>
  <c r="AF57" i="3" s="1"/>
  <c r="Q55" i="3"/>
  <c r="AA55" i="3" s="1"/>
  <c r="Z19" i="3"/>
  <c r="AJ19" i="3" s="1"/>
  <c r="Z33" i="3"/>
  <c r="AJ33" i="3" s="1"/>
  <c r="X29" i="3"/>
  <c r="AH29" i="3" s="1"/>
  <c r="Y56" i="3"/>
  <c r="AI56" i="3" s="1"/>
  <c r="S56" i="3"/>
  <c r="AC56" i="3" s="1"/>
  <c r="S63" i="3"/>
  <c r="AC63" i="3" s="1"/>
  <c r="T77" i="3"/>
  <c r="AD77" i="3" s="1"/>
  <c r="Z82" i="3"/>
  <c r="AJ82" i="3" s="1"/>
  <c r="S82" i="3"/>
  <c r="AC82" i="3" s="1"/>
  <c r="Y87" i="3"/>
  <c r="AI87" i="3" s="1"/>
  <c r="U47" i="3"/>
  <c r="AE47" i="3" s="1"/>
  <c r="T100" i="3"/>
  <c r="AD100" i="3" s="1"/>
  <c r="V36" i="3"/>
  <c r="AF36" i="3" s="1"/>
  <c r="Z49" i="3"/>
  <c r="AJ49" i="3" s="1"/>
  <c r="R103" i="3"/>
  <c r="AB103" i="3" s="1"/>
  <c r="R29" i="3"/>
  <c r="AB29" i="3" s="1"/>
  <c r="Q26" i="3"/>
  <c r="AM26" i="3" s="1"/>
  <c r="Z46" i="3"/>
  <c r="AJ46" i="3" s="1"/>
  <c r="V62" i="3"/>
  <c r="AF62" i="3" s="1"/>
  <c r="U40" i="3"/>
  <c r="AE40" i="3" s="1"/>
  <c r="Z43" i="3"/>
  <c r="AJ43" i="3" s="1"/>
  <c r="V49" i="3"/>
  <c r="AF49" i="3" s="1"/>
  <c r="Z23" i="3"/>
  <c r="AJ23" i="3" s="1"/>
  <c r="S38" i="3"/>
  <c r="AC38" i="3" s="1"/>
  <c r="Y55" i="3"/>
  <c r="AI55" i="3" s="1"/>
  <c r="X84" i="3"/>
  <c r="AH84" i="3" s="1"/>
  <c r="V35" i="3"/>
  <c r="AF35" i="3" s="1"/>
  <c r="Z65" i="3"/>
  <c r="AJ65" i="3" s="1"/>
  <c r="S33" i="3"/>
  <c r="AC33" i="3" s="1"/>
  <c r="Z40" i="3"/>
  <c r="AJ40" i="3" s="1"/>
  <c r="W40" i="3"/>
  <c r="AG40" i="3" s="1"/>
  <c r="R73" i="3"/>
  <c r="AB73" i="3" s="1"/>
  <c r="Q65" i="3"/>
  <c r="AA65" i="3" s="1"/>
  <c r="Q45" i="3"/>
  <c r="AM45" i="3" s="1"/>
  <c r="Z48" i="3"/>
  <c r="AJ48" i="3" s="1"/>
  <c r="Z30" i="3"/>
  <c r="AJ30" i="3" s="1"/>
  <c r="X68" i="3"/>
  <c r="AH68" i="3" s="1"/>
  <c r="R25" i="3"/>
  <c r="AB25" i="3" s="1"/>
  <c r="T72" i="3"/>
  <c r="AD72" i="3" s="1"/>
  <c r="T47" i="3"/>
  <c r="AD47" i="3" s="1"/>
  <c r="X41" i="3"/>
  <c r="AH41" i="3" s="1"/>
  <c r="W30" i="3"/>
  <c r="AG30" i="3" s="1"/>
  <c r="Z90" i="3"/>
  <c r="AJ90" i="3" s="1"/>
  <c r="T91" i="3"/>
  <c r="AD91" i="3" s="1"/>
  <c r="X35" i="3"/>
  <c r="AH35" i="3" s="1"/>
  <c r="X58" i="3"/>
  <c r="AH58" i="3" s="1"/>
  <c r="W72" i="3"/>
  <c r="AG72" i="3" s="1"/>
  <c r="T53" i="3"/>
  <c r="AD53" i="3" s="1"/>
  <c r="Q98" i="3"/>
  <c r="AA98" i="3" s="1"/>
  <c r="Q17" i="3"/>
  <c r="AA17" i="3" s="1"/>
  <c r="Y91" i="3"/>
  <c r="AI91" i="3" s="1"/>
  <c r="W52" i="3"/>
  <c r="AG52" i="3" s="1"/>
  <c r="W91" i="3"/>
  <c r="AG91" i="3" s="1"/>
  <c r="R101" i="3"/>
  <c r="AB101" i="3" s="1"/>
  <c r="X99" i="3"/>
  <c r="AH99" i="3" s="1"/>
  <c r="W89" i="3"/>
  <c r="AG89" i="3" s="1"/>
  <c r="Z61" i="3"/>
  <c r="AJ61" i="3" s="1"/>
  <c r="R43" i="3"/>
  <c r="AB43" i="3" s="1"/>
  <c r="V98" i="3"/>
  <c r="AF98" i="3" s="1"/>
  <c r="Y28" i="3"/>
  <c r="AI28" i="3" s="1"/>
  <c r="W45" i="3"/>
  <c r="AG45" i="3" s="1"/>
  <c r="S53" i="3"/>
  <c r="AC53" i="3" s="1"/>
  <c r="T103" i="3"/>
  <c r="AD103" i="3" s="1"/>
  <c r="S36" i="3"/>
  <c r="AC36" i="3" s="1"/>
  <c r="R63" i="3"/>
  <c r="AB63" i="3" s="1"/>
  <c r="U99" i="3"/>
  <c r="AE99" i="3" s="1"/>
  <c r="X37" i="3"/>
  <c r="AH37" i="3" s="1"/>
  <c r="U38" i="3"/>
  <c r="AE38" i="3" s="1"/>
  <c r="V63" i="3"/>
  <c r="AF63" i="3" s="1"/>
  <c r="X24" i="3"/>
  <c r="AH24" i="3" s="1"/>
  <c r="V30" i="3"/>
  <c r="AF30" i="3" s="1"/>
  <c r="R61" i="3"/>
  <c r="AB61" i="3" s="1"/>
  <c r="W69" i="3"/>
  <c r="AG69" i="3" s="1"/>
  <c r="V37" i="3"/>
  <c r="AF37" i="3" s="1"/>
  <c r="W77" i="3"/>
  <c r="AG77" i="3" s="1"/>
  <c r="T34" i="3"/>
  <c r="AD34" i="3" s="1"/>
  <c r="Q39" i="3"/>
  <c r="AA39" i="3" s="1"/>
  <c r="Q57" i="3"/>
  <c r="AA57" i="3" s="1"/>
  <c r="U77" i="3"/>
  <c r="AE77" i="3" s="1"/>
  <c r="T52" i="3"/>
  <c r="AD52" i="3" s="1"/>
  <c r="W24" i="3"/>
  <c r="AG24" i="3" s="1"/>
  <c r="T51" i="3"/>
  <c r="AD51" i="3" s="1"/>
  <c r="W88" i="3"/>
  <c r="AG88" i="3" s="1"/>
  <c r="T92" i="3"/>
  <c r="AD92" i="3" s="1"/>
  <c r="T43" i="3"/>
  <c r="AD43" i="3" s="1"/>
  <c r="Z38" i="3"/>
  <c r="AJ38" i="3" s="1"/>
  <c r="T28" i="3"/>
  <c r="AD28" i="3" s="1"/>
  <c r="V45" i="3"/>
  <c r="AF45" i="3" s="1"/>
  <c r="V18" i="3"/>
  <c r="AF18" i="3" s="1"/>
  <c r="Q88" i="3"/>
  <c r="AA88" i="3" s="1"/>
  <c r="Q99" i="3"/>
  <c r="AM99" i="3" s="1"/>
  <c r="T30" i="3"/>
  <c r="AD30" i="3" s="1"/>
  <c r="Y101" i="3"/>
  <c r="AI101" i="3" s="1"/>
  <c r="T38" i="3"/>
  <c r="AD38" i="3" s="1"/>
  <c r="X36" i="3"/>
  <c r="AH36" i="3" s="1"/>
  <c r="S69" i="3"/>
  <c r="AC69" i="3" s="1"/>
  <c r="Q70" i="3"/>
  <c r="AA70" i="3" s="1"/>
  <c r="U37" i="3"/>
  <c r="AE37" i="3" s="1"/>
  <c r="T36" i="3"/>
  <c r="AD36" i="3" s="1"/>
  <c r="T68" i="3"/>
  <c r="AD68" i="3" s="1"/>
  <c r="T102" i="3"/>
  <c r="AD102" i="3" s="1"/>
  <c r="S84" i="3"/>
  <c r="AC84" i="3" s="1"/>
  <c r="Q80" i="3"/>
  <c r="AA80" i="3" s="1"/>
  <c r="T45" i="3"/>
  <c r="AD45" i="3" s="1"/>
  <c r="S55" i="3"/>
  <c r="AC55" i="3" s="1"/>
  <c r="V89" i="3"/>
  <c r="AF89" i="3" s="1"/>
  <c r="S27" i="3"/>
  <c r="AC27" i="3" s="1"/>
  <c r="Q95" i="3"/>
  <c r="AM95" i="3" s="1"/>
  <c r="U82" i="3"/>
  <c r="AE82" i="3" s="1"/>
  <c r="X66" i="3"/>
  <c r="AH66" i="3" s="1"/>
  <c r="Z89" i="3"/>
  <c r="AJ89" i="3" s="1"/>
  <c r="Z25" i="3"/>
  <c r="AJ25" i="3" s="1"/>
  <c r="T101" i="3"/>
  <c r="AD101" i="3" s="1"/>
  <c r="T18" i="3"/>
  <c r="AD18" i="3" s="1"/>
  <c r="S103" i="3"/>
  <c r="AC103" i="3" s="1"/>
  <c r="S100" i="3"/>
  <c r="AC100" i="3" s="1"/>
  <c r="T82" i="3"/>
  <c r="AD82" i="3" s="1"/>
  <c r="U93" i="3"/>
  <c r="AE93" i="3" s="1"/>
  <c r="X56" i="3"/>
  <c r="AH56" i="3" s="1"/>
  <c r="V23" i="3"/>
  <c r="AF23" i="3" s="1"/>
  <c r="Y102" i="3"/>
  <c r="AI102" i="3" s="1"/>
  <c r="R94" i="3"/>
  <c r="AB94" i="3" s="1"/>
  <c r="V94" i="3"/>
  <c r="AF94" i="3" s="1"/>
  <c r="W38" i="3"/>
  <c r="AG38" i="3" s="1"/>
  <c r="V74" i="3"/>
  <c r="AF74" i="3" s="1"/>
  <c r="V21" i="3"/>
  <c r="AF21" i="3" s="1"/>
  <c r="W37" i="3"/>
  <c r="AG37" i="3" s="1"/>
  <c r="U101" i="3"/>
  <c r="AE101" i="3" s="1"/>
  <c r="S70" i="3"/>
  <c r="AC70" i="3" s="1"/>
  <c r="T24" i="3"/>
  <c r="AD24" i="3" s="1"/>
  <c r="Q63" i="3"/>
  <c r="AA63" i="3" s="1"/>
  <c r="V56" i="3"/>
  <c r="AF56" i="3" s="1"/>
  <c r="W85" i="3"/>
  <c r="AG85" i="3" s="1"/>
  <c r="X102" i="3"/>
  <c r="AH102" i="3" s="1"/>
  <c r="V40" i="3"/>
  <c r="AF40" i="3" s="1"/>
  <c r="Q34" i="3"/>
  <c r="AA34" i="3" s="1"/>
  <c r="W103" i="3"/>
  <c r="AG103" i="3" s="1"/>
  <c r="U52" i="3"/>
  <c r="AE52" i="3" s="1"/>
  <c r="Y37" i="3"/>
  <c r="AI37" i="3" s="1"/>
  <c r="Z50" i="3"/>
  <c r="AJ50" i="3" s="1"/>
  <c r="Q79" i="3"/>
  <c r="AA79" i="3" s="1"/>
  <c r="W53" i="3"/>
  <c r="AG53" i="3" s="1"/>
  <c r="R97" i="3"/>
  <c r="AB97" i="3" s="1"/>
  <c r="X77" i="3"/>
  <c r="AH77" i="3" s="1"/>
  <c r="U32" i="3"/>
  <c r="AE32" i="3" s="1"/>
  <c r="S71" i="3"/>
  <c r="AC71" i="3" s="1"/>
  <c r="W79" i="3"/>
  <c r="AG79" i="3" s="1"/>
  <c r="R68" i="3"/>
  <c r="AB68" i="3" s="1"/>
  <c r="W28" i="3"/>
  <c r="AG28" i="3" s="1"/>
  <c r="X45" i="3"/>
  <c r="AH45" i="3" s="1"/>
  <c r="R54" i="3"/>
  <c r="AB54" i="3" s="1"/>
  <c r="T49" i="3"/>
  <c r="AD49" i="3" s="1"/>
  <c r="S25" i="3"/>
  <c r="AC25" i="3" s="1"/>
  <c r="V100" i="3"/>
  <c r="AF100" i="3" s="1"/>
  <c r="Q50" i="3"/>
  <c r="AA50" i="3" s="1"/>
  <c r="W46" i="3"/>
  <c r="AG46" i="3" s="1"/>
  <c r="U43" i="3"/>
  <c r="AE43" i="3" s="1"/>
  <c r="Z29" i="3"/>
  <c r="AJ29" i="3" s="1"/>
  <c r="W65" i="3"/>
  <c r="AG65" i="3" s="1"/>
  <c r="Q48" i="3"/>
  <c r="AM48" i="3" s="1"/>
  <c r="Z51" i="3"/>
  <c r="AJ51" i="3" s="1"/>
  <c r="R82" i="3"/>
  <c r="AB82" i="3" s="1"/>
  <c r="Q33" i="3"/>
  <c r="AA33" i="3" s="1"/>
  <c r="T17" i="3"/>
  <c r="AD17" i="3" s="1"/>
  <c r="U81" i="3"/>
  <c r="AE81" i="3" s="1"/>
  <c r="S42" i="3"/>
  <c r="AC42" i="3" s="1"/>
  <c r="Q18" i="3"/>
  <c r="AM18" i="3" s="1"/>
  <c r="R78" i="3"/>
  <c r="AB78" i="3" s="1"/>
  <c r="T31" i="3"/>
  <c r="AD31" i="3" s="1"/>
  <c r="Z27" i="3"/>
  <c r="AJ27" i="3" s="1"/>
  <c r="U27" i="3"/>
  <c r="AE27" i="3" s="1"/>
  <c r="V25" i="3"/>
  <c r="AF25" i="3" s="1"/>
  <c r="Y49" i="3"/>
  <c r="AI49" i="3" s="1"/>
  <c r="V79" i="3"/>
  <c r="AF79" i="3" s="1"/>
  <c r="Q67" i="3"/>
  <c r="AA67" i="3" s="1"/>
  <c r="Z41" i="3"/>
  <c r="AJ41" i="3" s="1"/>
  <c r="W62" i="3"/>
  <c r="AG62" i="3" s="1"/>
  <c r="S87" i="3"/>
  <c r="AC87" i="3" s="1"/>
  <c r="Q77" i="3"/>
  <c r="AM77" i="3" s="1"/>
  <c r="Y51" i="3"/>
  <c r="AI51" i="3" s="1"/>
  <c r="V48" i="3"/>
  <c r="AF48" i="3" s="1"/>
  <c r="Q23" i="3"/>
  <c r="AM23" i="3" s="1"/>
  <c r="X74" i="3"/>
  <c r="AH74" i="3" s="1"/>
  <c r="Z42" i="3"/>
  <c r="AJ42" i="3" s="1"/>
  <c r="X43" i="3"/>
  <c r="AH43" i="3" s="1"/>
  <c r="W17" i="3"/>
  <c r="AG17" i="3" s="1"/>
  <c r="S85" i="3"/>
  <c r="AC85" i="3" s="1"/>
  <c r="Z86" i="3"/>
  <c r="AJ86" i="3" s="1"/>
  <c r="X48" i="3"/>
  <c r="AH48" i="3" s="1"/>
  <c r="Y30" i="3"/>
  <c r="AI30" i="3" s="1"/>
  <c r="X26" i="3"/>
  <c r="AH26" i="3" s="1"/>
  <c r="Q44" i="3"/>
  <c r="AA44" i="3" s="1"/>
  <c r="T74" i="3"/>
  <c r="AD74" i="3" s="1"/>
  <c r="Q54" i="3"/>
  <c r="AA54" i="3" s="1"/>
  <c r="S97" i="3"/>
  <c r="AC97" i="3" s="1"/>
  <c r="Q102" i="3"/>
  <c r="AM102" i="3" s="1"/>
  <c r="X70" i="3"/>
  <c r="AH70" i="3" s="1"/>
  <c r="W27" i="3"/>
  <c r="AG27" i="3" s="1"/>
  <c r="U100" i="3"/>
  <c r="AE100" i="3" s="1"/>
  <c r="Q72" i="3"/>
  <c r="AA72" i="3" s="1"/>
  <c r="Y64" i="3"/>
  <c r="AI64" i="3" s="1"/>
  <c r="Y98" i="3"/>
  <c r="AI98" i="3" s="1"/>
  <c r="Q20" i="3"/>
  <c r="AM20" i="3" s="1"/>
  <c r="W33" i="3"/>
  <c r="AG33" i="3" s="1"/>
  <c r="Y22" i="3"/>
  <c r="AI22" i="3" s="1"/>
  <c r="S51" i="3"/>
  <c r="AC51" i="3" s="1"/>
  <c r="W18" i="3"/>
  <c r="AG18" i="3" s="1"/>
  <c r="Q84" i="3"/>
  <c r="AA84" i="3" s="1"/>
  <c r="U16" i="3"/>
  <c r="AE16" i="3" s="1"/>
  <c r="R42" i="3"/>
  <c r="AB42" i="3" s="1"/>
  <c r="R98" i="3"/>
  <c r="AB98" i="3" s="1"/>
  <c r="U24" i="3"/>
  <c r="AE24" i="3" s="1"/>
  <c r="Y59" i="3"/>
  <c r="AI59" i="3" s="1"/>
  <c r="R99" i="3"/>
  <c r="AB99" i="3" s="1"/>
  <c r="R17" i="3"/>
  <c r="AB17" i="3" s="1"/>
  <c r="Y50" i="3"/>
  <c r="AI50" i="3" s="1"/>
  <c r="U25" i="3"/>
  <c r="AE25" i="3" s="1"/>
  <c r="Q85" i="3"/>
  <c r="AM85" i="3" s="1"/>
  <c r="W93" i="3"/>
  <c r="AG93" i="3" s="1"/>
  <c r="V66" i="3"/>
  <c r="AF66" i="3" s="1"/>
  <c r="Z80" i="3"/>
  <c r="AJ80" i="3" s="1"/>
  <c r="X59" i="3"/>
  <c r="AH59" i="3" s="1"/>
  <c r="U49" i="3"/>
  <c r="AE49" i="3" s="1"/>
  <c r="V28" i="3"/>
  <c r="AF28" i="3" s="1"/>
  <c r="V81" i="3"/>
  <c r="AF81" i="3" s="1"/>
  <c r="T88" i="3"/>
  <c r="AD88" i="3" s="1"/>
  <c r="Y80" i="3"/>
  <c r="AI80" i="3" s="1"/>
  <c r="T76" i="3"/>
  <c r="AD76" i="3" s="1"/>
  <c r="Q40" i="3"/>
  <c r="AM40" i="3" s="1"/>
  <c r="W54" i="3"/>
  <c r="AG54" i="3" s="1"/>
  <c r="R44" i="3"/>
  <c r="AB44" i="3" s="1"/>
  <c r="X96" i="3"/>
  <c r="AH96" i="3" s="1"/>
  <c r="Z52" i="3"/>
  <c r="AJ52" i="3" s="1"/>
  <c r="S92" i="3"/>
  <c r="AC92" i="3" s="1"/>
  <c r="R24" i="3"/>
  <c r="AB24" i="3" s="1"/>
  <c r="U18" i="3"/>
  <c r="AE18" i="3" s="1"/>
  <c r="S47" i="3"/>
  <c r="AC47" i="3" s="1"/>
  <c r="U34" i="3"/>
  <c r="AE34" i="3" s="1"/>
  <c r="Z88" i="3"/>
  <c r="AJ88" i="3" s="1"/>
  <c r="S34" i="3"/>
  <c r="AC34" i="3" s="1"/>
  <c r="T81" i="3"/>
  <c r="AD81" i="3" s="1"/>
  <c r="V72" i="3"/>
  <c r="AF72" i="3" s="1"/>
  <c r="U56" i="3"/>
  <c r="AE56" i="3" s="1"/>
  <c r="Y62" i="3"/>
  <c r="AI62" i="3" s="1"/>
  <c r="U57" i="3"/>
  <c r="AE57" i="3" s="1"/>
  <c r="V22" i="3"/>
  <c r="AF22" i="3" s="1"/>
  <c r="V44" i="3"/>
  <c r="AF44" i="3" s="1"/>
  <c r="Q73" i="3"/>
  <c r="AA73" i="3" s="1"/>
  <c r="W42" i="3"/>
  <c r="AG42" i="3" s="1"/>
  <c r="Z104" i="3"/>
  <c r="AJ104" i="3" s="1"/>
  <c r="X76" i="3"/>
  <c r="AH76" i="3" s="1"/>
  <c r="Q47" i="3"/>
  <c r="T44" i="3"/>
  <c r="AD44" i="3" s="1"/>
  <c r="Z31" i="3"/>
  <c r="AJ31" i="3" s="1"/>
  <c r="Y40" i="3"/>
  <c r="AI40" i="3" s="1"/>
  <c r="R59" i="3"/>
  <c r="AB59" i="3" s="1"/>
  <c r="Y61" i="3"/>
  <c r="AI61" i="3" s="1"/>
  <c r="W80" i="3"/>
  <c r="AG80" i="3" s="1"/>
  <c r="Y44" i="3"/>
  <c r="AI44" i="3" s="1"/>
  <c r="Q86" i="3"/>
  <c r="AM86" i="3" s="1"/>
  <c r="Q83" i="3"/>
  <c r="AM83" i="3" s="1"/>
  <c r="U98" i="3"/>
  <c r="AE98" i="3" s="1"/>
  <c r="R89" i="3"/>
  <c r="AB89" i="3" s="1"/>
  <c r="AG23" i="3" l="1"/>
  <c r="AG3" i="3" s="1"/>
  <c r="C17" i="12" s="1"/>
  <c r="AA101" i="3"/>
  <c r="AM96" i="3"/>
  <c r="AA25" i="3"/>
  <c r="AM64" i="3"/>
  <c r="AM89" i="3"/>
  <c r="AA59" i="3"/>
  <c r="AM24" i="3"/>
  <c r="AM49" i="3"/>
  <c r="AA32" i="3"/>
  <c r="AA42" i="3"/>
  <c r="AA93" i="3"/>
  <c r="AM15" i="3"/>
  <c r="AA15" i="3"/>
  <c r="AM78" i="3"/>
  <c r="AA81" i="3"/>
  <c r="AM104" i="3"/>
  <c r="AA87" i="3"/>
  <c r="AA22" i="3"/>
  <c r="AM71" i="3"/>
  <c r="AM62" i="3"/>
  <c r="AM63" i="3"/>
  <c r="AM50" i="3"/>
  <c r="AM58" i="3"/>
  <c r="AA69" i="3"/>
  <c r="AA45" i="3"/>
  <c r="AA26" i="3"/>
  <c r="AA18" i="3"/>
  <c r="AA20" i="3"/>
  <c r="AA68" i="3"/>
  <c r="AM91" i="3"/>
  <c r="AA97" i="3"/>
  <c r="AA76" i="3"/>
  <c r="AA56" i="3"/>
  <c r="AM60" i="3"/>
  <c r="AA38" i="3"/>
  <c r="AA75" i="3"/>
  <c r="AM98" i="3"/>
  <c r="AM70" i="3"/>
  <c r="AA29" i="3"/>
  <c r="AM27" i="3"/>
  <c r="AM65" i="3"/>
  <c r="AA28" i="3"/>
  <c r="AA95" i="3"/>
  <c r="AM52" i="3"/>
  <c r="AM55" i="3"/>
  <c r="AM90" i="3"/>
  <c r="AM92" i="3"/>
  <c r="AA77" i="3"/>
  <c r="AM34" i="3"/>
  <c r="AA48" i="3"/>
  <c r="AA102" i="3"/>
  <c r="AM66" i="3"/>
  <c r="AM51" i="3"/>
  <c r="AM19" i="3"/>
  <c r="AM100" i="3"/>
  <c r="AM82" i="3"/>
  <c r="AA103" i="3"/>
  <c r="AA37" i="3"/>
  <c r="AM39" i="3"/>
  <c r="AM79" i="3"/>
  <c r="AM36" i="3"/>
  <c r="AA43" i="3"/>
  <c r="AM30" i="3"/>
  <c r="AM57" i="3"/>
  <c r="AM84" i="3"/>
  <c r="AM41" i="3"/>
  <c r="AM35" i="3"/>
  <c r="AM53" i="3"/>
  <c r="AM88" i="3"/>
  <c r="AM17" i="3"/>
  <c r="AM80" i="3"/>
  <c r="AA99" i="3"/>
  <c r="AA23" i="3"/>
  <c r="AM67" i="3"/>
  <c r="AM46" i="3"/>
  <c r="AM74" i="3"/>
  <c r="AM33" i="3"/>
  <c r="AA40" i="3"/>
  <c r="X3" i="3"/>
  <c r="AM44" i="3"/>
  <c r="AM54" i="3"/>
  <c r="AA83" i="3"/>
  <c r="AA86" i="3"/>
  <c r="AA85" i="3"/>
  <c r="AB3" i="3"/>
  <c r="D14" i="12" s="1"/>
  <c r="AA61" i="3"/>
  <c r="AA16" i="3"/>
  <c r="AA94" i="3"/>
  <c r="R3" i="3"/>
  <c r="W3" i="3"/>
  <c r="AJ3" i="3"/>
  <c r="D11" i="12" s="1"/>
  <c r="D12" i="12" s="1"/>
  <c r="AM31" i="3"/>
  <c r="Z3" i="3"/>
  <c r="C37" i="16" s="1"/>
  <c r="AM72" i="3"/>
  <c r="AM73" i="3"/>
  <c r="AA21" i="3"/>
  <c r="AI3" i="3"/>
  <c r="C11" i="12" s="1"/>
  <c r="C12" i="12" s="1"/>
  <c r="Q3" i="3"/>
  <c r="Y3" i="3"/>
  <c r="T3" i="3"/>
  <c r="AD3" i="3"/>
  <c r="D15" i="12" s="1"/>
  <c r="V3" i="3"/>
  <c r="AF3" i="3"/>
  <c r="D16" i="12" s="1"/>
  <c r="AE3" i="3"/>
  <c r="C16" i="12" s="1"/>
  <c r="U3" i="3"/>
  <c r="AM47" i="3"/>
  <c r="AC3" i="3"/>
  <c r="C15" i="12" s="1"/>
  <c r="S3" i="3"/>
  <c r="AA47" i="3"/>
  <c r="AH3" i="3"/>
  <c r="D17" i="12" s="1"/>
  <c r="D37" i="16" l="1"/>
  <c r="D23" i="12"/>
  <c r="B17" i="19" s="1"/>
  <c r="D22" i="12"/>
  <c r="C21" i="12"/>
  <c r="D21" i="12"/>
  <c r="AA3" i="3"/>
  <c r="C14" i="12" s="1"/>
  <c r="C20" i="12" s="1"/>
  <c r="C23" i="12"/>
  <c r="D20" i="12"/>
  <c r="C22" i="12"/>
  <c r="B15" i="19" l="1"/>
  <c r="O16" i="17"/>
</calcChain>
</file>

<file path=xl/sharedStrings.xml><?xml version="1.0" encoding="utf-8"?>
<sst xmlns="http://schemas.openxmlformats.org/spreadsheetml/2006/main" count="2034" uniqueCount="591">
  <si>
    <t>Parameter</t>
  </si>
  <si>
    <t>Age</t>
  </si>
  <si>
    <t>Target age group</t>
  </si>
  <si>
    <t>Cancer treatment cost (per episode, over lifetime)</t>
  </si>
  <si>
    <t>Discount rate</t>
  </si>
  <si>
    <t>Remaining life years</t>
  </si>
  <si>
    <t>Difference after vaccination</t>
  </si>
  <si>
    <t>Undiscounted</t>
  </si>
  <si>
    <t>Discounted</t>
  </si>
  <si>
    <t>Life years lost</t>
  </si>
  <si>
    <t>Life years lost (disc)</t>
  </si>
  <si>
    <t>Cancer care costs</t>
  </si>
  <si>
    <t>Cancer care costs (disc)</t>
  </si>
  <si>
    <t>TOTAL</t>
  </si>
  <si>
    <t>Outcomes in cohort</t>
  </si>
  <si>
    <t>Cost of vaccination</t>
  </si>
  <si>
    <t>Net cost</t>
  </si>
  <si>
    <t>Life years saved</t>
  </si>
  <si>
    <t>… life saved</t>
  </si>
  <si>
    <t>… life year saved</t>
  </si>
  <si>
    <t>Cancer disabilities lost</t>
  </si>
  <si>
    <t>Cancer disabilities lost (disc)</t>
  </si>
  <si>
    <t>Standardised cohort size (disc)</t>
  </si>
  <si>
    <t>Discount factor</t>
  </si>
  <si>
    <t>Birth cohort size (female)</t>
  </si>
  <si>
    <t>Cum disc factor</t>
  </si>
  <si>
    <t>Treatment costs saved</t>
  </si>
  <si>
    <t>… DALY prevented</t>
  </si>
  <si>
    <t>Nonfatal DALYs prevented</t>
  </si>
  <si>
    <t>Deaths prevented</t>
  </si>
  <si>
    <t>qx(i)</t>
  </si>
  <si>
    <t>px(i)</t>
  </si>
  <si>
    <t>lx(i)</t>
  </si>
  <si>
    <t>Lx(i)</t>
  </si>
  <si>
    <t>Tx(i)</t>
  </si>
  <si>
    <t>Ex(i)</t>
  </si>
  <si>
    <t>Vaccine efficacy vs HPV 16/18</t>
  </si>
  <si>
    <t>Remaining life years (discounted)</t>
  </si>
  <si>
    <t>Age, i</t>
  </si>
  <si>
    <t>Cervical cancer incidence</t>
  </si>
  <si>
    <t>Cervical cancer mortality</t>
  </si>
  <si>
    <t>All-cause mortality</t>
  </si>
  <si>
    <t>Vaccine price per FIG</t>
  </si>
  <si>
    <t>Vaccine delivery cost per FIG</t>
  </si>
  <si>
    <t>Total vaccine cost per FIG</t>
  </si>
  <si>
    <t>Country</t>
  </si>
  <si>
    <t>CeCx-16/18 incidence</t>
  </si>
  <si>
    <t>CeCx-16/18 mortality</t>
  </si>
  <si>
    <t>CeCx-16/18 mortality (disc)</t>
  </si>
  <si>
    <t>WHO Region</t>
  </si>
  <si>
    <t>World Bank Income Group (2011)</t>
  </si>
  <si>
    <t>GAVI Eligibility</t>
  </si>
  <si>
    <t>PAHO Revolving Fund</t>
  </si>
  <si>
    <t>% CeCx due to 16/18</t>
  </si>
  <si>
    <t>AFGHANISTAN</t>
  </si>
  <si>
    <t>AF</t>
  </si>
  <si>
    <t>EMR</t>
  </si>
  <si>
    <t>Low-income</t>
  </si>
  <si>
    <t>GAVI Phase III Eligible</t>
  </si>
  <si>
    <t>ALBANIA</t>
  </si>
  <si>
    <t>AL</t>
  </si>
  <si>
    <t>EUR</t>
  </si>
  <si>
    <t>Lower-middle income</t>
  </si>
  <si>
    <t>Not Eligible</t>
  </si>
  <si>
    <t>ALGERIA</t>
  </si>
  <si>
    <t>DZ</t>
  </si>
  <si>
    <t>AFR</t>
  </si>
  <si>
    <t>Upper-middle income</t>
  </si>
  <si>
    <t>ANDORRA</t>
  </si>
  <si>
    <t>AD</t>
  </si>
  <si>
    <t>High income</t>
  </si>
  <si>
    <t>ANGOLA</t>
  </si>
  <si>
    <t>AO</t>
  </si>
  <si>
    <t>Graduated</t>
  </si>
  <si>
    <t>ANTIGUA AND BARBUDA</t>
  </si>
  <si>
    <t>AG</t>
  </si>
  <si>
    <t>AMR</t>
  </si>
  <si>
    <t>ARGENTINA</t>
  </si>
  <si>
    <t>AR</t>
  </si>
  <si>
    <t>ARMENIA</t>
  </si>
  <si>
    <t>AM</t>
  </si>
  <si>
    <t>AUSTRALIA</t>
  </si>
  <si>
    <t>AU</t>
  </si>
  <si>
    <t>WPR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</si>
  <si>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</si>
  <si>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</si>
  <si>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</si>
  <si>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</si>
  <si>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</si>
  <si>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</si>
  <si>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</si>
  <si>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</si>
  <si>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</si>
  <si>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</si>
  <si>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SEAR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</si>
  <si>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</si>
  <si>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</si>
  <si>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</si>
  <si>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</si>
  <si>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</si>
  <si>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</si>
  <si>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</si>
  <si>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</si>
  <si>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</si>
  <si>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</si>
  <si>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</si>
  <si>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</si>
  <si>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</si>
  <si>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</si>
  <si>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</si>
  <si>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</si>
  <si>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</si>
  <si>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</si>
  <si>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BRAZIL</t>
  </si>
  <si>
    <t>BR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</si>
  <si>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</si>
  <si>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</si>
  <si>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</si>
  <si>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</si>
  <si>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</si>
  <si>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</si>
  <si>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</si>
  <si>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</si>
  <si>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</si>
  <si>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</si>
  <si>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</si>
  <si>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</si>
  <si>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</si>
  <si>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</si>
  <si>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Not Participating</t>
  </si>
  <si>
    <t>CAPE VERDE</t>
  </si>
  <si>
    <t>CV</t>
  </si>
  <si>
    <t>CENTRAL AFRICAN REPUBLIC</t>
  </si>
  <si>
    <t>CF</t>
  </si>
  <si>
    <t>CHAD</t>
  </si>
  <si>
    <t>TD</t>
  </si>
  <si>
    <t>Censored</t>
  </si>
  <si>
    <t>CHILE</t>
  </si>
  <si>
    <t>CL</t>
  </si>
  <si>
    <t>CHINA</t>
  </si>
  <si>
    <t>CN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</si>
  <si>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</si>
  <si>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</si>
  <si>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</si>
  <si>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</si>
  <si>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</si>
  <si>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</si>
  <si>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</si>
  <si>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</si>
  <si>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</si>
  <si>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</si>
  <si>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</si>
  <si>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</si>
  <si>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</si>
  <si>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</si>
  <si>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</si>
  <si>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</si>
  <si>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</si>
  <si>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</si>
  <si>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</si>
  <si>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</si>
  <si>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</si>
  <si>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</si>
  <si>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</si>
  <si>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</si>
  <si>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</si>
  <si>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</si>
  <si>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</si>
  <si>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</si>
  <si>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</si>
  <si>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</si>
  <si>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</si>
  <si>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</si>
  <si>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</si>
  <si>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</si>
  <si>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</si>
  <si>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</si>
  <si>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</si>
  <si>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</si>
  <si>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</si>
  <si>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</si>
  <si>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</si>
  <si>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</si>
  <si>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</si>
  <si>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</si>
  <si>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FIJI</t>
  </si>
  <si>
    <t>FJ</t>
  </si>
  <si>
    <t>FINLAND</t>
  </si>
  <si>
    <t>FI</t>
  </si>
  <si>
    <t>FRANCE</t>
  </si>
  <si>
    <t>FR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</si>
  <si>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</si>
  <si>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</si>
  <si>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</si>
  <si>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</si>
  <si>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</si>
  <si>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</si>
  <si>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</si>
  <si>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</si>
  <si>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</si>
  <si>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</si>
  <si>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GREECE</t>
  </si>
  <si>
    <t>GR</t>
  </si>
  <si>
    <t>GRENADA</t>
  </si>
  <si>
    <t>GD</t>
  </si>
  <si>
    <t>GUATEMALA</t>
  </si>
  <si>
    <t>GT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</si>
  <si>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</si>
  <si>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</si>
  <si>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</si>
  <si>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</si>
  <si>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</si>
  <si>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</si>
  <si>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</si>
  <si>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</si>
  <si>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HONDURAS</t>
  </si>
  <si>
    <t>HN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</si>
  <si>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</si>
  <si>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</si>
  <si>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</si>
  <si>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</si>
  <si>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</si>
  <si>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</si>
  <si>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</si>
  <si>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</si>
  <si>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</si>
  <si>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</si>
  <si>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</si>
  <si>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</si>
  <si>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</si>
  <si>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</si>
  <si>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ISRAEL</t>
  </si>
  <si>
    <t>IL</t>
  </si>
  <si>
    <t>ITALY</t>
  </si>
  <si>
    <t>IT</t>
  </si>
  <si>
    <t>JAMAICA</t>
  </si>
  <si>
    <t>JM</t>
  </si>
  <si>
    <t>JAPAN</t>
  </si>
  <si>
    <t>JP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</si>
  <si>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</si>
  <si>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</si>
  <si>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</si>
  <si>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</si>
  <si>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</si>
  <si>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</si>
  <si>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</si>
  <si>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</si>
  <si>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</si>
  <si>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</si>
  <si>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</si>
  <si>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</si>
  <si>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</si>
  <si>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</si>
  <si>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</si>
  <si>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</si>
  <si>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</si>
  <si>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</si>
  <si>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</si>
  <si>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</si>
  <si>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</si>
  <si>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</si>
  <si>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</si>
  <si>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</si>
  <si>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</si>
  <si>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</si>
  <si>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</si>
  <si>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</si>
  <si>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LITHUANIA</t>
  </si>
  <si>
    <t>LT</t>
  </si>
  <si>
    <t>LUXEMBOURG</t>
  </si>
  <si>
    <t>LU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</si>
  <si>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</si>
  <si>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</si>
  <si>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</si>
  <si>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</si>
  <si>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</si>
  <si>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</si>
  <si>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</si>
  <si>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</si>
  <si>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</si>
  <si>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</si>
  <si>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</si>
  <si>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</si>
  <si>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</si>
  <si>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</si>
  <si>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</si>
  <si>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</si>
  <si>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MAURITANIA</t>
  </si>
  <si>
    <t>MR</t>
  </si>
  <si>
    <t>MAURITIUS</t>
  </si>
  <si>
    <t>MU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</si>
  <si>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</si>
  <si>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</si>
  <si>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</si>
  <si>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</si>
  <si>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</si>
  <si>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</si>
  <si>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</si>
  <si>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</si>
  <si>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</si>
  <si>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</si>
  <si>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MONTENEGRO</t>
  </si>
  <si>
    <t>ME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</si>
  <si>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</si>
  <si>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</si>
  <si>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</si>
  <si>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</si>
  <si>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</si>
  <si>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</si>
  <si>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</si>
  <si>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</si>
  <si>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</si>
  <si>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</si>
  <si>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</si>
  <si>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</si>
  <si>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</si>
  <si>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</si>
  <si>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</si>
  <si>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</si>
  <si>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</si>
  <si>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</si>
  <si>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</si>
  <si>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</si>
  <si>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</si>
  <si>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</si>
  <si>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</si>
  <si>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</si>
  <si>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NORWAY</t>
  </si>
  <si>
    <t>NO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</si>
  <si>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</si>
  <si>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</si>
  <si>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</si>
  <si>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</si>
  <si>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</si>
  <si>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</si>
  <si>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</si>
  <si>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</si>
  <si>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</si>
  <si>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</si>
  <si>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</si>
  <si>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</si>
  <si>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</si>
  <si>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</si>
  <si>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</si>
  <si>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</si>
  <si>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POLAND</t>
  </si>
  <si>
    <t>PL</t>
  </si>
  <si>
    <t>PORTUGAL</t>
  </si>
  <si>
    <t>PT</t>
  </si>
  <si>
    <t>QATAR</t>
  </si>
  <si>
    <t>QA</t>
  </si>
  <si>
    <t>ROMANIA</t>
  </si>
  <si>
    <t>RO</t>
  </si>
  <si>
    <t>RUSSIAN FEDERATION</t>
  </si>
  <si>
    <t>RU</t>
  </si>
  <si>
    <t>RWANDA</t>
  </si>
  <si>
    <t>RW</t>
  </si>
  <si>
    <t>SAINT KITTS AND NEVIS</t>
  </si>
  <si>
    <t>KN</t>
  </si>
  <si>
    <t>SAINT LUCIA</t>
  </si>
  <si>
    <t>LC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</si>
  <si>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</si>
  <si>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</si>
  <si>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</si>
  <si>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</si>
  <si>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</si>
  <si>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</si>
  <si>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</si>
  <si>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</si>
  <si>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</si>
  <si>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</si>
  <si>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</si>
  <si>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</si>
  <si>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</t>
  </si>
  <si>
    <t>RS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</si>
  <si>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</si>
  <si>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</si>
  <si>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</si>
  <si>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</si>
  <si>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</si>
  <si>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</si>
  <si>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</si>
  <si>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</si>
  <si>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</si>
  <si>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</si>
  <si>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</si>
  <si>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</si>
  <si>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</si>
  <si>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</si>
  <si>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</si>
  <si>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</si>
  <si>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SPAIN</t>
  </si>
  <si>
    <t>ES</t>
  </si>
  <si>
    <t>SRI LANKA</t>
  </si>
  <si>
    <t>LK</t>
  </si>
  <si>
    <t>SUDAN</t>
  </si>
  <si>
    <t>SD</t>
  </si>
  <si>
    <t>SUDAN, REPUBLIC OF SOUTH</t>
  </si>
  <si>
    <t>SS</t>
  </si>
  <si>
    <t>SURINAME</t>
  </si>
  <si>
    <t>SR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</si>
  <si>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</si>
  <si>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</si>
  <si>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</si>
  <si>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</si>
  <si>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</si>
  <si>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</si>
  <si>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</si>
  <si>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</si>
  <si>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</si>
  <si>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</si>
  <si>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</si>
  <si>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</si>
  <si>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</si>
  <si>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</si>
  <si>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</si>
  <si>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</si>
  <si>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</si>
  <si>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</si>
  <si>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</si>
  <si>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</si>
  <si>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</si>
  <si>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</si>
  <si>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</si>
  <si>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</si>
  <si>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</si>
  <si>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</si>
  <si>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</si>
  <si>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</si>
  <si>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</si>
  <si>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</si>
  <si>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</si>
  <si>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</si>
  <si>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</si>
  <si>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</si>
  <si>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</si>
  <si>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</si>
  <si>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</si>
  <si>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UK</t>
  </si>
  <si>
    <t>UNITED STATES</t>
  </si>
  <si>
    <t>US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</si>
  <si>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</si>
  <si>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</si>
  <si>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</si>
  <si>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</si>
  <si>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</si>
  <si>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</si>
  <si>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</si>
  <si>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</si>
  <si>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</si>
  <si>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</si>
  <si>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YEMEN</t>
  </si>
  <si>
    <t>YE</t>
  </si>
  <si>
    <t>ZAMBIA</t>
  </si>
  <si>
    <t>ZM</t>
  </si>
  <si>
    <t>ZIMBABWE</t>
  </si>
  <si>
    <t>ZW</t>
  </si>
  <si>
    <t>Cancer costs</t>
  </si>
  <si>
    <t>Cancer costs (adjusted)</t>
  </si>
  <si>
    <t>Default Value</t>
  </si>
  <si>
    <t>Override Value</t>
  </si>
  <si>
    <t>Default values</t>
  </si>
  <si>
    <t>Override values</t>
  </si>
  <si>
    <t>Country ¦ Age [12]</t>
  </si>
  <si>
    <t>Country ¦ Age [11]</t>
  </si>
  <si>
    <t>GUINEA0BISSAU</t>
  </si>
  <si>
    <t>TIMOR0LESTE</t>
  </si>
  <si>
    <t>Country ¦ Age [10]</t>
  </si>
  <si>
    <t>GDP per capita (2011 US$)</t>
  </si>
  <si>
    <t>Actual</t>
  </si>
  <si>
    <t>Column</t>
  </si>
  <si>
    <t>Actual values</t>
  </si>
  <si>
    <t>GDP per capita</t>
  </si>
  <si>
    <t>Efficacy vs HPV 16/18</t>
  </si>
  <si>
    <t>Vaccination age</t>
  </si>
  <si>
    <t>Vaccine cost</t>
  </si>
  <si>
    <t>Delivery cost</t>
  </si>
  <si>
    <t>GDP per capita (2011 i$)</t>
  </si>
  <si>
    <t>Override these default values:</t>
  </si>
  <si>
    <t>Incremental cost per…</t>
  </si>
  <si>
    <t>Country Selection</t>
  </si>
  <si>
    <t>Outcomes for country:</t>
  </si>
  <si>
    <t>Coverage (all doses)</t>
  </si>
  <si>
    <t>Abbreviation (iso2)</t>
  </si>
  <si>
    <t>Cervical cancers prevented</t>
  </si>
  <si>
    <t>CeCx-16/18 incidence (disc)</t>
  </si>
  <si>
    <t>… cervical cancer prevented</t>
  </si>
  <si>
    <t>Proportion of cervical cancer cases that are due to HPV 16/18</t>
  </si>
  <si>
    <t>Female births (WPP 2015)</t>
  </si>
  <si>
    <t>Female 9y olds (WPP 2015)</t>
  </si>
  <si>
    <t>Female 10y olds (WPP 2015)</t>
  </si>
  <si>
    <t>Cohort size at vaccination age (female)</t>
  </si>
  <si>
    <t>Cohort size at birth (female)</t>
  </si>
  <si>
    <t>Standardised cohort size (1=birth)</t>
  </si>
  <si>
    <t>Standardised cohort size (1=vacc age)</t>
  </si>
  <si>
    <t>CeCx-16/18 incidence x 100,000 (for graph)</t>
  </si>
  <si>
    <t>version 2.2</t>
  </si>
  <si>
    <t>- Country selection!E15 (total vaccine cost per FIG) is now “=E13+E14” (vaccine price per FIG + vaccine delivery cost per FIG) rather than hardcoded (incorrectly) to $20.</t>
  </si>
  <si>
    <t>- Country section!D10 and Parameters!H1: renamed “3-dose coverage” to “Coverage (all doses)”.</t>
  </si>
  <si>
    <t>- Column G (female births) in “Parameters”: this was incorrect and has now been corrected. The data now come from the UN Population Division’s World Population Prospects 2015 (size of the 0-4 age interval divided by 5).</t>
  </si>
  <si>
    <t>- In “Output”, cost of vaccination (cells C10 and D10) were being calculated based on the cohort size at birth rather than at the age of vaccination. This has now been corrected, and a new row labelled “Cohort size at age of vaccination (female)” has been added. Similarly, cancers etc. prevented are now calculated based on a cohort that starts from the age of vaccination rather than from birth.</t>
  </si>
  <si>
    <t>- In “Parameters”, vaccine cost (column K) was incorrect for Gavi countries – whenever this is $15.00 it has now been changed to $13.50.</t>
  </si>
  <si>
    <t xml:space="preserve">- In “Output”, the number of cervical cancers prevented by vaccination and incremental cost per cancer prevented has been added (row 14). </t>
  </si>
  <si>
    <t>WHO mortality stratum</t>
  </si>
  <si>
    <t>D</t>
  </si>
  <si>
    <t>B</t>
  </si>
  <si>
    <t>A</t>
  </si>
  <si>
    <t>C</t>
  </si>
  <si>
    <t>E</t>
  </si>
  <si>
    <t>DALYs for cancer sequelae year</t>
  </si>
  <si>
    <t>Mortality stratum</t>
  </si>
  <si>
    <t>DALYs for cancer diagnosis</t>
  </si>
  <si>
    <t>DALYs for non-terminal cancer sequelae (per year)</t>
  </si>
  <si>
    <t>DALYs for terminal cancer</t>
  </si>
  <si>
    <t>DALYs</t>
  </si>
  <si>
    <t>Non-fatal cancer episode</t>
  </si>
  <si>
    <t>Fatal cancer episode (excluding life years lost)</t>
  </si>
  <si>
    <t>Non-fatal cancer episode (discounted)</t>
  </si>
  <si>
    <t>Fatal cancer episode (excluding life years lost) (discounted)</t>
  </si>
  <si>
    <t>version 2.3</t>
  </si>
  <si>
    <t>- Made DALYs lost due to cancer dependent on WHO mortality strata to exactly match calculations in R/published version</t>
  </si>
  <si>
    <t>Cancer disabilities lost (disc)</t>
    <phoneticPr fontId="19" type="noConversion"/>
  </si>
  <si>
    <t>Value</t>
    <phoneticPr fontId="19" type="noConversion"/>
  </si>
  <si>
    <t>lower bound</t>
    <phoneticPr fontId="19" type="noConversion"/>
  </si>
  <si>
    <t>up factor</t>
    <phoneticPr fontId="19" type="noConversion"/>
  </si>
  <si>
    <t>upper bound</t>
    <phoneticPr fontId="19" type="noConversion"/>
  </si>
  <si>
    <t>ICER(lower)</t>
    <phoneticPr fontId="19" type="noConversion"/>
  </si>
  <si>
    <t>ICER(upper)</t>
    <phoneticPr fontId="19" type="noConversion"/>
  </si>
  <si>
    <t>Vaccine efficacy vs HPV 16/18</t>
    <phoneticPr fontId="19" type="noConversion"/>
  </si>
  <si>
    <t>Vaccine price per FIG</t>
    <phoneticPr fontId="19" type="noConversion"/>
  </si>
  <si>
    <t>Vaccine delivery cost per FIG</t>
    <phoneticPr fontId="19" type="noConversion"/>
  </si>
  <si>
    <t>DALYs for non-terminal cancer sequelae (per year)</t>
    <phoneticPr fontId="19" type="noConversion"/>
  </si>
  <si>
    <t>DALYs for terminal cancer</t>
    <phoneticPr fontId="19" type="noConversion"/>
  </si>
  <si>
    <t>Proportion of cervical cancer cases that are due to HPV 16/18</t>
    <phoneticPr fontId="19" type="noConversion"/>
  </si>
  <si>
    <t>Value Used</t>
  </si>
  <si>
    <t>Deterministic</t>
  </si>
  <si>
    <t>Stochastic</t>
  </si>
  <si>
    <t>Random</t>
  </si>
  <si>
    <t>Param1</t>
  </si>
  <si>
    <t>Param2</t>
  </si>
  <si>
    <t>α+β</t>
  </si>
  <si>
    <t>Mean</t>
  </si>
  <si>
    <t>Gamma</t>
    <phoneticPr fontId="19" type="noConversion"/>
  </si>
  <si>
    <t>Beta</t>
  </si>
  <si>
    <t>Beta</t>
    <phoneticPr fontId="19" type="noConversion"/>
  </si>
  <si>
    <t>α</t>
    <phoneticPr fontId="19" type="noConversion"/>
  </si>
  <si>
    <t>β</t>
    <phoneticPr fontId="19" type="noConversion"/>
  </si>
  <si>
    <t>Model Control</t>
  </si>
  <si>
    <t>model</t>
  </si>
  <si>
    <t>Model Type</t>
  </si>
  <si>
    <t>modeltype</t>
  </si>
  <si>
    <t>numruns</t>
  </si>
  <si>
    <t>simulation</t>
  </si>
  <si>
    <t>Post-vaccination</t>
    <phoneticPr fontId="19" type="noConversion"/>
  </si>
  <si>
    <t>txPost-vaccination_cost</t>
    <phoneticPr fontId="21" type="noConversion"/>
  </si>
  <si>
    <t>Pre-vaccination</t>
    <phoneticPr fontId="19" type="noConversion"/>
  </si>
  <si>
    <t>txPre-vaccination_cost</t>
    <phoneticPr fontId="21" type="noConversion"/>
  </si>
  <si>
    <t>incr_cost</t>
  </si>
  <si>
    <t>ICER</t>
  </si>
  <si>
    <t>Optimal treatment</t>
  </si>
  <si>
    <t>txPost-vaccination_cost</t>
    <phoneticPr fontId="19" type="noConversion"/>
  </si>
  <si>
    <t>txPre-vaccination_cost</t>
    <phoneticPr fontId="19" type="noConversion"/>
  </si>
  <si>
    <t>WTP</t>
  </si>
  <si>
    <t>Incremental cost 
TxPost-vaccination</t>
    <phoneticPr fontId="21" type="noConversion"/>
  </si>
  <si>
    <t>txPost-vaccination_%</t>
    <phoneticPr fontId="21" type="noConversion"/>
  </si>
  <si>
    <t>txPost-vaccination_NB</t>
    <phoneticPr fontId="21" type="noConversion"/>
  </si>
  <si>
    <t>txPre-vaccination_%</t>
    <phoneticPr fontId="21" type="noConversion"/>
  </si>
  <si>
    <t>txPre-vaccination_NB</t>
    <phoneticPr fontId="21" type="noConversion"/>
  </si>
  <si>
    <t>Threshold</t>
    <phoneticPr fontId="19" type="noConversion"/>
  </si>
  <si>
    <t>X</t>
  </si>
  <si>
    <t>Y</t>
  </si>
  <si>
    <t>DALYs for cancer diagnosis</t>
    <phoneticPr fontId="19" type="noConversion"/>
  </si>
  <si>
    <t>Cancer treatment cost (per episode, over lifetime)</t>
    <phoneticPr fontId="19" type="noConversion"/>
  </si>
  <si>
    <t>GDP per capita</t>
    <phoneticPr fontId="19" type="noConversion"/>
  </si>
  <si>
    <t>Post-vaccination has a cost-effective probability</t>
    <phoneticPr fontId="21" type="noConversion"/>
  </si>
  <si>
    <t>Pre-vaccination has a cost-effective probability</t>
    <phoneticPr fontId="21" type="noConversion"/>
  </si>
  <si>
    <t>Base ICER</t>
    <phoneticPr fontId="19" type="noConversion"/>
  </si>
  <si>
    <t>α</t>
  </si>
  <si>
    <t>Select country:</t>
    <phoneticPr fontId="19" type="noConversion"/>
  </si>
  <si>
    <t>Cohort size at vaccination age (female)</t>
    <phoneticPr fontId="19" type="noConversion"/>
  </si>
  <si>
    <t>Distribution</t>
    <phoneticPr fontId="19" type="noConversion"/>
  </si>
  <si>
    <t>Baseline cost-effectiveness conclusion</t>
    <phoneticPr fontId="19" type="noConversion"/>
  </si>
  <si>
    <t>lower bound factor</t>
    <phoneticPr fontId="19" type="noConversion"/>
  </si>
  <si>
    <t>Absolute Value</t>
    <phoneticPr fontId="19" type="noConversion"/>
  </si>
  <si>
    <t>txPost-vaccination_DALY</t>
    <phoneticPr fontId="21" type="noConversion"/>
  </si>
  <si>
    <t>txPre-vaccination_DALY</t>
    <phoneticPr fontId="21" type="noConversion"/>
  </si>
  <si>
    <t>incr_DALY</t>
    <phoneticPr fontId="21" type="noConversion"/>
  </si>
  <si>
    <t>txPost-vaccination_DALY</t>
    <phoneticPr fontId="19" type="noConversion"/>
  </si>
  <si>
    <t>txPre-vaccination_DALY</t>
    <phoneticPr fontId="19" type="noConversion"/>
  </si>
  <si>
    <t>Incremental DALY
TxPost-vaccination</t>
    <phoneticPr fontId="21" type="noConversion"/>
  </si>
  <si>
    <t>Stochastic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</si>
</sst>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¥&quot;#,##0;&quot;¥&quot;\-#,##0"/>
    <numFmt numFmtId="176" formatCode="_-* #,##0.00_-;\-* #,##0.00_-;_-* &quot;-&quot;??_-;_-@_-"/>
    <numFmt numFmtId="177" formatCode="0.000000"/>
    <numFmt numFmtId="178" formatCode="[$$-409]#,##0"/>
    <numFmt numFmtId="179" formatCode="0.0%"/>
    <numFmt numFmtId="180" formatCode="0.00000000"/>
    <numFmt numFmtId="181" formatCode="&quot;$&quot;#,##0.00"/>
    <numFmt numFmtId="182" formatCode="&quot;$&quot;#,##0"/>
    <numFmt numFmtId="183" formatCode="0.0000"/>
    <numFmt numFmtId="184" formatCode="[$$-409]#,##0.00"/>
    <numFmt numFmtId="185" formatCode="0.00000"/>
    <numFmt numFmtId="186" formatCode="0_ "/>
    <numFmt numFmtId="187" formatCode="0.00_ "/>
    <numFmt numFmtId="188" formatCode="0.00000_ "/>
    <numFmt numFmtId="189" formatCode="0.000_ "/>
    <numFmt numFmtId="190" formatCode="\$#,##0.00;\-\$#,##0.00"/>
    <numFmt numFmtId="191" formatCode="#,##0.00_ "/>
    <numFmt numFmtId="192" formatCode="\$#,##0;\-\$#,##0"/>
    <numFmt numFmtId="193" formatCode="#,##0_ "/>
    <numFmt numFmtId="194" formatCode="[$$-409]#,##0.00;\-[$$-409]#,##0.00"/>
  </numFmts>
  <fonts count="30" x14ac:knownFonts="1">
    <font>
      <sz val="11"/>
      <color indexed="8"/>
      <name val="Calibri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b/>
      <sz val="10"/>
      <color theme="1"/>
      <name val="宋体"/>
      <family val="2"/>
      <scheme val="minor"/>
    </font>
    <font>
      <sz val="10"/>
      <color indexed="8"/>
      <name val="宋体"/>
      <family val="2"/>
      <scheme val="minor"/>
    </font>
    <font>
      <sz val="10"/>
      <color theme="1"/>
      <name val="宋体"/>
      <family val="2"/>
      <scheme val="minor"/>
    </font>
    <font>
      <b/>
      <sz val="11"/>
      <color indexed="8"/>
      <name val="宋体"/>
      <family val="2"/>
      <scheme val="minor"/>
    </font>
    <font>
      <sz val="11"/>
      <color indexed="8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theme="0"/>
      <name val="宋体"/>
      <family val="2"/>
      <scheme val="minor"/>
    </font>
    <font>
      <b/>
      <sz val="15"/>
      <color theme="3"/>
      <name val="宋体"/>
      <family val="2"/>
      <scheme val="minor"/>
    </font>
    <font>
      <sz val="11"/>
      <name val="Calibri"/>
      <family val="2"/>
    </font>
    <font>
      <sz val="11"/>
      <name val="宋体"/>
      <family val="2"/>
      <scheme val="minor"/>
    </font>
    <font>
      <sz val="11"/>
      <color indexed="8"/>
      <name val="Calibri"/>
      <family val="2"/>
    </font>
    <font>
      <sz val="9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0"/>
      <color theme="1"/>
      <name val="Calibri"/>
      <family val="2"/>
    </font>
    <font>
      <b/>
      <sz val="12"/>
      <color theme="1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9" fontId="3" fillId="0" borderId="0" applyFill="0" applyBorder="0" applyAlignment="0" applyProtection="0"/>
    <xf numFmtId="0" fontId="12" fillId="7" borderId="2" applyNumberFormat="0" applyAlignment="0" applyProtection="0"/>
    <xf numFmtId="0" fontId="13" fillId="7" borderId="1" applyNumberFormat="0" applyAlignment="0" applyProtection="0"/>
    <xf numFmtId="0" fontId="14" fillId="8" borderId="0" applyNumberFormat="0" applyBorder="0" applyAlignment="0" applyProtection="0"/>
    <xf numFmtId="0" fontId="2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0" borderId="3" applyNumberFormat="0" applyFill="0" applyAlignment="0" applyProtection="0"/>
    <xf numFmtId="176" fontId="18" fillId="0" borderId="0" applyFont="0" applyFill="0" applyBorder="0" applyAlignment="0" applyProtection="0"/>
  </cellStyleXfs>
  <cellXfs count="172">
    <xf numFmtId="0" fontId="0" fillId="0" borderId="0" xfId="0"/>
    <xf numFmtId="0" fontId="0" fillId="0" borderId="0" xfId="0" applyFont="1"/>
    <xf numFmtId="0" fontId="4" fillId="0" borderId="0" xfId="0" applyFont="1"/>
    <xf numFmtId="9" fontId="0" fillId="0" borderId="0" xfId="0" applyNumberFormat="1" applyFont="1"/>
    <xf numFmtId="0" fontId="0" fillId="0" borderId="0" xfId="0" applyFont="1" applyAlignment="1">
      <alignment horizontal="center"/>
    </xf>
    <xf numFmtId="0" fontId="5" fillId="0" borderId="0" xfId="0" applyFont="1"/>
    <xf numFmtId="0" fontId="6" fillId="0" borderId="0" xfId="0" applyFont="1" applyAlignment="1">
      <alignment wrapText="1"/>
    </xf>
    <xf numFmtId="2" fontId="5" fillId="0" borderId="0" xfId="0" applyNumberFormat="1" applyFont="1"/>
    <xf numFmtId="178" fontId="0" fillId="0" borderId="0" xfId="0" applyNumberFormat="1" applyFont="1" applyAlignment="1">
      <alignment horizontal="center"/>
    </xf>
    <xf numFmtId="0" fontId="7" fillId="0" borderId="0" xfId="0" applyFont="1" applyAlignment="1">
      <alignment wrapText="1"/>
    </xf>
    <xf numFmtId="3" fontId="7" fillId="0" borderId="0" xfId="0" applyNumberFormat="1" applyFont="1" applyAlignment="1">
      <alignment wrapText="1"/>
    </xf>
    <xf numFmtId="0" fontId="7" fillId="0" borderId="0" xfId="0" applyFont="1" applyAlignment="1">
      <alignment horizontal="left" wrapText="1"/>
    </xf>
    <xf numFmtId="181" fontId="7" fillId="0" borderId="0" xfId="0" applyNumberFormat="1" applyFont="1" applyAlignment="1">
      <alignment wrapText="1"/>
    </xf>
    <xf numFmtId="182" fontId="7" fillId="0" borderId="0" xfId="0" applyNumberFormat="1" applyFont="1" applyAlignment="1">
      <alignment wrapText="1"/>
    </xf>
    <xf numFmtId="0" fontId="8" fillId="0" borderId="0" xfId="0" applyFont="1" applyBorder="1" applyAlignment="1" applyProtection="1">
      <alignment wrapText="1"/>
      <protection locked="0"/>
    </xf>
    <xf numFmtId="0" fontId="9" fillId="0" borderId="0" xfId="0" applyFont="1" applyAlignment="1">
      <alignment wrapText="1"/>
    </xf>
    <xf numFmtId="3" fontId="9" fillId="0" borderId="0" xfId="0" applyNumberFormat="1" applyFont="1" applyAlignment="1">
      <alignment horizontal="right"/>
    </xf>
    <xf numFmtId="9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81" fontId="9" fillId="0" borderId="0" xfId="0" applyNumberFormat="1" applyFont="1" applyAlignment="1">
      <alignment horizontal="right" wrapText="1"/>
    </xf>
    <xf numFmtId="181" fontId="9" fillId="0" borderId="0" xfId="0" applyNumberFormat="1" applyFont="1" applyAlignment="1">
      <alignment horizontal="right"/>
    </xf>
    <xf numFmtId="181" fontId="9" fillId="0" borderId="0" xfId="0" applyNumberFormat="1" applyFont="1" applyFill="1" applyAlignment="1">
      <alignment horizontal="right"/>
    </xf>
    <xf numFmtId="182" fontId="9" fillId="3" borderId="0" xfId="0" applyNumberFormat="1" applyFont="1" applyFill="1" applyAlignment="1">
      <alignment horizontal="right"/>
    </xf>
    <xf numFmtId="182" fontId="9" fillId="3" borderId="0" xfId="0" applyNumberFormat="1" applyFont="1" applyFill="1"/>
    <xf numFmtId="3" fontId="9" fillId="0" borderId="0" xfId="0" applyNumberFormat="1" applyFont="1" applyAlignment="1">
      <alignment wrapText="1"/>
    </xf>
    <xf numFmtId="181" fontId="9" fillId="0" borderId="0" xfId="0" applyNumberFormat="1" applyFont="1" applyFill="1"/>
    <xf numFmtId="182" fontId="9" fillId="0" borderId="0" xfId="0" applyNumberFormat="1" applyFont="1" applyFill="1"/>
    <xf numFmtId="181" fontId="9" fillId="5" borderId="0" xfId="0" applyNumberFormat="1" applyFont="1" applyFill="1"/>
    <xf numFmtId="182" fontId="9" fillId="5" borderId="0" xfId="0" applyNumberFormat="1" applyFont="1" applyFill="1"/>
    <xf numFmtId="0" fontId="9" fillId="0" borderId="0" xfId="0" applyFont="1"/>
    <xf numFmtId="3" fontId="9" fillId="0" borderId="0" xfId="0" applyNumberFormat="1" applyFont="1"/>
    <xf numFmtId="181" fontId="9" fillId="3" borderId="0" xfId="0" applyNumberFormat="1" applyFont="1" applyFill="1"/>
    <xf numFmtId="182" fontId="9" fillId="4" borderId="0" xfId="0" applyNumberFormat="1" applyFont="1" applyFill="1"/>
    <xf numFmtId="181" fontId="7" fillId="0" borderId="0" xfId="0" applyNumberFormat="1" applyFont="1" applyFill="1"/>
    <xf numFmtId="181" fontId="9" fillId="4" borderId="0" xfId="0" applyNumberFormat="1" applyFont="1" applyFill="1"/>
    <xf numFmtId="9" fontId="3" fillId="0" borderId="0" xfId="1" applyAlignment="1">
      <alignment horizontal="center"/>
    </xf>
    <xf numFmtId="179" fontId="3" fillId="0" borderId="0" xfId="1" applyNumberFormat="1" applyAlignment="1">
      <alignment horizontal="center"/>
    </xf>
    <xf numFmtId="0" fontId="4" fillId="6" borderId="0" xfId="0" applyFont="1" applyFill="1"/>
    <xf numFmtId="0" fontId="0" fillId="6" borderId="0" xfId="0" applyFont="1" applyFill="1"/>
    <xf numFmtId="0" fontId="0" fillId="6" borderId="0" xfId="0" applyFont="1" applyFill="1" applyAlignment="1">
      <alignment horizontal="center"/>
    </xf>
    <xf numFmtId="9" fontId="3" fillId="6" borderId="0" xfId="1" applyFill="1" applyAlignment="1">
      <alignment horizontal="center"/>
    </xf>
    <xf numFmtId="178" fontId="0" fillId="6" borderId="0" xfId="0" applyNumberFormat="1" applyFont="1" applyFill="1" applyAlignment="1">
      <alignment horizontal="center"/>
    </xf>
    <xf numFmtId="0" fontId="0" fillId="6" borderId="0" xfId="0" applyFill="1"/>
    <xf numFmtId="0" fontId="4" fillId="0" borderId="0" xfId="0" applyFont="1" applyAlignment="1">
      <alignment horizontal="left" indent="1"/>
    </xf>
    <xf numFmtId="0" fontId="4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  <xf numFmtId="0" fontId="13" fillId="7" borderId="1" xfId="3" applyAlignment="1">
      <alignment horizontal="center"/>
    </xf>
    <xf numFmtId="9" fontId="13" fillId="7" borderId="1" xfId="3" applyNumberFormat="1" applyAlignment="1">
      <alignment horizontal="center"/>
    </xf>
    <xf numFmtId="178" fontId="13" fillId="7" borderId="1" xfId="3" applyNumberFormat="1" applyAlignment="1">
      <alignment horizontal="center"/>
    </xf>
    <xf numFmtId="179" fontId="13" fillId="7" borderId="1" xfId="3" applyNumberForma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7" borderId="1" xfId="3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3" fontId="12" fillId="7" borderId="2" xfId="2" applyNumberFormat="1" applyAlignment="1">
      <alignment horizontal="center"/>
    </xf>
    <xf numFmtId="0" fontId="12" fillId="7" borderId="2" xfId="2" applyAlignment="1">
      <alignment horizontal="center"/>
    </xf>
    <xf numFmtId="178" fontId="12" fillId="7" borderId="2" xfId="2" applyNumberFormat="1" applyAlignment="1">
      <alignment horizontal="center"/>
    </xf>
    <xf numFmtId="0" fontId="10" fillId="0" borderId="0" xfId="0" applyFont="1" applyAlignment="1">
      <alignment horizontal="right" wrapText="1" indent="1"/>
    </xf>
    <xf numFmtId="0" fontId="11" fillId="0" borderId="0" xfId="0" applyFont="1" applyAlignment="1">
      <alignment horizontal="right" indent="1"/>
    </xf>
    <xf numFmtId="0" fontId="11" fillId="0" borderId="0" xfId="0" applyFont="1" applyAlignment="1">
      <alignment horizontal="right" wrapText="1" indent="1"/>
    </xf>
    <xf numFmtId="0" fontId="11" fillId="0" borderId="0" xfId="0" applyFont="1" applyAlignment="1">
      <alignment horizontal="right" indent="5"/>
    </xf>
    <xf numFmtId="0" fontId="14" fillId="0" borderId="0" xfId="4" applyFill="1"/>
    <xf numFmtId="0" fontId="0" fillId="0" borderId="0" xfId="0" applyFont="1" applyFill="1"/>
    <xf numFmtId="0" fontId="0" fillId="0" borderId="0" xfId="0" applyBorder="1"/>
    <xf numFmtId="0" fontId="14" fillId="0" borderId="0" xfId="4" applyFill="1" applyBorder="1"/>
    <xf numFmtId="0" fontId="14" fillId="0" borderId="0" xfId="7" applyFill="1" applyBorder="1"/>
    <xf numFmtId="0" fontId="14" fillId="0" borderId="0" xfId="6" applyFill="1" applyBorder="1"/>
    <xf numFmtId="0" fontId="0" fillId="0" borderId="0" xfId="0" applyFont="1" applyFill="1" applyBorder="1"/>
    <xf numFmtId="0" fontId="0" fillId="0" borderId="0" xfId="0" applyFont="1" applyBorder="1"/>
    <xf numFmtId="0" fontId="16" fillId="0" borderId="0" xfId="0" applyFont="1" applyFill="1"/>
    <xf numFmtId="0" fontId="17" fillId="0" borderId="0" xfId="7" applyFont="1" applyFill="1"/>
    <xf numFmtId="0" fontId="14" fillId="0" borderId="0" xfId="7" applyFill="1"/>
    <xf numFmtId="0" fontId="16" fillId="0" borderId="0" xfId="0" applyFont="1" applyFill="1" applyBorder="1"/>
    <xf numFmtId="0" fontId="17" fillId="0" borderId="0" xfId="4" applyFont="1" applyFill="1" applyBorder="1"/>
    <xf numFmtId="0" fontId="17" fillId="0" borderId="0" xfId="7" applyFont="1" applyFill="1" applyBorder="1"/>
    <xf numFmtId="0" fontId="0" fillId="0" borderId="0" xfId="0" applyFill="1" applyBorder="1"/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15" fillId="0" borderId="3" xfId="8" applyFill="1"/>
    <xf numFmtId="0" fontId="15" fillId="0" borderId="3" xfId="8" applyFill="1" applyAlignment="1">
      <alignment horizontal="right"/>
    </xf>
    <xf numFmtId="0" fontId="4" fillId="0" borderId="0" xfId="0" applyFont="1" applyAlignment="1">
      <alignment wrapText="1"/>
    </xf>
    <xf numFmtId="2" fontId="13" fillId="7" borderId="1" xfId="3" applyNumberFormat="1" applyAlignment="1">
      <alignment horizontal="center"/>
    </xf>
    <xf numFmtId="3" fontId="13" fillId="7" borderId="1" xfId="3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84" fontId="13" fillId="7" borderId="1" xfId="3" applyNumberFormat="1" applyAlignment="1">
      <alignment horizontal="center"/>
    </xf>
    <xf numFmtId="0" fontId="0" fillId="0" borderId="0" xfId="0" applyFont="1" applyFill="1" applyBorder="1" applyAlignment="1">
      <alignment horizontal="right" indent="1"/>
    </xf>
    <xf numFmtId="0" fontId="11" fillId="0" borderId="0" xfId="0" applyFont="1"/>
    <xf numFmtId="0" fontId="10" fillId="0" borderId="0" xfId="0" applyFont="1"/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1" fillId="2" borderId="0" xfId="0" applyFont="1" applyFill="1" applyAlignment="1">
      <alignment wrapText="1"/>
    </xf>
    <xf numFmtId="177" fontId="11" fillId="2" borderId="0" xfId="0" applyNumberFormat="1" applyFont="1" applyFill="1" applyAlignment="1">
      <alignment wrapText="1"/>
    </xf>
    <xf numFmtId="185" fontId="11" fillId="0" borderId="0" xfId="0" applyNumberFormat="1" applyFont="1"/>
    <xf numFmtId="183" fontId="11" fillId="0" borderId="0" xfId="0" applyNumberFormat="1" applyFont="1"/>
    <xf numFmtId="177" fontId="11" fillId="0" borderId="0" xfId="0" applyNumberFormat="1" applyFont="1"/>
    <xf numFmtId="180" fontId="11" fillId="0" borderId="0" xfId="0" applyNumberFormat="1" applyFont="1"/>
    <xf numFmtId="176" fontId="11" fillId="0" borderId="0" xfId="9" applyFont="1"/>
    <xf numFmtId="0" fontId="10" fillId="0" borderId="0" xfId="0" applyFont="1" applyAlignment="1">
      <alignment horizontal="right" indent="1"/>
    </xf>
    <xf numFmtId="0" fontId="0" fillId="0" borderId="0" xfId="0" quotePrefix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9" fontId="0" fillId="0" borderId="0" xfId="0" applyNumberFormat="1"/>
    <xf numFmtId="186" fontId="0" fillId="0" borderId="0" xfId="0" applyNumberFormat="1"/>
    <xf numFmtId="187" fontId="0" fillId="0" borderId="0" xfId="0" applyNumberFormat="1"/>
    <xf numFmtId="179" fontId="0" fillId="0" borderId="0" xfId="0" applyNumberFormat="1"/>
    <xf numFmtId="5" fontId="0" fillId="0" borderId="0" xfId="0" applyNumberFormat="1"/>
    <xf numFmtId="0" fontId="0" fillId="0" borderId="4" xfId="0" applyBorder="1" applyAlignment="1">
      <alignment horizontal="center"/>
    </xf>
    <xf numFmtId="178" fontId="0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188" fontId="0" fillId="0" borderId="0" xfId="0" applyNumberFormat="1"/>
    <xf numFmtId="0" fontId="0" fillId="0" borderId="0" xfId="0" applyFill="1" applyAlignment="1">
      <alignment horizontal="right"/>
    </xf>
    <xf numFmtId="0" fontId="0" fillId="0" borderId="0" xfId="0" applyNumberFormat="1"/>
    <xf numFmtId="189" fontId="0" fillId="0" borderId="0" xfId="0" applyNumberFormat="1"/>
    <xf numFmtId="192" fontId="0" fillId="0" borderId="0" xfId="0" applyNumberFormat="1"/>
    <xf numFmtId="0" fontId="0" fillId="0" borderId="0" xfId="0" applyFill="1"/>
    <xf numFmtId="187" fontId="0" fillId="0" borderId="0" xfId="0" applyNumberFormat="1" applyFill="1"/>
    <xf numFmtId="188" fontId="0" fillId="0" borderId="0" xfId="0" applyNumberFormat="1" applyFill="1"/>
    <xf numFmtId="189" fontId="0" fillId="0" borderId="0" xfId="0" applyNumberFormat="1" applyFill="1"/>
    <xf numFmtId="190" fontId="0" fillId="0" borderId="0" xfId="0" applyNumberFormat="1"/>
    <xf numFmtId="191" fontId="0" fillId="0" borderId="0" xfId="0" applyNumberFormat="1"/>
    <xf numFmtId="186" fontId="3" fillId="6" borderId="0" xfId="1" applyNumberFormat="1" applyFill="1" applyAlignment="1">
      <alignment horizontal="center"/>
    </xf>
    <xf numFmtId="192" fontId="3" fillId="6" borderId="0" xfId="1" applyNumberFormat="1" applyFill="1" applyAlignment="1">
      <alignment horizontal="center"/>
    </xf>
    <xf numFmtId="191" fontId="0" fillId="6" borderId="0" xfId="0" applyNumberFormat="1" applyFont="1" applyFill="1" applyAlignment="1">
      <alignment horizontal="center"/>
    </xf>
    <xf numFmtId="9" fontId="0" fillId="6" borderId="0" xfId="0" applyNumberFormat="1" applyFont="1" applyFill="1" applyAlignment="1">
      <alignment horizontal="center"/>
    </xf>
    <xf numFmtId="179" fontId="0" fillId="6" borderId="0" xfId="0" applyNumberFormat="1" applyFont="1" applyFill="1" applyAlignment="1">
      <alignment horizontal="center"/>
    </xf>
    <xf numFmtId="0" fontId="0" fillId="16" borderId="5" xfId="0" applyFill="1" applyBorder="1"/>
    <xf numFmtId="0" fontId="0" fillId="0" borderId="5" xfId="0" applyBorder="1" applyAlignment="1">
      <alignment horizontal="left"/>
    </xf>
    <xf numFmtId="192" fontId="0" fillId="0" borderId="5" xfId="0" applyNumberFormat="1" applyBorder="1"/>
    <xf numFmtId="179" fontId="0" fillId="0" borderId="0" xfId="0" applyNumberFormat="1" applyFont="1" applyFill="1" applyAlignment="1">
      <alignment horizontal="right"/>
    </xf>
    <xf numFmtId="179" fontId="0" fillId="0" borderId="0" xfId="0" applyNumberFormat="1" applyFill="1"/>
    <xf numFmtId="9" fontId="16" fillId="17" borderId="5" xfId="0" applyNumberFormat="1" applyFont="1" applyFill="1" applyBorder="1"/>
    <xf numFmtId="0" fontId="23" fillId="0" borderId="0" xfId="0" applyFont="1" applyAlignment="1">
      <alignment horizontal="center"/>
    </xf>
    <xf numFmtId="0" fontId="0" fillId="0" borderId="0" xfId="0" applyFont="1" applyFill="1" applyAlignment="1">
      <alignment vertical="center"/>
    </xf>
    <xf numFmtId="192" fontId="0" fillId="0" borderId="0" xfId="0" applyNumberFormat="1" applyFont="1"/>
    <xf numFmtId="192" fontId="24" fillId="17" borderId="0" xfId="0" applyNumberFormat="1" applyFont="1" applyFill="1" applyAlignment="1">
      <alignment horizontal="center" vertical="center"/>
    </xf>
    <xf numFmtId="193" fontId="24" fillId="17" borderId="0" xfId="0" applyNumberFormat="1" applyFont="1" applyFill="1" applyAlignment="1">
      <alignment horizontal="center" vertical="center"/>
    </xf>
    <xf numFmtId="0" fontId="25" fillId="0" borderId="0" xfId="0" applyFont="1" applyFill="1" applyAlignment="1">
      <alignment horizontal="center"/>
    </xf>
    <xf numFmtId="179" fontId="24" fillId="17" borderId="0" xfId="0" applyNumberFormat="1" applyFont="1" applyFill="1" applyAlignment="1">
      <alignment horizontal="center" vertical="center"/>
    </xf>
    <xf numFmtId="186" fontId="24" fillId="17" borderId="0" xfId="0" applyNumberFormat="1" applyFont="1" applyFill="1" applyAlignment="1">
      <alignment horizontal="center" vertical="center"/>
    </xf>
    <xf numFmtId="10" fontId="0" fillId="17" borderId="0" xfId="0" applyNumberFormat="1" applyFont="1" applyFill="1" applyAlignment="1">
      <alignment horizontal="center" vertical="center"/>
    </xf>
    <xf numFmtId="0" fontId="0" fillId="12" borderId="0" xfId="0" applyFont="1" applyFill="1"/>
    <xf numFmtId="0" fontId="27" fillId="15" borderId="5" xfId="0" applyFont="1" applyFill="1" applyBorder="1" applyAlignment="1">
      <alignment horizontal="center"/>
    </xf>
    <xf numFmtId="0" fontId="28" fillId="0" borderId="5" xfId="0" applyFont="1" applyBorder="1" applyAlignment="1">
      <alignment horizontal="center"/>
    </xf>
    <xf numFmtId="186" fontId="28" fillId="0" borderId="5" xfId="0" applyNumberFormat="1" applyFont="1" applyBorder="1" applyAlignment="1">
      <alignment horizontal="center"/>
    </xf>
    <xf numFmtId="0" fontId="27" fillId="13" borderId="5" xfId="0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0" fontId="26" fillId="0" borderId="0" xfId="0" applyFont="1" applyFill="1" applyAlignment="1">
      <alignment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/>
    </xf>
    <xf numFmtId="0" fontId="26" fillId="0" borderId="0" xfId="0" applyFont="1" applyFill="1" applyAlignment="1">
      <alignment vertical="center" wrapText="1"/>
    </xf>
    <xf numFmtId="0" fontId="23" fillId="0" borderId="0" xfId="0" applyFont="1" applyFill="1" applyAlignment="1">
      <alignment horizontal="center"/>
    </xf>
    <xf numFmtId="0" fontId="0" fillId="0" borderId="5" xfId="0" applyFont="1" applyFill="1" applyBorder="1" applyAlignment="1">
      <alignment vertical="center"/>
    </xf>
    <xf numFmtId="192" fontId="0" fillId="0" borderId="0" xfId="0" applyNumberFormat="1" applyFont="1" applyFill="1" applyAlignment="1">
      <alignment vertical="center"/>
    </xf>
    <xf numFmtId="10" fontId="0" fillId="0" borderId="5" xfId="0" applyNumberFormat="1" applyFont="1" applyFill="1" applyBorder="1" applyAlignment="1">
      <alignment vertical="center"/>
    </xf>
    <xf numFmtId="10" fontId="0" fillId="0" borderId="5" xfId="0" applyNumberFormat="1" applyFont="1" applyFill="1" applyBorder="1"/>
    <xf numFmtId="0" fontId="0" fillId="0" borderId="5" xfId="0" applyFont="1" applyFill="1" applyBorder="1" applyAlignment="1">
      <alignment horizontal="center"/>
    </xf>
    <xf numFmtId="190" fontId="0" fillId="0" borderId="5" xfId="0" applyNumberFormat="1" applyFont="1" applyFill="1" applyBorder="1" applyAlignment="1">
      <alignment vertical="center"/>
    </xf>
    <xf numFmtId="190" fontId="0" fillId="0" borderId="5" xfId="0" applyNumberFormat="1" applyFont="1" applyFill="1" applyBorder="1"/>
    <xf numFmtId="190" fontId="0" fillId="0" borderId="0" xfId="0" applyNumberFormat="1" applyFont="1" applyFill="1" applyAlignment="1">
      <alignment horizontal="right"/>
    </xf>
    <xf numFmtId="194" fontId="0" fillId="0" borderId="0" xfId="0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0" fillId="14" borderId="0" xfId="0" applyFont="1" applyFill="1" applyAlignment="1">
      <alignment horizontal="center" vertical="center"/>
    </xf>
    <xf numFmtId="0" fontId="1" fillId="9" borderId="1" xfId="5" applyFont="1" applyBorder="1" applyAlignment="1">
      <alignment horizontal="center"/>
    </xf>
    <xf numFmtId="0" fontId="15" fillId="0" borderId="3" xfId="8" applyAlignment="1">
      <alignment horizontal="center"/>
    </xf>
  </cellXfs>
  <cellStyles count="10">
    <cellStyle name="40% - 着色 3" xfId="5" builtinId="39"/>
    <cellStyle name="百分比" xfId="1" builtinId="5"/>
    <cellStyle name="标题 1" xfId="8" builtinId="16"/>
    <cellStyle name="常规" xfId="0" builtinId="0"/>
    <cellStyle name="计算" xfId="3" builtinId="22"/>
    <cellStyle name="千位分隔" xfId="9" builtinId="3"/>
    <cellStyle name="输出" xfId="2" builtinId="21"/>
    <cellStyle name="着色 3" xfId="4" builtinId="37"/>
    <cellStyle name="着色 4" xfId="6" builtinId="41"/>
    <cellStyle name="着色 5" xfId="7" builtinId="45"/>
  </cellStyles>
  <dxfs count="0"/>
  <tableStyles count="0" defaultTableStyle="TableStyleMedium9" defaultPivotStyle="PivotStyleLight16"/>
  <colors>
    <mruColors>
      <color rgb="FFBD4A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GB"/>
              <a:t>Effect of vaccination on</a:t>
            </a:r>
            <a:r>
              <a:rPr lang="en-GB" baseline="0"/>
              <a:t> incidence of cervical cancer by age </a:t>
            </a:r>
            <a:endParaRPr lang="en-GB"/>
          </a:p>
        </c:rich>
      </c:tx>
      <c:layout>
        <c:manualLayout>
          <c:xMode val="edge"/>
          <c:yMode val="edge"/>
          <c:x val="0.10210457488882241"/>
          <c:y val="3.944773175542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958361731692975"/>
          <c:y val="9.6983269582769718E-2"/>
          <c:w val="0.82500167847021177"/>
          <c:h val="0.75865051851453724"/>
        </c:manualLayout>
      </c:layout>
      <c:scatterChart>
        <c:scatterStyle val="lineMarker"/>
        <c:varyColors val="0"/>
        <c:ser>
          <c:idx val="0"/>
          <c:order val="0"/>
          <c:tx>
            <c:strRef>
              <c:f>Model!$G$1</c:f>
              <c:strCache>
                <c:ptCount val="1"/>
                <c:pt idx="0">
                  <c:v>Pre-vaccination</c:v>
                </c:pt>
              </c:strCache>
            </c:strRef>
          </c:tx>
          <c:spPr>
            <a:ln w="254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Model!$A$16:$A$79</c:f>
              <c:numCache>
                <c:formatCode>General</c:formatCode>
                <c:ptCount val="64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62</c:v>
                </c:pt>
                <c:pt idx="51">
                  <c:v>63</c:v>
                </c:pt>
                <c:pt idx="52">
                  <c:v>64</c:v>
                </c:pt>
                <c:pt idx="53">
                  <c:v>65</c:v>
                </c:pt>
                <c:pt idx="54">
                  <c:v>66</c:v>
                </c:pt>
                <c:pt idx="55">
                  <c:v>67</c:v>
                </c:pt>
                <c:pt idx="56">
                  <c:v>68</c:v>
                </c:pt>
                <c:pt idx="57">
                  <c:v>69</c:v>
                </c:pt>
                <c:pt idx="58">
                  <c:v>70</c:v>
                </c:pt>
                <c:pt idx="59">
                  <c:v>71</c:v>
                </c:pt>
                <c:pt idx="60">
                  <c:v>72</c:v>
                </c:pt>
                <c:pt idx="61">
                  <c:v>73</c:v>
                </c:pt>
                <c:pt idx="62">
                  <c:v>74</c:v>
                </c:pt>
                <c:pt idx="63">
                  <c:v>75</c:v>
                </c:pt>
              </c:numCache>
            </c:numRef>
          </c:xVal>
          <c:yVal>
            <c:numRef>
              <c:f>Model!$AL$4:$AL$104</c:f>
              <c:numCache>
                <c:formatCode>_-* #,##0.00_-;\-* #,##0.00_-;_-* "-"??_-;_-@_-</c:formatCode>
                <c:ptCount val="101"/>
                <c:pt idx="0">
                  <c:v>6.9909792167730758E-2</c:v>
                </c:pt>
                <c:pt idx="1">
                  <c:v>6.9909792167730758E-2</c:v>
                </c:pt>
                <c:pt idx="2">
                  <c:v>6.9909792167730758E-2</c:v>
                </c:pt>
                <c:pt idx="3">
                  <c:v>6.9909792167730758E-2</c:v>
                </c:pt>
                <c:pt idx="4">
                  <c:v>6.9909792167730758E-2</c:v>
                </c:pt>
                <c:pt idx="5">
                  <c:v>6.9909792167730758E-2</c:v>
                </c:pt>
                <c:pt idx="6">
                  <c:v>6.9909792167730758E-2</c:v>
                </c:pt>
                <c:pt idx="7">
                  <c:v>6.9909792167730758E-2</c:v>
                </c:pt>
                <c:pt idx="8">
                  <c:v>6.9909792167730758E-2</c:v>
                </c:pt>
                <c:pt idx="9">
                  <c:v>6.9909792167730758E-2</c:v>
                </c:pt>
                <c:pt idx="10">
                  <c:v>6.9909792167730758E-2</c:v>
                </c:pt>
                <c:pt idx="11">
                  <c:v>6.9909792167730758E-2</c:v>
                </c:pt>
                <c:pt idx="12">
                  <c:v>6.9909792167730758E-2</c:v>
                </c:pt>
                <c:pt idx="13">
                  <c:v>6.9909792167730758E-2</c:v>
                </c:pt>
                <c:pt idx="14">
                  <c:v>6.9909792167730758E-2</c:v>
                </c:pt>
                <c:pt idx="15">
                  <c:v>4.683956075237961</c:v>
                </c:pt>
                <c:pt idx="16">
                  <c:v>4.683956075237961</c:v>
                </c:pt>
                <c:pt idx="17">
                  <c:v>4.683956075237961</c:v>
                </c:pt>
                <c:pt idx="18">
                  <c:v>4.683956075237961</c:v>
                </c:pt>
                <c:pt idx="19">
                  <c:v>4.683956075237961</c:v>
                </c:pt>
                <c:pt idx="20">
                  <c:v>4.683956075237961</c:v>
                </c:pt>
                <c:pt idx="21">
                  <c:v>4.683956075237961</c:v>
                </c:pt>
                <c:pt idx="22">
                  <c:v>4.683956075237961</c:v>
                </c:pt>
                <c:pt idx="23">
                  <c:v>4.683956075237961</c:v>
                </c:pt>
                <c:pt idx="24">
                  <c:v>4.683956075237961</c:v>
                </c:pt>
                <c:pt idx="25">
                  <c:v>4.683956075237961</c:v>
                </c:pt>
                <c:pt idx="26">
                  <c:v>4.683956075237961</c:v>
                </c:pt>
                <c:pt idx="27">
                  <c:v>4.683956075237961</c:v>
                </c:pt>
                <c:pt idx="28">
                  <c:v>4.683956075237961</c:v>
                </c:pt>
                <c:pt idx="29">
                  <c:v>4.683956075237961</c:v>
                </c:pt>
                <c:pt idx="30">
                  <c:v>4.683956075237961</c:v>
                </c:pt>
                <c:pt idx="31">
                  <c:v>4.683956075237961</c:v>
                </c:pt>
                <c:pt idx="32">
                  <c:v>4.683956075237961</c:v>
                </c:pt>
                <c:pt idx="33">
                  <c:v>4.683956075237961</c:v>
                </c:pt>
                <c:pt idx="34">
                  <c:v>4.683956075237961</c:v>
                </c:pt>
                <c:pt idx="35">
                  <c:v>4.683956075237961</c:v>
                </c:pt>
                <c:pt idx="36">
                  <c:v>4.683956075237961</c:v>
                </c:pt>
                <c:pt idx="37">
                  <c:v>4.683956075237961</c:v>
                </c:pt>
                <c:pt idx="38">
                  <c:v>4.683956075237961</c:v>
                </c:pt>
                <c:pt idx="39">
                  <c:v>4.683956075237961</c:v>
                </c:pt>
                <c:pt idx="40">
                  <c:v>12.234213629352885</c:v>
                </c:pt>
                <c:pt idx="41">
                  <c:v>12.234213629352885</c:v>
                </c:pt>
                <c:pt idx="42">
                  <c:v>12.234213629352885</c:v>
                </c:pt>
                <c:pt idx="43">
                  <c:v>12.234213629352885</c:v>
                </c:pt>
                <c:pt idx="44">
                  <c:v>12.234213629352885</c:v>
                </c:pt>
                <c:pt idx="45">
                  <c:v>12.723582174527001</c:v>
                </c:pt>
                <c:pt idx="46">
                  <c:v>12.723582174527001</c:v>
                </c:pt>
                <c:pt idx="47">
                  <c:v>12.723582174527001</c:v>
                </c:pt>
                <c:pt idx="48">
                  <c:v>12.723582174527001</c:v>
                </c:pt>
                <c:pt idx="49">
                  <c:v>12.723582174527001</c:v>
                </c:pt>
                <c:pt idx="50">
                  <c:v>12.164303837185154</c:v>
                </c:pt>
                <c:pt idx="51">
                  <c:v>12.164303837185154</c:v>
                </c:pt>
                <c:pt idx="52">
                  <c:v>12.164303837185154</c:v>
                </c:pt>
                <c:pt idx="53">
                  <c:v>12.164303837185154</c:v>
                </c:pt>
                <c:pt idx="54">
                  <c:v>12.164303837185154</c:v>
                </c:pt>
                <c:pt idx="55">
                  <c:v>10.766107993830538</c:v>
                </c:pt>
                <c:pt idx="56">
                  <c:v>10.766107993830538</c:v>
                </c:pt>
                <c:pt idx="57">
                  <c:v>10.766107993830538</c:v>
                </c:pt>
                <c:pt idx="58">
                  <c:v>10.766107993830538</c:v>
                </c:pt>
                <c:pt idx="59">
                  <c:v>10.766107993830538</c:v>
                </c:pt>
                <c:pt idx="60">
                  <c:v>9.2280925661404609</c:v>
                </c:pt>
                <c:pt idx="61">
                  <c:v>9.2280925661404609</c:v>
                </c:pt>
                <c:pt idx="62">
                  <c:v>9.2280925661404609</c:v>
                </c:pt>
                <c:pt idx="63">
                  <c:v>9.2280925661404609</c:v>
                </c:pt>
                <c:pt idx="64">
                  <c:v>9.2280925661404609</c:v>
                </c:pt>
                <c:pt idx="65">
                  <c:v>8.3891750601276929</c:v>
                </c:pt>
                <c:pt idx="66">
                  <c:v>8.3891750601276929</c:v>
                </c:pt>
                <c:pt idx="67">
                  <c:v>8.3891750601276929</c:v>
                </c:pt>
                <c:pt idx="68">
                  <c:v>8.3891750601276929</c:v>
                </c:pt>
                <c:pt idx="69">
                  <c:v>8.3891750601276929</c:v>
                </c:pt>
                <c:pt idx="70">
                  <c:v>7.8998065149535766</c:v>
                </c:pt>
                <c:pt idx="71">
                  <c:v>7.8998065149535766</c:v>
                </c:pt>
                <c:pt idx="72">
                  <c:v>7.8998065149535766</c:v>
                </c:pt>
                <c:pt idx="73">
                  <c:v>7.8998065149535766</c:v>
                </c:pt>
                <c:pt idx="74">
                  <c:v>7.8998065149535766</c:v>
                </c:pt>
                <c:pt idx="75">
                  <c:v>8.3192652679599615</c:v>
                </c:pt>
                <c:pt idx="76">
                  <c:v>8.3192652679599615</c:v>
                </c:pt>
                <c:pt idx="77">
                  <c:v>8.3192652679599615</c:v>
                </c:pt>
                <c:pt idx="78">
                  <c:v>8.3192652679599615</c:v>
                </c:pt>
                <c:pt idx="79">
                  <c:v>8.3192652679599615</c:v>
                </c:pt>
                <c:pt idx="80">
                  <c:v>8.3192652679599615</c:v>
                </c:pt>
                <c:pt idx="81">
                  <c:v>8.3192652679599615</c:v>
                </c:pt>
                <c:pt idx="82">
                  <c:v>8.3192652679599615</c:v>
                </c:pt>
                <c:pt idx="83">
                  <c:v>8.3192652679599615</c:v>
                </c:pt>
                <c:pt idx="84">
                  <c:v>8.3192652679599615</c:v>
                </c:pt>
                <c:pt idx="85">
                  <c:v>8.3192652679599615</c:v>
                </c:pt>
                <c:pt idx="86">
                  <c:v>8.3192652679599615</c:v>
                </c:pt>
                <c:pt idx="87">
                  <c:v>8.3192652679599615</c:v>
                </c:pt>
                <c:pt idx="88">
                  <c:v>8.3192652679599615</c:v>
                </c:pt>
                <c:pt idx="89">
                  <c:v>8.3192652679599615</c:v>
                </c:pt>
                <c:pt idx="90">
                  <c:v>8.3192652679599615</c:v>
                </c:pt>
                <c:pt idx="91">
                  <c:v>8.3192652679599615</c:v>
                </c:pt>
                <c:pt idx="92">
                  <c:v>8.3192652679599615</c:v>
                </c:pt>
                <c:pt idx="93">
                  <c:v>8.3192652679599615</c:v>
                </c:pt>
                <c:pt idx="94">
                  <c:v>8.3192652679599615</c:v>
                </c:pt>
                <c:pt idx="95">
                  <c:v>8.3192652679599615</c:v>
                </c:pt>
                <c:pt idx="96">
                  <c:v>8.3192652679599615</c:v>
                </c:pt>
                <c:pt idx="97">
                  <c:v>8.3192652679599615</c:v>
                </c:pt>
                <c:pt idx="98">
                  <c:v>8.3192652679599615</c:v>
                </c:pt>
                <c:pt idx="99">
                  <c:v>8.3192652679599615</c:v>
                </c:pt>
                <c:pt idx="100">
                  <c:v>8.3192652679599615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38-4D9A-912C-B8CB4481E3EE}"/>
            </c:ext>
          </c:extLst>
        </c:ser>
        <c:ser>
          <c:idx val="1"/>
          <c:order val="1"/>
          <c:tx>
            <c:strRef>
              <c:f>Model!$Q$1</c:f>
              <c:strCache>
                <c:ptCount val="1"/>
                <c:pt idx="0">
                  <c:v>Post-vaccination</c:v>
                </c:pt>
              </c:strCache>
            </c:strRef>
          </c:tx>
          <c:spPr>
            <a:ln w="254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Model!$A$16:$A$79</c:f>
              <c:numCache>
                <c:formatCode>General</c:formatCode>
                <c:ptCount val="64"/>
                <c:pt idx="0">
                  <c:v>12</c:v>
                </c:pt>
                <c:pt idx="1">
                  <c:v>13</c:v>
                </c:pt>
                <c:pt idx="2">
                  <c:v>14</c:v>
                </c:pt>
                <c:pt idx="3">
                  <c:v>15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  <c:pt idx="13">
                  <c:v>25</c:v>
                </c:pt>
                <c:pt idx="14">
                  <c:v>26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30</c:v>
                </c:pt>
                <c:pt idx="19">
                  <c:v>31</c:v>
                </c:pt>
                <c:pt idx="20">
                  <c:v>32</c:v>
                </c:pt>
                <c:pt idx="21">
                  <c:v>33</c:v>
                </c:pt>
                <c:pt idx="22">
                  <c:v>34</c:v>
                </c:pt>
                <c:pt idx="23">
                  <c:v>35</c:v>
                </c:pt>
                <c:pt idx="24">
                  <c:v>36</c:v>
                </c:pt>
                <c:pt idx="25">
                  <c:v>37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41</c:v>
                </c:pt>
                <c:pt idx="30">
                  <c:v>42</c:v>
                </c:pt>
                <c:pt idx="31">
                  <c:v>43</c:v>
                </c:pt>
                <c:pt idx="32">
                  <c:v>44</c:v>
                </c:pt>
                <c:pt idx="33">
                  <c:v>45</c:v>
                </c:pt>
                <c:pt idx="34">
                  <c:v>46</c:v>
                </c:pt>
                <c:pt idx="35">
                  <c:v>47</c:v>
                </c:pt>
                <c:pt idx="36">
                  <c:v>48</c:v>
                </c:pt>
                <c:pt idx="37">
                  <c:v>49</c:v>
                </c:pt>
                <c:pt idx="38">
                  <c:v>50</c:v>
                </c:pt>
                <c:pt idx="39">
                  <c:v>51</c:v>
                </c:pt>
                <c:pt idx="40">
                  <c:v>52</c:v>
                </c:pt>
                <c:pt idx="41">
                  <c:v>53</c:v>
                </c:pt>
                <c:pt idx="42">
                  <c:v>54</c:v>
                </c:pt>
                <c:pt idx="43">
                  <c:v>55</c:v>
                </c:pt>
                <c:pt idx="44">
                  <c:v>56</c:v>
                </c:pt>
                <c:pt idx="45">
                  <c:v>57</c:v>
                </c:pt>
                <c:pt idx="46">
                  <c:v>58</c:v>
                </c:pt>
                <c:pt idx="47">
                  <c:v>59</c:v>
                </c:pt>
                <c:pt idx="48">
                  <c:v>60</c:v>
                </c:pt>
                <c:pt idx="49">
                  <c:v>61</c:v>
                </c:pt>
                <c:pt idx="50">
                  <c:v>62</c:v>
                </c:pt>
                <c:pt idx="51">
                  <c:v>63</c:v>
                </c:pt>
                <c:pt idx="52">
                  <c:v>64</c:v>
                </c:pt>
                <c:pt idx="53">
                  <c:v>65</c:v>
                </c:pt>
                <c:pt idx="54">
                  <c:v>66</c:v>
                </c:pt>
                <c:pt idx="55">
                  <c:v>67</c:v>
                </c:pt>
                <c:pt idx="56">
                  <c:v>68</c:v>
                </c:pt>
                <c:pt idx="57">
                  <c:v>69</c:v>
                </c:pt>
                <c:pt idx="58">
                  <c:v>70</c:v>
                </c:pt>
                <c:pt idx="59">
                  <c:v>71</c:v>
                </c:pt>
                <c:pt idx="60">
                  <c:v>72</c:v>
                </c:pt>
                <c:pt idx="61">
                  <c:v>73</c:v>
                </c:pt>
                <c:pt idx="62">
                  <c:v>74</c:v>
                </c:pt>
                <c:pt idx="63">
                  <c:v>75</c:v>
                </c:pt>
              </c:numCache>
            </c:numRef>
          </c:xVal>
          <c:yVal>
            <c:numRef>
              <c:f>Model!$AM$4:$AM$104</c:f>
              <c:numCache>
                <c:formatCode>_-* #,##0.00_-;\-* #,##0.00_-;_-* "-"??_-;_-@_-</c:formatCode>
                <c:ptCount val="101"/>
                <c:pt idx="0">
                  <c:v>6.9909792167730758E-2</c:v>
                </c:pt>
                <c:pt idx="1">
                  <c:v>6.9909792167730758E-2</c:v>
                </c:pt>
                <c:pt idx="2">
                  <c:v>6.9909792167730758E-2</c:v>
                </c:pt>
                <c:pt idx="3">
                  <c:v>6.9909792167730758E-2</c:v>
                </c:pt>
                <c:pt idx="4">
                  <c:v>6.9909792167730758E-2</c:v>
                </c:pt>
                <c:pt idx="5">
                  <c:v>6.9909792167730758E-2</c:v>
                </c:pt>
                <c:pt idx="6">
                  <c:v>6.9909792167730758E-2</c:v>
                </c:pt>
                <c:pt idx="7">
                  <c:v>6.9909792167730758E-2</c:v>
                </c:pt>
                <c:pt idx="8">
                  <c:v>6.9909792167730758E-2</c:v>
                </c:pt>
                <c:pt idx="9">
                  <c:v>6.9909792167730758E-2</c:v>
                </c:pt>
                <c:pt idx="10">
                  <c:v>6.9909792167730758E-2</c:v>
                </c:pt>
                <c:pt idx="11">
                  <c:v>6.9909792167730758E-2</c:v>
                </c:pt>
                <c:pt idx="12">
                  <c:v>2.6432853495021953E-2</c:v>
                </c:pt>
                <c:pt idx="13">
                  <c:v>2.6432853495021953E-2</c:v>
                </c:pt>
                <c:pt idx="14">
                  <c:v>2.6432853495021953E-2</c:v>
                </c:pt>
                <c:pt idx="15">
                  <c:v>1.7710011841664708</c:v>
                </c:pt>
                <c:pt idx="16">
                  <c:v>1.7710011841664708</c:v>
                </c:pt>
                <c:pt idx="17">
                  <c:v>1.7710011841664708</c:v>
                </c:pt>
                <c:pt idx="18">
                  <c:v>1.7710011841664708</c:v>
                </c:pt>
                <c:pt idx="19">
                  <c:v>1.7710011841664708</c:v>
                </c:pt>
                <c:pt idx="20">
                  <c:v>1.7710011841664708</c:v>
                </c:pt>
                <c:pt idx="21">
                  <c:v>1.7710011841664708</c:v>
                </c:pt>
                <c:pt idx="22">
                  <c:v>1.7710011841664708</c:v>
                </c:pt>
                <c:pt idx="23">
                  <c:v>1.7710011841664708</c:v>
                </c:pt>
                <c:pt idx="24">
                  <c:v>1.7710011841664708</c:v>
                </c:pt>
                <c:pt idx="25">
                  <c:v>1.7710011841664708</c:v>
                </c:pt>
                <c:pt idx="26">
                  <c:v>1.7710011841664708</c:v>
                </c:pt>
                <c:pt idx="27">
                  <c:v>1.7710011841664708</c:v>
                </c:pt>
                <c:pt idx="28">
                  <c:v>1.7710011841664708</c:v>
                </c:pt>
                <c:pt idx="29">
                  <c:v>1.7710011841664708</c:v>
                </c:pt>
                <c:pt idx="30">
                  <c:v>1.7710011841664708</c:v>
                </c:pt>
                <c:pt idx="31">
                  <c:v>1.7710011841664708</c:v>
                </c:pt>
                <c:pt idx="32">
                  <c:v>1.7710011841664708</c:v>
                </c:pt>
                <c:pt idx="33">
                  <c:v>1.7710011841664708</c:v>
                </c:pt>
                <c:pt idx="34">
                  <c:v>1.7710011841664708</c:v>
                </c:pt>
                <c:pt idx="35">
                  <c:v>1.7710011841664708</c:v>
                </c:pt>
                <c:pt idx="36">
                  <c:v>1.7710011841664708</c:v>
                </c:pt>
                <c:pt idx="37">
                  <c:v>1.7710011841664708</c:v>
                </c:pt>
                <c:pt idx="38">
                  <c:v>1.7710011841664708</c:v>
                </c:pt>
                <c:pt idx="39">
                  <c:v>1.7710011841664708</c:v>
                </c:pt>
                <c:pt idx="40">
                  <c:v>4.6257493616288414</c:v>
                </c:pt>
                <c:pt idx="41">
                  <c:v>4.6257493616288414</c:v>
                </c:pt>
                <c:pt idx="42">
                  <c:v>4.6257493616288414</c:v>
                </c:pt>
                <c:pt idx="43">
                  <c:v>4.6257493616288414</c:v>
                </c:pt>
                <c:pt idx="44">
                  <c:v>4.6257493616288414</c:v>
                </c:pt>
                <c:pt idx="45">
                  <c:v>4.8107793360939954</c:v>
                </c:pt>
                <c:pt idx="46">
                  <c:v>4.8107793360939954</c:v>
                </c:pt>
                <c:pt idx="47">
                  <c:v>4.8107793360939954</c:v>
                </c:pt>
                <c:pt idx="48">
                  <c:v>4.8107793360939954</c:v>
                </c:pt>
                <c:pt idx="49">
                  <c:v>4.8107793360939954</c:v>
                </c:pt>
                <c:pt idx="50">
                  <c:v>4.5993165081338194</c:v>
                </c:pt>
                <c:pt idx="51">
                  <c:v>4.5993165081338194</c:v>
                </c:pt>
                <c:pt idx="52">
                  <c:v>4.5993165081338194</c:v>
                </c:pt>
                <c:pt idx="53">
                  <c:v>4.5993165081338194</c:v>
                </c:pt>
                <c:pt idx="54">
                  <c:v>4.5993165081338194</c:v>
                </c:pt>
                <c:pt idx="55">
                  <c:v>4.0706594382333803</c:v>
                </c:pt>
                <c:pt idx="56">
                  <c:v>4.0706594382333803</c:v>
                </c:pt>
                <c:pt idx="57">
                  <c:v>4.0706594382333803</c:v>
                </c:pt>
                <c:pt idx="58">
                  <c:v>4.0706594382333803</c:v>
                </c:pt>
                <c:pt idx="59">
                  <c:v>4.0706594382333803</c:v>
                </c:pt>
                <c:pt idx="60">
                  <c:v>3.4891366613428976</c:v>
                </c:pt>
                <c:pt idx="61">
                  <c:v>3.4891366613428976</c:v>
                </c:pt>
                <c:pt idx="62">
                  <c:v>3.4891366613428976</c:v>
                </c:pt>
                <c:pt idx="63">
                  <c:v>3.4891366613428976</c:v>
                </c:pt>
                <c:pt idx="64">
                  <c:v>3.4891366613428976</c:v>
                </c:pt>
                <c:pt idx="65">
                  <c:v>3.171942419402634</c:v>
                </c:pt>
                <c:pt idx="66">
                  <c:v>3.171942419402634</c:v>
                </c:pt>
                <c:pt idx="67">
                  <c:v>3.171942419402634</c:v>
                </c:pt>
                <c:pt idx="68">
                  <c:v>3.171942419402634</c:v>
                </c:pt>
                <c:pt idx="69">
                  <c:v>3.171942419402634</c:v>
                </c:pt>
                <c:pt idx="70">
                  <c:v>2.9869124449374804</c:v>
                </c:pt>
                <c:pt idx="71">
                  <c:v>2.9869124449374804</c:v>
                </c:pt>
                <c:pt idx="72">
                  <c:v>2.9869124449374804</c:v>
                </c:pt>
                <c:pt idx="73">
                  <c:v>2.9869124449374804</c:v>
                </c:pt>
                <c:pt idx="74">
                  <c:v>2.9869124449374804</c:v>
                </c:pt>
                <c:pt idx="75">
                  <c:v>3.1455095659076124</c:v>
                </c:pt>
                <c:pt idx="76">
                  <c:v>3.1455095659076124</c:v>
                </c:pt>
                <c:pt idx="77">
                  <c:v>3.1455095659076124</c:v>
                </c:pt>
                <c:pt idx="78">
                  <c:v>3.1455095659076124</c:v>
                </c:pt>
                <c:pt idx="79">
                  <c:v>3.1455095659076124</c:v>
                </c:pt>
                <c:pt idx="80">
                  <c:v>3.1455095659076124</c:v>
                </c:pt>
                <c:pt idx="81">
                  <c:v>3.1455095659076124</c:v>
                </c:pt>
                <c:pt idx="82">
                  <c:v>3.1455095659076124</c:v>
                </c:pt>
                <c:pt idx="83">
                  <c:v>3.1455095659076124</c:v>
                </c:pt>
                <c:pt idx="84">
                  <c:v>3.1455095659076124</c:v>
                </c:pt>
                <c:pt idx="85">
                  <c:v>3.1455095659076124</c:v>
                </c:pt>
                <c:pt idx="86">
                  <c:v>3.1455095659076124</c:v>
                </c:pt>
                <c:pt idx="87">
                  <c:v>3.1455095659076124</c:v>
                </c:pt>
                <c:pt idx="88">
                  <c:v>3.1455095659076124</c:v>
                </c:pt>
                <c:pt idx="89">
                  <c:v>3.1455095659076124</c:v>
                </c:pt>
                <c:pt idx="90">
                  <c:v>3.1455095659076124</c:v>
                </c:pt>
                <c:pt idx="91">
                  <c:v>3.1455095659076124</c:v>
                </c:pt>
                <c:pt idx="92">
                  <c:v>3.1455095659076124</c:v>
                </c:pt>
                <c:pt idx="93">
                  <c:v>3.1455095659076124</c:v>
                </c:pt>
                <c:pt idx="94">
                  <c:v>3.1455095659076124</c:v>
                </c:pt>
                <c:pt idx="95">
                  <c:v>3.1455095659076124</c:v>
                </c:pt>
                <c:pt idx="96">
                  <c:v>3.1455095659076124</c:v>
                </c:pt>
                <c:pt idx="97">
                  <c:v>3.1455095659076124</c:v>
                </c:pt>
                <c:pt idx="98">
                  <c:v>3.1455095659076124</c:v>
                </c:pt>
                <c:pt idx="99">
                  <c:v>3.1455095659076124</c:v>
                </c:pt>
                <c:pt idx="100">
                  <c:v>3.1455095659076124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38-4D9A-912C-B8CB44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842672"/>
        <c:axId val="310843064"/>
      </c:scatterChart>
      <c:valAx>
        <c:axId val="310842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 sz="1100"/>
                  <a:t>Age (years)</a:t>
                </a:r>
              </a:p>
            </c:rich>
          </c:tx>
          <c:layout>
            <c:manualLayout>
              <c:xMode val="edge"/>
              <c:yMode val="edge"/>
              <c:x val="0.4230870836267418"/>
              <c:y val="0.926602705221015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310843064"/>
        <c:crossesAt val="0"/>
        <c:crossBetween val="midCat"/>
      </c:valAx>
      <c:valAx>
        <c:axId val="31084306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 sz="1100"/>
                  <a:t>Incidence</a:t>
                </a:r>
                <a:r>
                  <a:rPr lang="en-GB" sz="1100" baseline="0"/>
                  <a:t> of HPV 16/18-related cervical cancer</a:t>
                </a:r>
                <a:r>
                  <a:rPr lang="en-GB" sz="1100"/>
                  <a:t> (per 100,00 females)</a:t>
                </a:r>
              </a:p>
            </c:rich>
          </c:tx>
          <c:layout>
            <c:manualLayout>
              <c:xMode val="edge"/>
              <c:yMode val="edge"/>
              <c:x val="4.4297610102791958E-3"/>
              <c:y val="0.1233397008805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310842672"/>
        <c:crossesAt val="0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</c:legendEntry>
      <c:legendEntry>
        <c:idx val="1"/>
        <c:txPr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</c:legendEntry>
      <c:layout>
        <c:manualLayout>
          <c:xMode val="edge"/>
          <c:yMode val="edge"/>
          <c:x val="0.20162601626016263"/>
          <c:y val="8.3145370517446124E-2"/>
          <c:w val="0.26341473871583571"/>
          <c:h val="0.1766473521975294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zh-CN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Scatter plot </a:t>
            </a:r>
            <a:endParaRPr lang="zh-CN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8.1505192810026272E-2"/>
          <c:y val="0.11660211241136749"/>
          <c:w val="0.87298807972007275"/>
          <c:h val="0.80210020703152518"/>
        </c:manualLayout>
      </c:layout>
      <c:scatterChart>
        <c:scatterStyle val="smoothMarker"/>
        <c:varyColors val="0"/>
        <c:ser>
          <c:idx val="1"/>
          <c:order val="1"/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74-49CF-86C8-7E4695AC364A}"/>
              </c:ext>
            </c:extLst>
          </c:dPt>
          <c:xVal>
            <c:numRef>
              <c:f>'Sensitivity analysis output'!$B$48:$B$49</c:f>
              <c:numCache>
                <c:formatCode>General</c:formatCode>
                <c:ptCount val="2"/>
                <c:pt idx="0">
                  <c:v>200000</c:v>
                </c:pt>
                <c:pt idx="1">
                  <c:v>-200000</c:v>
                </c:pt>
              </c:numCache>
            </c:numRef>
          </c:xVal>
          <c:yVal>
            <c:numRef>
              <c:f>'Sensitivity analysis output'!$C$48:$C$49</c:f>
              <c:numCache>
                <c:formatCode>0_ </c:formatCode>
                <c:ptCount val="2"/>
                <c:pt idx="0">
                  <c:v>3266871181.9999909</c:v>
                </c:pt>
                <c:pt idx="1">
                  <c:v>-3266871181.9999909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F5-406F-9B8C-8F16683C2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2303"/>
        <c:axId val="422466479"/>
      </c:scatterChar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chemeClr val="accent1">
                    <a:lumMod val="75000"/>
                    <a:alpha val="70000"/>
                  </a:schemeClr>
                </a:solidFill>
              </a:ln>
              <a:effectLst/>
            </c:spPr>
          </c:marker>
          <c:xVal>
            <c:numRef>
              <c:f>PSA!$Y$41:$Y$1040</c:f>
              <c:numCache>
                <c:formatCode>General</c:formatCode>
                <c:ptCount val="1000"/>
                <c:pt idx="0">
                  <c:v>135875.61967821579</c:v>
                </c:pt>
                <c:pt idx="1">
                  <c:v>60386.568159491952</c:v>
                </c:pt>
                <c:pt idx="2">
                  <c:v>116105.97027230784</c:v>
                </c:pt>
                <c:pt idx="3">
                  <c:v>85191.86534868303</c:v>
                </c:pt>
                <c:pt idx="4">
                  <c:v>70848.841074847514</c:v>
                </c:pt>
                <c:pt idx="5">
                  <c:v>110445.20491203951</c:v>
                </c:pt>
                <c:pt idx="6">
                  <c:v>82544.863386146739</c:v>
                </c:pt>
                <c:pt idx="7">
                  <c:v>106265.5088327932</c:v>
                </c:pt>
                <c:pt idx="8">
                  <c:v>68479.925596646746</c:v>
                </c:pt>
                <c:pt idx="9">
                  <c:v>66461.216054275355</c:v>
                </c:pt>
                <c:pt idx="10">
                  <c:v>82698.500042162836</c:v>
                </c:pt>
                <c:pt idx="11">
                  <c:v>111358.90011369577</c:v>
                </c:pt>
                <c:pt idx="12">
                  <c:v>132600.31720813992</c:v>
                </c:pt>
                <c:pt idx="13">
                  <c:v>73449.509815697034</c:v>
                </c:pt>
                <c:pt idx="14">
                  <c:v>143522.35320554694</c:v>
                </c:pt>
                <c:pt idx="15">
                  <c:v>116477.60448477026</c:v>
                </c:pt>
                <c:pt idx="16">
                  <c:v>109902.38425402538</c:v>
                </c:pt>
                <c:pt idx="17">
                  <c:v>62376.566794372833</c:v>
                </c:pt>
                <c:pt idx="18">
                  <c:v>141369.1780583316</c:v>
                </c:pt>
                <c:pt idx="19">
                  <c:v>114561.5621742355</c:v>
                </c:pt>
                <c:pt idx="20">
                  <c:v>97717.920363841375</c:v>
                </c:pt>
                <c:pt idx="21">
                  <c:v>129394.47586410464</c:v>
                </c:pt>
                <c:pt idx="22">
                  <c:v>112980.8244159371</c:v>
                </c:pt>
                <c:pt idx="23">
                  <c:v>111658.81642447093</c:v>
                </c:pt>
                <c:pt idx="24">
                  <c:v>101314.1316315601</c:v>
                </c:pt>
                <c:pt idx="25">
                  <c:v>104026.08749389251</c:v>
                </c:pt>
                <c:pt idx="26">
                  <c:v>69427.849139550672</c:v>
                </c:pt>
                <c:pt idx="27">
                  <c:v>115529.1478345951</c:v>
                </c:pt>
                <c:pt idx="28">
                  <c:v>111440.6267856833</c:v>
                </c:pt>
                <c:pt idx="29">
                  <c:v>147399.7276879159</c:v>
                </c:pt>
                <c:pt idx="30">
                  <c:v>96487.654758736971</c:v>
                </c:pt>
                <c:pt idx="31">
                  <c:v>58357.587728316823</c:v>
                </c:pt>
                <c:pt idx="32">
                  <c:v>148385.83904352537</c:v>
                </c:pt>
                <c:pt idx="33">
                  <c:v>102556.31644600582</c:v>
                </c:pt>
                <c:pt idx="34">
                  <c:v>104688.705470639</c:v>
                </c:pt>
                <c:pt idx="35">
                  <c:v>133509.00109365539</c:v>
                </c:pt>
                <c:pt idx="36">
                  <c:v>66576.188281310882</c:v>
                </c:pt>
                <c:pt idx="37">
                  <c:v>118588.49653374447</c:v>
                </c:pt>
                <c:pt idx="38">
                  <c:v>68456.369616676486</c:v>
                </c:pt>
                <c:pt idx="39">
                  <c:v>107162.73584246747</c:v>
                </c:pt>
                <c:pt idx="40">
                  <c:v>130266.62460925797</c:v>
                </c:pt>
                <c:pt idx="41">
                  <c:v>98768.670234951278</c:v>
                </c:pt>
                <c:pt idx="42">
                  <c:v>80414.609954331128</c:v>
                </c:pt>
                <c:pt idx="43">
                  <c:v>130167.65480015878</c:v>
                </c:pt>
                <c:pt idx="44">
                  <c:v>78994.952564401305</c:v>
                </c:pt>
                <c:pt idx="45">
                  <c:v>109637.32474523729</c:v>
                </c:pt>
                <c:pt idx="46">
                  <c:v>91804.30696712702</c:v>
                </c:pt>
                <c:pt idx="47">
                  <c:v>77331.621888058158</c:v>
                </c:pt>
                <c:pt idx="48">
                  <c:v>113504.40947752081</c:v>
                </c:pt>
                <c:pt idx="49">
                  <c:v>131289.56655136857</c:v>
                </c:pt>
                <c:pt idx="50">
                  <c:v>88031.257347947321</c:v>
                </c:pt>
                <c:pt idx="51">
                  <c:v>112143.9035483349</c:v>
                </c:pt>
                <c:pt idx="52">
                  <c:v>132989.82700301486</c:v>
                </c:pt>
                <c:pt idx="53">
                  <c:v>79050.493067983727</c:v>
                </c:pt>
                <c:pt idx="54">
                  <c:v>74839.035966603769</c:v>
                </c:pt>
                <c:pt idx="55">
                  <c:v>117863.94565938353</c:v>
                </c:pt>
                <c:pt idx="56">
                  <c:v>78565.966767040023</c:v>
                </c:pt>
                <c:pt idx="57">
                  <c:v>54782.872581050106</c:v>
                </c:pt>
                <c:pt idx="58">
                  <c:v>63896.810703329611</c:v>
                </c:pt>
                <c:pt idx="59">
                  <c:v>70439.408467512505</c:v>
                </c:pt>
                <c:pt idx="60">
                  <c:v>87896.682122246886</c:v>
                </c:pt>
                <c:pt idx="61">
                  <c:v>100003.77732990588</c:v>
                </c:pt>
                <c:pt idx="62">
                  <c:v>97063.885292940366</c:v>
                </c:pt>
                <c:pt idx="63">
                  <c:v>85382.794121018596</c:v>
                </c:pt>
                <c:pt idx="64">
                  <c:v>178782.55072232781</c:v>
                </c:pt>
                <c:pt idx="65">
                  <c:v>89822.213351620303</c:v>
                </c:pt>
                <c:pt idx="66">
                  <c:v>97409.640564445173</c:v>
                </c:pt>
                <c:pt idx="67">
                  <c:v>89471.246937049116</c:v>
                </c:pt>
                <c:pt idx="68">
                  <c:v>58852.246310725408</c:v>
                </c:pt>
                <c:pt idx="69">
                  <c:v>95305.765452571519</c:v>
                </c:pt>
                <c:pt idx="70">
                  <c:v>62418.435463979789</c:v>
                </c:pt>
                <c:pt idx="71">
                  <c:v>61001.629095105513</c:v>
                </c:pt>
                <c:pt idx="72">
                  <c:v>78475.344496087157</c:v>
                </c:pt>
                <c:pt idx="73">
                  <c:v>94374.493402483742</c:v>
                </c:pt>
                <c:pt idx="74">
                  <c:v>115060.02072034583</c:v>
                </c:pt>
                <c:pt idx="75">
                  <c:v>98594.71881364983</c:v>
                </c:pt>
                <c:pt idx="76">
                  <c:v>50071.420448733013</c:v>
                </c:pt>
                <c:pt idx="77">
                  <c:v>83645.607513715528</c:v>
                </c:pt>
                <c:pt idx="78">
                  <c:v>128601.02409544596</c:v>
                </c:pt>
                <c:pt idx="79">
                  <c:v>93231.919054480997</c:v>
                </c:pt>
                <c:pt idx="80">
                  <c:v>69091.404347862102</c:v>
                </c:pt>
                <c:pt idx="81">
                  <c:v>85088.882284333071</c:v>
                </c:pt>
                <c:pt idx="82">
                  <c:v>88276.930272138838</c:v>
                </c:pt>
                <c:pt idx="83">
                  <c:v>88743.177844142498</c:v>
                </c:pt>
                <c:pt idx="84">
                  <c:v>70134.856897894511</c:v>
                </c:pt>
                <c:pt idx="85">
                  <c:v>72969.087845616508</c:v>
                </c:pt>
                <c:pt idx="86">
                  <c:v>134692.56808491651</c:v>
                </c:pt>
                <c:pt idx="87">
                  <c:v>83982.195911355782</c:v>
                </c:pt>
                <c:pt idx="88">
                  <c:v>99331.718516920999</c:v>
                </c:pt>
                <c:pt idx="89">
                  <c:v>102833.43161999522</c:v>
                </c:pt>
                <c:pt idx="90">
                  <c:v>84620.157247705851</c:v>
                </c:pt>
                <c:pt idx="91">
                  <c:v>97022.93009303177</c:v>
                </c:pt>
                <c:pt idx="92">
                  <c:v>67807.281980788859</c:v>
                </c:pt>
                <c:pt idx="93">
                  <c:v>106078.6010673401</c:v>
                </c:pt>
                <c:pt idx="94">
                  <c:v>140118.24109980965</c:v>
                </c:pt>
                <c:pt idx="95">
                  <c:v>79300.936331870747</c:v>
                </c:pt>
                <c:pt idx="96">
                  <c:v>89170.848839454004</c:v>
                </c:pt>
                <c:pt idx="97">
                  <c:v>80813.423934708044</c:v>
                </c:pt>
                <c:pt idx="98">
                  <c:v>78249.237467824845</c:v>
                </c:pt>
                <c:pt idx="99">
                  <c:v>93457.111663752105</c:v>
                </c:pt>
                <c:pt idx="100">
                  <c:v>61886.926802893642</c:v>
                </c:pt>
                <c:pt idx="101">
                  <c:v>113451.59426447704</c:v>
                </c:pt>
                <c:pt idx="102">
                  <c:v>107355.80534510243</c:v>
                </c:pt>
                <c:pt idx="103">
                  <c:v>87003.387621941831</c:v>
                </c:pt>
                <c:pt idx="104">
                  <c:v>128017.77127169567</c:v>
                </c:pt>
                <c:pt idx="105">
                  <c:v>53359.116459826684</c:v>
                </c:pt>
                <c:pt idx="106">
                  <c:v>83572.88222098074</c:v>
                </c:pt>
                <c:pt idx="107">
                  <c:v>107667.60960583042</c:v>
                </c:pt>
                <c:pt idx="108">
                  <c:v>90512.699218779075</c:v>
                </c:pt>
                <c:pt idx="109">
                  <c:v>102298.62139684185</c:v>
                </c:pt>
                <c:pt idx="110">
                  <c:v>81833.18659107</c:v>
                </c:pt>
                <c:pt idx="111">
                  <c:v>70373.714431453205</c:v>
                </c:pt>
                <c:pt idx="112">
                  <c:v>88344.452875072617</c:v>
                </c:pt>
                <c:pt idx="113">
                  <c:v>67018.960598994148</c:v>
                </c:pt>
                <c:pt idx="114">
                  <c:v>91511.337162721466</c:v>
                </c:pt>
                <c:pt idx="115">
                  <c:v>64731.045995747532</c:v>
                </c:pt>
                <c:pt idx="116">
                  <c:v>74682.878325059573</c:v>
                </c:pt>
                <c:pt idx="117">
                  <c:v>94850.803555465958</c:v>
                </c:pt>
                <c:pt idx="118">
                  <c:v>114964.00861319629</c:v>
                </c:pt>
                <c:pt idx="119">
                  <c:v>64003.881323965921</c:v>
                </c:pt>
                <c:pt idx="120">
                  <c:v>101005.18323988664</c:v>
                </c:pt>
                <c:pt idx="121">
                  <c:v>76291.402397653699</c:v>
                </c:pt>
                <c:pt idx="122">
                  <c:v>104645.47576671708</c:v>
                </c:pt>
                <c:pt idx="123">
                  <c:v>68353.767611906092</c:v>
                </c:pt>
                <c:pt idx="124">
                  <c:v>88682.364946499307</c:v>
                </c:pt>
                <c:pt idx="125">
                  <c:v>138377.94296332609</c:v>
                </c:pt>
                <c:pt idx="126">
                  <c:v>90895.253752571414</c:v>
                </c:pt>
                <c:pt idx="127">
                  <c:v>70614.958857305901</c:v>
                </c:pt>
                <c:pt idx="128">
                  <c:v>62569.464513040228</c:v>
                </c:pt>
                <c:pt idx="129">
                  <c:v>79434.652141451952</c:v>
                </c:pt>
                <c:pt idx="130">
                  <c:v>74092.57350506958</c:v>
                </c:pt>
                <c:pt idx="131">
                  <c:v>108551.3654915494</c:v>
                </c:pt>
                <c:pt idx="132">
                  <c:v>78039.111279645076</c:v>
                </c:pt>
                <c:pt idx="133">
                  <c:v>102920.01813433698</c:v>
                </c:pt>
                <c:pt idx="134">
                  <c:v>119530.2035240017</c:v>
                </c:pt>
                <c:pt idx="135">
                  <c:v>107779.73463795212</c:v>
                </c:pt>
                <c:pt idx="136">
                  <c:v>87853.54402197311</c:v>
                </c:pt>
                <c:pt idx="137">
                  <c:v>63989.717275271236</c:v>
                </c:pt>
                <c:pt idx="138">
                  <c:v>111165.15799097602</c:v>
                </c:pt>
                <c:pt idx="139">
                  <c:v>127243.80489406416</c:v>
                </c:pt>
                <c:pt idx="140">
                  <c:v>69870.010356139945</c:v>
                </c:pt>
                <c:pt idx="141">
                  <c:v>95961.862236730769</c:v>
                </c:pt>
                <c:pt idx="142">
                  <c:v>72325.865478513981</c:v>
                </c:pt>
                <c:pt idx="143">
                  <c:v>95636.117056696152</c:v>
                </c:pt>
                <c:pt idx="144">
                  <c:v>141679.18740104837</c:v>
                </c:pt>
                <c:pt idx="145">
                  <c:v>119460.42220194424</c:v>
                </c:pt>
                <c:pt idx="146">
                  <c:v>87804.990642641787</c:v>
                </c:pt>
                <c:pt idx="147">
                  <c:v>72748.873829206597</c:v>
                </c:pt>
                <c:pt idx="148">
                  <c:v>109148.51537491492</c:v>
                </c:pt>
                <c:pt idx="149">
                  <c:v>129151.42587149946</c:v>
                </c:pt>
                <c:pt idx="150">
                  <c:v>95782.823465295878</c:v>
                </c:pt>
                <c:pt idx="151">
                  <c:v>59438.968426567924</c:v>
                </c:pt>
                <c:pt idx="152">
                  <c:v>72950.998154666158</c:v>
                </c:pt>
                <c:pt idx="153">
                  <c:v>66349.459880724389</c:v>
                </c:pt>
                <c:pt idx="154">
                  <c:v>76183.561936144921</c:v>
                </c:pt>
                <c:pt idx="155">
                  <c:v>86255.161029728464</c:v>
                </c:pt>
                <c:pt idx="156">
                  <c:v>93437.656182323888</c:v>
                </c:pt>
                <c:pt idx="157">
                  <c:v>101979.81789998521</c:v>
                </c:pt>
                <c:pt idx="158">
                  <c:v>116623.19550746311</c:v>
                </c:pt>
                <c:pt idx="159">
                  <c:v>69777.668806834175</c:v>
                </c:pt>
                <c:pt idx="160">
                  <c:v>58315.537070860897</c:v>
                </c:pt>
                <c:pt idx="161">
                  <c:v>47640.696789328002</c:v>
                </c:pt>
                <c:pt idx="162">
                  <c:v>55672.402839993323</c:v>
                </c:pt>
                <c:pt idx="163">
                  <c:v>127709.7187447387</c:v>
                </c:pt>
                <c:pt idx="164">
                  <c:v>105020.93158421498</c:v>
                </c:pt>
                <c:pt idx="165">
                  <c:v>72840.706530396143</c:v>
                </c:pt>
                <c:pt idx="166">
                  <c:v>136509.87134811818</c:v>
                </c:pt>
                <c:pt idx="167">
                  <c:v>65723.822774967426</c:v>
                </c:pt>
                <c:pt idx="168">
                  <c:v>82362.73403222175</c:v>
                </c:pt>
                <c:pt idx="169">
                  <c:v>52680.892584167617</c:v>
                </c:pt>
                <c:pt idx="170">
                  <c:v>94455.534883681248</c:v>
                </c:pt>
                <c:pt idx="171">
                  <c:v>129506.6651039016</c:v>
                </c:pt>
                <c:pt idx="172">
                  <c:v>110463.82903633172</c:v>
                </c:pt>
                <c:pt idx="173">
                  <c:v>95187.85228581712</c:v>
                </c:pt>
                <c:pt idx="174">
                  <c:v>90285.21614423774</c:v>
                </c:pt>
                <c:pt idx="175">
                  <c:v>48383.519724352758</c:v>
                </c:pt>
                <c:pt idx="176">
                  <c:v>121847.88358776786</c:v>
                </c:pt>
                <c:pt idx="177">
                  <c:v>102538.07330983887</c:v>
                </c:pt>
                <c:pt idx="178">
                  <c:v>90550.680034299658</c:v>
                </c:pt>
                <c:pt idx="179">
                  <c:v>99677.480799625555</c:v>
                </c:pt>
                <c:pt idx="180">
                  <c:v>91869.513124496254</c:v>
                </c:pt>
                <c:pt idx="181">
                  <c:v>110147.51388735478</c:v>
                </c:pt>
                <c:pt idx="182">
                  <c:v>103332.39159083011</c:v>
                </c:pt>
                <c:pt idx="183">
                  <c:v>82820.806273328053</c:v>
                </c:pt>
                <c:pt idx="184">
                  <c:v>86193.562787162387</c:v>
                </c:pt>
                <c:pt idx="185">
                  <c:v>102160.5691955096</c:v>
                </c:pt>
                <c:pt idx="186">
                  <c:v>115949.14163595837</c:v>
                </c:pt>
                <c:pt idx="187">
                  <c:v>77416.391940237649</c:v>
                </c:pt>
                <c:pt idx="188">
                  <c:v>109805.44546719368</c:v>
                </c:pt>
                <c:pt idx="189">
                  <c:v>91404.46576370312</c:v>
                </c:pt>
                <c:pt idx="190">
                  <c:v>74668.962996385468</c:v>
                </c:pt>
                <c:pt idx="191">
                  <c:v>72166.657192072162</c:v>
                </c:pt>
                <c:pt idx="192">
                  <c:v>101462.21791548372</c:v>
                </c:pt>
                <c:pt idx="193">
                  <c:v>95576.139561427568</c:v>
                </c:pt>
                <c:pt idx="194">
                  <c:v>72076.064163383693</c:v>
                </c:pt>
                <c:pt idx="195">
                  <c:v>41960.7866507625</c:v>
                </c:pt>
                <c:pt idx="196">
                  <c:v>79579.667671424628</c:v>
                </c:pt>
                <c:pt idx="197">
                  <c:v>69967.772007062245</c:v>
                </c:pt>
                <c:pt idx="198">
                  <c:v>95994.035454287427</c:v>
                </c:pt>
                <c:pt idx="199">
                  <c:v>94016.942078748019</c:v>
                </c:pt>
                <c:pt idx="200">
                  <c:v>99140.672278865284</c:v>
                </c:pt>
                <c:pt idx="201">
                  <c:v>70246.570242665402</c:v>
                </c:pt>
                <c:pt idx="202">
                  <c:v>116351.72124103557</c:v>
                </c:pt>
                <c:pt idx="203">
                  <c:v>126434.7897309502</c:v>
                </c:pt>
                <c:pt idx="204">
                  <c:v>100018.05699901214</c:v>
                </c:pt>
                <c:pt idx="205">
                  <c:v>58441.881716818018</c:v>
                </c:pt>
                <c:pt idx="206">
                  <c:v>86478.58733505437</c:v>
                </c:pt>
                <c:pt idx="207">
                  <c:v>89394.275799475145</c:v>
                </c:pt>
                <c:pt idx="208">
                  <c:v>143250.7612446085</c:v>
                </c:pt>
                <c:pt idx="209">
                  <c:v>86590.232583707082</c:v>
                </c:pt>
                <c:pt idx="210">
                  <c:v>114977.83633629775</c:v>
                </c:pt>
                <c:pt idx="211">
                  <c:v>118995.98941938792</c:v>
                </c:pt>
                <c:pt idx="212">
                  <c:v>112801.80243111117</c:v>
                </c:pt>
                <c:pt idx="213">
                  <c:v>95917.066184980999</c:v>
                </c:pt>
                <c:pt idx="214">
                  <c:v>84826.159968351072</c:v>
                </c:pt>
                <c:pt idx="215">
                  <c:v>97305.170591472721</c:v>
                </c:pt>
                <c:pt idx="216">
                  <c:v>151824.58803265129</c:v>
                </c:pt>
                <c:pt idx="217">
                  <c:v>149080.9730886771</c:v>
                </c:pt>
                <c:pt idx="218">
                  <c:v>77098.078855414293</c:v>
                </c:pt>
                <c:pt idx="219">
                  <c:v>105854.8202885186</c:v>
                </c:pt>
                <c:pt idx="220">
                  <c:v>90910.51375215454</c:v>
                </c:pt>
                <c:pt idx="221">
                  <c:v>136069.47720742627</c:v>
                </c:pt>
                <c:pt idx="222">
                  <c:v>123473.58621243431</c:v>
                </c:pt>
                <c:pt idx="223">
                  <c:v>64202.810298135388</c:v>
                </c:pt>
                <c:pt idx="224">
                  <c:v>87314.952778401799</c:v>
                </c:pt>
                <c:pt idx="225">
                  <c:v>69198.766704601905</c:v>
                </c:pt>
                <c:pt idx="226">
                  <c:v>46474.406855041205</c:v>
                </c:pt>
                <c:pt idx="227">
                  <c:v>95341.979079165059</c:v>
                </c:pt>
                <c:pt idx="228">
                  <c:v>86911.657059933088</c:v>
                </c:pt>
                <c:pt idx="229">
                  <c:v>87037.172717483816</c:v>
                </c:pt>
                <c:pt idx="230">
                  <c:v>89457.105969484634</c:v>
                </c:pt>
                <c:pt idx="231">
                  <c:v>83500.156779661353</c:v>
                </c:pt>
                <c:pt idx="232">
                  <c:v>99637.107545782259</c:v>
                </c:pt>
                <c:pt idx="233">
                  <c:v>157995.1048678036</c:v>
                </c:pt>
                <c:pt idx="234">
                  <c:v>134554.51909344437</c:v>
                </c:pt>
                <c:pt idx="235">
                  <c:v>95320.649106646335</c:v>
                </c:pt>
                <c:pt idx="236">
                  <c:v>107293.67733291093</c:v>
                </c:pt>
                <c:pt idx="237">
                  <c:v>92901.13700844362</c:v>
                </c:pt>
                <c:pt idx="238">
                  <c:v>83975.99352830241</c:v>
                </c:pt>
                <c:pt idx="239">
                  <c:v>72305.003758931693</c:v>
                </c:pt>
                <c:pt idx="240">
                  <c:v>113864.92606651236</c:v>
                </c:pt>
                <c:pt idx="241">
                  <c:v>71243.585449068196</c:v>
                </c:pt>
                <c:pt idx="242">
                  <c:v>70475.821675525644</c:v>
                </c:pt>
                <c:pt idx="243">
                  <c:v>132047.88017517063</c:v>
                </c:pt>
                <c:pt idx="244">
                  <c:v>106879.01381770603</c:v>
                </c:pt>
                <c:pt idx="245">
                  <c:v>128972.59071631191</c:v>
                </c:pt>
                <c:pt idx="246">
                  <c:v>96130.793309610584</c:v>
                </c:pt>
                <c:pt idx="247">
                  <c:v>142038.04267501572</c:v>
                </c:pt>
                <c:pt idx="248">
                  <c:v>76141.169350812081</c:v>
                </c:pt>
                <c:pt idx="249">
                  <c:v>111538.32530957842</c:v>
                </c:pt>
                <c:pt idx="250">
                  <c:v>67090.973233497032</c:v>
                </c:pt>
                <c:pt idx="251">
                  <c:v>134309.79437959485</c:v>
                </c:pt>
                <c:pt idx="252">
                  <c:v>53267.295193856633</c:v>
                </c:pt>
                <c:pt idx="253">
                  <c:v>159951.02773366243</c:v>
                </c:pt>
                <c:pt idx="254">
                  <c:v>103374.53917432533</c:v>
                </c:pt>
                <c:pt idx="255">
                  <c:v>145118.6199221187</c:v>
                </c:pt>
                <c:pt idx="256">
                  <c:v>65078.047077657415</c:v>
                </c:pt>
                <c:pt idx="257">
                  <c:v>61616.260296216424</c:v>
                </c:pt>
                <c:pt idx="258">
                  <c:v>91288.254237653397</c:v>
                </c:pt>
                <c:pt idx="259">
                  <c:v>79530.464161617914</c:v>
                </c:pt>
                <c:pt idx="260">
                  <c:v>119998.56816803858</c:v>
                </c:pt>
                <c:pt idx="261">
                  <c:v>135455.63700916394</c:v>
                </c:pt>
                <c:pt idx="262">
                  <c:v>72415.928776833098</c:v>
                </c:pt>
                <c:pt idx="263">
                  <c:v>90813.397691949431</c:v>
                </c:pt>
                <c:pt idx="264">
                  <c:v>83107.96110036959</c:v>
                </c:pt>
                <c:pt idx="265">
                  <c:v>137273.65672367631</c:v>
                </c:pt>
                <c:pt idx="266">
                  <c:v>95438.897520577884</c:v>
                </c:pt>
                <c:pt idx="267">
                  <c:v>52328.697573975238</c:v>
                </c:pt>
                <c:pt idx="268">
                  <c:v>113164.47971146477</c:v>
                </c:pt>
                <c:pt idx="269">
                  <c:v>159572.36597069868</c:v>
                </c:pt>
                <c:pt idx="270">
                  <c:v>105176.74448798422</c:v>
                </c:pt>
                <c:pt idx="271">
                  <c:v>108980.45778435803</c:v>
                </c:pt>
                <c:pt idx="272">
                  <c:v>64096.268616767004</c:v>
                </c:pt>
                <c:pt idx="273">
                  <c:v>141659.94032024883</c:v>
                </c:pt>
                <c:pt idx="274">
                  <c:v>152050.06623822727</c:v>
                </c:pt>
                <c:pt idx="275">
                  <c:v>58011.701221971714</c:v>
                </c:pt>
                <c:pt idx="276">
                  <c:v>85743.88843448984</c:v>
                </c:pt>
                <c:pt idx="277">
                  <c:v>59216.534727932114</c:v>
                </c:pt>
                <c:pt idx="278">
                  <c:v>95583.857834620139</c:v>
                </c:pt>
                <c:pt idx="279">
                  <c:v>139402.71234013338</c:v>
                </c:pt>
                <c:pt idx="280">
                  <c:v>69616.150570787708</c:v>
                </c:pt>
                <c:pt idx="281">
                  <c:v>83241.589912433497</c:v>
                </c:pt>
                <c:pt idx="282">
                  <c:v>112121.68688584042</c:v>
                </c:pt>
                <c:pt idx="283">
                  <c:v>72533.663234444524</c:v>
                </c:pt>
                <c:pt idx="284">
                  <c:v>120196.26190597328</c:v>
                </c:pt>
                <c:pt idx="285">
                  <c:v>90359.4104897621</c:v>
                </c:pt>
                <c:pt idx="286">
                  <c:v>86476.716079901278</c:v>
                </c:pt>
                <c:pt idx="287">
                  <c:v>64736.370337693843</c:v>
                </c:pt>
                <c:pt idx="288">
                  <c:v>76952.014222312515</c:v>
                </c:pt>
                <c:pt idx="289">
                  <c:v>86527.669947790608</c:v>
                </c:pt>
                <c:pt idx="290">
                  <c:v>95622.839408809756</c:v>
                </c:pt>
                <c:pt idx="291">
                  <c:v>87747.942031240498</c:v>
                </c:pt>
                <c:pt idx="292">
                  <c:v>126390.01073704635</c:v>
                </c:pt>
                <c:pt idx="293">
                  <c:v>124579.4572057676</c:v>
                </c:pt>
                <c:pt idx="294">
                  <c:v>112204.62383076121</c:v>
                </c:pt>
                <c:pt idx="295">
                  <c:v>101906.01571104256</c:v>
                </c:pt>
                <c:pt idx="296">
                  <c:v>89366.461787051361</c:v>
                </c:pt>
                <c:pt idx="297">
                  <c:v>111335.75214445699</c:v>
                </c:pt>
                <c:pt idx="298">
                  <c:v>148670.54558443575</c:v>
                </c:pt>
                <c:pt idx="299">
                  <c:v>100764.84576945378</c:v>
                </c:pt>
                <c:pt idx="300">
                  <c:v>110952.56347433172</c:v>
                </c:pt>
                <c:pt idx="301">
                  <c:v>125494.66662336973</c:v>
                </c:pt>
                <c:pt idx="302">
                  <c:v>78875.321840209479</c:v>
                </c:pt>
                <c:pt idx="303">
                  <c:v>105958.92262023197</c:v>
                </c:pt>
                <c:pt idx="304">
                  <c:v>76622.597745682855</c:v>
                </c:pt>
                <c:pt idx="305">
                  <c:v>120937.25682073066</c:v>
                </c:pt>
                <c:pt idx="306">
                  <c:v>85433.878838608463</c:v>
                </c:pt>
                <c:pt idx="307">
                  <c:v>65218.92728125304</c:v>
                </c:pt>
                <c:pt idx="308">
                  <c:v>125006.49059905767</c:v>
                </c:pt>
                <c:pt idx="309">
                  <c:v>99609.195236333791</c:v>
                </c:pt>
                <c:pt idx="310">
                  <c:v>101605.55476798872</c:v>
                </c:pt>
                <c:pt idx="311">
                  <c:v>130630.67686066095</c:v>
                </c:pt>
                <c:pt idx="312">
                  <c:v>112235.40915176042</c:v>
                </c:pt>
                <c:pt idx="313">
                  <c:v>86906.18219371319</c:v>
                </c:pt>
                <c:pt idx="314">
                  <c:v>75495.446743776702</c:v>
                </c:pt>
                <c:pt idx="315">
                  <c:v>76339.246874377539</c:v>
                </c:pt>
                <c:pt idx="316">
                  <c:v>122826.84001784987</c:v>
                </c:pt>
                <c:pt idx="317">
                  <c:v>91661.420203318528</c:v>
                </c:pt>
                <c:pt idx="318">
                  <c:v>88772.160318488357</c:v>
                </c:pt>
                <c:pt idx="319">
                  <c:v>125628.592480458</c:v>
                </c:pt>
                <c:pt idx="320">
                  <c:v>89212.637302918753</c:v>
                </c:pt>
                <c:pt idx="321">
                  <c:v>111051.14111709374</c:v>
                </c:pt>
                <c:pt idx="322">
                  <c:v>139588.36249465152</c:v>
                </c:pt>
                <c:pt idx="323">
                  <c:v>95835.988293790346</c:v>
                </c:pt>
                <c:pt idx="324">
                  <c:v>106128.54063708744</c:v>
                </c:pt>
                <c:pt idx="325">
                  <c:v>75312.924069524961</c:v>
                </c:pt>
                <c:pt idx="326">
                  <c:v>105448.30318276363</c:v>
                </c:pt>
                <c:pt idx="327">
                  <c:v>111800.04524553508</c:v>
                </c:pt>
                <c:pt idx="328">
                  <c:v>88333.293825359113</c:v>
                </c:pt>
                <c:pt idx="329">
                  <c:v>128876.59588322873</c:v>
                </c:pt>
                <c:pt idx="330">
                  <c:v>81197.7166856486</c:v>
                </c:pt>
                <c:pt idx="331">
                  <c:v>89880.416399246504</c:v>
                </c:pt>
                <c:pt idx="332">
                  <c:v>68021.225716770205</c:v>
                </c:pt>
                <c:pt idx="333">
                  <c:v>67256.781236263239</c:v>
                </c:pt>
                <c:pt idx="334">
                  <c:v>70240.62282019238</c:v>
                </c:pt>
                <c:pt idx="335">
                  <c:v>93460.858446794067</c:v>
                </c:pt>
                <c:pt idx="336">
                  <c:v>50993.336732638163</c:v>
                </c:pt>
                <c:pt idx="337">
                  <c:v>54880.245747477114</c:v>
                </c:pt>
                <c:pt idx="338">
                  <c:v>162063.19207095259</c:v>
                </c:pt>
                <c:pt idx="339">
                  <c:v>122038.01614060681</c:v>
                </c:pt>
                <c:pt idx="340">
                  <c:v>94511.909331645351</c:v>
                </c:pt>
                <c:pt idx="341">
                  <c:v>82044.341180363917</c:v>
                </c:pt>
                <c:pt idx="342">
                  <c:v>110512.59876502623</c:v>
                </c:pt>
                <c:pt idx="343">
                  <c:v>134303.53857643736</c:v>
                </c:pt>
                <c:pt idx="344">
                  <c:v>102105.83649644956</c:v>
                </c:pt>
                <c:pt idx="345">
                  <c:v>81722.044335305298</c:v>
                </c:pt>
                <c:pt idx="346">
                  <c:v>126703.47264161368</c:v>
                </c:pt>
                <c:pt idx="347">
                  <c:v>92453.931413671235</c:v>
                </c:pt>
                <c:pt idx="348">
                  <c:v>57941.693066314976</c:v>
                </c:pt>
                <c:pt idx="349">
                  <c:v>112386.56080018645</c:v>
                </c:pt>
                <c:pt idx="350">
                  <c:v>126724.44503623019</c:v>
                </c:pt>
                <c:pt idx="351">
                  <c:v>85416.819171933865</c:v>
                </c:pt>
                <c:pt idx="352">
                  <c:v>120007.18541896214</c:v>
                </c:pt>
                <c:pt idx="353">
                  <c:v>88150.310108661695</c:v>
                </c:pt>
                <c:pt idx="354">
                  <c:v>106294.2310067693</c:v>
                </c:pt>
                <c:pt idx="355">
                  <c:v>87162.025280304122</c:v>
                </c:pt>
                <c:pt idx="356">
                  <c:v>74788.510782706086</c:v>
                </c:pt>
                <c:pt idx="357">
                  <c:v>111828.85141205156</c:v>
                </c:pt>
                <c:pt idx="358">
                  <c:v>122277.17849860786</c:v>
                </c:pt>
                <c:pt idx="359">
                  <c:v>94658.762992806558</c:v>
                </c:pt>
                <c:pt idx="360">
                  <c:v>103959.91791641759</c:v>
                </c:pt>
                <c:pt idx="361">
                  <c:v>44231.367856276134</c:v>
                </c:pt>
                <c:pt idx="362">
                  <c:v>96471.464214311505</c:v>
                </c:pt>
                <c:pt idx="363">
                  <c:v>54527.964513560291</c:v>
                </c:pt>
                <c:pt idx="364">
                  <c:v>129602.69481495908</c:v>
                </c:pt>
                <c:pt idx="365">
                  <c:v>74054.943159373259</c:v>
                </c:pt>
                <c:pt idx="366">
                  <c:v>88482.974758347686</c:v>
                </c:pt>
                <c:pt idx="367">
                  <c:v>143102.08015077654</c:v>
                </c:pt>
                <c:pt idx="368">
                  <c:v>90865.392871316042</c:v>
                </c:pt>
                <c:pt idx="369">
                  <c:v>82392.631834230997</c:v>
                </c:pt>
                <c:pt idx="370">
                  <c:v>56117.858235034284</c:v>
                </c:pt>
                <c:pt idx="371">
                  <c:v>54647.599112034673</c:v>
                </c:pt>
                <c:pt idx="372">
                  <c:v>76964.114011308964</c:v>
                </c:pt>
                <c:pt idx="373">
                  <c:v>108194.65559554845</c:v>
                </c:pt>
                <c:pt idx="374">
                  <c:v>98070.029654828264</c:v>
                </c:pt>
                <c:pt idx="375">
                  <c:v>105468.89658855558</c:v>
                </c:pt>
                <c:pt idx="376">
                  <c:v>128020.42597932722</c:v>
                </c:pt>
                <c:pt idx="377">
                  <c:v>63715.088368213408</c:v>
                </c:pt>
                <c:pt idx="378">
                  <c:v>56580.600906110521</c:v>
                </c:pt>
                <c:pt idx="379">
                  <c:v>77081.65275581929</c:v>
                </c:pt>
                <c:pt idx="380">
                  <c:v>125911.13503286174</c:v>
                </c:pt>
                <c:pt idx="381">
                  <c:v>54480.692339315334</c:v>
                </c:pt>
                <c:pt idx="382">
                  <c:v>88585.412660229689</c:v>
                </c:pt>
                <c:pt idx="383">
                  <c:v>77172.322777909896</c:v>
                </c:pt>
                <c:pt idx="384">
                  <c:v>55686.004235583103</c:v>
                </c:pt>
                <c:pt idx="385">
                  <c:v>81517.160437300656</c:v>
                </c:pt>
                <c:pt idx="386">
                  <c:v>103256.31811401855</c:v>
                </c:pt>
                <c:pt idx="387">
                  <c:v>129499.67274460573</c:v>
                </c:pt>
                <c:pt idx="388">
                  <c:v>148114.04817244833</c:v>
                </c:pt>
                <c:pt idx="389">
                  <c:v>72728.773024542126</c:v>
                </c:pt>
                <c:pt idx="390">
                  <c:v>103498.07581229039</c:v>
                </c:pt>
                <c:pt idx="391">
                  <c:v>88654.959162539642</c:v>
                </c:pt>
                <c:pt idx="392">
                  <c:v>115650.7284787636</c:v>
                </c:pt>
                <c:pt idx="393">
                  <c:v>79701.508716958167</c:v>
                </c:pt>
                <c:pt idx="394">
                  <c:v>94649.329723514587</c:v>
                </c:pt>
                <c:pt idx="395">
                  <c:v>74117.74384911095</c:v>
                </c:pt>
                <c:pt idx="396">
                  <c:v>115646.92222434671</c:v>
                </c:pt>
                <c:pt idx="397">
                  <c:v>74015.362262186973</c:v>
                </c:pt>
                <c:pt idx="398">
                  <c:v>85552.008706727953</c:v>
                </c:pt>
                <c:pt idx="399">
                  <c:v>96064.438272903964</c:v>
                </c:pt>
                <c:pt idx="400">
                  <c:v>108112.55500863105</c:v>
                </c:pt>
                <c:pt idx="401">
                  <c:v>111358.26105715618</c:v>
                </c:pt>
                <c:pt idx="402">
                  <c:v>62884.169360223626</c:v>
                </c:pt>
                <c:pt idx="403">
                  <c:v>104031.63369496031</c:v>
                </c:pt>
                <c:pt idx="404">
                  <c:v>125894.34349356061</c:v>
                </c:pt>
                <c:pt idx="405">
                  <c:v>123899.73928836931</c:v>
                </c:pt>
                <c:pt idx="406">
                  <c:v>82749.904526573926</c:v>
                </c:pt>
                <c:pt idx="407">
                  <c:v>126348.99389385863</c:v>
                </c:pt>
                <c:pt idx="408">
                  <c:v>77173.614800729876</c:v>
                </c:pt>
                <c:pt idx="409">
                  <c:v>124909.00635245199</c:v>
                </c:pt>
                <c:pt idx="410">
                  <c:v>103099.78338798718</c:v>
                </c:pt>
                <c:pt idx="411">
                  <c:v>101979.59548042587</c:v>
                </c:pt>
                <c:pt idx="412">
                  <c:v>66214.535181677304</c:v>
                </c:pt>
                <c:pt idx="413">
                  <c:v>152026.63533211261</c:v>
                </c:pt>
                <c:pt idx="414">
                  <c:v>63619.289694551917</c:v>
                </c:pt>
                <c:pt idx="415">
                  <c:v>155617.54263567057</c:v>
                </c:pt>
                <c:pt idx="416">
                  <c:v>81081.403031543567</c:v>
                </c:pt>
                <c:pt idx="417">
                  <c:v>117668.32973812913</c:v>
                </c:pt>
                <c:pt idx="418">
                  <c:v>94931.47726975847</c:v>
                </c:pt>
                <c:pt idx="419">
                  <c:v>92955.755963628893</c:v>
                </c:pt>
                <c:pt idx="420">
                  <c:v>106947.01367596135</c:v>
                </c:pt>
                <c:pt idx="421">
                  <c:v>94670.192452317773</c:v>
                </c:pt>
                <c:pt idx="422">
                  <c:v>86659.369129925471</c:v>
                </c:pt>
                <c:pt idx="423">
                  <c:v>68299.152337075822</c:v>
                </c:pt>
                <c:pt idx="424">
                  <c:v>76835.813954565761</c:v>
                </c:pt>
                <c:pt idx="425">
                  <c:v>116975.19234478314</c:v>
                </c:pt>
                <c:pt idx="426">
                  <c:v>118728.06920115961</c:v>
                </c:pt>
                <c:pt idx="427">
                  <c:v>87729.692584308126</c:v>
                </c:pt>
                <c:pt idx="428">
                  <c:v>77288.405791763871</c:v>
                </c:pt>
                <c:pt idx="429">
                  <c:v>68415.058566105145</c:v>
                </c:pt>
                <c:pt idx="430">
                  <c:v>48301.751554055765</c:v>
                </c:pt>
                <c:pt idx="431">
                  <c:v>114745.05919060801</c:v>
                </c:pt>
                <c:pt idx="432">
                  <c:v>72904.537734717218</c:v>
                </c:pt>
                <c:pt idx="433">
                  <c:v>110078.92941631995</c:v>
                </c:pt>
                <c:pt idx="434">
                  <c:v>79895.749344902433</c:v>
                </c:pt>
                <c:pt idx="435">
                  <c:v>78742.99175887114</c:v>
                </c:pt>
                <c:pt idx="436">
                  <c:v>92121.690869025435</c:v>
                </c:pt>
                <c:pt idx="437">
                  <c:v>58691.559257922891</c:v>
                </c:pt>
                <c:pt idx="438">
                  <c:v>124108.74011146108</c:v>
                </c:pt>
                <c:pt idx="439">
                  <c:v>104657.08108565061</c:v>
                </c:pt>
                <c:pt idx="440">
                  <c:v>115720.58085418152</c:v>
                </c:pt>
                <c:pt idx="441">
                  <c:v>55826.54001545308</c:v>
                </c:pt>
                <c:pt idx="442">
                  <c:v>54153.334710586823</c:v>
                </c:pt>
                <c:pt idx="443">
                  <c:v>56868.493216640862</c:v>
                </c:pt>
                <c:pt idx="444">
                  <c:v>73331.641484782216</c:v>
                </c:pt>
                <c:pt idx="445">
                  <c:v>91425.280022600055</c:v>
                </c:pt>
                <c:pt idx="446">
                  <c:v>103544.70831769722</c:v>
                </c:pt>
                <c:pt idx="447">
                  <c:v>83616.051346560198</c:v>
                </c:pt>
                <c:pt idx="448">
                  <c:v>99631.65029164408</c:v>
                </c:pt>
                <c:pt idx="449">
                  <c:v>117895.23364843159</c:v>
                </c:pt>
                <c:pt idx="450">
                  <c:v>88867.37469308947</c:v>
                </c:pt>
                <c:pt idx="451">
                  <c:v>122978.36162902904</c:v>
                </c:pt>
                <c:pt idx="452">
                  <c:v>32320.66907282863</c:v>
                </c:pt>
                <c:pt idx="453">
                  <c:v>68128.454740916073</c:v>
                </c:pt>
                <c:pt idx="454">
                  <c:v>58126.058251839393</c:v>
                </c:pt>
                <c:pt idx="455">
                  <c:v>110000.33860284815</c:v>
                </c:pt>
                <c:pt idx="456">
                  <c:v>149039.51452007901</c:v>
                </c:pt>
                <c:pt idx="457">
                  <c:v>46789.71030554497</c:v>
                </c:pt>
                <c:pt idx="458">
                  <c:v>71225.802392781829</c:v>
                </c:pt>
                <c:pt idx="459">
                  <c:v>123711.11201812717</c:v>
                </c:pt>
                <c:pt idx="460">
                  <c:v>56353.394762542172</c:v>
                </c:pt>
                <c:pt idx="461">
                  <c:v>114237.25552432123</c:v>
                </c:pt>
                <c:pt idx="462">
                  <c:v>115546.98221166148</c:v>
                </c:pt>
                <c:pt idx="463">
                  <c:v>129506.19713338111</c:v>
                </c:pt>
                <c:pt idx="464">
                  <c:v>104025.25110171901</c:v>
                </c:pt>
                <c:pt idx="465">
                  <c:v>78414.648536790453</c:v>
                </c:pt>
                <c:pt idx="466">
                  <c:v>62363.944606734629</c:v>
                </c:pt>
                <c:pt idx="467">
                  <c:v>124077.35478585506</c:v>
                </c:pt>
                <c:pt idx="468">
                  <c:v>99539.614345773531</c:v>
                </c:pt>
                <c:pt idx="469">
                  <c:v>114455.15307800678</c:v>
                </c:pt>
                <c:pt idx="470">
                  <c:v>67336.45590635296</c:v>
                </c:pt>
                <c:pt idx="471">
                  <c:v>71927.93526976151</c:v>
                </c:pt>
                <c:pt idx="472">
                  <c:v>88375.706413760214</c:v>
                </c:pt>
                <c:pt idx="473">
                  <c:v>72628.627249812955</c:v>
                </c:pt>
                <c:pt idx="474">
                  <c:v>80399.254205275429</c:v>
                </c:pt>
                <c:pt idx="475">
                  <c:v>66308.415364790213</c:v>
                </c:pt>
                <c:pt idx="476">
                  <c:v>71837.426549946831</c:v>
                </c:pt>
                <c:pt idx="477">
                  <c:v>104406.94586117726</c:v>
                </c:pt>
                <c:pt idx="478">
                  <c:v>104696.97231808834</c:v>
                </c:pt>
                <c:pt idx="479">
                  <c:v>73040.422739104164</c:v>
                </c:pt>
                <c:pt idx="480">
                  <c:v>97587.207761853206</c:v>
                </c:pt>
                <c:pt idx="481">
                  <c:v>65095.314424559176</c:v>
                </c:pt>
                <c:pt idx="482">
                  <c:v>103788.801233677</c:v>
                </c:pt>
                <c:pt idx="483">
                  <c:v>95099.980962882837</c:v>
                </c:pt>
                <c:pt idx="484">
                  <c:v>105241.12123856609</c:v>
                </c:pt>
                <c:pt idx="485">
                  <c:v>77504.120503799175</c:v>
                </c:pt>
                <c:pt idx="486">
                  <c:v>80656.185387734993</c:v>
                </c:pt>
                <c:pt idx="487">
                  <c:v>83287.904876017026</c:v>
                </c:pt>
                <c:pt idx="488">
                  <c:v>90122.342537678007</c:v>
                </c:pt>
                <c:pt idx="489">
                  <c:v>156852.20011059375</c:v>
                </c:pt>
                <c:pt idx="490">
                  <c:v>94233.230938101347</c:v>
                </c:pt>
                <c:pt idx="491">
                  <c:v>69602.447890407682</c:v>
                </c:pt>
                <c:pt idx="492">
                  <c:v>104530.56076354068</c:v>
                </c:pt>
                <c:pt idx="493">
                  <c:v>59809.47193859877</c:v>
                </c:pt>
                <c:pt idx="494">
                  <c:v>97974.428922366918</c:v>
                </c:pt>
                <c:pt idx="495">
                  <c:v>97496.552997785708</c:v>
                </c:pt>
                <c:pt idx="496">
                  <c:v>101617.95144469525</c:v>
                </c:pt>
                <c:pt idx="497">
                  <c:v>72100.231164753641</c:v>
                </c:pt>
                <c:pt idx="498">
                  <c:v>76274.868026951692</c:v>
                </c:pt>
                <c:pt idx="499">
                  <c:v>74214.519188925857</c:v>
                </c:pt>
                <c:pt idx="500">
                  <c:v>116681.35599824994</c:v>
                </c:pt>
                <c:pt idx="501">
                  <c:v>74177.158196822653</c:v>
                </c:pt>
                <c:pt idx="502">
                  <c:v>66854.220761085482</c:v>
                </c:pt>
                <c:pt idx="503">
                  <c:v>81098.522723951944</c:v>
                </c:pt>
                <c:pt idx="504">
                  <c:v>133498.16272498897</c:v>
                </c:pt>
                <c:pt idx="505">
                  <c:v>81684.448656566688</c:v>
                </c:pt>
                <c:pt idx="506">
                  <c:v>105153.5528981113</c:v>
                </c:pt>
                <c:pt idx="507">
                  <c:v>79237.298362702757</c:v>
                </c:pt>
                <c:pt idx="508">
                  <c:v>132342.09578675526</c:v>
                </c:pt>
                <c:pt idx="509">
                  <c:v>70383.773689863548</c:v>
                </c:pt>
                <c:pt idx="510">
                  <c:v>91307.696090253274</c:v>
                </c:pt>
                <c:pt idx="511">
                  <c:v>71554.916442326357</c:v>
                </c:pt>
                <c:pt idx="512">
                  <c:v>126785.29840778536</c:v>
                </c:pt>
                <c:pt idx="513">
                  <c:v>114560.05628905928</c:v>
                </c:pt>
                <c:pt idx="514">
                  <c:v>128923.55883888694</c:v>
                </c:pt>
                <c:pt idx="515">
                  <c:v>77857.83072732338</c:v>
                </c:pt>
                <c:pt idx="516">
                  <c:v>79805.830094791832</c:v>
                </c:pt>
                <c:pt idx="517">
                  <c:v>113758.07989931313</c:v>
                </c:pt>
                <c:pt idx="518">
                  <c:v>72511.53505547253</c:v>
                </c:pt>
                <c:pt idx="519">
                  <c:v>70882.107535066942</c:v>
                </c:pt>
                <c:pt idx="520">
                  <c:v>89827.073143014713</c:v>
                </c:pt>
                <c:pt idx="521">
                  <c:v>78046.522635712099</c:v>
                </c:pt>
                <c:pt idx="522">
                  <c:v>113326.5963243372</c:v>
                </c:pt>
                <c:pt idx="523">
                  <c:v>90720.550943637063</c:v>
                </c:pt>
                <c:pt idx="524">
                  <c:v>119757.1499521409</c:v>
                </c:pt>
                <c:pt idx="525">
                  <c:v>69573.236959882663</c:v>
                </c:pt>
                <c:pt idx="526">
                  <c:v>82638.13640794692</c:v>
                </c:pt>
                <c:pt idx="527">
                  <c:v>120886.74192226901</c:v>
                </c:pt>
                <c:pt idx="528">
                  <c:v>112032.56318085437</c:v>
                </c:pt>
                <c:pt idx="529">
                  <c:v>93676.111154863684</c:v>
                </c:pt>
                <c:pt idx="530">
                  <c:v>101103.40128663668</c:v>
                </c:pt>
                <c:pt idx="531">
                  <c:v>98699.387434247008</c:v>
                </c:pt>
                <c:pt idx="532">
                  <c:v>87112.527961840198</c:v>
                </c:pt>
                <c:pt idx="533">
                  <c:v>108488.37703070483</c:v>
                </c:pt>
                <c:pt idx="534">
                  <c:v>91127.824386306704</c:v>
                </c:pt>
                <c:pt idx="535">
                  <c:v>123431.6165586276</c:v>
                </c:pt>
                <c:pt idx="536">
                  <c:v>133244.59719365111</c:v>
                </c:pt>
                <c:pt idx="537">
                  <c:v>67745.555177788105</c:v>
                </c:pt>
                <c:pt idx="538">
                  <c:v>117504.52369430421</c:v>
                </c:pt>
                <c:pt idx="539">
                  <c:v>73561.334716338839</c:v>
                </c:pt>
                <c:pt idx="540">
                  <c:v>81407.248984451129</c:v>
                </c:pt>
                <c:pt idx="541">
                  <c:v>104896.24848470013</c:v>
                </c:pt>
                <c:pt idx="542">
                  <c:v>51882.103621293791</c:v>
                </c:pt>
                <c:pt idx="543">
                  <c:v>113773.53672632732</c:v>
                </c:pt>
                <c:pt idx="544">
                  <c:v>64949.700324252124</c:v>
                </c:pt>
                <c:pt idx="545">
                  <c:v>79767.289277595235</c:v>
                </c:pt>
                <c:pt idx="546">
                  <c:v>73069.14725253392</c:v>
                </c:pt>
                <c:pt idx="547">
                  <c:v>67897.256367309223</c:v>
                </c:pt>
                <c:pt idx="548">
                  <c:v>140446.7967683067</c:v>
                </c:pt>
                <c:pt idx="549">
                  <c:v>50876.952797456048</c:v>
                </c:pt>
                <c:pt idx="550">
                  <c:v>96275.389186055691</c:v>
                </c:pt>
                <c:pt idx="551">
                  <c:v>60785.982424973598</c:v>
                </c:pt>
                <c:pt idx="552">
                  <c:v>122003.63499000225</c:v>
                </c:pt>
                <c:pt idx="553">
                  <c:v>99750.558335342823</c:v>
                </c:pt>
                <c:pt idx="554">
                  <c:v>68053.559065338661</c:v>
                </c:pt>
                <c:pt idx="555">
                  <c:v>112647.12102278224</c:v>
                </c:pt>
                <c:pt idx="556">
                  <c:v>104115.18947793839</c:v>
                </c:pt>
                <c:pt idx="557">
                  <c:v>82850.58293342781</c:v>
                </c:pt>
                <c:pt idx="558">
                  <c:v>114391.3084448919</c:v>
                </c:pt>
                <c:pt idx="559">
                  <c:v>58445.70542783603</c:v>
                </c:pt>
                <c:pt idx="560">
                  <c:v>111853.75919879903</c:v>
                </c:pt>
                <c:pt idx="561">
                  <c:v>63172.472272244253</c:v>
                </c:pt>
                <c:pt idx="562">
                  <c:v>70847.936217730778</c:v>
                </c:pt>
                <c:pt idx="563">
                  <c:v>61638.10237448012</c:v>
                </c:pt>
                <c:pt idx="564">
                  <c:v>130349.95662437446</c:v>
                </c:pt>
                <c:pt idx="565">
                  <c:v>51450.693429727784</c:v>
                </c:pt>
                <c:pt idx="566">
                  <c:v>78361.032462896343</c:v>
                </c:pt>
                <c:pt idx="567">
                  <c:v>103314.19545268004</c:v>
                </c:pt>
                <c:pt idx="568">
                  <c:v>104965.95500659406</c:v>
                </c:pt>
                <c:pt idx="569">
                  <c:v>117940.98822704406</c:v>
                </c:pt>
                <c:pt idx="570">
                  <c:v>103119.57165726123</c:v>
                </c:pt>
                <c:pt idx="571">
                  <c:v>67354.453702999075</c:v>
                </c:pt>
                <c:pt idx="572">
                  <c:v>77414.080804765472</c:v>
                </c:pt>
                <c:pt idx="573">
                  <c:v>95962.208375514499</c:v>
                </c:pt>
                <c:pt idx="574">
                  <c:v>87113.411635895041</c:v>
                </c:pt>
                <c:pt idx="575">
                  <c:v>93572.062703587566</c:v>
                </c:pt>
                <c:pt idx="576">
                  <c:v>80489.189610919857</c:v>
                </c:pt>
                <c:pt idx="577">
                  <c:v>61228.641543797887</c:v>
                </c:pt>
                <c:pt idx="578">
                  <c:v>64794.105418497602</c:v>
                </c:pt>
                <c:pt idx="579">
                  <c:v>82520.57650207894</c:v>
                </c:pt>
                <c:pt idx="580">
                  <c:v>88227.756256799665</c:v>
                </c:pt>
                <c:pt idx="581">
                  <c:v>111711.57966001026</c:v>
                </c:pt>
                <c:pt idx="582">
                  <c:v>88121.593577770647</c:v>
                </c:pt>
                <c:pt idx="583">
                  <c:v>92126.93447871106</c:v>
                </c:pt>
                <c:pt idx="584">
                  <c:v>101640.12428731781</c:v>
                </c:pt>
                <c:pt idx="585">
                  <c:v>61297.693937040778</c:v>
                </c:pt>
                <c:pt idx="586">
                  <c:v>132157.70210655266</c:v>
                </c:pt>
                <c:pt idx="587">
                  <c:v>124946.25988115999</c:v>
                </c:pt>
                <c:pt idx="588">
                  <c:v>137550.90891698789</c:v>
                </c:pt>
                <c:pt idx="589">
                  <c:v>97141.031907809462</c:v>
                </c:pt>
                <c:pt idx="590">
                  <c:v>97092.016923079078</c:v>
                </c:pt>
                <c:pt idx="591">
                  <c:v>98326.801505346826</c:v>
                </c:pt>
                <c:pt idx="592">
                  <c:v>87756.942770113674</c:v>
                </c:pt>
                <c:pt idx="593">
                  <c:v>67712.942745351233</c:v>
                </c:pt>
                <c:pt idx="594">
                  <c:v>136392.95942613026</c:v>
                </c:pt>
                <c:pt idx="595">
                  <c:v>99532.647861271602</c:v>
                </c:pt>
                <c:pt idx="596">
                  <c:v>124569.94133912749</c:v>
                </c:pt>
                <c:pt idx="597">
                  <c:v>81515.629440454504</c:v>
                </c:pt>
                <c:pt idx="598">
                  <c:v>62341.266535323324</c:v>
                </c:pt>
                <c:pt idx="599">
                  <c:v>86067.540047883682</c:v>
                </c:pt>
                <c:pt idx="600">
                  <c:v>100102.63370015071</c:v>
                </c:pt>
                <c:pt idx="601">
                  <c:v>111455.04039843747</c:v>
                </c:pt>
                <c:pt idx="602">
                  <c:v>67946.016293307141</c:v>
                </c:pt>
                <c:pt idx="603">
                  <c:v>119512.75372777881</c:v>
                </c:pt>
                <c:pt idx="604">
                  <c:v>65787.62556092038</c:v>
                </c:pt>
                <c:pt idx="605">
                  <c:v>87805.607066832366</c:v>
                </c:pt>
                <c:pt idx="606">
                  <c:v>95126.89272086951</c:v>
                </c:pt>
                <c:pt idx="607">
                  <c:v>83886.919478649623</c:v>
                </c:pt>
                <c:pt idx="608">
                  <c:v>91311.368983618959</c:v>
                </c:pt>
                <c:pt idx="609">
                  <c:v>87768.091986383777</c:v>
                </c:pt>
                <c:pt idx="610">
                  <c:v>83314.866924946095</c:v>
                </c:pt>
                <c:pt idx="611">
                  <c:v>85454.594306412429</c:v>
                </c:pt>
                <c:pt idx="612">
                  <c:v>106327.54797183487</c:v>
                </c:pt>
                <c:pt idx="613">
                  <c:v>131340.25268797687</c:v>
                </c:pt>
                <c:pt idx="614">
                  <c:v>81807.252852785867</c:v>
                </c:pt>
                <c:pt idx="615">
                  <c:v>76111.794429785718</c:v>
                </c:pt>
                <c:pt idx="616">
                  <c:v>90572.710715871275</c:v>
                </c:pt>
                <c:pt idx="617">
                  <c:v>108686.79317774386</c:v>
                </c:pt>
                <c:pt idx="618">
                  <c:v>119561.97966834446</c:v>
                </c:pt>
                <c:pt idx="619">
                  <c:v>123640.75768482797</c:v>
                </c:pt>
                <c:pt idx="620">
                  <c:v>133221.78713749224</c:v>
                </c:pt>
                <c:pt idx="621">
                  <c:v>90854.576432913542</c:v>
                </c:pt>
                <c:pt idx="622">
                  <c:v>110256.35961571764</c:v>
                </c:pt>
                <c:pt idx="623">
                  <c:v>96583.439774188999</c:v>
                </c:pt>
                <c:pt idx="624">
                  <c:v>66636.509805812413</c:v>
                </c:pt>
                <c:pt idx="625">
                  <c:v>129308.63130454089</c:v>
                </c:pt>
                <c:pt idx="626">
                  <c:v>99598.633848321697</c:v>
                </c:pt>
                <c:pt idx="627">
                  <c:v>79552.365223627465</c:v>
                </c:pt>
                <c:pt idx="628">
                  <c:v>89170.514902697367</c:v>
                </c:pt>
                <c:pt idx="629">
                  <c:v>75463.479033761891</c:v>
                </c:pt>
                <c:pt idx="630">
                  <c:v>100216.77350772508</c:v>
                </c:pt>
                <c:pt idx="631">
                  <c:v>102968.6758948465</c:v>
                </c:pt>
                <c:pt idx="632">
                  <c:v>115636.72445572482</c:v>
                </c:pt>
                <c:pt idx="633">
                  <c:v>118767.42907899694</c:v>
                </c:pt>
                <c:pt idx="634">
                  <c:v>89581.323742004213</c:v>
                </c:pt>
                <c:pt idx="635">
                  <c:v>105395.36773936014</c:v>
                </c:pt>
                <c:pt idx="636">
                  <c:v>75564.374804080944</c:v>
                </c:pt>
                <c:pt idx="637">
                  <c:v>88182.96583516059</c:v>
                </c:pt>
                <c:pt idx="638">
                  <c:v>109205.60735457556</c:v>
                </c:pt>
                <c:pt idx="639">
                  <c:v>104092.22377795241</c:v>
                </c:pt>
                <c:pt idx="640">
                  <c:v>97510.205488254374</c:v>
                </c:pt>
                <c:pt idx="641">
                  <c:v>55021.018424809321</c:v>
                </c:pt>
                <c:pt idx="642">
                  <c:v>111538.39919433322</c:v>
                </c:pt>
                <c:pt idx="643">
                  <c:v>117550.91199514399</c:v>
                </c:pt>
                <c:pt idx="644">
                  <c:v>72377.060558538942</c:v>
                </c:pt>
                <c:pt idx="645">
                  <c:v>103097.54223306471</c:v>
                </c:pt>
                <c:pt idx="646">
                  <c:v>85902.686272837949</c:v>
                </c:pt>
                <c:pt idx="647">
                  <c:v>119544.93789602317</c:v>
                </c:pt>
                <c:pt idx="648">
                  <c:v>74933.521646563575</c:v>
                </c:pt>
                <c:pt idx="649">
                  <c:v>125758.14604818495</c:v>
                </c:pt>
                <c:pt idx="650">
                  <c:v>129562.75131786574</c:v>
                </c:pt>
                <c:pt idx="651">
                  <c:v>52934.181136113926</c:v>
                </c:pt>
                <c:pt idx="652">
                  <c:v>120516.0145383434</c:v>
                </c:pt>
                <c:pt idx="653">
                  <c:v>58653.412606584185</c:v>
                </c:pt>
                <c:pt idx="654">
                  <c:v>54716.55934941164</c:v>
                </c:pt>
                <c:pt idx="655">
                  <c:v>77188.058299893266</c:v>
                </c:pt>
                <c:pt idx="656">
                  <c:v>110080.71093911782</c:v>
                </c:pt>
                <c:pt idx="657">
                  <c:v>78425.089673553171</c:v>
                </c:pt>
                <c:pt idx="658">
                  <c:v>78784.440570728926</c:v>
                </c:pt>
                <c:pt idx="659">
                  <c:v>130194.15815060076</c:v>
                </c:pt>
                <c:pt idx="660">
                  <c:v>90494.122487696703</c:v>
                </c:pt>
                <c:pt idx="661">
                  <c:v>112009.30403111404</c:v>
                </c:pt>
                <c:pt idx="662">
                  <c:v>77982.417237674992</c:v>
                </c:pt>
                <c:pt idx="663">
                  <c:v>82977.829002599508</c:v>
                </c:pt>
                <c:pt idx="664">
                  <c:v>102336.06918886752</c:v>
                </c:pt>
                <c:pt idx="665">
                  <c:v>60676.818569051851</c:v>
                </c:pt>
                <c:pt idx="666">
                  <c:v>131901.87421997738</c:v>
                </c:pt>
                <c:pt idx="667">
                  <c:v>63885.640669045657</c:v>
                </c:pt>
                <c:pt idx="668">
                  <c:v>107540.68440174873</c:v>
                </c:pt>
                <c:pt idx="669">
                  <c:v>92340.628495397279</c:v>
                </c:pt>
                <c:pt idx="670">
                  <c:v>163039.99455076916</c:v>
                </c:pt>
                <c:pt idx="671">
                  <c:v>141850.18899085879</c:v>
                </c:pt>
                <c:pt idx="672">
                  <c:v>99078.235427846303</c:v>
                </c:pt>
                <c:pt idx="673">
                  <c:v>95761.387717093661</c:v>
                </c:pt>
                <c:pt idx="674">
                  <c:v>103549.53271125417</c:v>
                </c:pt>
                <c:pt idx="675">
                  <c:v>85558.706628737622</c:v>
                </c:pt>
                <c:pt idx="676">
                  <c:v>142747.76161631069</c:v>
                </c:pt>
                <c:pt idx="677">
                  <c:v>135775.70702143584</c:v>
                </c:pt>
                <c:pt idx="678">
                  <c:v>129149.51785637651</c:v>
                </c:pt>
                <c:pt idx="679">
                  <c:v>89761.507967627345</c:v>
                </c:pt>
                <c:pt idx="680">
                  <c:v>95434.586869567793</c:v>
                </c:pt>
                <c:pt idx="681">
                  <c:v>119761.61015372895</c:v>
                </c:pt>
                <c:pt idx="682">
                  <c:v>114418.18204398807</c:v>
                </c:pt>
                <c:pt idx="683">
                  <c:v>54029.500109341374</c:v>
                </c:pt>
                <c:pt idx="684">
                  <c:v>105358.13295069308</c:v>
                </c:pt>
                <c:pt idx="685">
                  <c:v>76808.666222291737</c:v>
                </c:pt>
                <c:pt idx="686">
                  <c:v>64250.293923507372</c:v>
                </c:pt>
                <c:pt idx="687">
                  <c:v>76232.434351886099</c:v>
                </c:pt>
                <c:pt idx="688">
                  <c:v>82537.942632171253</c:v>
                </c:pt>
                <c:pt idx="689">
                  <c:v>108510.66630399349</c:v>
                </c:pt>
                <c:pt idx="690">
                  <c:v>49728.770231889604</c:v>
                </c:pt>
                <c:pt idx="691">
                  <c:v>155924.16250743053</c:v>
                </c:pt>
                <c:pt idx="692">
                  <c:v>156338.9682897531</c:v>
                </c:pt>
                <c:pt idx="693">
                  <c:v>110520.39564069484</c:v>
                </c:pt>
                <c:pt idx="694">
                  <c:v>71732.165246295059</c:v>
                </c:pt>
                <c:pt idx="695">
                  <c:v>120262.06336401401</c:v>
                </c:pt>
                <c:pt idx="696">
                  <c:v>111213.57645151191</c:v>
                </c:pt>
                <c:pt idx="697">
                  <c:v>67408.224057988584</c:v>
                </c:pt>
                <c:pt idx="698">
                  <c:v>80060.797621349921</c:v>
                </c:pt>
                <c:pt idx="699">
                  <c:v>107643.83553056336</c:v>
                </c:pt>
                <c:pt idx="700">
                  <c:v>93182.052569518914</c:v>
                </c:pt>
                <c:pt idx="701">
                  <c:v>96628.076861732116</c:v>
                </c:pt>
                <c:pt idx="702">
                  <c:v>73870.035916370281</c:v>
                </c:pt>
                <c:pt idx="703">
                  <c:v>110358.7880134196</c:v>
                </c:pt>
                <c:pt idx="704">
                  <c:v>66892.851754690477</c:v>
                </c:pt>
                <c:pt idx="705">
                  <c:v>109059.92963504833</c:v>
                </c:pt>
                <c:pt idx="706">
                  <c:v>103208.37327307374</c:v>
                </c:pt>
                <c:pt idx="707">
                  <c:v>126506.70909845609</c:v>
                </c:pt>
                <c:pt idx="708">
                  <c:v>80776.921957432874</c:v>
                </c:pt>
                <c:pt idx="709">
                  <c:v>91687.13785478186</c:v>
                </c:pt>
                <c:pt idx="710">
                  <c:v>83066.489611024197</c:v>
                </c:pt>
                <c:pt idx="711">
                  <c:v>138204.1705253463</c:v>
                </c:pt>
                <c:pt idx="712">
                  <c:v>97961.537830862158</c:v>
                </c:pt>
                <c:pt idx="713">
                  <c:v>68389.950689757214</c:v>
                </c:pt>
                <c:pt idx="714">
                  <c:v>73946.156681766952</c:v>
                </c:pt>
                <c:pt idx="715">
                  <c:v>71694.590791192881</c:v>
                </c:pt>
                <c:pt idx="716">
                  <c:v>41563.352515270512</c:v>
                </c:pt>
                <c:pt idx="717">
                  <c:v>87890.182032733355</c:v>
                </c:pt>
                <c:pt idx="718">
                  <c:v>163130.19775183054</c:v>
                </c:pt>
                <c:pt idx="719">
                  <c:v>74712.599053866637</c:v>
                </c:pt>
                <c:pt idx="720">
                  <c:v>60307.273123172701</c:v>
                </c:pt>
                <c:pt idx="721">
                  <c:v>146039.0167778857</c:v>
                </c:pt>
                <c:pt idx="722">
                  <c:v>99676.86318550061</c:v>
                </c:pt>
                <c:pt idx="723">
                  <c:v>37158.042147164524</c:v>
                </c:pt>
                <c:pt idx="724">
                  <c:v>138521.88600213395</c:v>
                </c:pt>
                <c:pt idx="725">
                  <c:v>78253.132018574601</c:v>
                </c:pt>
                <c:pt idx="726">
                  <c:v>106393.22388181897</c:v>
                </c:pt>
                <c:pt idx="727">
                  <c:v>96670.592040397722</c:v>
                </c:pt>
                <c:pt idx="728">
                  <c:v>143013.39925153594</c:v>
                </c:pt>
                <c:pt idx="729">
                  <c:v>66025.468962335071</c:v>
                </c:pt>
                <c:pt idx="730">
                  <c:v>114533.34158594551</c:v>
                </c:pt>
                <c:pt idx="731">
                  <c:v>83388.81536333423</c:v>
                </c:pt>
                <c:pt idx="732">
                  <c:v>90791.149206762115</c:v>
                </c:pt>
                <c:pt idx="733">
                  <c:v>101810.14997343012</c:v>
                </c:pt>
                <c:pt idx="734">
                  <c:v>161949.88682324727</c:v>
                </c:pt>
                <c:pt idx="735">
                  <c:v>160398.84574862552</c:v>
                </c:pt>
                <c:pt idx="736">
                  <c:v>159640.2638850502</c:v>
                </c:pt>
                <c:pt idx="737">
                  <c:v>83671.937207725423</c:v>
                </c:pt>
                <c:pt idx="738">
                  <c:v>102780.64172964286</c:v>
                </c:pt>
                <c:pt idx="739">
                  <c:v>97886.177160023304</c:v>
                </c:pt>
                <c:pt idx="740">
                  <c:v>81261.39082535007</c:v>
                </c:pt>
                <c:pt idx="741">
                  <c:v>136583.52561689963</c:v>
                </c:pt>
                <c:pt idx="742">
                  <c:v>77858.030595369535</c:v>
                </c:pt>
                <c:pt idx="743">
                  <c:v>81943.204732822691</c:v>
                </c:pt>
                <c:pt idx="744">
                  <c:v>67073.861700708017</c:v>
                </c:pt>
                <c:pt idx="745">
                  <c:v>56866.361520142593</c:v>
                </c:pt>
                <c:pt idx="746">
                  <c:v>109637.73042876768</c:v>
                </c:pt>
                <c:pt idx="747">
                  <c:v>94886.773566785705</c:v>
                </c:pt>
                <c:pt idx="748">
                  <c:v>129622.16668348787</c:v>
                </c:pt>
                <c:pt idx="749">
                  <c:v>113996.1535564902</c:v>
                </c:pt>
                <c:pt idx="750">
                  <c:v>64154.905282448999</c:v>
                </c:pt>
                <c:pt idx="751">
                  <c:v>98641.312364576836</c:v>
                </c:pt>
                <c:pt idx="752">
                  <c:v>100785.08570255131</c:v>
                </c:pt>
                <c:pt idx="753">
                  <c:v>70892.669922583445</c:v>
                </c:pt>
                <c:pt idx="754">
                  <c:v>124032.71847977927</c:v>
                </c:pt>
                <c:pt idx="755">
                  <c:v>77582.770456294093</c:v>
                </c:pt>
                <c:pt idx="756">
                  <c:v>59514.890920272854</c:v>
                </c:pt>
                <c:pt idx="757">
                  <c:v>114066.48829324805</c:v>
                </c:pt>
                <c:pt idx="758">
                  <c:v>143384.19132491559</c:v>
                </c:pt>
                <c:pt idx="759">
                  <c:v>97120.183053044952</c:v>
                </c:pt>
                <c:pt idx="760">
                  <c:v>65480.272592808818</c:v>
                </c:pt>
                <c:pt idx="761">
                  <c:v>107733.16526964947</c:v>
                </c:pt>
                <c:pt idx="762">
                  <c:v>105519.82813197203</c:v>
                </c:pt>
                <c:pt idx="763">
                  <c:v>67242.281145780464</c:v>
                </c:pt>
                <c:pt idx="764">
                  <c:v>100360.51180904289</c:v>
                </c:pt>
                <c:pt idx="765">
                  <c:v>72340.011750065692</c:v>
                </c:pt>
                <c:pt idx="766">
                  <c:v>103513.92705641576</c:v>
                </c:pt>
                <c:pt idx="767">
                  <c:v>105055.98379279755</c:v>
                </c:pt>
                <c:pt idx="768">
                  <c:v>119116.50577311667</c:v>
                </c:pt>
                <c:pt idx="769">
                  <c:v>85458.746545081813</c:v>
                </c:pt>
                <c:pt idx="770">
                  <c:v>110633.42363543785</c:v>
                </c:pt>
                <c:pt idx="771">
                  <c:v>85540.722207839513</c:v>
                </c:pt>
                <c:pt idx="772">
                  <c:v>89153.05117001028</c:v>
                </c:pt>
                <c:pt idx="773">
                  <c:v>111552.93875282435</c:v>
                </c:pt>
                <c:pt idx="774">
                  <c:v>99845.644701622456</c:v>
                </c:pt>
                <c:pt idx="775">
                  <c:v>57740.284273352656</c:v>
                </c:pt>
                <c:pt idx="776">
                  <c:v>129260.97006881969</c:v>
                </c:pt>
                <c:pt idx="777">
                  <c:v>87359.372939074005</c:v>
                </c:pt>
                <c:pt idx="778">
                  <c:v>123640.59959398129</c:v>
                </c:pt>
                <c:pt idx="779">
                  <c:v>100106.53505730579</c:v>
                </c:pt>
                <c:pt idx="780">
                  <c:v>131567.61338579349</c:v>
                </c:pt>
                <c:pt idx="781">
                  <c:v>113092.3631341591</c:v>
                </c:pt>
                <c:pt idx="782">
                  <c:v>106630.31750355521</c:v>
                </c:pt>
                <c:pt idx="783">
                  <c:v>154129.22535503173</c:v>
                </c:pt>
                <c:pt idx="784">
                  <c:v>100117.57707774999</c:v>
                </c:pt>
                <c:pt idx="785">
                  <c:v>98751.900540437346</c:v>
                </c:pt>
                <c:pt idx="786">
                  <c:v>112143.40543660642</c:v>
                </c:pt>
                <c:pt idx="787">
                  <c:v>64616.70340164152</c:v>
                </c:pt>
                <c:pt idx="788">
                  <c:v>87803.177649773439</c:v>
                </c:pt>
                <c:pt idx="789">
                  <c:v>122545.837139515</c:v>
                </c:pt>
                <c:pt idx="790">
                  <c:v>105080.36151702028</c:v>
                </c:pt>
                <c:pt idx="791">
                  <c:v>106990.88978467209</c:v>
                </c:pt>
                <c:pt idx="792">
                  <c:v>113302.74662936786</c:v>
                </c:pt>
                <c:pt idx="793">
                  <c:v>119712.66854491241</c:v>
                </c:pt>
                <c:pt idx="794">
                  <c:v>76389.992960362579</c:v>
                </c:pt>
                <c:pt idx="795">
                  <c:v>79459.302082988957</c:v>
                </c:pt>
                <c:pt idx="796">
                  <c:v>122905.73511269495</c:v>
                </c:pt>
                <c:pt idx="797">
                  <c:v>162284.54065449373</c:v>
                </c:pt>
                <c:pt idx="798">
                  <c:v>136955.52551427743</c:v>
                </c:pt>
                <c:pt idx="799">
                  <c:v>100200.68136041659</c:v>
                </c:pt>
                <c:pt idx="800">
                  <c:v>106869.10606269729</c:v>
                </c:pt>
                <c:pt idx="801">
                  <c:v>93463.239168593122</c:v>
                </c:pt>
                <c:pt idx="802">
                  <c:v>115144.38813203666</c:v>
                </c:pt>
                <c:pt idx="803">
                  <c:v>83886.94788435493</c:v>
                </c:pt>
                <c:pt idx="804">
                  <c:v>73020.382476126964</c:v>
                </c:pt>
                <c:pt idx="805">
                  <c:v>114618.84731423816</c:v>
                </c:pt>
                <c:pt idx="806">
                  <c:v>79545.953468905311</c:v>
                </c:pt>
                <c:pt idx="807">
                  <c:v>88998.053483276919</c:v>
                </c:pt>
                <c:pt idx="808">
                  <c:v>103363.74539556234</c:v>
                </c:pt>
                <c:pt idx="809">
                  <c:v>90662.562724252261</c:v>
                </c:pt>
                <c:pt idx="810">
                  <c:v>118583.43568276413</c:v>
                </c:pt>
                <c:pt idx="811">
                  <c:v>102582.64035045105</c:v>
                </c:pt>
                <c:pt idx="812">
                  <c:v>67092.501693397178</c:v>
                </c:pt>
                <c:pt idx="813">
                  <c:v>97165.009584723783</c:v>
                </c:pt>
                <c:pt idx="814">
                  <c:v>90282.373187022793</c:v>
                </c:pt>
                <c:pt idx="815">
                  <c:v>129256.40837738843</c:v>
                </c:pt>
                <c:pt idx="816">
                  <c:v>71657.316261338332</c:v>
                </c:pt>
                <c:pt idx="817">
                  <c:v>76303.716962359133</c:v>
                </c:pt>
                <c:pt idx="818">
                  <c:v>107684.26248934826</c:v>
                </c:pt>
                <c:pt idx="819">
                  <c:v>67258.76566993013</c:v>
                </c:pt>
                <c:pt idx="820">
                  <c:v>79782.913955115364</c:v>
                </c:pt>
                <c:pt idx="821">
                  <c:v>122539.7683017894</c:v>
                </c:pt>
                <c:pt idx="822">
                  <c:v>87181.167516910777</c:v>
                </c:pt>
                <c:pt idx="823">
                  <c:v>104155.25431663857</c:v>
                </c:pt>
                <c:pt idx="824">
                  <c:v>110664.76342401472</c:v>
                </c:pt>
                <c:pt idx="825">
                  <c:v>113619.36315697175</c:v>
                </c:pt>
                <c:pt idx="826">
                  <c:v>99620.311852154075</c:v>
                </c:pt>
                <c:pt idx="827">
                  <c:v>60959.551681682657</c:v>
                </c:pt>
                <c:pt idx="828">
                  <c:v>184421.14907399227</c:v>
                </c:pt>
                <c:pt idx="829">
                  <c:v>123772.29413507816</c:v>
                </c:pt>
                <c:pt idx="830">
                  <c:v>126960.61560118524</c:v>
                </c:pt>
                <c:pt idx="831">
                  <c:v>120133.64158501272</c:v>
                </c:pt>
                <c:pt idx="832">
                  <c:v>78736.604774933832</c:v>
                </c:pt>
                <c:pt idx="833">
                  <c:v>92678.61564040964</c:v>
                </c:pt>
                <c:pt idx="834">
                  <c:v>74470.556665580167</c:v>
                </c:pt>
                <c:pt idx="835">
                  <c:v>56738.703222935575</c:v>
                </c:pt>
                <c:pt idx="836">
                  <c:v>120874.75669987244</c:v>
                </c:pt>
                <c:pt idx="837">
                  <c:v>73732.286408179294</c:v>
                </c:pt>
                <c:pt idx="838">
                  <c:v>78983.582279444745</c:v>
                </c:pt>
                <c:pt idx="839">
                  <c:v>70788.682007980096</c:v>
                </c:pt>
                <c:pt idx="840">
                  <c:v>88672.452421704409</c:v>
                </c:pt>
                <c:pt idx="841">
                  <c:v>82072.193356909978</c:v>
                </c:pt>
                <c:pt idx="842">
                  <c:v>73022.768224655432</c:v>
                </c:pt>
                <c:pt idx="843">
                  <c:v>108051.41027643176</c:v>
                </c:pt>
                <c:pt idx="844">
                  <c:v>156940.07613039957</c:v>
                </c:pt>
                <c:pt idx="845">
                  <c:v>99995.295441057737</c:v>
                </c:pt>
                <c:pt idx="846">
                  <c:v>87759.842500958039</c:v>
                </c:pt>
                <c:pt idx="847">
                  <c:v>136904.67952446087</c:v>
                </c:pt>
                <c:pt idx="848">
                  <c:v>61275.728585649922</c:v>
                </c:pt>
                <c:pt idx="849">
                  <c:v>94491.288813909297</c:v>
                </c:pt>
                <c:pt idx="850">
                  <c:v>67786.582905835719</c:v>
                </c:pt>
                <c:pt idx="851">
                  <c:v>144089.73857640315</c:v>
                </c:pt>
                <c:pt idx="852">
                  <c:v>76536.700740216125</c:v>
                </c:pt>
                <c:pt idx="853">
                  <c:v>82441.307509103644</c:v>
                </c:pt>
                <c:pt idx="854">
                  <c:v>51834.432157727861</c:v>
                </c:pt>
                <c:pt idx="855">
                  <c:v>79361.044485661449</c:v>
                </c:pt>
                <c:pt idx="856">
                  <c:v>111509.78968088556</c:v>
                </c:pt>
                <c:pt idx="857">
                  <c:v>110696.8498532245</c:v>
                </c:pt>
                <c:pt idx="858">
                  <c:v>93188.353599548791</c:v>
                </c:pt>
                <c:pt idx="859">
                  <c:v>73284.3999210724</c:v>
                </c:pt>
                <c:pt idx="860">
                  <c:v>55558.884387039929</c:v>
                </c:pt>
                <c:pt idx="861">
                  <c:v>99169.832173347881</c:v>
                </c:pt>
                <c:pt idx="862">
                  <c:v>53909.587264627786</c:v>
                </c:pt>
                <c:pt idx="863">
                  <c:v>116473.214899281</c:v>
                </c:pt>
                <c:pt idx="864">
                  <c:v>77857.798381890359</c:v>
                </c:pt>
                <c:pt idx="865">
                  <c:v>100198.56214637724</c:v>
                </c:pt>
                <c:pt idx="866">
                  <c:v>138151.638294295</c:v>
                </c:pt>
                <c:pt idx="867">
                  <c:v>90906.941352091555</c:v>
                </c:pt>
                <c:pt idx="868">
                  <c:v>64532.540640953892</c:v>
                </c:pt>
                <c:pt idx="869">
                  <c:v>53958.164053874643</c:v>
                </c:pt>
                <c:pt idx="870">
                  <c:v>40384.52852732117</c:v>
                </c:pt>
                <c:pt idx="871">
                  <c:v>68643.188697657009</c:v>
                </c:pt>
                <c:pt idx="872">
                  <c:v>123887.45560884938</c:v>
                </c:pt>
                <c:pt idx="873">
                  <c:v>109464.92826021613</c:v>
                </c:pt>
                <c:pt idx="874">
                  <c:v>109577.12909109573</c:v>
                </c:pt>
                <c:pt idx="875">
                  <c:v>114287.27570511523</c:v>
                </c:pt>
                <c:pt idx="876">
                  <c:v>79706.131036111619</c:v>
                </c:pt>
                <c:pt idx="877">
                  <c:v>102701.7835274266</c:v>
                </c:pt>
                <c:pt idx="878">
                  <c:v>75142.819779344209</c:v>
                </c:pt>
                <c:pt idx="879">
                  <c:v>52453.538157865172</c:v>
                </c:pt>
                <c:pt idx="880">
                  <c:v>97656.301874347613</c:v>
                </c:pt>
                <c:pt idx="881">
                  <c:v>76191.493526715203</c:v>
                </c:pt>
                <c:pt idx="882">
                  <c:v>98538.911459301671</c:v>
                </c:pt>
                <c:pt idx="883">
                  <c:v>100349.6163448107</c:v>
                </c:pt>
                <c:pt idx="884">
                  <c:v>93204.64667406377</c:v>
                </c:pt>
                <c:pt idx="885">
                  <c:v>106793.85455951554</c:v>
                </c:pt>
                <c:pt idx="886">
                  <c:v>83764.976664297996</c:v>
                </c:pt>
                <c:pt idx="887">
                  <c:v>100673.00635386852</c:v>
                </c:pt>
                <c:pt idx="888">
                  <c:v>122823.76973756078</c:v>
                </c:pt>
                <c:pt idx="889">
                  <c:v>110705.03479109438</c:v>
                </c:pt>
                <c:pt idx="890">
                  <c:v>74976.083940706376</c:v>
                </c:pt>
                <c:pt idx="891">
                  <c:v>116594.72614409603</c:v>
                </c:pt>
                <c:pt idx="892">
                  <c:v>96608.621650174522</c:v>
                </c:pt>
                <c:pt idx="893">
                  <c:v>112858.56367638124</c:v>
                </c:pt>
                <c:pt idx="894">
                  <c:v>96113.497414257843</c:v>
                </c:pt>
                <c:pt idx="895">
                  <c:v>72516.426588471266</c:v>
                </c:pt>
                <c:pt idx="896">
                  <c:v>62340.898428152279</c:v>
                </c:pt>
                <c:pt idx="897">
                  <c:v>108209.66639664758</c:v>
                </c:pt>
                <c:pt idx="898">
                  <c:v>101704.73950310521</c:v>
                </c:pt>
                <c:pt idx="899">
                  <c:v>105017.28738151916</c:v>
                </c:pt>
                <c:pt idx="900">
                  <c:v>77292.118601789727</c:v>
                </c:pt>
                <c:pt idx="901">
                  <c:v>90013.601331556885</c:v>
                </c:pt>
                <c:pt idx="902">
                  <c:v>64186.139328362078</c:v>
                </c:pt>
                <c:pt idx="903">
                  <c:v>94129.693741146562</c:v>
                </c:pt>
                <c:pt idx="904">
                  <c:v>92169.968021437046</c:v>
                </c:pt>
                <c:pt idx="905">
                  <c:v>108774.80030669519</c:v>
                </c:pt>
                <c:pt idx="906">
                  <c:v>109133.58522361936</c:v>
                </c:pt>
                <c:pt idx="907">
                  <c:v>109116.81212745723</c:v>
                </c:pt>
                <c:pt idx="908">
                  <c:v>94740.604168212289</c:v>
                </c:pt>
                <c:pt idx="909">
                  <c:v>80077.961003708362</c:v>
                </c:pt>
                <c:pt idx="910">
                  <c:v>124296.91008997185</c:v>
                </c:pt>
                <c:pt idx="911">
                  <c:v>48302.562225555994</c:v>
                </c:pt>
                <c:pt idx="912">
                  <c:v>90647.055745376798</c:v>
                </c:pt>
                <c:pt idx="913">
                  <c:v>63636.972445684842</c:v>
                </c:pt>
                <c:pt idx="914">
                  <c:v>111933.22812208231</c:v>
                </c:pt>
                <c:pt idx="915">
                  <c:v>119414.32174345962</c:v>
                </c:pt>
                <c:pt idx="916">
                  <c:v>117368.7737530345</c:v>
                </c:pt>
                <c:pt idx="917">
                  <c:v>78051.791536002507</c:v>
                </c:pt>
                <c:pt idx="918">
                  <c:v>54143.519778306072</c:v>
                </c:pt>
                <c:pt idx="919">
                  <c:v>84748.193285551155</c:v>
                </c:pt>
                <c:pt idx="920">
                  <c:v>87873.73569847102</c:v>
                </c:pt>
                <c:pt idx="921">
                  <c:v>110230.37608852505</c:v>
                </c:pt>
                <c:pt idx="922">
                  <c:v>104947.03670243568</c:v>
                </c:pt>
                <c:pt idx="923">
                  <c:v>143032.06137995663</c:v>
                </c:pt>
                <c:pt idx="924">
                  <c:v>89718.691079456126</c:v>
                </c:pt>
                <c:pt idx="925">
                  <c:v>92501.878886451668</c:v>
                </c:pt>
                <c:pt idx="926">
                  <c:v>72298.006102648011</c:v>
                </c:pt>
                <c:pt idx="927">
                  <c:v>121712.74665701254</c:v>
                </c:pt>
                <c:pt idx="928">
                  <c:v>106917.20174939257</c:v>
                </c:pt>
                <c:pt idx="929">
                  <c:v>70588.460259479747</c:v>
                </c:pt>
                <c:pt idx="930">
                  <c:v>153831.18027806722</c:v>
                </c:pt>
                <c:pt idx="931">
                  <c:v>103489.6989139231</c:v>
                </c:pt>
                <c:pt idx="932">
                  <c:v>122535.98312311771</c:v>
                </c:pt>
                <c:pt idx="933">
                  <c:v>99567.514937614469</c:v>
                </c:pt>
                <c:pt idx="934">
                  <c:v>88147.408499181445</c:v>
                </c:pt>
                <c:pt idx="935">
                  <c:v>107430.37505652489</c:v>
                </c:pt>
                <c:pt idx="936">
                  <c:v>136883.79762888607</c:v>
                </c:pt>
                <c:pt idx="937">
                  <c:v>69435.365048094274</c:v>
                </c:pt>
                <c:pt idx="938">
                  <c:v>69648.048954008889</c:v>
                </c:pt>
                <c:pt idx="939">
                  <c:v>117464.33000419379</c:v>
                </c:pt>
                <c:pt idx="940">
                  <c:v>99177.137132129283</c:v>
                </c:pt>
                <c:pt idx="941">
                  <c:v>79160.737659285776</c:v>
                </c:pt>
                <c:pt idx="942">
                  <c:v>85965.333217391249</c:v>
                </c:pt>
                <c:pt idx="943">
                  <c:v>158943.62714010308</c:v>
                </c:pt>
                <c:pt idx="944">
                  <c:v>77114.483222624607</c:v>
                </c:pt>
                <c:pt idx="945">
                  <c:v>67130.657845821101</c:v>
                </c:pt>
                <c:pt idx="946">
                  <c:v>85034.459888236437</c:v>
                </c:pt>
                <c:pt idx="947">
                  <c:v>88274.734783059495</c:v>
                </c:pt>
                <c:pt idx="948">
                  <c:v>70631.682411311514</c:v>
                </c:pt>
                <c:pt idx="949">
                  <c:v>104493.51466548217</c:v>
                </c:pt>
                <c:pt idx="950">
                  <c:v>83969.000485679615</c:v>
                </c:pt>
                <c:pt idx="951">
                  <c:v>101608.65346492254</c:v>
                </c:pt>
                <c:pt idx="952">
                  <c:v>62506.368266236204</c:v>
                </c:pt>
                <c:pt idx="953">
                  <c:v>88319.365785795555</c:v>
                </c:pt>
                <c:pt idx="954">
                  <c:v>51692.078481764707</c:v>
                </c:pt>
                <c:pt idx="955">
                  <c:v>72160.481485924451</c:v>
                </c:pt>
                <c:pt idx="956">
                  <c:v>86547.519064321328</c:v>
                </c:pt>
                <c:pt idx="957">
                  <c:v>110266.22831377111</c:v>
                </c:pt>
                <c:pt idx="958">
                  <c:v>106574.11451504972</c:v>
                </c:pt>
                <c:pt idx="959">
                  <c:v>109160.18800208725</c:v>
                </c:pt>
                <c:pt idx="960">
                  <c:v>71704.104492079336</c:v>
                </c:pt>
                <c:pt idx="961">
                  <c:v>68042.655513968799</c:v>
                </c:pt>
                <c:pt idx="962">
                  <c:v>75173.511203867965</c:v>
                </c:pt>
                <c:pt idx="963">
                  <c:v>110616.69695098235</c:v>
                </c:pt>
                <c:pt idx="964">
                  <c:v>99942.822873645404</c:v>
                </c:pt>
                <c:pt idx="965">
                  <c:v>77105.786252880105</c:v>
                </c:pt>
                <c:pt idx="966">
                  <c:v>87068.055484703727</c:v>
                </c:pt>
                <c:pt idx="967">
                  <c:v>110025.01342433695</c:v>
                </c:pt>
                <c:pt idx="968">
                  <c:v>87613.60797301124</c:v>
                </c:pt>
                <c:pt idx="969">
                  <c:v>54391.834417851212</c:v>
                </c:pt>
                <c:pt idx="970">
                  <c:v>140787.86423880569</c:v>
                </c:pt>
                <c:pt idx="971">
                  <c:v>72102.732545463135</c:v>
                </c:pt>
                <c:pt idx="972">
                  <c:v>79079.766018530878</c:v>
                </c:pt>
                <c:pt idx="973">
                  <c:v>96992.812098886585</c:v>
                </c:pt>
                <c:pt idx="974">
                  <c:v>56915.368147556517</c:v>
                </c:pt>
                <c:pt idx="975">
                  <c:v>83267.248038115154</c:v>
                </c:pt>
                <c:pt idx="976">
                  <c:v>52896.090776168276</c:v>
                </c:pt>
                <c:pt idx="977">
                  <c:v>101897.16861042964</c:v>
                </c:pt>
                <c:pt idx="978">
                  <c:v>89269.115387499871</c:v>
                </c:pt>
                <c:pt idx="979">
                  <c:v>94092.423502843943</c:v>
                </c:pt>
                <c:pt idx="980">
                  <c:v>82849.823508029323</c:v>
                </c:pt>
                <c:pt idx="981">
                  <c:v>140940.06207214552</c:v>
                </c:pt>
                <c:pt idx="982">
                  <c:v>67705.478955585975</c:v>
                </c:pt>
                <c:pt idx="983">
                  <c:v>111656.74555054821</c:v>
                </c:pt>
                <c:pt idx="984">
                  <c:v>88056.092396848137</c:v>
                </c:pt>
                <c:pt idx="985">
                  <c:v>71258.426677799478</c:v>
                </c:pt>
                <c:pt idx="986">
                  <c:v>130718.72638826293</c:v>
                </c:pt>
                <c:pt idx="987">
                  <c:v>118506.45156596127</c:v>
                </c:pt>
                <c:pt idx="988">
                  <c:v>91529.954830686838</c:v>
                </c:pt>
                <c:pt idx="989">
                  <c:v>92624.469909328764</c:v>
                </c:pt>
                <c:pt idx="990">
                  <c:v>60971.115424166623</c:v>
                </c:pt>
                <c:pt idx="991">
                  <c:v>99523.890931484289</c:v>
                </c:pt>
                <c:pt idx="992">
                  <c:v>126502.44877008711</c:v>
                </c:pt>
                <c:pt idx="993">
                  <c:v>97075.129963069325</c:v>
                </c:pt>
                <c:pt idx="994">
                  <c:v>64495.01127167399</c:v>
                </c:pt>
                <c:pt idx="995">
                  <c:v>92638.699269782228</c:v>
                </c:pt>
                <c:pt idx="996">
                  <c:v>81549.107415004968</c:v>
                </c:pt>
                <c:pt idx="997">
                  <c:v>68583.514321726398</c:v>
                </c:pt>
                <c:pt idx="998">
                  <c:v>69810.342241757404</c:v>
                </c:pt>
                <c:pt idx="999">
                  <c:v>121661.58974033817</c:v>
                </c:pt>
              </c:numCache>
            </c:numRef>
          </c:xVal>
          <c:yVal>
            <c:numRef>
              <c:f>PSA!$X$41:$X$1040</c:f>
              <c:numCache>
                <c:formatCode>\$#,##0.00;\-\$#,##0.00</c:formatCode>
                <c:ptCount val="1000"/>
                <c:pt idx="0">
                  <c:v>287119222.75523394</c:v>
                </c:pt>
                <c:pt idx="1">
                  <c:v>307770447.33109123</c:v>
                </c:pt>
                <c:pt idx="2">
                  <c:v>284220241.60875571</c:v>
                </c:pt>
                <c:pt idx="3">
                  <c:v>311727604.5420481</c:v>
                </c:pt>
                <c:pt idx="4">
                  <c:v>316016347.67764354</c:v>
                </c:pt>
                <c:pt idx="5">
                  <c:v>299418309.39316976</c:v>
                </c:pt>
                <c:pt idx="6">
                  <c:v>286364132.07671654</c:v>
                </c:pt>
                <c:pt idx="7">
                  <c:v>290655419.55930603</c:v>
                </c:pt>
                <c:pt idx="8">
                  <c:v>319206062.11697584</c:v>
                </c:pt>
                <c:pt idx="9">
                  <c:v>319903045.53095376</c:v>
                </c:pt>
                <c:pt idx="10">
                  <c:v>295079705.38933039</c:v>
                </c:pt>
                <c:pt idx="11">
                  <c:v>310736535.0683834</c:v>
                </c:pt>
                <c:pt idx="12">
                  <c:v>292037564.58811927</c:v>
                </c:pt>
                <c:pt idx="13">
                  <c:v>304081813.13123393</c:v>
                </c:pt>
                <c:pt idx="14">
                  <c:v>301466961.50176573</c:v>
                </c:pt>
                <c:pt idx="15">
                  <c:v>304576999.11582315</c:v>
                </c:pt>
                <c:pt idx="16">
                  <c:v>284749209.09227329</c:v>
                </c:pt>
                <c:pt idx="17">
                  <c:v>331206129.7358278</c:v>
                </c:pt>
                <c:pt idx="18">
                  <c:v>296487451.72548419</c:v>
                </c:pt>
                <c:pt idx="19">
                  <c:v>245792818.19470993</c:v>
                </c:pt>
                <c:pt idx="20">
                  <c:v>329127455.54892772</c:v>
                </c:pt>
                <c:pt idx="21">
                  <c:v>291798430.51718611</c:v>
                </c:pt>
                <c:pt idx="22">
                  <c:v>320942281.35122925</c:v>
                </c:pt>
                <c:pt idx="23">
                  <c:v>289983535.63231862</c:v>
                </c:pt>
                <c:pt idx="24">
                  <c:v>313440082.21480244</c:v>
                </c:pt>
                <c:pt idx="25">
                  <c:v>310202735.34335548</c:v>
                </c:pt>
                <c:pt idx="26">
                  <c:v>322170976.9757148</c:v>
                </c:pt>
                <c:pt idx="27">
                  <c:v>292853378.13709557</c:v>
                </c:pt>
                <c:pt idx="28">
                  <c:v>320532872.13624144</c:v>
                </c:pt>
                <c:pt idx="29">
                  <c:v>313663989.4563269</c:v>
                </c:pt>
                <c:pt idx="30">
                  <c:v>296114173.04680204</c:v>
                </c:pt>
                <c:pt idx="31">
                  <c:v>316470472.59396333</c:v>
                </c:pt>
                <c:pt idx="32">
                  <c:v>281705250.13456064</c:v>
                </c:pt>
                <c:pt idx="33">
                  <c:v>296087279.68115914</c:v>
                </c:pt>
                <c:pt idx="34">
                  <c:v>302931364.24650246</c:v>
                </c:pt>
                <c:pt idx="35">
                  <c:v>318190808.5308609</c:v>
                </c:pt>
                <c:pt idx="36">
                  <c:v>318472192.48351061</c:v>
                </c:pt>
                <c:pt idx="37">
                  <c:v>322307170.39383727</c:v>
                </c:pt>
                <c:pt idx="38">
                  <c:v>312202610.27570379</c:v>
                </c:pt>
                <c:pt idx="39">
                  <c:v>284240537.95516533</c:v>
                </c:pt>
                <c:pt idx="40">
                  <c:v>306478011.28337377</c:v>
                </c:pt>
                <c:pt idx="41">
                  <c:v>287084516.62547135</c:v>
                </c:pt>
                <c:pt idx="42">
                  <c:v>308474925.06989968</c:v>
                </c:pt>
                <c:pt idx="43">
                  <c:v>330269664.98506159</c:v>
                </c:pt>
                <c:pt idx="44">
                  <c:v>306580395.82720608</c:v>
                </c:pt>
                <c:pt idx="45">
                  <c:v>314270499.8564291</c:v>
                </c:pt>
                <c:pt idx="46">
                  <c:v>345387710.35920388</c:v>
                </c:pt>
                <c:pt idx="47">
                  <c:v>322757374.71555412</c:v>
                </c:pt>
                <c:pt idx="48">
                  <c:v>323164603.0958823</c:v>
                </c:pt>
                <c:pt idx="49">
                  <c:v>300632484.36689997</c:v>
                </c:pt>
                <c:pt idx="50">
                  <c:v>297666531.37956041</c:v>
                </c:pt>
                <c:pt idx="51">
                  <c:v>311507609.71312207</c:v>
                </c:pt>
                <c:pt idx="52">
                  <c:v>303459061.11599034</c:v>
                </c:pt>
                <c:pt idx="53">
                  <c:v>312278284.61681789</c:v>
                </c:pt>
                <c:pt idx="54">
                  <c:v>287925900.52465343</c:v>
                </c:pt>
                <c:pt idx="55">
                  <c:v>317188836.88217717</c:v>
                </c:pt>
                <c:pt idx="56">
                  <c:v>293389477.59300888</c:v>
                </c:pt>
                <c:pt idx="57">
                  <c:v>321494432.88344318</c:v>
                </c:pt>
                <c:pt idx="58">
                  <c:v>306734308.60592425</c:v>
                </c:pt>
                <c:pt idx="59">
                  <c:v>301339104.98961568</c:v>
                </c:pt>
                <c:pt idx="60">
                  <c:v>307120447.0623073</c:v>
                </c:pt>
                <c:pt idx="61">
                  <c:v>317128903.10074025</c:v>
                </c:pt>
                <c:pt idx="62">
                  <c:v>304969204.85362679</c:v>
                </c:pt>
                <c:pt idx="63">
                  <c:v>317676966.57140464</c:v>
                </c:pt>
                <c:pt idx="64">
                  <c:v>303610309.53163332</c:v>
                </c:pt>
                <c:pt idx="65">
                  <c:v>296449120.41516107</c:v>
                </c:pt>
                <c:pt idx="66">
                  <c:v>305936823.22164071</c:v>
                </c:pt>
                <c:pt idx="67">
                  <c:v>307939896.86636174</c:v>
                </c:pt>
                <c:pt idx="68">
                  <c:v>304373893.40312707</c:v>
                </c:pt>
                <c:pt idx="69">
                  <c:v>327732948.42032182</c:v>
                </c:pt>
                <c:pt idx="70">
                  <c:v>280564184.23377621</c:v>
                </c:pt>
                <c:pt idx="71">
                  <c:v>306721589.06905234</c:v>
                </c:pt>
                <c:pt idx="72">
                  <c:v>294657009.11835033</c:v>
                </c:pt>
                <c:pt idx="73">
                  <c:v>325924933.04025024</c:v>
                </c:pt>
                <c:pt idx="74">
                  <c:v>289507164.30661297</c:v>
                </c:pt>
                <c:pt idx="75">
                  <c:v>290924421.70431978</c:v>
                </c:pt>
                <c:pt idx="76">
                  <c:v>297033933.2585367</c:v>
                </c:pt>
                <c:pt idx="77">
                  <c:v>313996532.81742895</c:v>
                </c:pt>
                <c:pt idx="78">
                  <c:v>310770603.18410808</c:v>
                </c:pt>
                <c:pt idx="79">
                  <c:v>285504374.09396809</c:v>
                </c:pt>
                <c:pt idx="80">
                  <c:v>302863229.50568694</c:v>
                </c:pt>
                <c:pt idx="81">
                  <c:v>308582046.03415483</c:v>
                </c:pt>
                <c:pt idx="82">
                  <c:v>295888389.11486351</c:v>
                </c:pt>
                <c:pt idx="83">
                  <c:v>309801098.63393885</c:v>
                </c:pt>
                <c:pt idx="84">
                  <c:v>305335349.48642534</c:v>
                </c:pt>
                <c:pt idx="85">
                  <c:v>301455633.16402382</c:v>
                </c:pt>
                <c:pt idx="86">
                  <c:v>323681268.80554181</c:v>
                </c:pt>
                <c:pt idx="87">
                  <c:v>319281985.37388134</c:v>
                </c:pt>
                <c:pt idx="88">
                  <c:v>307904873.15235275</c:v>
                </c:pt>
                <c:pt idx="89">
                  <c:v>321250240.25474316</c:v>
                </c:pt>
                <c:pt idx="90">
                  <c:v>289984842.0679698</c:v>
                </c:pt>
                <c:pt idx="91">
                  <c:v>283234084.2275728</c:v>
                </c:pt>
                <c:pt idx="92">
                  <c:v>316585122.77313393</c:v>
                </c:pt>
                <c:pt idx="93">
                  <c:v>288618689.4308086</c:v>
                </c:pt>
                <c:pt idx="94">
                  <c:v>303066131.5018276</c:v>
                </c:pt>
                <c:pt idx="95">
                  <c:v>335773056.63051951</c:v>
                </c:pt>
                <c:pt idx="96">
                  <c:v>341237753.43914431</c:v>
                </c:pt>
                <c:pt idx="97">
                  <c:v>295463182.4461109</c:v>
                </c:pt>
                <c:pt idx="98">
                  <c:v>316350451.46165174</c:v>
                </c:pt>
                <c:pt idx="99">
                  <c:v>293923646.45777804</c:v>
                </c:pt>
                <c:pt idx="100">
                  <c:v>311105017.57336432</c:v>
                </c:pt>
                <c:pt idx="101">
                  <c:v>298644801.63613927</c:v>
                </c:pt>
                <c:pt idx="102">
                  <c:v>285375347.60507709</c:v>
                </c:pt>
                <c:pt idx="103">
                  <c:v>322372824.74727815</c:v>
                </c:pt>
                <c:pt idx="104">
                  <c:v>288272070.62655252</c:v>
                </c:pt>
                <c:pt idx="105">
                  <c:v>288162561.05356061</c:v>
                </c:pt>
                <c:pt idx="106">
                  <c:v>315218013.55410486</c:v>
                </c:pt>
                <c:pt idx="107">
                  <c:v>290681002.29832995</c:v>
                </c:pt>
                <c:pt idx="108">
                  <c:v>291509677.8925584</c:v>
                </c:pt>
                <c:pt idx="109">
                  <c:v>296512508.7269516</c:v>
                </c:pt>
                <c:pt idx="110">
                  <c:v>280625230.13832122</c:v>
                </c:pt>
                <c:pt idx="111">
                  <c:v>292792363.57350373</c:v>
                </c:pt>
                <c:pt idx="112">
                  <c:v>288240909.7750448</c:v>
                </c:pt>
                <c:pt idx="113">
                  <c:v>313551300.15756065</c:v>
                </c:pt>
                <c:pt idx="114">
                  <c:v>313417783.55423421</c:v>
                </c:pt>
                <c:pt idx="115">
                  <c:v>285160770.36533046</c:v>
                </c:pt>
                <c:pt idx="116">
                  <c:v>286911583.91583383</c:v>
                </c:pt>
                <c:pt idx="117">
                  <c:v>326191109.8883853</c:v>
                </c:pt>
                <c:pt idx="118">
                  <c:v>279291942.18038213</c:v>
                </c:pt>
                <c:pt idx="119">
                  <c:v>298900714.55762577</c:v>
                </c:pt>
                <c:pt idx="120">
                  <c:v>313896184.46712637</c:v>
                </c:pt>
                <c:pt idx="121">
                  <c:v>277679584.47268885</c:v>
                </c:pt>
                <c:pt idx="122">
                  <c:v>305660023.00024796</c:v>
                </c:pt>
                <c:pt idx="123">
                  <c:v>292586529.7397359</c:v>
                </c:pt>
                <c:pt idx="124">
                  <c:v>299904565.97740191</c:v>
                </c:pt>
                <c:pt idx="125">
                  <c:v>339297621.65001845</c:v>
                </c:pt>
                <c:pt idx="126">
                  <c:v>340113336.77504587</c:v>
                </c:pt>
                <c:pt idx="127">
                  <c:v>301943451.71708786</c:v>
                </c:pt>
                <c:pt idx="128">
                  <c:v>324816321.7068606</c:v>
                </c:pt>
                <c:pt idx="129">
                  <c:v>266490953.90234771</c:v>
                </c:pt>
                <c:pt idx="130">
                  <c:v>305054595.90842694</c:v>
                </c:pt>
                <c:pt idx="131">
                  <c:v>310268657.56216645</c:v>
                </c:pt>
                <c:pt idx="132">
                  <c:v>280326361.79956573</c:v>
                </c:pt>
                <c:pt idx="133">
                  <c:v>323770481.49775136</c:v>
                </c:pt>
                <c:pt idx="134">
                  <c:v>305472761.85288519</c:v>
                </c:pt>
                <c:pt idx="135">
                  <c:v>278132920.26867151</c:v>
                </c:pt>
                <c:pt idx="136">
                  <c:v>294263358.00594318</c:v>
                </c:pt>
                <c:pt idx="137">
                  <c:v>354202006.70496881</c:v>
                </c:pt>
                <c:pt idx="138">
                  <c:v>314361597.30303055</c:v>
                </c:pt>
                <c:pt idx="139">
                  <c:v>307491769.85612231</c:v>
                </c:pt>
                <c:pt idx="140">
                  <c:v>307286935.31642634</c:v>
                </c:pt>
                <c:pt idx="141">
                  <c:v>339517864.61392432</c:v>
                </c:pt>
                <c:pt idx="142">
                  <c:v>311061980.72476906</c:v>
                </c:pt>
                <c:pt idx="143">
                  <c:v>315444403.32379097</c:v>
                </c:pt>
                <c:pt idx="144">
                  <c:v>289607253.04048181</c:v>
                </c:pt>
                <c:pt idx="145">
                  <c:v>316084341.70065558</c:v>
                </c:pt>
                <c:pt idx="146">
                  <c:v>305065515.13423252</c:v>
                </c:pt>
                <c:pt idx="147">
                  <c:v>313991810.74415833</c:v>
                </c:pt>
                <c:pt idx="148">
                  <c:v>338827284.12097996</c:v>
                </c:pt>
                <c:pt idx="149">
                  <c:v>310802831.38631976</c:v>
                </c:pt>
                <c:pt idx="150">
                  <c:v>303889937.0026744</c:v>
                </c:pt>
                <c:pt idx="151">
                  <c:v>311074237.12134349</c:v>
                </c:pt>
                <c:pt idx="152">
                  <c:v>306873764.28500682</c:v>
                </c:pt>
                <c:pt idx="153">
                  <c:v>324390965.3935017</c:v>
                </c:pt>
                <c:pt idx="154">
                  <c:v>308346388.24298185</c:v>
                </c:pt>
                <c:pt idx="155">
                  <c:v>299142992.75352979</c:v>
                </c:pt>
                <c:pt idx="156">
                  <c:v>313833284.96122736</c:v>
                </c:pt>
                <c:pt idx="157">
                  <c:v>298012186.38229591</c:v>
                </c:pt>
                <c:pt idx="158">
                  <c:v>301657850.35671765</c:v>
                </c:pt>
                <c:pt idx="159">
                  <c:v>304567714.48797905</c:v>
                </c:pt>
                <c:pt idx="160">
                  <c:v>295589647.79892904</c:v>
                </c:pt>
                <c:pt idx="161">
                  <c:v>275781214.18311006</c:v>
                </c:pt>
                <c:pt idx="162">
                  <c:v>315941863.00121045</c:v>
                </c:pt>
                <c:pt idx="163">
                  <c:v>305199771.42078614</c:v>
                </c:pt>
                <c:pt idx="164">
                  <c:v>290299742.52279866</c:v>
                </c:pt>
                <c:pt idx="165">
                  <c:v>309394780.41075766</c:v>
                </c:pt>
                <c:pt idx="166">
                  <c:v>314904244.27276003</c:v>
                </c:pt>
                <c:pt idx="167">
                  <c:v>300909877.10352314</c:v>
                </c:pt>
                <c:pt idx="168">
                  <c:v>300221275.3084445</c:v>
                </c:pt>
                <c:pt idx="169">
                  <c:v>322491513.93301374</c:v>
                </c:pt>
                <c:pt idx="170">
                  <c:v>325524889.19926482</c:v>
                </c:pt>
                <c:pt idx="171">
                  <c:v>312214350.02356344</c:v>
                </c:pt>
                <c:pt idx="172">
                  <c:v>282788768.21069646</c:v>
                </c:pt>
                <c:pt idx="173">
                  <c:v>293433263.31501669</c:v>
                </c:pt>
                <c:pt idx="174">
                  <c:v>345236267.54091942</c:v>
                </c:pt>
                <c:pt idx="175">
                  <c:v>306667144.36112225</c:v>
                </c:pt>
                <c:pt idx="176">
                  <c:v>273782145.8248204</c:v>
                </c:pt>
                <c:pt idx="177">
                  <c:v>317164499.79475892</c:v>
                </c:pt>
                <c:pt idx="178">
                  <c:v>320000156.84952897</c:v>
                </c:pt>
                <c:pt idx="179">
                  <c:v>299945699.19739127</c:v>
                </c:pt>
                <c:pt idx="180">
                  <c:v>314548789.58365995</c:v>
                </c:pt>
                <c:pt idx="181">
                  <c:v>340434562.22101545</c:v>
                </c:pt>
                <c:pt idx="182">
                  <c:v>283805863.23463827</c:v>
                </c:pt>
                <c:pt idx="183">
                  <c:v>309594635.28643066</c:v>
                </c:pt>
                <c:pt idx="184">
                  <c:v>337872706.26554239</c:v>
                </c:pt>
                <c:pt idx="185">
                  <c:v>307187129.21182084</c:v>
                </c:pt>
                <c:pt idx="186">
                  <c:v>311328497.08846492</c:v>
                </c:pt>
                <c:pt idx="187">
                  <c:v>305073340.85245728</c:v>
                </c:pt>
                <c:pt idx="188">
                  <c:v>319036613.69473553</c:v>
                </c:pt>
                <c:pt idx="189">
                  <c:v>302749220.66828775</c:v>
                </c:pt>
                <c:pt idx="190">
                  <c:v>305164399.3900876</c:v>
                </c:pt>
                <c:pt idx="191">
                  <c:v>293271933.33254063</c:v>
                </c:pt>
                <c:pt idx="192">
                  <c:v>293379087.64973032</c:v>
                </c:pt>
                <c:pt idx="193">
                  <c:v>306131904.57559115</c:v>
                </c:pt>
                <c:pt idx="194">
                  <c:v>301458914.35281587</c:v>
                </c:pt>
                <c:pt idx="195">
                  <c:v>292162397.95487869</c:v>
                </c:pt>
                <c:pt idx="196">
                  <c:v>309455037.16066712</c:v>
                </c:pt>
                <c:pt idx="197">
                  <c:v>299337208.22256625</c:v>
                </c:pt>
                <c:pt idx="198">
                  <c:v>300355549.20553529</c:v>
                </c:pt>
                <c:pt idx="199">
                  <c:v>307212323.76224756</c:v>
                </c:pt>
                <c:pt idx="200">
                  <c:v>289804786.65784901</c:v>
                </c:pt>
                <c:pt idx="201">
                  <c:v>325812207.33146679</c:v>
                </c:pt>
                <c:pt idx="202">
                  <c:v>304244547.51651824</c:v>
                </c:pt>
                <c:pt idx="203">
                  <c:v>293124609.95417702</c:v>
                </c:pt>
                <c:pt idx="204">
                  <c:v>310814415.07490385</c:v>
                </c:pt>
                <c:pt idx="205">
                  <c:v>317129416.49074346</c:v>
                </c:pt>
                <c:pt idx="206">
                  <c:v>326913924.39250863</c:v>
                </c:pt>
                <c:pt idx="207">
                  <c:v>309967304.55190796</c:v>
                </c:pt>
                <c:pt idx="208">
                  <c:v>273258782.59235841</c:v>
                </c:pt>
                <c:pt idx="209">
                  <c:v>306759208.69781232</c:v>
                </c:pt>
                <c:pt idx="210">
                  <c:v>313179993.86172956</c:v>
                </c:pt>
                <c:pt idx="211">
                  <c:v>299902529.21668923</c:v>
                </c:pt>
                <c:pt idx="212">
                  <c:v>321253216.04601222</c:v>
                </c:pt>
                <c:pt idx="213">
                  <c:v>272632411.69770527</c:v>
                </c:pt>
                <c:pt idx="214">
                  <c:v>291385270.07342148</c:v>
                </c:pt>
                <c:pt idx="215">
                  <c:v>311158497.75880837</c:v>
                </c:pt>
                <c:pt idx="216">
                  <c:v>277419403.96531743</c:v>
                </c:pt>
                <c:pt idx="217">
                  <c:v>329227321.33099157</c:v>
                </c:pt>
                <c:pt idx="218">
                  <c:v>298144339.00006557</c:v>
                </c:pt>
                <c:pt idx="219">
                  <c:v>327807862.73758876</c:v>
                </c:pt>
                <c:pt idx="220">
                  <c:v>303875897.34480995</c:v>
                </c:pt>
                <c:pt idx="221">
                  <c:v>296662379.68850058</c:v>
                </c:pt>
                <c:pt idx="222">
                  <c:v>306292097.6125024</c:v>
                </c:pt>
                <c:pt idx="223">
                  <c:v>322632477.01494199</c:v>
                </c:pt>
                <c:pt idx="224">
                  <c:v>298919487.53672504</c:v>
                </c:pt>
                <c:pt idx="225">
                  <c:v>330920561.00430804</c:v>
                </c:pt>
                <c:pt idx="226">
                  <c:v>296114566.59685755</c:v>
                </c:pt>
                <c:pt idx="227">
                  <c:v>292817863.84023708</c:v>
                </c:pt>
                <c:pt idx="228">
                  <c:v>299839262.57040507</c:v>
                </c:pt>
                <c:pt idx="229">
                  <c:v>336531632.35163325</c:v>
                </c:pt>
                <c:pt idx="230">
                  <c:v>323077856.42584258</c:v>
                </c:pt>
                <c:pt idx="231">
                  <c:v>313918671.60230321</c:v>
                </c:pt>
                <c:pt idx="232">
                  <c:v>306411776.2478683</c:v>
                </c:pt>
                <c:pt idx="233">
                  <c:v>273238620.9612928</c:v>
                </c:pt>
                <c:pt idx="234">
                  <c:v>288612296.4301548</c:v>
                </c:pt>
                <c:pt idx="235">
                  <c:v>302184058.61167121</c:v>
                </c:pt>
                <c:pt idx="236">
                  <c:v>307239320.52859557</c:v>
                </c:pt>
                <c:pt idx="237">
                  <c:v>290018816.1287024</c:v>
                </c:pt>
                <c:pt idx="238">
                  <c:v>326623658.43818671</c:v>
                </c:pt>
                <c:pt idx="239">
                  <c:v>286970803.72043705</c:v>
                </c:pt>
                <c:pt idx="240">
                  <c:v>299258062.14418459</c:v>
                </c:pt>
                <c:pt idx="241">
                  <c:v>295699104.03813952</c:v>
                </c:pt>
                <c:pt idx="242">
                  <c:v>299264378.08133227</c:v>
                </c:pt>
                <c:pt idx="243">
                  <c:v>272012102.61100215</c:v>
                </c:pt>
                <c:pt idx="244">
                  <c:v>316915517.37866765</c:v>
                </c:pt>
                <c:pt idx="245">
                  <c:v>349731555.37351072</c:v>
                </c:pt>
                <c:pt idx="246">
                  <c:v>303466248.2658475</c:v>
                </c:pt>
                <c:pt idx="247">
                  <c:v>313217488.43495244</c:v>
                </c:pt>
                <c:pt idx="248">
                  <c:v>308210997.48019552</c:v>
                </c:pt>
                <c:pt idx="249">
                  <c:v>307816187.66899145</c:v>
                </c:pt>
                <c:pt idx="250">
                  <c:v>279219044.03885013</c:v>
                </c:pt>
                <c:pt idx="251">
                  <c:v>303228731.55676198</c:v>
                </c:pt>
                <c:pt idx="252">
                  <c:v>309581240.37522495</c:v>
                </c:pt>
                <c:pt idx="253">
                  <c:v>278844218.90294892</c:v>
                </c:pt>
                <c:pt idx="254">
                  <c:v>283318561.39825672</c:v>
                </c:pt>
                <c:pt idx="255">
                  <c:v>301557631.6453464</c:v>
                </c:pt>
                <c:pt idx="256">
                  <c:v>312091965.70221895</c:v>
                </c:pt>
                <c:pt idx="257">
                  <c:v>318334963.1006276</c:v>
                </c:pt>
                <c:pt idx="258">
                  <c:v>294172499.54634076</c:v>
                </c:pt>
                <c:pt idx="259">
                  <c:v>329378270.26070446</c:v>
                </c:pt>
                <c:pt idx="260">
                  <c:v>289965658.85599905</c:v>
                </c:pt>
                <c:pt idx="261">
                  <c:v>320773422.4065901</c:v>
                </c:pt>
                <c:pt idx="262">
                  <c:v>287873886.90272176</c:v>
                </c:pt>
                <c:pt idx="263">
                  <c:v>296967517.6389938</c:v>
                </c:pt>
                <c:pt idx="264">
                  <c:v>312229831.22952837</c:v>
                </c:pt>
                <c:pt idx="265">
                  <c:v>308061698.17124158</c:v>
                </c:pt>
                <c:pt idx="266">
                  <c:v>295033573.41918433</c:v>
                </c:pt>
                <c:pt idx="267">
                  <c:v>344976855.82641184</c:v>
                </c:pt>
                <c:pt idx="268">
                  <c:v>316467309.15295619</c:v>
                </c:pt>
                <c:pt idx="269">
                  <c:v>279245904.20871717</c:v>
                </c:pt>
                <c:pt idx="270">
                  <c:v>281130473.60615951</c:v>
                </c:pt>
                <c:pt idx="271">
                  <c:v>308857358.76268756</c:v>
                </c:pt>
                <c:pt idx="272">
                  <c:v>306152192.90192741</c:v>
                </c:pt>
                <c:pt idx="273">
                  <c:v>289692819.95599091</c:v>
                </c:pt>
                <c:pt idx="274">
                  <c:v>277067956.20248777</c:v>
                </c:pt>
                <c:pt idx="275">
                  <c:v>314916099.73157316</c:v>
                </c:pt>
                <c:pt idx="276">
                  <c:v>335670681.39580107</c:v>
                </c:pt>
                <c:pt idx="277">
                  <c:v>334916071.32072216</c:v>
                </c:pt>
                <c:pt idx="278">
                  <c:v>303469785.24421567</c:v>
                </c:pt>
                <c:pt idx="279">
                  <c:v>304396576.56080109</c:v>
                </c:pt>
                <c:pt idx="280">
                  <c:v>304157838.96788585</c:v>
                </c:pt>
                <c:pt idx="281">
                  <c:v>284846023.6018163</c:v>
                </c:pt>
                <c:pt idx="282">
                  <c:v>294536439.62641358</c:v>
                </c:pt>
                <c:pt idx="283">
                  <c:v>263773257.37558281</c:v>
                </c:pt>
                <c:pt idx="284">
                  <c:v>321139844.13174164</c:v>
                </c:pt>
                <c:pt idx="285">
                  <c:v>292809078.13934463</c:v>
                </c:pt>
                <c:pt idx="286">
                  <c:v>257093213.44269294</c:v>
                </c:pt>
                <c:pt idx="287">
                  <c:v>301297884.65072602</c:v>
                </c:pt>
                <c:pt idx="288">
                  <c:v>332068976.13790041</c:v>
                </c:pt>
                <c:pt idx="289">
                  <c:v>294999338.45491153</c:v>
                </c:pt>
                <c:pt idx="290">
                  <c:v>312663886.73667979</c:v>
                </c:pt>
                <c:pt idx="291">
                  <c:v>322482425.48151416</c:v>
                </c:pt>
                <c:pt idx="292">
                  <c:v>281187946.39506149</c:v>
                </c:pt>
                <c:pt idx="293">
                  <c:v>286621919.45143265</c:v>
                </c:pt>
                <c:pt idx="294">
                  <c:v>276261520.84234864</c:v>
                </c:pt>
                <c:pt idx="295">
                  <c:v>308168313.26663697</c:v>
                </c:pt>
                <c:pt idx="296">
                  <c:v>339667075.2490741</c:v>
                </c:pt>
                <c:pt idx="297">
                  <c:v>306951407.08944112</c:v>
                </c:pt>
                <c:pt idx="298">
                  <c:v>282803453.68016547</c:v>
                </c:pt>
                <c:pt idx="299">
                  <c:v>305945232.93420523</c:v>
                </c:pt>
                <c:pt idx="300">
                  <c:v>315912719.93808949</c:v>
                </c:pt>
                <c:pt idx="301">
                  <c:v>343657336.27746612</c:v>
                </c:pt>
                <c:pt idx="302">
                  <c:v>302200174.36390841</c:v>
                </c:pt>
                <c:pt idx="303">
                  <c:v>294933595.14031649</c:v>
                </c:pt>
                <c:pt idx="304">
                  <c:v>304969397.53859234</c:v>
                </c:pt>
                <c:pt idx="305">
                  <c:v>290406119.99367118</c:v>
                </c:pt>
                <c:pt idx="306">
                  <c:v>302678248.20846057</c:v>
                </c:pt>
                <c:pt idx="307">
                  <c:v>285708043.3036657</c:v>
                </c:pt>
                <c:pt idx="308">
                  <c:v>299157444.38732332</c:v>
                </c:pt>
                <c:pt idx="309">
                  <c:v>302205927.27764452</c:v>
                </c:pt>
                <c:pt idx="310">
                  <c:v>293175119.273224</c:v>
                </c:pt>
                <c:pt idx="311">
                  <c:v>313028124.9504776</c:v>
                </c:pt>
                <c:pt idx="312">
                  <c:v>321533537.06825018</c:v>
                </c:pt>
                <c:pt idx="313">
                  <c:v>301830529.83873469</c:v>
                </c:pt>
                <c:pt idx="314">
                  <c:v>300382863.84982353</c:v>
                </c:pt>
                <c:pt idx="315">
                  <c:v>323135423.60924</c:v>
                </c:pt>
                <c:pt idx="316">
                  <c:v>311462987.23163497</c:v>
                </c:pt>
                <c:pt idx="317">
                  <c:v>290155504.54715067</c:v>
                </c:pt>
                <c:pt idx="318">
                  <c:v>280541775.27436405</c:v>
                </c:pt>
                <c:pt idx="319">
                  <c:v>293488288.84208339</c:v>
                </c:pt>
                <c:pt idx="320">
                  <c:v>303390127.19120675</c:v>
                </c:pt>
                <c:pt idx="321">
                  <c:v>293626181.47807747</c:v>
                </c:pt>
                <c:pt idx="322">
                  <c:v>279479757.73810828</c:v>
                </c:pt>
                <c:pt idx="323">
                  <c:v>281291644.24734151</c:v>
                </c:pt>
                <c:pt idx="324">
                  <c:v>305254078.97817826</c:v>
                </c:pt>
                <c:pt idx="325">
                  <c:v>317415344.33915317</c:v>
                </c:pt>
                <c:pt idx="326">
                  <c:v>326587860.93570244</c:v>
                </c:pt>
                <c:pt idx="327">
                  <c:v>304909692.14156312</c:v>
                </c:pt>
                <c:pt idx="328">
                  <c:v>321148558.1945684</c:v>
                </c:pt>
                <c:pt idx="329">
                  <c:v>304262802.09354937</c:v>
                </c:pt>
                <c:pt idx="330">
                  <c:v>297004791.42328769</c:v>
                </c:pt>
                <c:pt idx="331">
                  <c:v>296307332.64034164</c:v>
                </c:pt>
                <c:pt idx="332">
                  <c:v>302196438.93626982</c:v>
                </c:pt>
                <c:pt idx="333">
                  <c:v>272649258.68897706</c:v>
                </c:pt>
                <c:pt idx="334">
                  <c:v>303214902.26992464</c:v>
                </c:pt>
                <c:pt idx="335">
                  <c:v>278035872.68779504</c:v>
                </c:pt>
                <c:pt idx="336">
                  <c:v>286665923.36254364</c:v>
                </c:pt>
                <c:pt idx="337">
                  <c:v>326986663.98715657</c:v>
                </c:pt>
                <c:pt idx="338">
                  <c:v>296563955.55404776</c:v>
                </c:pt>
                <c:pt idx="339">
                  <c:v>340504712.86549109</c:v>
                </c:pt>
                <c:pt idx="340">
                  <c:v>291316922.14886993</c:v>
                </c:pt>
                <c:pt idx="341">
                  <c:v>268564041.1351819</c:v>
                </c:pt>
                <c:pt idx="342">
                  <c:v>351118350.43355989</c:v>
                </c:pt>
                <c:pt idx="343">
                  <c:v>303229780.32835943</c:v>
                </c:pt>
                <c:pt idx="344">
                  <c:v>300302458.6590054</c:v>
                </c:pt>
                <c:pt idx="345">
                  <c:v>316227325.71249646</c:v>
                </c:pt>
                <c:pt idx="346">
                  <c:v>332121961.62408686</c:v>
                </c:pt>
                <c:pt idx="347">
                  <c:v>274860892.99109894</c:v>
                </c:pt>
                <c:pt idx="348">
                  <c:v>292861986.34597528</c:v>
                </c:pt>
                <c:pt idx="349">
                  <c:v>290922035.51412803</c:v>
                </c:pt>
                <c:pt idx="350">
                  <c:v>288266881.75282311</c:v>
                </c:pt>
                <c:pt idx="351">
                  <c:v>321915968.13528919</c:v>
                </c:pt>
                <c:pt idx="352">
                  <c:v>301749561.09297502</c:v>
                </c:pt>
                <c:pt idx="353">
                  <c:v>322454921.81854248</c:v>
                </c:pt>
                <c:pt idx="354">
                  <c:v>309674881.66646153</c:v>
                </c:pt>
                <c:pt idx="355">
                  <c:v>271406524.66177136</c:v>
                </c:pt>
                <c:pt idx="356">
                  <c:v>284497378.92004699</c:v>
                </c:pt>
                <c:pt idx="357">
                  <c:v>304109400.3567853</c:v>
                </c:pt>
                <c:pt idx="358">
                  <c:v>305287012.30281061</c:v>
                </c:pt>
                <c:pt idx="359">
                  <c:v>314319961.61384624</c:v>
                </c:pt>
                <c:pt idx="360">
                  <c:v>277197146.94062197</c:v>
                </c:pt>
                <c:pt idx="361">
                  <c:v>278514849.17009163</c:v>
                </c:pt>
                <c:pt idx="362">
                  <c:v>297724463.87985629</c:v>
                </c:pt>
                <c:pt idx="363">
                  <c:v>296866878.51352805</c:v>
                </c:pt>
                <c:pt idx="364">
                  <c:v>280416241.5578891</c:v>
                </c:pt>
                <c:pt idx="365">
                  <c:v>299642675.21637827</c:v>
                </c:pt>
                <c:pt idx="366">
                  <c:v>301493130.21246874</c:v>
                </c:pt>
                <c:pt idx="367">
                  <c:v>275483017.23582029</c:v>
                </c:pt>
                <c:pt idx="368">
                  <c:v>316498060.90466726</c:v>
                </c:pt>
                <c:pt idx="369">
                  <c:v>307526512.71265465</c:v>
                </c:pt>
                <c:pt idx="370">
                  <c:v>305609620.81404495</c:v>
                </c:pt>
                <c:pt idx="371">
                  <c:v>336928048.75420046</c:v>
                </c:pt>
                <c:pt idx="372">
                  <c:v>298968084.46747661</c:v>
                </c:pt>
                <c:pt idx="373">
                  <c:v>291489613.00915545</c:v>
                </c:pt>
                <c:pt idx="374">
                  <c:v>302721323.85000622</c:v>
                </c:pt>
                <c:pt idx="375">
                  <c:v>308867819.18651724</c:v>
                </c:pt>
                <c:pt idx="376">
                  <c:v>287449098.03005177</c:v>
                </c:pt>
                <c:pt idx="377">
                  <c:v>292152532.44414467</c:v>
                </c:pt>
                <c:pt idx="378">
                  <c:v>315314894.94141513</c:v>
                </c:pt>
                <c:pt idx="379">
                  <c:v>302296946.81786215</c:v>
                </c:pt>
                <c:pt idx="380">
                  <c:v>256042938.18320963</c:v>
                </c:pt>
                <c:pt idx="381">
                  <c:v>307495529.66843861</c:v>
                </c:pt>
                <c:pt idx="382">
                  <c:v>299694779.17912555</c:v>
                </c:pt>
                <c:pt idx="383">
                  <c:v>290420448.71910739</c:v>
                </c:pt>
                <c:pt idx="384">
                  <c:v>277589278.17884278</c:v>
                </c:pt>
                <c:pt idx="385">
                  <c:v>294923289.80937618</c:v>
                </c:pt>
                <c:pt idx="386">
                  <c:v>293737285.79219121</c:v>
                </c:pt>
                <c:pt idx="387">
                  <c:v>278729438.62913322</c:v>
                </c:pt>
                <c:pt idx="388">
                  <c:v>288064911.88873005</c:v>
                </c:pt>
                <c:pt idx="389">
                  <c:v>286871047.79188234</c:v>
                </c:pt>
                <c:pt idx="390">
                  <c:v>305287232.44217914</c:v>
                </c:pt>
                <c:pt idx="391">
                  <c:v>315684289.74534893</c:v>
                </c:pt>
                <c:pt idx="392">
                  <c:v>273164624.11203992</c:v>
                </c:pt>
                <c:pt idx="393">
                  <c:v>320661775.29669809</c:v>
                </c:pt>
                <c:pt idx="394">
                  <c:v>305446705.04866385</c:v>
                </c:pt>
                <c:pt idx="395">
                  <c:v>298571760.74010706</c:v>
                </c:pt>
                <c:pt idx="396">
                  <c:v>284201027.89405966</c:v>
                </c:pt>
                <c:pt idx="397">
                  <c:v>298193875.3455894</c:v>
                </c:pt>
                <c:pt idx="398">
                  <c:v>295107756.46977019</c:v>
                </c:pt>
                <c:pt idx="399">
                  <c:v>301790777.22435844</c:v>
                </c:pt>
                <c:pt idx="400">
                  <c:v>302082811.21935439</c:v>
                </c:pt>
                <c:pt idx="401">
                  <c:v>291298908.61349112</c:v>
                </c:pt>
                <c:pt idx="402">
                  <c:v>320934076.10568166</c:v>
                </c:pt>
                <c:pt idx="403">
                  <c:v>297200171.39485449</c:v>
                </c:pt>
                <c:pt idx="404">
                  <c:v>298439727.22461998</c:v>
                </c:pt>
                <c:pt idx="405">
                  <c:v>354524652.14269036</c:v>
                </c:pt>
                <c:pt idx="406">
                  <c:v>323798020.76917803</c:v>
                </c:pt>
                <c:pt idx="407">
                  <c:v>277322994.97516054</c:v>
                </c:pt>
                <c:pt idx="408">
                  <c:v>297636360.01581359</c:v>
                </c:pt>
                <c:pt idx="409">
                  <c:v>312040970.58009291</c:v>
                </c:pt>
                <c:pt idx="410">
                  <c:v>272743303.0540269</c:v>
                </c:pt>
                <c:pt idx="411">
                  <c:v>316083944.3441925</c:v>
                </c:pt>
                <c:pt idx="412">
                  <c:v>309160236.7189396</c:v>
                </c:pt>
                <c:pt idx="413">
                  <c:v>288008170.20807397</c:v>
                </c:pt>
                <c:pt idx="414">
                  <c:v>346194008.95170873</c:v>
                </c:pt>
                <c:pt idx="415">
                  <c:v>276907303.50190455</c:v>
                </c:pt>
                <c:pt idx="416">
                  <c:v>295212942.55478752</c:v>
                </c:pt>
                <c:pt idx="417">
                  <c:v>299047617.24131304</c:v>
                </c:pt>
                <c:pt idx="418">
                  <c:v>308044212.46627808</c:v>
                </c:pt>
                <c:pt idx="419">
                  <c:v>298394967.65396625</c:v>
                </c:pt>
                <c:pt idx="420">
                  <c:v>311548665.6267873</c:v>
                </c:pt>
                <c:pt idx="421">
                  <c:v>311362674.59955168</c:v>
                </c:pt>
                <c:pt idx="422">
                  <c:v>301623764.63530093</c:v>
                </c:pt>
                <c:pt idx="423">
                  <c:v>319033732.8652041</c:v>
                </c:pt>
                <c:pt idx="424">
                  <c:v>297490938.55733025</c:v>
                </c:pt>
                <c:pt idx="425">
                  <c:v>280996609.00031179</c:v>
                </c:pt>
                <c:pt idx="426">
                  <c:v>317446735.66132438</c:v>
                </c:pt>
                <c:pt idx="427">
                  <c:v>297508839.63198888</c:v>
                </c:pt>
                <c:pt idx="428">
                  <c:v>288535138.58346975</c:v>
                </c:pt>
                <c:pt idx="429">
                  <c:v>319295264.18258685</c:v>
                </c:pt>
                <c:pt idx="430">
                  <c:v>294055570.12492144</c:v>
                </c:pt>
                <c:pt idx="431">
                  <c:v>308550410.30550969</c:v>
                </c:pt>
                <c:pt idx="432">
                  <c:v>312075407.46572995</c:v>
                </c:pt>
                <c:pt idx="433">
                  <c:v>295335378.38030857</c:v>
                </c:pt>
                <c:pt idx="434">
                  <c:v>281605338.15687132</c:v>
                </c:pt>
                <c:pt idx="435">
                  <c:v>305304892.69447112</c:v>
                </c:pt>
                <c:pt idx="436">
                  <c:v>320263546.59804952</c:v>
                </c:pt>
                <c:pt idx="437">
                  <c:v>313580222.83113009</c:v>
                </c:pt>
                <c:pt idx="438">
                  <c:v>317985900.58073199</c:v>
                </c:pt>
                <c:pt idx="439">
                  <c:v>320521025.85336643</c:v>
                </c:pt>
                <c:pt idx="440">
                  <c:v>305446419.03588533</c:v>
                </c:pt>
                <c:pt idx="441">
                  <c:v>334450970.92970979</c:v>
                </c:pt>
                <c:pt idx="442">
                  <c:v>298472936.18558836</c:v>
                </c:pt>
                <c:pt idx="443">
                  <c:v>300693905.57925683</c:v>
                </c:pt>
                <c:pt idx="444">
                  <c:v>286837045.59969622</c:v>
                </c:pt>
                <c:pt idx="445">
                  <c:v>287277206.18232113</c:v>
                </c:pt>
                <c:pt idx="446">
                  <c:v>311426323.23482442</c:v>
                </c:pt>
                <c:pt idx="447">
                  <c:v>310252525.19009167</c:v>
                </c:pt>
                <c:pt idx="448">
                  <c:v>323364983.28250003</c:v>
                </c:pt>
                <c:pt idx="449">
                  <c:v>288104579.03444511</c:v>
                </c:pt>
                <c:pt idx="450">
                  <c:v>295672820.40132487</c:v>
                </c:pt>
                <c:pt idx="451">
                  <c:v>309362935.0204289</c:v>
                </c:pt>
                <c:pt idx="452">
                  <c:v>301484937.90472072</c:v>
                </c:pt>
                <c:pt idx="453">
                  <c:v>315603654.85640019</c:v>
                </c:pt>
                <c:pt idx="454">
                  <c:v>316908130.25220692</c:v>
                </c:pt>
                <c:pt idx="455">
                  <c:v>322224104.5642935</c:v>
                </c:pt>
                <c:pt idx="456">
                  <c:v>296221507.3511979</c:v>
                </c:pt>
                <c:pt idx="457">
                  <c:v>326153595.36390728</c:v>
                </c:pt>
                <c:pt idx="458">
                  <c:v>317789688.45842397</c:v>
                </c:pt>
                <c:pt idx="459">
                  <c:v>278903215.58329493</c:v>
                </c:pt>
                <c:pt idx="460">
                  <c:v>297519621.10719562</c:v>
                </c:pt>
                <c:pt idx="461">
                  <c:v>310338308.47468203</c:v>
                </c:pt>
                <c:pt idx="462">
                  <c:v>295071131.63884211</c:v>
                </c:pt>
                <c:pt idx="463">
                  <c:v>323286067.22806168</c:v>
                </c:pt>
                <c:pt idx="464">
                  <c:v>312328355.25525391</c:v>
                </c:pt>
                <c:pt idx="465">
                  <c:v>291891577.00421011</c:v>
                </c:pt>
                <c:pt idx="466">
                  <c:v>266235508.98713398</c:v>
                </c:pt>
                <c:pt idx="467">
                  <c:v>276296465.52493119</c:v>
                </c:pt>
                <c:pt idx="468">
                  <c:v>287088899.95398533</c:v>
                </c:pt>
                <c:pt idx="469">
                  <c:v>307035363.20911491</c:v>
                </c:pt>
                <c:pt idx="470">
                  <c:v>280214425.0596357</c:v>
                </c:pt>
                <c:pt idx="471">
                  <c:v>324369726.03455508</c:v>
                </c:pt>
                <c:pt idx="472">
                  <c:v>277848090.32644683</c:v>
                </c:pt>
                <c:pt idx="473">
                  <c:v>297715855.55955988</c:v>
                </c:pt>
                <c:pt idx="474">
                  <c:v>296583393.8889997</c:v>
                </c:pt>
                <c:pt idx="475">
                  <c:v>306706314.11922687</c:v>
                </c:pt>
                <c:pt idx="476">
                  <c:v>303647938.86277598</c:v>
                </c:pt>
                <c:pt idx="477">
                  <c:v>297658334.28878075</c:v>
                </c:pt>
                <c:pt idx="478">
                  <c:v>282985003.65253687</c:v>
                </c:pt>
                <c:pt idx="479">
                  <c:v>306966517.24927509</c:v>
                </c:pt>
                <c:pt idx="480">
                  <c:v>289120579.5251072</c:v>
                </c:pt>
                <c:pt idx="481">
                  <c:v>343057969.99767977</c:v>
                </c:pt>
                <c:pt idx="482">
                  <c:v>299828092.78565818</c:v>
                </c:pt>
                <c:pt idx="483">
                  <c:v>312271440.39086974</c:v>
                </c:pt>
                <c:pt idx="484">
                  <c:v>299572337.58053917</c:v>
                </c:pt>
                <c:pt idx="485">
                  <c:v>312813713.75292361</c:v>
                </c:pt>
                <c:pt idx="486">
                  <c:v>295818339.39188367</c:v>
                </c:pt>
                <c:pt idx="487">
                  <c:v>306006983.28791136</c:v>
                </c:pt>
                <c:pt idx="488">
                  <c:v>297543810.66405088</c:v>
                </c:pt>
                <c:pt idx="489">
                  <c:v>330485520.40961415</c:v>
                </c:pt>
                <c:pt idx="490">
                  <c:v>322879579.35826999</c:v>
                </c:pt>
                <c:pt idx="491">
                  <c:v>315737150.43309695</c:v>
                </c:pt>
                <c:pt idx="492">
                  <c:v>314276801.93476933</c:v>
                </c:pt>
                <c:pt idx="493">
                  <c:v>312612000.36873871</c:v>
                </c:pt>
                <c:pt idx="494">
                  <c:v>320884786.791233</c:v>
                </c:pt>
                <c:pt idx="495">
                  <c:v>300976035.98729056</c:v>
                </c:pt>
                <c:pt idx="496">
                  <c:v>291451581.11065733</c:v>
                </c:pt>
                <c:pt idx="497">
                  <c:v>320892043.6351043</c:v>
                </c:pt>
                <c:pt idx="498">
                  <c:v>328110938.61070496</c:v>
                </c:pt>
                <c:pt idx="499">
                  <c:v>300406064.58632529</c:v>
                </c:pt>
                <c:pt idx="500">
                  <c:v>300402330.8586235</c:v>
                </c:pt>
                <c:pt idx="501">
                  <c:v>283693348.47708797</c:v>
                </c:pt>
                <c:pt idx="502">
                  <c:v>279784983.28882676</c:v>
                </c:pt>
                <c:pt idx="503">
                  <c:v>289143404.39146799</c:v>
                </c:pt>
                <c:pt idx="504">
                  <c:v>293908630.91459584</c:v>
                </c:pt>
                <c:pt idx="505">
                  <c:v>303486076.32543129</c:v>
                </c:pt>
                <c:pt idx="506">
                  <c:v>308471574.11284441</c:v>
                </c:pt>
                <c:pt idx="507">
                  <c:v>306985581.72193056</c:v>
                </c:pt>
                <c:pt idx="508">
                  <c:v>299916438.04540986</c:v>
                </c:pt>
                <c:pt idx="509">
                  <c:v>293677095.2680912</c:v>
                </c:pt>
                <c:pt idx="510">
                  <c:v>289674830.96183819</c:v>
                </c:pt>
                <c:pt idx="511">
                  <c:v>298931857.30310243</c:v>
                </c:pt>
                <c:pt idx="512">
                  <c:v>312760088.562356</c:v>
                </c:pt>
                <c:pt idx="513">
                  <c:v>299269854.91723806</c:v>
                </c:pt>
                <c:pt idx="514">
                  <c:v>312313615.56560969</c:v>
                </c:pt>
                <c:pt idx="515">
                  <c:v>305005537.8004986</c:v>
                </c:pt>
                <c:pt idx="516">
                  <c:v>307797975.72524178</c:v>
                </c:pt>
                <c:pt idx="517">
                  <c:v>308922764.45782781</c:v>
                </c:pt>
                <c:pt idx="518">
                  <c:v>304823819.12397259</c:v>
                </c:pt>
                <c:pt idx="519">
                  <c:v>345262183.5294233</c:v>
                </c:pt>
                <c:pt idx="520">
                  <c:v>290327716.12448823</c:v>
                </c:pt>
                <c:pt idx="521">
                  <c:v>301396563.76004177</c:v>
                </c:pt>
                <c:pt idx="522">
                  <c:v>302751837.06651074</c:v>
                </c:pt>
                <c:pt idx="523">
                  <c:v>289987816.42048973</c:v>
                </c:pt>
                <c:pt idx="524">
                  <c:v>319247072.72577995</c:v>
                </c:pt>
                <c:pt idx="525">
                  <c:v>332312285.59862971</c:v>
                </c:pt>
                <c:pt idx="526">
                  <c:v>322748528.36637247</c:v>
                </c:pt>
                <c:pt idx="527">
                  <c:v>289124076.59383643</c:v>
                </c:pt>
                <c:pt idx="528">
                  <c:v>284644844.54625493</c:v>
                </c:pt>
                <c:pt idx="529">
                  <c:v>302731997.52393442</c:v>
                </c:pt>
                <c:pt idx="530">
                  <c:v>309992029.67417848</c:v>
                </c:pt>
                <c:pt idx="531">
                  <c:v>306308541.39840347</c:v>
                </c:pt>
                <c:pt idx="532">
                  <c:v>302970933.60132414</c:v>
                </c:pt>
                <c:pt idx="533">
                  <c:v>324749270.13745469</c:v>
                </c:pt>
                <c:pt idx="534">
                  <c:v>340004796.06094801</c:v>
                </c:pt>
                <c:pt idx="535">
                  <c:v>302825839.70984954</c:v>
                </c:pt>
                <c:pt idx="536">
                  <c:v>305238559.94859886</c:v>
                </c:pt>
                <c:pt idx="537">
                  <c:v>313123413.17614144</c:v>
                </c:pt>
                <c:pt idx="538">
                  <c:v>306418193.22518826</c:v>
                </c:pt>
                <c:pt idx="539">
                  <c:v>293892641.18485779</c:v>
                </c:pt>
                <c:pt idx="540">
                  <c:v>316150395.24363732</c:v>
                </c:pt>
                <c:pt idx="541">
                  <c:v>293626451.09790927</c:v>
                </c:pt>
                <c:pt idx="542">
                  <c:v>309851259.5372681</c:v>
                </c:pt>
                <c:pt idx="543">
                  <c:v>286618500.18310463</c:v>
                </c:pt>
                <c:pt idx="544">
                  <c:v>308965991.32198441</c:v>
                </c:pt>
                <c:pt idx="545">
                  <c:v>316868662.4557547</c:v>
                </c:pt>
                <c:pt idx="546">
                  <c:v>291066115.99575776</c:v>
                </c:pt>
                <c:pt idx="547">
                  <c:v>335616375.1389243</c:v>
                </c:pt>
                <c:pt idx="548">
                  <c:v>294141249.6731537</c:v>
                </c:pt>
                <c:pt idx="549">
                  <c:v>303925243.81370503</c:v>
                </c:pt>
                <c:pt idx="550">
                  <c:v>307417316.34060544</c:v>
                </c:pt>
                <c:pt idx="551">
                  <c:v>287021902.06695426</c:v>
                </c:pt>
                <c:pt idx="552">
                  <c:v>312683131.38051921</c:v>
                </c:pt>
                <c:pt idx="553">
                  <c:v>313245863.11056703</c:v>
                </c:pt>
                <c:pt idx="554">
                  <c:v>325420071.07011425</c:v>
                </c:pt>
                <c:pt idx="555">
                  <c:v>318524550.49584842</c:v>
                </c:pt>
                <c:pt idx="556">
                  <c:v>299955025.84075791</c:v>
                </c:pt>
                <c:pt idx="557">
                  <c:v>302455396.48545283</c:v>
                </c:pt>
                <c:pt idx="558">
                  <c:v>295768653.13634861</c:v>
                </c:pt>
                <c:pt idx="559">
                  <c:v>284139174.65789121</c:v>
                </c:pt>
                <c:pt idx="560">
                  <c:v>290688961.51260912</c:v>
                </c:pt>
                <c:pt idx="561">
                  <c:v>319083522.98349845</c:v>
                </c:pt>
                <c:pt idx="562">
                  <c:v>306248645.95639402</c:v>
                </c:pt>
                <c:pt idx="563">
                  <c:v>321659973.24164814</c:v>
                </c:pt>
                <c:pt idx="564">
                  <c:v>336244143.10783279</c:v>
                </c:pt>
                <c:pt idx="565">
                  <c:v>308207931.77301276</c:v>
                </c:pt>
                <c:pt idx="566">
                  <c:v>304109445.11220098</c:v>
                </c:pt>
                <c:pt idx="567">
                  <c:v>304119831.03106236</c:v>
                </c:pt>
                <c:pt idx="568">
                  <c:v>298381056.68301123</c:v>
                </c:pt>
                <c:pt idx="569">
                  <c:v>310163869.85142004</c:v>
                </c:pt>
                <c:pt idx="570">
                  <c:v>270457082.97696966</c:v>
                </c:pt>
                <c:pt idx="571">
                  <c:v>299706951.74241799</c:v>
                </c:pt>
                <c:pt idx="572">
                  <c:v>310445438.9300912</c:v>
                </c:pt>
                <c:pt idx="573">
                  <c:v>306841389.71320421</c:v>
                </c:pt>
                <c:pt idx="574">
                  <c:v>305605597.49515337</c:v>
                </c:pt>
                <c:pt idx="575">
                  <c:v>315826240.68491167</c:v>
                </c:pt>
                <c:pt idx="576">
                  <c:v>256320642.78044802</c:v>
                </c:pt>
                <c:pt idx="577">
                  <c:v>311590229.19371897</c:v>
                </c:pt>
                <c:pt idx="578">
                  <c:v>298695859.23588961</c:v>
                </c:pt>
                <c:pt idx="579">
                  <c:v>341510581.61832315</c:v>
                </c:pt>
                <c:pt idx="580">
                  <c:v>298260303.33793867</c:v>
                </c:pt>
                <c:pt idx="581">
                  <c:v>286235200.70174444</c:v>
                </c:pt>
                <c:pt idx="582">
                  <c:v>312824894.37363887</c:v>
                </c:pt>
                <c:pt idx="583">
                  <c:v>297121633.77285743</c:v>
                </c:pt>
                <c:pt idx="584">
                  <c:v>325694377.95623612</c:v>
                </c:pt>
                <c:pt idx="585">
                  <c:v>295841935.27887321</c:v>
                </c:pt>
                <c:pt idx="586">
                  <c:v>291164140.67818314</c:v>
                </c:pt>
                <c:pt idx="587">
                  <c:v>308457816.69840568</c:v>
                </c:pt>
                <c:pt idx="588">
                  <c:v>303962710.93612945</c:v>
                </c:pt>
                <c:pt idx="589">
                  <c:v>307535018.13685036</c:v>
                </c:pt>
                <c:pt idx="590">
                  <c:v>307424231.90136111</c:v>
                </c:pt>
                <c:pt idx="591">
                  <c:v>314038526.05747885</c:v>
                </c:pt>
                <c:pt idx="592">
                  <c:v>325498153.39166576</c:v>
                </c:pt>
                <c:pt idx="593">
                  <c:v>289050679.6277715</c:v>
                </c:pt>
                <c:pt idx="594">
                  <c:v>293789233.08730561</c:v>
                </c:pt>
                <c:pt idx="595">
                  <c:v>297469900.61854959</c:v>
                </c:pt>
                <c:pt idx="596">
                  <c:v>275793803.62246811</c:v>
                </c:pt>
                <c:pt idx="597">
                  <c:v>277878380.17959297</c:v>
                </c:pt>
                <c:pt idx="598">
                  <c:v>313559555.4096244</c:v>
                </c:pt>
                <c:pt idx="599">
                  <c:v>303502615.44634634</c:v>
                </c:pt>
                <c:pt idx="600">
                  <c:v>294043419.842547</c:v>
                </c:pt>
                <c:pt idx="601">
                  <c:v>293545378.20491219</c:v>
                </c:pt>
                <c:pt idx="602">
                  <c:v>302388437.77874869</c:v>
                </c:pt>
                <c:pt idx="603">
                  <c:v>281692738.48201442</c:v>
                </c:pt>
                <c:pt idx="604">
                  <c:v>314955728.08311427</c:v>
                </c:pt>
                <c:pt idx="605">
                  <c:v>257702548.85340688</c:v>
                </c:pt>
                <c:pt idx="606">
                  <c:v>302894498.07747662</c:v>
                </c:pt>
                <c:pt idx="607">
                  <c:v>287251954.87078357</c:v>
                </c:pt>
                <c:pt idx="608">
                  <c:v>334569413.92122281</c:v>
                </c:pt>
                <c:pt idx="609">
                  <c:v>307731557.48140162</c:v>
                </c:pt>
                <c:pt idx="610">
                  <c:v>309325752.07300335</c:v>
                </c:pt>
                <c:pt idx="611">
                  <c:v>299199385.86856872</c:v>
                </c:pt>
                <c:pt idx="612">
                  <c:v>305644593.29719549</c:v>
                </c:pt>
                <c:pt idx="613">
                  <c:v>293219248.51914889</c:v>
                </c:pt>
                <c:pt idx="614">
                  <c:v>302662437.63576722</c:v>
                </c:pt>
                <c:pt idx="615">
                  <c:v>288796793.88111967</c:v>
                </c:pt>
                <c:pt idx="616">
                  <c:v>304385061.59134918</c:v>
                </c:pt>
                <c:pt idx="617">
                  <c:v>301690290.60096818</c:v>
                </c:pt>
                <c:pt idx="618">
                  <c:v>278826877.54573834</c:v>
                </c:pt>
                <c:pt idx="619">
                  <c:v>315450867.0566653</c:v>
                </c:pt>
                <c:pt idx="620">
                  <c:v>307753351.72812808</c:v>
                </c:pt>
                <c:pt idx="621">
                  <c:v>279786263.6449495</c:v>
                </c:pt>
                <c:pt idx="622">
                  <c:v>290684077.58564878</c:v>
                </c:pt>
                <c:pt idx="623">
                  <c:v>328511817.74298114</c:v>
                </c:pt>
                <c:pt idx="624">
                  <c:v>302734982.70066857</c:v>
                </c:pt>
                <c:pt idx="625">
                  <c:v>287308365.21743298</c:v>
                </c:pt>
                <c:pt idx="626">
                  <c:v>314196194.41060203</c:v>
                </c:pt>
                <c:pt idx="627">
                  <c:v>272358832.99180984</c:v>
                </c:pt>
                <c:pt idx="628">
                  <c:v>311573984.29636109</c:v>
                </c:pt>
                <c:pt idx="629">
                  <c:v>294836864.32507563</c:v>
                </c:pt>
                <c:pt idx="630">
                  <c:v>284736375.47741163</c:v>
                </c:pt>
                <c:pt idx="631">
                  <c:v>312691513.32412553</c:v>
                </c:pt>
                <c:pt idx="632">
                  <c:v>317676986.040748</c:v>
                </c:pt>
                <c:pt idx="633">
                  <c:v>313393738.05056542</c:v>
                </c:pt>
                <c:pt idx="634">
                  <c:v>349035503.04633766</c:v>
                </c:pt>
                <c:pt idx="635">
                  <c:v>304599282.46918702</c:v>
                </c:pt>
                <c:pt idx="636">
                  <c:v>310575488.16947514</c:v>
                </c:pt>
                <c:pt idx="637">
                  <c:v>322259898.1941815</c:v>
                </c:pt>
                <c:pt idx="638">
                  <c:v>308878053.90745389</c:v>
                </c:pt>
                <c:pt idx="639">
                  <c:v>298868688.58289468</c:v>
                </c:pt>
                <c:pt idx="640">
                  <c:v>316290976.29882604</c:v>
                </c:pt>
                <c:pt idx="641">
                  <c:v>311525786.46003443</c:v>
                </c:pt>
                <c:pt idx="642">
                  <c:v>282769472.0056861</c:v>
                </c:pt>
                <c:pt idx="643">
                  <c:v>294056786.36532098</c:v>
                </c:pt>
                <c:pt idx="644">
                  <c:v>327603098.52971268</c:v>
                </c:pt>
                <c:pt idx="645">
                  <c:v>346210171.30489194</c:v>
                </c:pt>
                <c:pt idx="646">
                  <c:v>318335485.06671882</c:v>
                </c:pt>
                <c:pt idx="647">
                  <c:v>297019864.75120234</c:v>
                </c:pt>
                <c:pt idx="648">
                  <c:v>313119764.89167953</c:v>
                </c:pt>
                <c:pt idx="649">
                  <c:v>283499306.5195508</c:v>
                </c:pt>
                <c:pt idx="650">
                  <c:v>328627714.01347411</c:v>
                </c:pt>
                <c:pt idx="651">
                  <c:v>289732032.79324752</c:v>
                </c:pt>
                <c:pt idx="652">
                  <c:v>269757106.18740547</c:v>
                </c:pt>
                <c:pt idx="653">
                  <c:v>284779379.18087679</c:v>
                </c:pt>
                <c:pt idx="654">
                  <c:v>306933773.50823832</c:v>
                </c:pt>
                <c:pt idx="655">
                  <c:v>305714595.69171369</c:v>
                </c:pt>
                <c:pt idx="656">
                  <c:v>305271458.4062407</c:v>
                </c:pt>
                <c:pt idx="657">
                  <c:v>310665400.54983467</c:v>
                </c:pt>
                <c:pt idx="658">
                  <c:v>306721914.30989057</c:v>
                </c:pt>
                <c:pt idx="659">
                  <c:v>296893032.99341637</c:v>
                </c:pt>
                <c:pt idx="660">
                  <c:v>303575275.40897506</c:v>
                </c:pt>
                <c:pt idx="661">
                  <c:v>280089246.37132758</c:v>
                </c:pt>
                <c:pt idx="662">
                  <c:v>319340619.25020081</c:v>
                </c:pt>
                <c:pt idx="663">
                  <c:v>301884731.4271884</c:v>
                </c:pt>
                <c:pt idx="664">
                  <c:v>294262065.25166047</c:v>
                </c:pt>
                <c:pt idx="665">
                  <c:v>307439798.18207401</c:v>
                </c:pt>
                <c:pt idx="666">
                  <c:v>326751026.00746423</c:v>
                </c:pt>
                <c:pt idx="667">
                  <c:v>295070954.29009831</c:v>
                </c:pt>
                <c:pt idx="668">
                  <c:v>294512313.67942929</c:v>
                </c:pt>
                <c:pt idx="669">
                  <c:v>314348941.88593304</c:v>
                </c:pt>
                <c:pt idx="670">
                  <c:v>313011989.69616359</c:v>
                </c:pt>
                <c:pt idx="671">
                  <c:v>306921952.43242079</c:v>
                </c:pt>
                <c:pt idx="672">
                  <c:v>321569545.614353</c:v>
                </c:pt>
                <c:pt idx="673">
                  <c:v>313385081.43361074</c:v>
                </c:pt>
                <c:pt idx="674">
                  <c:v>298097501.51654488</c:v>
                </c:pt>
                <c:pt idx="675">
                  <c:v>325914321.73567122</c:v>
                </c:pt>
                <c:pt idx="676">
                  <c:v>274921144.5128274</c:v>
                </c:pt>
                <c:pt idx="677">
                  <c:v>282410013.28995645</c:v>
                </c:pt>
                <c:pt idx="678">
                  <c:v>331125647.03417689</c:v>
                </c:pt>
                <c:pt idx="679">
                  <c:v>311939284.08355528</c:v>
                </c:pt>
                <c:pt idx="680">
                  <c:v>303536355.9127301</c:v>
                </c:pt>
                <c:pt idx="681">
                  <c:v>291805355.80005544</c:v>
                </c:pt>
                <c:pt idx="682">
                  <c:v>288990448.02275294</c:v>
                </c:pt>
                <c:pt idx="683">
                  <c:v>312807965.45118803</c:v>
                </c:pt>
                <c:pt idx="684">
                  <c:v>316962825.66319674</c:v>
                </c:pt>
                <c:pt idx="685">
                  <c:v>300340666.51817375</c:v>
                </c:pt>
                <c:pt idx="686">
                  <c:v>306387535.77427816</c:v>
                </c:pt>
                <c:pt idx="687">
                  <c:v>319993474.0538702</c:v>
                </c:pt>
                <c:pt idx="688">
                  <c:v>322882215.76643282</c:v>
                </c:pt>
                <c:pt idx="689">
                  <c:v>322886715.77461779</c:v>
                </c:pt>
                <c:pt idx="690">
                  <c:v>325244764.95895827</c:v>
                </c:pt>
                <c:pt idx="691">
                  <c:v>272608636.62480712</c:v>
                </c:pt>
                <c:pt idx="692">
                  <c:v>314366474.34263426</c:v>
                </c:pt>
                <c:pt idx="693">
                  <c:v>294769095.03385729</c:v>
                </c:pt>
                <c:pt idx="694">
                  <c:v>309919824.97700381</c:v>
                </c:pt>
                <c:pt idx="695">
                  <c:v>350646321.70236558</c:v>
                </c:pt>
                <c:pt idx="696">
                  <c:v>338654520.64120793</c:v>
                </c:pt>
                <c:pt idx="697">
                  <c:v>289683740.20575202</c:v>
                </c:pt>
                <c:pt idx="698">
                  <c:v>294907590.46531188</c:v>
                </c:pt>
                <c:pt idx="699">
                  <c:v>333084212.41429716</c:v>
                </c:pt>
                <c:pt idx="700">
                  <c:v>307540790.21768379</c:v>
                </c:pt>
                <c:pt idx="701">
                  <c:v>316150286.92009532</c:v>
                </c:pt>
                <c:pt idx="702">
                  <c:v>305280107.80637169</c:v>
                </c:pt>
                <c:pt idx="703">
                  <c:v>295862778.25992155</c:v>
                </c:pt>
                <c:pt idx="704">
                  <c:v>315325014.66100597</c:v>
                </c:pt>
                <c:pt idx="705">
                  <c:v>312589080.09604776</c:v>
                </c:pt>
                <c:pt idx="706">
                  <c:v>294380450.53908831</c:v>
                </c:pt>
                <c:pt idx="707">
                  <c:v>287742053.47750676</c:v>
                </c:pt>
                <c:pt idx="708">
                  <c:v>316602522.1588729</c:v>
                </c:pt>
                <c:pt idx="709">
                  <c:v>287503578.21131897</c:v>
                </c:pt>
                <c:pt idx="710">
                  <c:v>277644826.52494639</c:v>
                </c:pt>
                <c:pt idx="711">
                  <c:v>321479007.91030252</c:v>
                </c:pt>
                <c:pt idx="712">
                  <c:v>300787059.17588252</c:v>
                </c:pt>
                <c:pt idx="713">
                  <c:v>305910349.92289734</c:v>
                </c:pt>
                <c:pt idx="714">
                  <c:v>336181502.4064337</c:v>
                </c:pt>
                <c:pt idx="715">
                  <c:v>305836526.48143011</c:v>
                </c:pt>
                <c:pt idx="716">
                  <c:v>314649520.48201793</c:v>
                </c:pt>
                <c:pt idx="717">
                  <c:v>305935658.14088619</c:v>
                </c:pt>
                <c:pt idx="718">
                  <c:v>317701053.53287399</c:v>
                </c:pt>
                <c:pt idx="719">
                  <c:v>315945516.88998073</c:v>
                </c:pt>
                <c:pt idx="720">
                  <c:v>304218028.09079319</c:v>
                </c:pt>
                <c:pt idx="721">
                  <c:v>313146437.09368443</c:v>
                </c:pt>
                <c:pt idx="722">
                  <c:v>294461105.74361879</c:v>
                </c:pt>
                <c:pt idx="723">
                  <c:v>275461070.11931986</c:v>
                </c:pt>
                <c:pt idx="724">
                  <c:v>301409554.57519776</c:v>
                </c:pt>
                <c:pt idx="725">
                  <c:v>301189795.74474055</c:v>
                </c:pt>
                <c:pt idx="726">
                  <c:v>290439735.36488187</c:v>
                </c:pt>
                <c:pt idx="727">
                  <c:v>288956662.49601686</c:v>
                </c:pt>
                <c:pt idx="728">
                  <c:v>299691508.63958108</c:v>
                </c:pt>
                <c:pt idx="729">
                  <c:v>307450147.7370556</c:v>
                </c:pt>
                <c:pt idx="730">
                  <c:v>303279939.22931284</c:v>
                </c:pt>
                <c:pt idx="731">
                  <c:v>279766611.14945674</c:v>
                </c:pt>
                <c:pt idx="732">
                  <c:v>322047991.30938369</c:v>
                </c:pt>
                <c:pt idx="733">
                  <c:v>305100925.68959814</c:v>
                </c:pt>
                <c:pt idx="734">
                  <c:v>263062022.57084563</c:v>
                </c:pt>
                <c:pt idx="735">
                  <c:v>275519107.9577474</c:v>
                </c:pt>
                <c:pt idx="736">
                  <c:v>287605098.18706882</c:v>
                </c:pt>
                <c:pt idx="737">
                  <c:v>295885007.56866354</c:v>
                </c:pt>
                <c:pt idx="738">
                  <c:v>336110554.55486256</c:v>
                </c:pt>
                <c:pt idx="739">
                  <c:v>325541387.07644147</c:v>
                </c:pt>
                <c:pt idx="740">
                  <c:v>288467799.44792598</c:v>
                </c:pt>
                <c:pt idx="741">
                  <c:v>290636100.73616737</c:v>
                </c:pt>
                <c:pt idx="742">
                  <c:v>302730900.00227153</c:v>
                </c:pt>
                <c:pt idx="743">
                  <c:v>296757851.99932343</c:v>
                </c:pt>
                <c:pt idx="744">
                  <c:v>296036177.36136353</c:v>
                </c:pt>
                <c:pt idx="745">
                  <c:v>296564276.0985527</c:v>
                </c:pt>
                <c:pt idx="746">
                  <c:v>316391049.13923454</c:v>
                </c:pt>
                <c:pt idx="747">
                  <c:v>283882087.22368962</c:v>
                </c:pt>
                <c:pt idx="748">
                  <c:v>313985250.28435165</c:v>
                </c:pt>
                <c:pt idx="749">
                  <c:v>291541186.40252578</c:v>
                </c:pt>
                <c:pt idx="750">
                  <c:v>308872416.64165443</c:v>
                </c:pt>
                <c:pt idx="751">
                  <c:v>290243955.58547819</c:v>
                </c:pt>
                <c:pt idx="752">
                  <c:v>317563671.96200871</c:v>
                </c:pt>
                <c:pt idx="753">
                  <c:v>301376123.50579458</c:v>
                </c:pt>
                <c:pt idx="754">
                  <c:v>313090130.43745297</c:v>
                </c:pt>
                <c:pt idx="755">
                  <c:v>312742176.80257303</c:v>
                </c:pt>
                <c:pt idx="756">
                  <c:v>346269949.73381197</c:v>
                </c:pt>
                <c:pt idx="757">
                  <c:v>281134231.75932562</c:v>
                </c:pt>
                <c:pt idx="758">
                  <c:v>292436818.58851469</c:v>
                </c:pt>
                <c:pt idx="759">
                  <c:v>303618775.01181477</c:v>
                </c:pt>
                <c:pt idx="760">
                  <c:v>295055032.59767514</c:v>
                </c:pt>
                <c:pt idx="761">
                  <c:v>317529342.22445393</c:v>
                </c:pt>
                <c:pt idx="762">
                  <c:v>301435186.9697175</c:v>
                </c:pt>
                <c:pt idx="763">
                  <c:v>338843370.55339199</c:v>
                </c:pt>
                <c:pt idx="764">
                  <c:v>310058471.5654254</c:v>
                </c:pt>
                <c:pt idx="765">
                  <c:v>312647953.82241678</c:v>
                </c:pt>
                <c:pt idx="766">
                  <c:v>302492346.47112322</c:v>
                </c:pt>
                <c:pt idx="767">
                  <c:v>313580467.82614243</c:v>
                </c:pt>
                <c:pt idx="768">
                  <c:v>285344694.02565342</c:v>
                </c:pt>
                <c:pt idx="769">
                  <c:v>290537271.86130238</c:v>
                </c:pt>
                <c:pt idx="770">
                  <c:v>310159167.48851436</c:v>
                </c:pt>
                <c:pt idx="771">
                  <c:v>331306656.35076374</c:v>
                </c:pt>
                <c:pt idx="772">
                  <c:v>291497501.46137089</c:v>
                </c:pt>
                <c:pt idx="773">
                  <c:v>328237171.83936024</c:v>
                </c:pt>
                <c:pt idx="774">
                  <c:v>316001900.05572015</c:v>
                </c:pt>
                <c:pt idx="775">
                  <c:v>310881445.08936644</c:v>
                </c:pt>
                <c:pt idx="776">
                  <c:v>304451874.43225288</c:v>
                </c:pt>
                <c:pt idx="777">
                  <c:v>315169033.76909739</c:v>
                </c:pt>
                <c:pt idx="778">
                  <c:v>327614468.82820249</c:v>
                </c:pt>
                <c:pt idx="779">
                  <c:v>291953168.08669972</c:v>
                </c:pt>
                <c:pt idx="780">
                  <c:v>293842530.27412361</c:v>
                </c:pt>
                <c:pt idx="781">
                  <c:v>297429883.9352681</c:v>
                </c:pt>
                <c:pt idx="782">
                  <c:v>297619524.19943017</c:v>
                </c:pt>
                <c:pt idx="783">
                  <c:v>306860237.32005775</c:v>
                </c:pt>
                <c:pt idx="784">
                  <c:v>307480333.04177552</c:v>
                </c:pt>
                <c:pt idx="785">
                  <c:v>278070716.7690776</c:v>
                </c:pt>
                <c:pt idx="786">
                  <c:v>264425826.31430715</c:v>
                </c:pt>
                <c:pt idx="787">
                  <c:v>325779206.86080873</c:v>
                </c:pt>
                <c:pt idx="788">
                  <c:v>292519606.06196177</c:v>
                </c:pt>
                <c:pt idx="789">
                  <c:v>296895813.42337018</c:v>
                </c:pt>
                <c:pt idx="790">
                  <c:v>291711707.24376565</c:v>
                </c:pt>
                <c:pt idx="791">
                  <c:v>320410486.6002537</c:v>
                </c:pt>
                <c:pt idx="792">
                  <c:v>274249284.06055456</c:v>
                </c:pt>
                <c:pt idx="793">
                  <c:v>292876490.47592199</c:v>
                </c:pt>
                <c:pt idx="794">
                  <c:v>329726117.79488301</c:v>
                </c:pt>
                <c:pt idx="795">
                  <c:v>284908231.86930698</c:v>
                </c:pt>
                <c:pt idx="796">
                  <c:v>286529305.35633796</c:v>
                </c:pt>
                <c:pt idx="797">
                  <c:v>299513641.44542474</c:v>
                </c:pt>
                <c:pt idx="798">
                  <c:v>286740766.37059981</c:v>
                </c:pt>
                <c:pt idx="799">
                  <c:v>318676216.87827146</c:v>
                </c:pt>
                <c:pt idx="800">
                  <c:v>290396954.05598497</c:v>
                </c:pt>
                <c:pt idx="801">
                  <c:v>323570971.745049</c:v>
                </c:pt>
                <c:pt idx="802">
                  <c:v>307077087.57877272</c:v>
                </c:pt>
                <c:pt idx="803">
                  <c:v>313299802.33324677</c:v>
                </c:pt>
                <c:pt idx="804">
                  <c:v>306546812.79756504</c:v>
                </c:pt>
                <c:pt idx="805">
                  <c:v>299712495.00810599</c:v>
                </c:pt>
                <c:pt idx="806">
                  <c:v>289594494.84327149</c:v>
                </c:pt>
                <c:pt idx="807">
                  <c:v>312304403.45103216</c:v>
                </c:pt>
                <c:pt idx="808">
                  <c:v>290864488.97226125</c:v>
                </c:pt>
                <c:pt idx="809">
                  <c:v>292331109.47139484</c:v>
                </c:pt>
                <c:pt idx="810">
                  <c:v>298142998.84618527</c:v>
                </c:pt>
                <c:pt idx="811">
                  <c:v>306273702.15679401</c:v>
                </c:pt>
                <c:pt idx="812">
                  <c:v>308349997.57642573</c:v>
                </c:pt>
                <c:pt idx="813">
                  <c:v>307747569.71814167</c:v>
                </c:pt>
                <c:pt idx="814">
                  <c:v>302353821.32927632</c:v>
                </c:pt>
                <c:pt idx="815">
                  <c:v>284870035.99306083</c:v>
                </c:pt>
                <c:pt idx="816">
                  <c:v>308943290.3654775</c:v>
                </c:pt>
                <c:pt idx="817">
                  <c:v>299624509.2093209</c:v>
                </c:pt>
                <c:pt idx="818">
                  <c:v>304656624.80762702</c:v>
                </c:pt>
                <c:pt idx="819">
                  <c:v>298218838.00086313</c:v>
                </c:pt>
                <c:pt idx="820">
                  <c:v>285147323.54267573</c:v>
                </c:pt>
                <c:pt idx="821">
                  <c:v>300308003.1749981</c:v>
                </c:pt>
                <c:pt idx="822">
                  <c:v>323491690.36618239</c:v>
                </c:pt>
                <c:pt idx="823">
                  <c:v>315362963.29909074</c:v>
                </c:pt>
                <c:pt idx="824">
                  <c:v>299593594.84404147</c:v>
                </c:pt>
                <c:pt idx="825">
                  <c:v>314115184.39152801</c:v>
                </c:pt>
                <c:pt idx="826">
                  <c:v>322986583.00601578</c:v>
                </c:pt>
                <c:pt idx="827">
                  <c:v>326757282.76680475</c:v>
                </c:pt>
                <c:pt idx="828">
                  <c:v>283144500.2547676</c:v>
                </c:pt>
                <c:pt idx="829">
                  <c:v>269082425.036538</c:v>
                </c:pt>
                <c:pt idx="830">
                  <c:v>306935560.13429052</c:v>
                </c:pt>
                <c:pt idx="831">
                  <c:v>296298425.81938076</c:v>
                </c:pt>
                <c:pt idx="832">
                  <c:v>299292372.91038609</c:v>
                </c:pt>
                <c:pt idx="833">
                  <c:v>291485581.95166516</c:v>
                </c:pt>
                <c:pt idx="834">
                  <c:v>309060940.69187266</c:v>
                </c:pt>
                <c:pt idx="835">
                  <c:v>309183573.16730595</c:v>
                </c:pt>
                <c:pt idx="836">
                  <c:v>329213041.95216709</c:v>
                </c:pt>
                <c:pt idx="837">
                  <c:v>305386261.72928673</c:v>
                </c:pt>
                <c:pt idx="838">
                  <c:v>308789166.16415286</c:v>
                </c:pt>
                <c:pt idx="839">
                  <c:v>319625959.74715298</c:v>
                </c:pt>
                <c:pt idx="840">
                  <c:v>297934328.08977824</c:v>
                </c:pt>
                <c:pt idx="841">
                  <c:v>280561330.96621406</c:v>
                </c:pt>
                <c:pt idx="842">
                  <c:v>290942470.15646404</c:v>
                </c:pt>
                <c:pt idx="843">
                  <c:v>303137329.78854841</c:v>
                </c:pt>
                <c:pt idx="844">
                  <c:v>277947585.99089837</c:v>
                </c:pt>
                <c:pt idx="845">
                  <c:v>300493082.21750444</c:v>
                </c:pt>
                <c:pt idx="846">
                  <c:v>305292418.35869122</c:v>
                </c:pt>
                <c:pt idx="847">
                  <c:v>297545817.78200543</c:v>
                </c:pt>
                <c:pt idx="848">
                  <c:v>326800968.32994503</c:v>
                </c:pt>
                <c:pt idx="849">
                  <c:v>293613500.27146947</c:v>
                </c:pt>
                <c:pt idx="850">
                  <c:v>313975594.17434072</c:v>
                </c:pt>
                <c:pt idx="851">
                  <c:v>311950547.6687988</c:v>
                </c:pt>
                <c:pt idx="852">
                  <c:v>322992771.0718286</c:v>
                </c:pt>
                <c:pt idx="853">
                  <c:v>296402810.66691375</c:v>
                </c:pt>
                <c:pt idx="854">
                  <c:v>306030542.12079799</c:v>
                </c:pt>
                <c:pt idx="855">
                  <c:v>328158593.22050118</c:v>
                </c:pt>
                <c:pt idx="856">
                  <c:v>293014598.65542352</c:v>
                </c:pt>
                <c:pt idx="857">
                  <c:v>321747941.51931626</c:v>
                </c:pt>
                <c:pt idx="858">
                  <c:v>319758569.44947916</c:v>
                </c:pt>
                <c:pt idx="859">
                  <c:v>292595627.73729163</c:v>
                </c:pt>
                <c:pt idx="860">
                  <c:v>314701194.06021774</c:v>
                </c:pt>
                <c:pt idx="861">
                  <c:v>310319342.04829729</c:v>
                </c:pt>
                <c:pt idx="862">
                  <c:v>297241978.55295348</c:v>
                </c:pt>
                <c:pt idx="863">
                  <c:v>296814712.69170427</c:v>
                </c:pt>
                <c:pt idx="864">
                  <c:v>300064040.47861844</c:v>
                </c:pt>
                <c:pt idx="865">
                  <c:v>325636464.71501958</c:v>
                </c:pt>
                <c:pt idx="866">
                  <c:v>307551297.56734508</c:v>
                </c:pt>
                <c:pt idx="867">
                  <c:v>311372252.87475312</c:v>
                </c:pt>
                <c:pt idx="868">
                  <c:v>307383783.57540518</c:v>
                </c:pt>
                <c:pt idx="869">
                  <c:v>297626324.79928887</c:v>
                </c:pt>
                <c:pt idx="870">
                  <c:v>317175666.82961154</c:v>
                </c:pt>
                <c:pt idx="871">
                  <c:v>292050028.7543416</c:v>
                </c:pt>
                <c:pt idx="872">
                  <c:v>295253945.35017109</c:v>
                </c:pt>
                <c:pt idx="873">
                  <c:v>266984681.34724352</c:v>
                </c:pt>
                <c:pt idx="874">
                  <c:v>301860361.57321137</c:v>
                </c:pt>
                <c:pt idx="875">
                  <c:v>306633627.51734149</c:v>
                </c:pt>
                <c:pt idx="876">
                  <c:v>345940766.07188493</c:v>
                </c:pt>
                <c:pt idx="877">
                  <c:v>287691377.66127563</c:v>
                </c:pt>
                <c:pt idx="878">
                  <c:v>282416784.23545009</c:v>
                </c:pt>
                <c:pt idx="879">
                  <c:v>280757300.71195698</c:v>
                </c:pt>
                <c:pt idx="880">
                  <c:v>287080782.35331887</c:v>
                </c:pt>
                <c:pt idx="881">
                  <c:v>291493293.20962763</c:v>
                </c:pt>
                <c:pt idx="882">
                  <c:v>324197512.54123539</c:v>
                </c:pt>
                <c:pt idx="883">
                  <c:v>299835968.36944062</c:v>
                </c:pt>
                <c:pt idx="884">
                  <c:v>330087920.98427719</c:v>
                </c:pt>
                <c:pt idx="885">
                  <c:v>297617852.21829039</c:v>
                </c:pt>
                <c:pt idx="886">
                  <c:v>281121726.91301292</c:v>
                </c:pt>
                <c:pt idx="887">
                  <c:v>309372326.82257694</c:v>
                </c:pt>
                <c:pt idx="888">
                  <c:v>303841208.91128564</c:v>
                </c:pt>
                <c:pt idx="889">
                  <c:v>321894150.4269343</c:v>
                </c:pt>
                <c:pt idx="890">
                  <c:v>301530329.47123337</c:v>
                </c:pt>
                <c:pt idx="891">
                  <c:v>284285664.95687056</c:v>
                </c:pt>
                <c:pt idx="892">
                  <c:v>299377852.67365575</c:v>
                </c:pt>
                <c:pt idx="893">
                  <c:v>319539456.41875374</c:v>
                </c:pt>
                <c:pt idx="894">
                  <c:v>287446802.74877852</c:v>
                </c:pt>
                <c:pt idx="895">
                  <c:v>307365436.92444628</c:v>
                </c:pt>
                <c:pt idx="896">
                  <c:v>298735571.45715779</c:v>
                </c:pt>
                <c:pt idx="897">
                  <c:v>300716244.48347133</c:v>
                </c:pt>
                <c:pt idx="898">
                  <c:v>281766487.5121876</c:v>
                </c:pt>
                <c:pt idx="899">
                  <c:v>316492924.76848549</c:v>
                </c:pt>
                <c:pt idx="900">
                  <c:v>280929288.01901346</c:v>
                </c:pt>
                <c:pt idx="901">
                  <c:v>273360773.32098079</c:v>
                </c:pt>
                <c:pt idx="902">
                  <c:v>292189361.53556341</c:v>
                </c:pt>
                <c:pt idx="903">
                  <c:v>361666904.52241147</c:v>
                </c:pt>
                <c:pt idx="904">
                  <c:v>312559972.91696256</c:v>
                </c:pt>
                <c:pt idx="905">
                  <c:v>315102804.69258797</c:v>
                </c:pt>
                <c:pt idx="906">
                  <c:v>317441234.31429571</c:v>
                </c:pt>
                <c:pt idx="907">
                  <c:v>287692008.7133339</c:v>
                </c:pt>
                <c:pt idx="908">
                  <c:v>320866984.05593336</c:v>
                </c:pt>
                <c:pt idx="909">
                  <c:v>266687828.86815432</c:v>
                </c:pt>
                <c:pt idx="910">
                  <c:v>296887989.64826304</c:v>
                </c:pt>
                <c:pt idx="911">
                  <c:v>275438812.94711244</c:v>
                </c:pt>
                <c:pt idx="912">
                  <c:v>327654085.23728943</c:v>
                </c:pt>
                <c:pt idx="913">
                  <c:v>283292547.08569169</c:v>
                </c:pt>
                <c:pt idx="914">
                  <c:v>308249141.13405436</c:v>
                </c:pt>
                <c:pt idx="915">
                  <c:v>280900237.39286453</c:v>
                </c:pt>
                <c:pt idx="916">
                  <c:v>281257064.86465961</c:v>
                </c:pt>
                <c:pt idx="917">
                  <c:v>289825029.69230103</c:v>
                </c:pt>
                <c:pt idx="918">
                  <c:v>298083528.2834906</c:v>
                </c:pt>
                <c:pt idx="919">
                  <c:v>301637376.62312907</c:v>
                </c:pt>
                <c:pt idx="920">
                  <c:v>314557161.49538016</c:v>
                </c:pt>
                <c:pt idx="921">
                  <c:v>301121231.83283222</c:v>
                </c:pt>
                <c:pt idx="922">
                  <c:v>302433069.27653879</c:v>
                </c:pt>
                <c:pt idx="923">
                  <c:v>298755331.24371165</c:v>
                </c:pt>
                <c:pt idx="924">
                  <c:v>281574578.12094146</c:v>
                </c:pt>
                <c:pt idx="925">
                  <c:v>311154886.28976876</c:v>
                </c:pt>
                <c:pt idx="926">
                  <c:v>289014744.65932953</c:v>
                </c:pt>
                <c:pt idx="927">
                  <c:v>283498257.16157061</c:v>
                </c:pt>
                <c:pt idx="928">
                  <c:v>296339824.94155872</c:v>
                </c:pt>
                <c:pt idx="929">
                  <c:v>324826903.46857524</c:v>
                </c:pt>
                <c:pt idx="930">
                  <c:v>308934787.60895789</c:v>
                </c:pt>
                <c:pt idx="931">
                  <c:v>276601576.6310662</c:v>
                </c:pt>
                <c:pt idx="932">
                  <c:v>293153968.23046803</c:v>
                </c:pt>
                <c:pt idx="933">
                  <c:v>318287213.61207771</c:v>
                </c:pt>
                <c:pt idx="934">
                  <c:v>285971517.26708215</c:v>
                </c:pt>
                <c:pt idx="935">
                  <c:v>290412029.02236587</c:v>
                </c:pt>
                <c:pt idx="936">
                  <c:v>316079166.54667193</c:v>
                </c:pt>
                <c:pt idx="937">
                  <c:v>330002536.48649681</c:v>
                </c:pt>
                <c:pt idx="938">
                  <c:v>278856901.14847726</c:v>
                </c:pt>
                <c:pt idx="939">
                  <c:v>292956096.9432056</c:v>
                </c:pt>
                <c:pt idx="940">
                  <c:v>296011475.44078416</c:v>
                </c:pt>
                <c:pt idx="941">
                  <c:v>310276388.75182891</c:v>
                </c:pt>
                <c:pt idx="942">
                  <c:v>294161349.66272718</c:v>
                </c:pt>
                <c:pt idx="943">
                  <c:v>292287596.92080444</c:v>
                </c:pt>
                <c:pt idx="944">
                  <c:v>300316445.36320364</c:v>
                </c:pt>
                <c:pt idx="945">
                  <c:v>294049822.4368186</c:v>
                </c:pt>
                <c:pt idx="946">
                  <c:v>307995895.68675965</c:v>
                </c:pt>
                <c:pt idx="947">
                  <c:v>315197797.1510424</c:v>
                </c:pt>
                <c:pt idx="948">
                  <c:v>327683734.13441449</c:v>
                </c:pt>
                <c:pt idx="949">
                  <c:v>331248739.58572781</c:v>
                </c:pt>
                <c:pt idx="950">
                  <c:v>288214634.02125579</c:v>
                </c:pt>
                <c:pt idx="951">
                  <c:v>315849775.11961079</c:v>
                </c:pt>
                <c:pt idx="952">
                  <c:v>331486059.52621955</c:v>
                </c:pt>
                <c:pt idx="953">
                  <c:v>281411739.53010911</c:v>
                </c:pt>
                <c:pt idx="954">
                  <c:v>299726696.24859148</c:v>
                </c:pt>
                <c:pt idx="955">
                  <c:v>299619202.08986652</c:v>
                </c:pt>
                <c:pt idx="956">
                  <c:v>325911480.71266121</c:v>
                </c:pt>
                <c:pt idx="957">
                  <c:v>286390453.18170696</c:v>
                </c:pt>
                <c:pt idx="958">
                  <c:v>297311373.35389489</c:v>
                </c:pt>
                <c:pt idx="959">
                  <c:v>292064418.17239612</c:v>
                </c:pt>
                <c:pt idx="960">
                  <c:v>331370338.32771516</c:v>
                </c:pt>
                <c:pt idx="961">
                  <c:v>306764044.5510875</c:v>
                </c:pt>
                <c:pt idx="962">
                  <c:v>311260553.77068114</c:v>
                </c:pt>
                <c:pt idx="963">
                  <c:v>296403131.04413283</c:v>
                </c:pt>
                <c:pt idx="964">
                  <c:v>295299085.29141146</c:v>
                </c:pt>
                <c:pt idx="965">
                  <c:v>296140663.90694726</c:v>
                </c:pt>
                <c:pt idx="966">
                  <c:v>286156358.71465659</c:v>
                </c:pt>
                <c:pt idx="967">
                  <c:v>297352449.24378866</c:v>
                </c:pt>
                <c:pt idx="968">
                  <c:v>301900255.73024452</c:v>
                </c:pt>
                <c:pt idx="969">
                  <c:v>295449469.85923988</c:v>
                </c:pt>
                <c:pt idx="970">
                  <c:v>294888525.67626595</c:v>
                </c:pt>
                <c:pt idx="971">
                  <c:v>302671266.90472841</c:v>
                </c:pt>
                <c:pt idx="972">
                  <c:v>299982253.14600331</c:v>
                </c:pt>
                <c:pt idx="973">
                  <c:v>282269381.14046228</c:v>
                </c:pt>
                <c:pt idx="974">
                  <c:v>313659759.52918458</c:v>
                </c:pt>
                <c:pt idx="975">
                  <c:v>296723401.95395046</c:v>
                </c:pt>
                <c:pt idx="976">
                  <c:v>278635970.0375542</c:v>
                </c:pt>
                <c:pt idx="977">
                  <c:v>304874338.40460402</c:v>
                </c:pt>
                <c:pt idx="978">
                  <c:v>311301807.65472734</c:v>
                </c:pt>
                <c:pt idx="979">
                  <c:v>298615651.36616784</c:v>
                </c:pt>
                <c:pt idx="980">
                  <c:v>294092479.12057459</c:v>
                </c:pt>
                <c:pt idx="981">
                  <c:v>319668335.64921016</c:v>
                </c:pt>
                <c:pt idx="982">
                  <c:v>298437057.71873218</c:v>
                </c:pt>
                <c:pt idx="983">
                  <c:v>330404126.30766732</c:v>
                </c:pt>
                <c:pt idx="984">
                  <c:v>282422432.20340627</c:v>
                </c:pt>
                <c:pt idx="985">
                  <c:v>291222469.27737808</c:v>
                </c:pt>
                <c:pt idx="986">
                  <c:v>284356786.9694472</c:v>
                </c:pt>
                <c:pt idx="987">
                  <c:v>285401810.6595279</c:v>
                </c:pt>
                <c:pt idx="988">
                  <c:v>324113303.40116668</c:v>
                </c:pt>
                <c:pt idx="989">
                  <c:v>308312671.12367588</c:v>
                </c:pt>
                <c:pt idx="990">
                  <c:v>317205425.74511117</c:v>
                </c:pt>
                <c:pt idx="991">
                  <c:v>324980448.59561443</c:v>
                </c:pt>
                <c:pt idx="992">
                  <c:v>310543283.40558088</c:v>
                </c:pt>
                <c:pt idx="993">
                  <c:v>290909328.2339043</c:v>
                </c:pt>
                <c:pt idx="994">
                  <c:v>322726446.19664079</c:v>
                </c:pt>
                <c:pt idx="995">
                  <c:v>275982298.21410048</c:v>
                </c:pt>
                <c:pt idx="996">
                  <c:v>325062245.85764652</c:v>
                </c:pt>
                <c:pt idx="997">
                  <c:v>281147351.77212673</c:v>
                </c:pt>
                <c:pt idx="998">
                  <c:v>308334800.44253647</c:v>
                </c:pt>
                <c:pt idx="999">
                  <c:v>305547207.46448612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F5-406F-9B8C-8F16683C2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2303"/>
        <c:axId val="422466479"/>
      </c:scatterChart>
      <c:valAx>
        <c:axId val="422472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0" i="0" u="none" strike="noStrike" baseline="0">
                    <a:solidFill>
                      <a:sysClr val="windowText" lastClr="000000"/>
                    </a:solidFill>
                    <a:effectLst/>
                  </a:rPr>
                  <a:t>Incremental DALYs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6985688013217314"/>
              <c:y val="0.940098524955656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2466479"/>
        <c:crosses val="autoZero"/>
        <c:crossBetween val="midCat"/>
      </c:valAx>
      <c:valAx>
        <c:axId val="422466479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>
                    <a:solidFill>
                      <a:sysClr val="windowText" lastClr="000000"/>
                    </a:solidFill>
                  </a:rPr>
                  <a:t>Incremental Costs</a:t>
                </a:r>
              </a:p>
            </c:rich>
          </c:tx>
          <c:layout>
            <c:manualLayout>
              <c:xMode val="edge"/>
              <c:yMode val="edge"/>
              <c:x val="1.7052708952512867E-2"/>
              <c:y val="0.335555869438613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cross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2472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200" b="1" i="0" u="none" strike="noStrike" baseline="0">
                <a:solidFill>
                  <a:sysClr val="windowText" lastClr="000000"/>
                </a:solidFill>
                <a:effectLst/>
              </a:rPr>
              <a:t>Cost-effectiveness acceptability curve</a:t>
            </a:r>
            <a:endParaRPr lang="zh-CN" alt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0169038181182906"/>
          <c:y val="0.11795375254969841"/>
          <c:w val="0.7555005639145993"/>
          <c:h val="0.57854383855962899"/>
        </c:manualLayout>
      </c:layout>
      <c:lineChart>
        <c:grouping val="standard"/>
        <c:varyColors val="0"/>
        <c:ser>
          <c:idx val="0"/>
          <c:order val="0"/>
          <c:tx>
            <c:v>Post-vaccination</c:v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PSA!$AB$41:$AB$241</c:f>
              <c:numCache>
                <c:formatCode>\$#,##0;\-\$#,##0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cat>
          <c:val>
            <c:numRef>
              <c:f>PSA!$AC$41:$AC$241</c:f>
              <c:numCache>
                <c:formatCode>0.00%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2.7E-2</c:v>
                </c:pt>
                <c:pt idx="3">
                  <c:v>0.39500000000000002</c:v>
                </c:pt>
                <c:pt idx="4">
                  <c:v>0.75600000000000001</c:v>
                </c:pt>
                <c:pt idx="5">
                  <c:v>0.91300000000000003</c:v>
                </c:pt>
                <c:pt idx="6">
                  <c:v>0.98599999999999999</c:v>
                </c:pt>
                <c:pt idx="7">
                  <c:v>0.996</c:v>
                </c:pt>
                <c:pt idx="8">
                  <c:v>0.999</c:v>
                </c:pt>
                <c:pt idx="9">
                  <c:v>0.999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0D-4220-9988-13F551CC6FC0}"/>
            </c:ext>
          </c:extLst>
        </c:ser>
        <c:ser>
          <c:idx val="1"/>
          <c:order val="1"/>
          <c:tx>
            <c:v>Pre-vaccination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PSA!$AB$41:$AB$241</c:f>
              <c:numCache>
                <c:formatCode>\$#,##0;\-\$#,##0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cat>
          <c:val>
            <c:numRef>
              <c:f>PSA!$AD$41:$AD$241</c:f>
              <c:numCache>
                <c:formatCode>0.00%</c:formatCode>
                <c:ptCount val="201"/>
                <c:pt idx="0">
                  <c:v>1</c:v>
                </c:pt>
                <c:pt idx="1">
                  <c:v>1</c:v>
                </c:pt>
                <c:pt idx="2">
                  <c:v>0.97299999999999998</c:v>
                </c:pt>
                <c:pt idx="3">
                  <c:v>0.60499999999999998</c:v>
                </c:pt>
                <c:pt idx="4">
                  <c:v>0.24399999999999999</c:v>
                </c:pt>
                <c:pt idx="5">
                  <c:v>8.6999999999999994E-2</c:v>
                </c:pt>
                <c:pt idx="6">
                  <c:v>1.4E-2</c:v>
                </c:pt>
                <c:pt idx="7">
                  <c:v>4.0000000000000001E-3</c:v>
                </c:pt>
                <c:pt idx="8">
                  <c:v>1E-3</c:v>
                </c:pt>
                <c:pt idx="9">
                  <c:v>1E-3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0D-4220-9988-13F551CC6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2063775"/>
        <c:axId val="2042066271"/>
      </c:lineChart>
      <c:catAx>
        <c:axId val="204206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0" i="0" u="none" strike="noStrike" baseline="0">
                    <a:solidFill>
                      <a:sysClr val="windowText" lastClr="000000"/>
                    </a:solidFill>
                    <a:effectLst/>
                  </a:rPr>
                  <a:t>WTP</a:t>
                </a:r>
                <a:endParaRPr lang="en-US" altLang="zh-CN" sz="11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\$#,##0;\-\$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42066271"/>
        <c:crosses val="autoZero"/>
        <c:auto val="1"/>
        <c:lblAlgn val="ctr"/>
        <c:lblOffset val="100"/>
        <c:noMultiLvlLbl val="0"/>
      </c:catAx>
      <c:valAx>
        <c:axId val="2042066271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Possibility to be cost-effective</a:t>
                </a:r>
                <a:endParaRPr lang="en-US" altLang="zh-CN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4206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000000"/>
                </a:solidFill>
              </a:rPr>
              <a:t>Tornado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xMode val="edge"/>
          <c:yMode val="edge"/>
          <c:x val="4.9971607041453717E-2"/>
          <c:y val="0.1623111111111111"/>
          <c:w val="0.95002839295854624"/>
          <c:h val="0.7132444444444444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USA!$F$33</c:f>
              <c:strCache>
                <c:ptCount val="1"/>
                <c:pt idx="0">
                  <c:v>ICER(lower)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USA!$F$34:$F$42</c:f>
              <c:numCache>
                <c:formatCode>0_ </c:formatCode>
                <c:ptCount val="9"/>
                <c:pt idx="0">
                  <c:v>1371.7632010042071</c:v>
                </c:pt>
                <c:pt idx="1">
                  <c:v>5311.1727587566693</c:v>
                </c:pt>
                <c:pt idx="2">
                  <c:v>2688.8223923509745</c:v>
                </c:pt>
                <c:pt idx="3">
                  <c:v>3518.2320891310401</c:v>
                </c:pt>
                <c:pt idx="4">
                  <c:v>2985.0068769956242</c:v>
                </c:pt>
                <c:pt idx="5">
                  <c:v>3173.1738052299575</c:v>
                </c:pt>
                <c:pt idx="6">
                  <c:v>3170.2255733700881</c:v>
                </c:pt>
                <c:pt idx="7">
                  <c:v>3167.412562588981</c:v>
                </c:pt>
                <c:pt idx="8">
                  <c:v>3162.2765155051666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6-4B01-B503-0EEA2804CE42}"/>
            </c:ext>
          </c:extLst>
        </c:ser>
        <c:ser>
          <c:idx val="1"/>
          <c:order val="1"/>
          <c:tx>
            <c:strRef>
              <c:f>USA!$G$33</c:f>
              <c:strCache>
                <c:ptCount val="1"/>
                <c:pt idx="0">
                  <c:v>ICER(upper)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USA!$E$34:$E$42</c:f>
              <c:strCache>
                <c:ptCount val="9"/>
                <c:pt idx="0">
                  <c:v>Discount rate</c:v>
                </c:pt>
                <c:pt idx="1">
                  <c:v>Vaccine efficacy vs HPV 16/18</c:v>
                </c:pt>
                <c:pt idx="2">
                  <c:v>Vaccine price per FIG</c:v>
                </c:pt>
                <c:pt idx="3">
                  <c:v>Proportion of cervical cancer cases that are due to HPV 16/18</c:v>
                </c:pt>
                <c:pt idx="4">
                  <c:v>Vaccine delivery cost per FIG</c:v>
                </c:pt>
                <c:pt idx="5">
                  <c:v>Cancer treatment cost (per episode, over lifetime)</c:v>
                </c:pt>
                <c:pt idx="6">
                  <c:v>DALYs for terminal cancer</c:v>
                </c:pt>
                <c:pt idx="7">
                  <c:v>DALYs for non-terminal cancer sequelae (per year)</c:v>
                </c:pt>
                <c:pt idx="8">
                  <c:v>DALYs for cancer diagnosis</c:v>
                </c:pt>
              </c:strCache>
            </c:strRef>
          </c:cat>
          <c:val>
            <c:numRef>
              <c:f>USA!$G$34:$G$42</c:f>
              <c:numCache>
                <c:formatCode>0_ </c:formatCode>
                <c:ptCount val="9"/>
                <c:pt idx="0">
                  <c:v>6468.4562687627595</c:v>
                </c:pt>
                <c:pt idx="1">
                  <c:v>3159.6439552059132</c:v>
                </c:pt>
                <c:pt idx="2">
                  <c:v>3630.4655180608511</c:v>
                </c:pt>
                <c:pt idx="3">
                  <c:v>2866.2536638126262</c:v>
                </c:pt>
                <c:pt idx="4">
                  <c:v>3334.2810334162018</c:v>
                </c:pt>
                <c:pt idx="5">
                  <c:v>3146.1141051818681</c:v>
                </c:pt>
                <c:pt idx="6">
                  <c:v>3149.1327409588757</c:v>
                </c:pt>
                <c:pt idx="7">
                  <c:v>3151.9133621958467</c:v>
                </c:pt>
                <c:pt idx="8">
                  <c:v>3157.0157744155572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6-4B01-B503-0EEA2804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52582992"/>
        <c:axId val="52602544"/>
      </c:barChart>
      <c:catAx>
        <c:axId val="52582992"/>
        <c:scaling>
          <c:orientation val="maxMin"/>
        </c:scaling>
        <c:delete val="0"/>
        <c:axPos val="l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602544"/>
        <c:crossesAt val="3159.6439552059132"/>
        <c:auto val="1"/>
        <c:lblAlgn val="ctr"/>
        <c:lblOffset val="100"/>
        <c:noMultiLvlLbl val="0"/>
      </c:catAx>
      <c:valAx>
        <c:axId val="5260254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>
                    <a:solidFill>
                      <a:srgbClr val="000000"/>
                    </a:solidFill>
                  </a:rPr>
                  <a:t>ICER (US$/DALY gained)</a:t>
                </a:r>
              </a:p>
            </c:rich>
          </c:tx>
          <c:layout>
            <c:manualLayout>
              <c:xMode val="edge"/>
              <c:yMode val="edge"/>
              <c:x val="0.52243043725156157"/>
              <c:y val="0.871111111111111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_ 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58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ge data'!A1"/><Relationship Id="rId7" Type="http://schemas.openxmlformats.org/officeDocument/2006/relationships/hyperlink" Target="#USA!A1"/><Relationship Id="rId2" Type="http://schemas.openxmlformats.org/officeDocument/2006/relationships/image" Target="../media/image1.png"/><Relationship Id="rId1" Type="http://schemas.openxmlformats.org/officeDocument/2006/relationships/hyperlink" Target="#Customisation!A1"/><Relationship Id="rId6" Type="http://schemas.openxmlformats.org/officeDocument/2006/relationships/hyperlink" Target="#'Univariate sensitivity analyses'!A1"/><Relationship Id="rId5" Type="http://schemas.openxmlformats.org/officeDocument/2006/relationships/hyperlink" Target="#'Country selection'!A1"/><Relationship Id="rId4" Type="http://schemas.openxmlformats.org/officeDocument/2006/relationships/hyperlink" Target="#Outpu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Output!A1"/><Relationship Id="rId2" Type="http://schemas.openxmlformats.org/officeDocument/2006/relationships/hyperlink" Target="#'Age data'!A1"/><Relationship Id="rId1" Type="http://schemas.openxmlformats.org/officeDocument/2006/relationships/hyperlink" Target="#'Country selection'!A1"/><Relationship Id="rId6" Type="http://schemas.openxmlformats.org/officeDocument/2006/relationships/hyperlink" Target="#'Univariate sensitivity analyses'!A1"/><Relationship Id="rId5" Type="http://schemas.openxmlformats.org/officeDocument/2006/relationships/hyperlink" Target="#Customisation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Output!A1"/><Relationship Id="rId1" Type="http://schemas.openxmlformats.org/officeDocument/2006/relationships/hyperlink" Target="#Customisation!A1"/><Relationship Id="rId6" Type="http://schemas.openxmlformats.org/officeDocument/2006/relationships/hyperlink" Target="#'Univariate sensitivity analyses'!A1"/><Relationship Id="rId5" Type="http://schemas.openxmlformats.org/officeDocument/2006/relationships/hyperlink" Target="#'Country selection'!A1"/><Relationship Id="rId4" Type="http://schemas.openxmlformats.org/officeDocument/2006/relationships/hyperlink" Target="#'Age data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Univariate sensitivity analyses'!A1"/><Relationship Id="rId3" Type="http://schemas.openxmlformats.org/officeDocument/2006/relationships/hyperlink" Target="#Customisation!A1"/><Relationship Id="rId7" Type="http://schemas.openxmlformats.org/officeDocument/2006/relationships/hyperlink" Target="#Output!A1"/><Relationship Id="rId2" Type="http://schemas.openxmlformats.org/officeDocument/2006/relationships/hyperlink" Target="#'Country selection'!A1"/><Relationship Id="rId1" Type="http://schemas.openxmlformats.org/officeDocument/2006/relationships/chart" Target="../charts/chart1.xml"/><Relationship Id="rId6" Type="http://schemas.openxmlformats.org/officeDocument/2006/relationships/hyperlink" Target="#USA!A1"/><Relationship Id="rId5" Type="http://schemas.openxmlformats.org/officeDocument/2006/relationships/image" Target="../media/image3.png"/><Relationship Id="rId4" Type="http://schemas.openxmlformats.org/officeDocument/2006/relationships/hyperlink" Target="#'Age data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Sensitivity analysis output'!A1"/><Relationship Id="rId3" Type="http://schemas.openxmlformats.org/officeDocument/2006/relationships/hyperlink" Target="#Customisation!A1"/><Relationship Id="rId7" Type="http://schemas.openxmlformats.org/officeDocument/2006/relationships/hyperlink" Target="#PSA!A1"/><Relationship Id="rId2" Type="http://schemas.openxmlformats.org/officeDocument/2006/relationships/hyperlink" Target="#'Age data'!A1"/><Relationship Id="rId1" Type="http://schemas.openxmlformats.org/officeDocument/2006/relationships/image" Target="../media/image1.png"/><Relationship Id="rId6" Type="http://schemas.openxmlformats.org/officeDocument/2006/relationships/hyperlink" Target="#'Univariate sensitivity analyses'!A1"/><Relationship Id="rId5" Type="http://schemas.openxmlformats.org/officeDocument/2006/relationships/hyperlink" Target="#'Country selection'!A1"/><Relationship Id="rId4" Type="http://schemas.openxmlformats.org/officeDocument/2006/relationships/hyperlink" Target="#Outpu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Sensitivity analysis output'!A1"/><Relationship Id="rId3" Type="http://schemas.openxmlformats.org/officeDocument/2006/relationships/hyperlink" Target="#Customisation!A1"/><Relationship Id="rId7" Type="http://schemas.openxmlformats.org/officeDocument/2006/relationships/hyperlink" Target="#USA!A1"/><Relationship Id="rId2" Type="http://schemas.openxmlformats.org/officeDocument/2006/relationships/hyperlink" Target="#'Age data'!A1"/><Relationship Id="rId1" Type="http://schemas.openxmlformats.org/officeDocument/2006/relationships/image" Target="../media/image1.png"/><Relationship Id="rId6" Type="http://schemas.openxmlformats.org/officeDocument/2006/relationships/hyperlink" Target="#'Univariate sensitivity analyses'!A1"/><Relationship Id="rId5" Type="http://schemas.openxmlformats.org/officeDocument/2006/relationships/hyperlink" Target="#'Country selection'!A1"/><Relationship Id="rId4" Type="http://schemas.openxmlformats.org/officeDocument/2006/relationships/hyperlink" Target="#Output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Univariate sensitivity analyses'!A1"/><Relationship Id="rId3" Type="http://schemas.openxmlformats.org/officeDocument/2006/relationships/image" Target="../media/image1.png"/><Relationship Id="rId7" Type="http://schemas.openxmlformats.org/officeDocument/2006/relationships/hyperlink" Target="#'Country selection'!A1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hyperlink" Target="#Output!A1"/><Relationship Id="rId11" Type="http://schemas.openxmlformats.org/officeDocument/2006/relationships/hyperlink" Target="#USA!A1"/><Relationship Id="rId5" Type="http://schemas.openxmlformats.org/officeDocument/2006/relationships/hyperlink" Target="#Customisation!A1"/><Relationship Id="rId10" Type="http://schemas.openxmlformats.org/officeDocument/2006/relationships/hyperlink" Target="#PSA!A1"/><Relationship Id="rId4" Type="http://schemas.openxmlformats.org/officeDocument/2006/relationships/hyperlink" Target="#'Age data'!A1"/><Relationship Id="rId9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1028700</xdr:colOff>
      <xdr:row>28</xdr:row>
      <xdr:rowOff>9525</xdr:rowOff>
    </xdr:from>
    <xdr:to>
      <xdr:col>9</xdr:col>
      <xdr:colOff>66675</xdr:colOff>
      <xdr:row>30</xdr:row>
      <xdr:rowOff>161925</xdr:rowOff>
    </xdr:to>
    <xdr:sp macro="" textlink="">
      <xdr:nvSpPr>
        <xdr:cNvPr id="2049" name="Right Arrow 204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5800725" y="7058025"/>
          <a:ext cx="2543175" cy="533400"/>
        </a:xfrm>
        <a:prstGeom prst="rightArrow">
          <a:avLst/>
        </a:prstGeom>
        <a:solidFill>
          <a:schemeClr val="accent5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Customise input values</a:t>
          </a:r>
        </a:p>
      </xdr:txBody>
    </xdr:sp>
    <xdr:clientData/>
  </xdr:twoCellAnchor>
  <xdr:twoCellAnchor editAs="oneCell">
    <xdr:from>
      <xdr:col>0</xdr:col>
      <xdr:colOff>0</xdr:colOff>
      <xdr:row>0</xdr:row>
      <xdr:rowOff>38100</xdr:rowOff>
    </xdr:from>
    <xdr:to>
      <xdr:col>2</xdr:col>
      <xdr:colOff>47625</xdr:colOff>
      <xdr:row>0</xdr:row>
      <xdr:rowOff>1457325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419225" cy="1419225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0</xdr:row>
      <xdr:rowOff>276225</xdr:rowOff>
    </xdr:from>
    <xdr:to>
      <xdr:col>12</xdr:col>
      <xdr:colOff>501650</xdr:colOff>
      <xdr:row>1</xdr:row>
      <xdr:rowOff>9525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9525" y="276225"/>
          <a:ext cx="9998075" cy="1638300"/>
          <a:chOff x="9525" y="276225"/>
          <a:chExt cx="10461625" cy="1638300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9525" y="276225"/>
            <a:ext cx="10461625" cy="1638300"/>
            <a:chOff x="9525" y="123825"/>
            <a:chExt cx="10003147" cy="1638300"/>
          </a:xfrm>
        </xdr:grpSpPr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9525" y="1047749"/>
              <a:ext cx="10003147" cy="714376"/>
              <a:chOff x="238125" y="752474"/>
              <a:chExt cx="10003147" cy="714376"/>
            </a:xfrm>
          </xdr:grpSpPr>
          <xdr:sp macro="" textlink="">
            <xdr:nvSpPr>
              <xdr:cNvPr id="18" name="Round Same Side Corner Rectangle 17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/>
            </xdr:nvSpPr>
            <xdr:spPr bwMode="auto">
              <a:xfrm>
                <a:off x="5949950" y="752474"/>
                <a:ext cx="1314450" cy="219075"/>
              </a:xfrm>
              <a:prstGeom prst="round2SameRect">
                <a:avLst/>
              </a:prstGeom>
              <a:solidFill>
                <a:schemeClr val="accent6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Age Data</a:t>
                </a:r>
              </a:p>
            </xdr:txBody>
          </xdr:sp>
          <xdr:sp macro="" textlink="">
            <xdr:nvSpPr>
              <xdr:cNvPr id="19" name="Round Same Side Corner Rectangle 18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/>
            </xdr:nvSpPr>
            <xdr:spPr bwMode="auto">
              <a:xfrm>
                <a:off x="4594225" y="752474"/>
                <a:ext cx="1314450" cy="219075"/>
              </a:xfrm>
              <a:prstGeom prst="round2SameRect">
                <a:avLst/>
              </a:prstGeom>
              <a:solidFill>
                <a:schemeClr val="accent5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Customisation</a:t>
                </a:r>
              </a:p>
            </xdr:txBody>
          </xdr:sp>
          <xdr:sp macro="" textlink="">
            <xdr:nvSpPr>
              <xdr:cNvPr id="20" name="Round Same Side Corner Rectangle 19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0000000-0008-0000-0000-000014000000}"/>
                  </a:ext>
                </a:extLst>
              </xdr:cNvPr>
              <xdr:cNvSpPr/>
            </xdr:nvSpPr>
            <xdr:spPr bwMode="auto">
              <a:xfrm>
                <a:off x="7305675" y="752474"/>
                <a:ext cx="1314450" cy="219075"/>
              </a:xfrm>
              <a:prstGeom prst="round2SameRect">
                <a:avLst/>
              </a:prstGeom>
              <a:solidFill>
                <a:schemeClr val="accent4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Output</a:t>
                </a:r>
              </a:p>
            </xdr:txBody>
          </xdr:sp>
          <xdr:grpSp>
            <xdr:nvGrpSpPr>
              <xdr:cNvPr id="21" name="Group 20">
                <a:extLst>
                  <a:ext uri="{FF2B5EF4-FFF2-40B4-BE49-F238E27FC236}">
                    <a16:creationId xmlns:a16="http://schemas.microsoft.com/office/drawing/2014/main" id="{00000000-0008-0000-0000-000015000000}"/>
                  </a:ext>
                </a:extLst>
              </xdr:cNvPr>
              <xdr:cNvGrpSpPr/>
            </xdr:nvGrpSpPr>
            <xdr:grpSpPr>
              <a:xfrm>
                <a:off x="238125" y="790574"/>
                <a:ext cx="10003147" cy="676276"/>
                <a:chOff x="238125" y="790574"/>
                <a:chExt cx="10003147" cy="676276"/>
              </a:xfrm>
            </xdr:grpSpPr>
            <xdr:sp macro="" textlink="">
              <xdr:nvSpPr>
                <xdr:cNvPr id="22" name="Round Same Side Corner Rectangle 21">
                  <a:hlinkClick xmlns:r="http://schemas.openxmlformats.org/officeDocument/2006/relationships" r:id="rId5"/>
                  <a:extLst>
                    <a:ext uri="{FF2B5EF4-FFF2-40B4-BE49-F238E27FC236}">
                      <a16:creationId xmlns:a16="http://schemas.microsoft.com/office/drawing/2014/main" id="{00000000-0008-0000-0000-000016000000}"/>
                    </a:ext>
                  </a:extLst>
                </xdr:cNvPr>
                <xdr:cNvSpPr/>
              </xdr:nvSpPr>
              <xdr:spPr bwMode="auto">
                <a:xfrm>
                  <a:off x="3238500" y="790574"/>
                  <a:ext cx="1314450" cy="219075"/>
                </a:xfrm>
                <a:prstGeom prst="round2SameRect">
                  <a:avLst/>
                </a:prstGeom>
                <a:solidFill>
                  <a:schemeClr val="accent3"/>
                </a:solidFill>
                <a:ln w="9525" cap="flat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xdr:spPr>
              <xdr:txBody>
                <a:bodyPr vertOverflow="clip" horzOverflow="clip" wrap="square" lIns="18288" tIns="0" rIns="0" bIns="0" rtlCol="0" anchor="ctr" upright="1"/>
                <a:lstStyle/>
                <a:p>
                  <a:pPr algn="ctr"/>
                  <a:r>
                    <a:rPr lang="en-GB" sz="1200">
                      <a:solidFill>
                        <a:schemeClr val="bg1"/>
                      </a:solidFill>
                    </a:rPr>
                    <a:t>Country Selection</a:t>
                  </a: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00000000-0008-0000-0000-000017000000}"/>
                    </a:ext>
                  </a:extLst>
                </xdr:cNvPr>
                <xdr:cNvSpPr/>
              </xdr:nvSpPr>
              <xdr:spPr bwMode="auto">
                <a:xfrm>
                  <a:off x="238125" y="1009650"/>
                  <a:ext cx="10003147" cy="457200"/>
                </a:xfrm>
                <a:prstGeom prst="rect">
                  <a:avLst/>
                </a:prstGeom>
                <a:solidFill>
                  <a:schemeClr val="accent3"/>
                </a:solidFill>
                <a:ln w="9525" cap="flat" cmpd="sng" algn="ctr">
                  <a:noFill/>
                  <a:prstDash val="solid"/>
                  <a:round/>
                  <a:headEnd type="none" w="med" len="med"/>
                  <a:tailEnd type="none" w="med" len="med"/>
                </a:ln>
                <a:effectLst/>
              </xdr:spPr>
              <xdr:txBody>
                <a:bodyPr vertOverflow="clip" horzOverflow="clip" wrap="square" lIns="18288" tIns="0" rIns="0" bIns="0" rtlCol="0" anchor="ctr" upright="1"/>
                <a:lstStyle/>
                <a:p>
                  <a:pPr lvl="1" algn="l"/>
                  <a:r>
                    <a:rPr lang="en-GB" sz="1600">
                      <a:solidFill>
                        <a:schemeClr val="bg1"/>
                      </a:solidFill>
                    </a:rPr>
                    <a:t> Step 1:</a:t>
                  </a:r>
                  <a:r>
                    <a:rPr lang="en-GB" sz="1600" baseline="0">
                      <a:solidFill>
                        <a:schemeClr val="bg1"/>
                      </a:solidFill>
                    </a:rPr>
                    <a:t> Select country to localise input data</a:t>
                  </a:r>
                  <a:endParaRPr lang="en-GB" sz="1600">
                    <a:solidFill>
                      <a:schemeClr val="bg1"/>
                    </a:solidFill>
                  </a:endParaRPr>
                </a:p>
              </xdr:txBody>
            </xdr:sp>
          </xdr:grpSp>
        </xdr:grpSp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 txBox="1"/>
          </xdr:nvSpPr>
          <xdr:spPr>
            <a:xfrm>
              <a:off x="1228725" y="123825"/>
              <a:ext cx="6400800" cy="8858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2400"/>
                <a:t>PRIME Tool</a:t>
              </a:r>
              <a:r>
                <a:rPr lang="en-GB" sz="2400" baseline="0"/>
                <a:t> </a:t>
              </a:r>
              <a:r>
                <a:rPr lang="en-US" altLang="zh-CN" sz="2400"/>
                <a:t>&amp; </a:t>
              </a:r>
              <a:r>
                <a:rPr lang="en-US" altLang="zh-CN" sz="24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Uncertainty Analysis</a:t>
              </a:r>
              <a:r>
                <a:rPr lang="en-GB" sz="240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 </a:t>
              </a:r>
              <a:endParaRPr lang="en-GB" sz="240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200"/>
                <a:t>HPV</a:t>
              </a:r>
              <a:r>
                <a:rPr lang="en-GB" sz="1200" baseline="0"/>
                <a:t> Vaccination cost-effective assessment and </a:t>
              </a:r>
              <a:r>
                <a:rPr lang="en-GB" altLang="zh-CN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</a:t>
              </a:r>
              <a:r>
                <a:rPr lang="en-US" altLang="zh-CN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ensitivity</a:t>
              </a:r>
              <a:r>
                <a:rPr lang="en-US" altLang="zh-CN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analyses</a:t>
              </a:r>
              <a:endParaRPr lang="en-GB" sz="1200" baseline="0"/>
            </a:p>
            <a:p>
              <a:r>
                <a:rPr lang="en-GB" sz="1200" baseline="0"/>
                <a:t>More information at </a:t>
              </a:r>
              <a:r>
                <a:rPr lang="en-US" altLang="zh-CN" sz="1200">
                  <a:solidFill>
                    <a:sysClr val="windowText" lastClr="000000"/>
                  </a:solidFill>
                  <a:hlinkClick xmlns:r="http://schemas.openxmlformats.org/officeDocument/2006/relationships" r:id="">
                    <a:extLst>
                      <a:ext uri="{A12FA001-AC4F-418D-AE19-62706E023703}">
                        <ahyp:hlinkClr xmlns:ahyp="http://schemas.microsoft.com/office/drawing/2018/hyperlinkcolor" val="tx"/>
                      </a:ext>
                    </a:extLst>
                  </a:hlinkClick>
                </a:rPr>
                <a:t>GitHub</a:t>
              </a:r>
              <a:endParaRPr lang="en-GB" sz="2000">
                <a:solidFill>
                  <a:sysClr val="windowText" lastClr="000000"/>
                </a:solidFill>
              </a:endParaRPr>
            </a:p>
          </xdr:txBody>
        </xdr:sp>
      </xdr:grpSp>
      <xdr:sp macro="[0]!RoundSameSideCornerRectangle21_Click" textlink="">
        <xdr:nvSpPr>
          <xdr:cNvPr id="16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 bwMode="auto">
          <a:xfrm>
            <a:off x="8810624" y="1190625"/>
            <a:ext cx="1640573" cy="219075"/>
          </a:xfrm>
          <a:prstGeom prst="round2SameRect">
            <a:avLst/>
          </a:prstGeom>
          <a:solidFill>
            <a:schemeClr val="accent2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lang="en-GB" sz="1200">
                <a:solidFill>
                  <a:schemeClr val="bg1"/>
                </a:solidFill>
              </a:rPr>
              <a:t>S</a:t>
            </a:r>
            <a:r>
              <a:rPr lang="en-US" altLang="zh-CN" sz="1200">
                <a:solidFill>
                  <a:schemeClr val="bg1"/>
                </a:solidFill>
              </a:rPr>
              <a:t>ensitivity</a:t>
            </a:r>
            <a:r>
              <a:rPr lang="en-US" altLang="zh-CN" sz="1200" baseline="0">
                <a:solidFill>
                  <a:schemeClr val="bg1"/>
                </a:solidFill>
              </a:rPr>
              <a:t> analyses</a:t>
            </a:r>
            <a:endParaRPr lang="en-GB" sz="12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4</xdr:col>
      <xdr:colOff>1066800</xdr:colOff>
      <xdr:row>36</xdr:row>
      <xdr:rowOff>47625</xdr:rowOff>
    </xdr:from>
    <xdr:to>
      <xdr:col>9</xdr:col>
      <xdr:colOff>114300</xdr:colOff>
      <xdr:row>39</xdr:row>
      <xdr:rowOff>38100</xdr:rowOff>
    </xdr:to>
    <xdr:sp macro="" textlink="">
      <xdr:nvSpPr>
        <xdr:cNvPr id="30" name="Right Arrow 3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5838825" y="8620125"/>
          <a:ext cx="2533650" cy="561975"/>
        </a:xfrm>
        <a:prstGeom prst="rightArrow">
          <a:avLst/>
        </a:prstGeom>
        <a:solidFill>
          <a:srgbClr val="BD4A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Sensitivity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analysis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input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>
              <a:solidFill>
                <a:schemeClr val="bg1"/>
              </a:solidFill>
            </a:rPr>
            <a:t>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1038225</xdr:colOff>
      <xdr:row>31</xdr:row>
      <xdr:rowOff>171450</xdr:rowOff>
    </xdr:from>
    <xdr:to>
      <xdr:col>9</xdr:col>
      <xdr:colOff>85725</xdr:colOff>
      <xdr:row>34</xdr:row>
      <xdr:rowOff>161925</xdr:rowOff>
    </xdr:to>
    <xdr:sp macro="" textlink="">
      <xdr:nvSpPr>
        <xdr:cNvPr id="31" name="Right Arrow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5810250" y="7791450"/>
          <a:ext cx="2533650" cy="561975"/>
        </a:xfrm>
        <a:prstGeom prst="rightArrow">
          <a:avLst/>
        </a:prstGeom>
        <a:solidFill>
          <a:schemeClr val="accent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View output using current 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123825</xdr:colOff>
      <xdr:row>26</xdr:row>
      <xdr:rowOff>57150</xdr:rowOff>
    </xdr:from>
    <xdr:to>
      <xdr:col>5</xdr:col>
      <xdr:colOff>1200150</xdr:colOff>
      <xdr:row>29</xdr:row>
      <xdr:rowOff>19050</xdr:rowOff>
    </xdr:to>
    <xdr:sp macro="" textlink="">
      <xdr:nvSpPr>
        <xdr:cNvPr id="23" name="Right Arrow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 rot="10800000">
          <a:off x="5572125" y="6724650"/>
          <a:ext cx="2543175" cy="53340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 editAs="absolute">
    <xdr:from>
      <xdr:col>4</xdr:col>
      <xdr:colOff>390525</xdr:colOff>
      <xdr:row>29</xdr:row>
      <xdr:rowOff>114300</xdr:rowOff>
    </xdr:from>
    <xdr:to>
      <xdr:col>6</xdr:col>
      <xdr:colOff>95250</xdr:colOff>
      <xdr:row>32</xdr:row>
      <xdr:rowOff>76200</xdr:rowOff>
    </xdr:to>
    <xdr:sp macro="" textlink="">
      <xdr:nvSpPr>
        <xdr:cNvPr id="25" name="Right Arrow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5838825" y="7353300"/>
          <a:ext cx="2543175" cy="533400"/>
        </a:xfrm>
        <a:prstGeom prst="rightArrow">
          <a:avLst/>
        </a:prstGeom>
        <a:solidFill>
          <a:schemeClr val="accent6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Further</a:t>
          </a:r>
          <a:r>
            <a:rPr lang="en-GB" sz="1200" baseline="0">
              <a:solidFill>
                <a:schemeClr val="bg1"/>
              </a:solidFill>
            </a:rPr>
            <a:t> customise - edit age data</a:t>
          </a:r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390525</xdr:colOff>
      <xdr:row>32</xdr:row>
      <xdr:rowOff>161925</xdr:rowOff>
    </xdr:from>
    <xdr:to>
      <xdr:col>6</xdr:col>
      <xdr:colOff>104775</xdr:colOff>
      <xdr:row>35</xdr:row>
      <xdr:rowOff>152400</xdr:rowOff>
    </xdr:to>
    <xdr:sp macro="" textlink="">
      <xdr:nvSpPr>
        <xdr:cNvPr id="26" name="Right Arrow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5838825" y="7972425"/>
          <a:ext cx="2552700" cy="561975"/>
        </a:xfrm>
        <a:prstGeom prst="rightArrow">
          <a:avLst/>
        </a:prstGeom>
        <a:solidFill>
          <a:schemeClr val="accent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View output using current 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28575</xdr:colOff>
      <xdr:row>0</xdr:row>
      <xdr:rowOff>1457325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419225" cy="1419225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0</xdr:row>
      <xdr:rowOff>247650</xdr:rowOff>
    </xdr:from>
    <xdr:to>
      <xdr:col>5</xdr:col>
      <xdr:colOff>720655</xdr:colOff>
      <xdr:row>0</xdr:row>
      <xdr:rowOff>1133475</xdr:rowOff>
    </xdr:to>
    <xdr:sp macro="" textlink="">
      <xdr:nvSpPr>
        <xdr:cNvPr id="15" name="TextBox 1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238250" y="247650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Analysis</a:t>
          </a:r>
          <a:r>
            <a:rPr lang="en-GB" sz="24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</a:t>
          </a:r>
          <a:r>
            <a:rPr lang="en-US" altLang="zh-CN" sz="1200">
              <a:solidFill>
                <a:sysClr val="windowText" lastClr="000000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GitHub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1193799</xdr:rowOff>
    </xdr:from>
    <xdr:to>
      <xdr:col>8</xdr:col>
      <xdr:colOff>1663700</xdr:colOff>
      <xdr:row>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1193799"/>
          <a:ext cx="10445750" cy="711201"/>
          <a:chOff x="0" y="1193799"/>
          <a:chExt cx="10833100" cy="711201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pSpPr/>
        </xdr:nvGrpSpPr>
        <xdr:grpSpPr>
          <a:xfrm>
            <a:off x="0" y="1194106"/>
            <a:ext cx="10833100" cy="710894"/>
            <a:chOff x="238125" y="755956"/>
            <a:chExt cx="10384671" cy="710894"/>
          </a:xfrm>
        </xdr:grpSpPr>
        <xdr:sp macro="" textlink="">
          <xdr:nvSpPr>
            <xdr:cNvPr id="17" name="Round Same Side Corner Rectangle 1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 bwMode="auto">
            <a:xfrm>
              <a:off x="5949950" y="755956"/>
              <a:ext cx="1314450" cy="219075"/>
            </a:xfrm>
            <a:prstGeom prst="round2SameRect">
              <a:avLst/>
            </a:prstGeom>
            <a:solidFill>
              <a:schemeClr val="accent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Age Data</a:t>
              </a:r>
            </a:p>
          </xdr:txBody>
        </xdr:sp>
        <xdr:sp macro="" textlink="">
          <xdr:nvSpPr>
            <xdr:cNvPr id="18" name="Round Same Side Corner Rectangle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/>
          </xdr:nvSpPr>
          <xdr:spPr bwMode="auto">
            <a:xfrm>
              <a:off x="4594225" y="790574"/>
              <a:ext cx="1314450" cy="219075"/>
            </a:xfrm>
            <a:prstGeom prst="round2SameRect">
              <a:avLst/>
            </a:prstGeom>
            <a:solidFill>
              <a:schemeClr val="accent5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Customisation</a:t>
              </a:r>
            </a:p>
          </xdr:txBody>
        </xdr:sp>
        <xdr:sp macro="" textlink="">
          <xdr:nvSpPr>
            <xdr:cNvPr id="19" name="Round Same Side Corner Rectangle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/>
          </xdr:nvSpPr>
          <xdr:spPr bwMode="auto">
            <a:xfrm>
              <a:off x="7305675" y="755956"/>
              <a:ext cx="1314450" cy="219075"/>
            </a:xfrm>
            <a:prstGeom prst="round2SameRect">
              <a:avLst/>
            </a:prstGeom>
            <a:solidFill>
              <a:schemeClr val="accent4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Output</a:t>
              </a:r>
            </a:p>
          </xdr:txBody>
        </xdr:sp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pSpPr/>
          </xdr:nvGrpSpPr>
          <xdr:grpSpPr>
            <a:xfrm>
              <a:off x="238125" y="755956"/>
              <a:ext cx="10384671" cy="710894"/>
              <a:chOff x="238125" y="755956"/>
              <a:chExt cx="10384671" cy="710894"/>
            </a:xfrm>
          </xdr:grpSpPr>
          <xdr:sp macro="" textlink="">
            <xdr:nvSpPr>
              <xdr:cNvPr id="21" name="Round Same Side Corner Rectangle 20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00000000-0008-0000-0100-000015000000}"/>
                  </a:ext>
                </a:extLst>
              </xdr:cNvPr>
              <xdr:cNvSpPr/>
            </xdr:nvSpPr>
            <xdr:spPr bwMode="auto">
              <a:xfrm>
                <a:off x="3238500" y="755956"/>
                <a:ext cx="1314450" cy="219075"/>
              </a:xfrm>
              <a:prstGeom prst="round2SameRect">
                <a:avLst/>
              </a:prstGeom>
              <a:solidFill>
                <a:schemeClr val="accent3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Country Selection</a:t>
                </a:r>
              </a:p>
            </xdr:txBody>
          </xdr:sp>
          <xdr:sp macro="" textlink="">
            <xdr:nvSpPr>
              <xdr:cNvPr id="22" name="Rectangle 21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/>
            </xdr:nvSpPr>
            <xdr:spPr bwMode="auto">
              <a:xfrm>
                <a:off x="238125" y="1009650"/>
                <a:ext cx="10384671" cy="457200"/>
              </a:xfrm>
              <a:prstGeom prst="rect">
                <a:avLst/>
              </a:prstGeom>
              <a:solidFill>
                <a:schemeClr val="accent5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lvl="1" algn="l"/>
                <a:r>
                  <a:rPr lang="en-GB" sz="1600">
                    <a:solidFill>
                      <a:schemeClr val="bg1"/>
                    </a:solidFill>
                  </a:rPr>
                  <a:t> Optional Step 2: Override</a:t>
                </a:r>
                <a:r>
                  <a:rPr lang="en-GB" sz="1600" baseline="0">
                    <a:solidFill>
                      <a:schemeClr val="bg1"/>
                    </a:solidFill>
                  </a:rPr>
                  <a:t> country-specific input data</a:t>
                </a:r>
                <a:endParaRPr lang="en-GB" sz="1600">
                  <a:solidFill>
                    <a:schemeClr val="bg1"/>
                  </a:solidFill>
                </a:endParaRPr>
              </a:p>
            </xdr:txBody>
          </xdr:sp>
        </xdr:grpSp>
      </xdr:grpSp>
      <xdr:sp macro="[0]!RoundSameSideCornerRectangle21_Click" textlink="">
        <xdr:nvSpPr>
          <xdr:cNvPr id="16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 bwMode="auto">
          <a:xfrm>
            <a:off x="8799266" y="1193799"/>
            <a:ext cx="2033834" cy="219689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390525</xdr:colOff>
      <xdr:row>111</xdr:row>
      <xdr:rowOff>85725</xdr:rowOff>
    </xdr:from>
    <xdr:to>
      <xdr:col>15</xdr:col>
      <xdr:colOff>38100</xdr:colOff>
      <xdr:row>114</xdr:row>
      <xdr:rowOff>47625</xdr:rowOff>
    </xdr:to>
    <xdr:sp macro="" textlink="">
      <xdr:nvSpPr>
        <xdr:cNvPr id="34" name="Right Arrow 3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 rot="10800000">
          <a:off x="5543550" y="23431500"/>
          <a:ext cx="2543175" cy="53340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 editAs="absolute">
    <xdr:from>
      <xdr:col>8</xdr:col>
      <xdr:colOff>657225</xdr:colOff>
      <xdr:row>117</xdr:row>
      <xdr:rowOff>152400</xdr:rowOff>
    </xdr:from>
    <xdr:to>
      <xdr:col>15</xdr:col>
      <xdr:colOff>314325</xdr:colOff>
      <xdr:row>120</xdr:row>
      <xdr:rowOff>142875</xdr:rowOff>
    </xdr:to>
    <xdr:sp macro="" textlink="">
      <xdr:nvSpPr>
        <xdr:cNvPr id="36" name="Right Arrow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5810250" y="24641175"/>
          <a:ext cx="2552700" cy="561975"/>
        </a:xfrm>
        <a:prstGeom prst="rightArrow">
          <a:avLst/>
        </a:prstGeom>
        <a:solidFill>
          <a:schemeClr val="accent4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View output using current 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8</xdr:col>
      <xdr:colOff>400050</xdr:colOff>
      <xdr:row>114</xdr:row>
      <xdr:rowOff>152400</xdr:rowOff>
    </xdr:from>
    <xdr:to>
      <xdr:col>15</xdr:col>
      <xdr:colOff>47625</xdr:colOff>
      <xdr:row>117</xdr:row>
      <xdr:rowOff>114300</xdr:rowOff>
    </xdr:to>
    <xdr:sp macro="" textlink="">
      <xdr:nvSpPr>
        <xdr:cNvPr id="37" name="Right Arrow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 rot="10800000">
          <a:off x="5553075" y="24069675"/>
          <a:ext cx="2543175" cy="533400"/>
        </a:xfrm>
        <a:prstGeom prst="rightArrow">
          <a:avLst/>
        </a:prstGeom>
        <a:solidFill>
          <a:schemeClr val="accent5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Customise these values</a:t>
          </a:r>
        </a:p>
      </xdr:txBody>
    </xdr:sp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38100</xdr:colOff>
      <xdr:row>0</xdr:row>
      <xdr:rowOff>1457325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419225" cy="1419225"/>
        </a:xfrm>
        <a:prstGeom prst="rect">
          <a:avLst/>
        </a:prstGeom>
      </xdr:spPr>
    </xdr:pic>
    <xdr:clientData/>
  </xdr:twoCellAnchor>
  <xdr:twoCellAnchor>
    <xdr:from>
      <xdr:col>0</xdr:col>
      <xdr:colOff>1162050</xdr:colOff>
      <xdr:row>0</xdr:row>
      <xdr:rowOff>247650</xdr:rowOff>
    </xdr:from>
    <xdr:to>
      <xdr:col>11</xdr:col>
      <xdr:colOff>120580</xdr:colOff>
      <xdr:row>0</xdr:row>
      <xdr:rowOff>1133475</xdr:rowOff>
    </xdr:to>
    <xdr:sp macro="" textlink="">
      <xdr:nvSpPr>
        <xdr:cNvPr id="16" name="TextBox 16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162050" y="247650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Analysis</a:t>
          </a:r>
          <a:r>
            <a:rPr lang="en-GB" sz="24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</a:t>
          </a:r>
          <a:r>
            <a:rPr lang="en-US" altLang="zh-CN" sz="1200">
              <a:solidFill>
                <a:sysClr val="windowText" lastClr="000000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GitHub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</xdr:colOff>
      <xdr:row>0</xdr:row>
      <xdr:rowOff>1186854</xdr:rowOff>
    </xdr:from>
    <xdr:to>
      <xdr:col>18</xdr:col>
      <xdr:colOff>215901</xdr:colOff>
      <xdr:row>1</xdr:row>
      <xdr:rowOff>3722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" y="1186854"/>
          <a:ext cx="10093325" cy="721868"/>
          <a:chOff x="1" y="1186854"/>
          <a:chExt cx="10464800" cy="72186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" y="1186912"/>
            <a:ext cx="10464800" cy="721810"/>
            <a:chOff x="229025" y="746676"/>
            <a:chExt cx="9998940" cy="720174"/>
          </a:xfrm>
        </xdr:grpSpPr>
        <xdr:sp macro="" textlink="">
          <xdr:nvSpPr>
            <xdr:cNvPr id="28" name="Round Same Side Corner Rectangle 2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 bwMode="auto">
            <a:xfrm>
              <a:off x="5949950" y="790574"/>
              <a:ext cx="1314450" cy="219075"/>
            </a:xfrm>
            <a:prstGeom prst="round2SameRect">
              <a:avLst/>
            </a:prstGeom>
            <a:solidFill>
              <a:schemeClr val="accent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Age Data</a:t>
              </a:r>
            </a:p>
          </xdr:txBody>
        </xdr:sp>
        <xdr:sp macro="" textlink="">
          <xdr:nvSpPr>
            <xdr:cNvPr id="29" name="Round Same Side Corner Rectangle 2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 bwMode="auto">
            <a:xfrm>
              <a:off x="4594225" y="746676"/>
              <a:ext cx="1314450" cy="219075"/>
            </a:xfrm>
            <a:prstGeom prst="round2SameRect">
              <a:avLst/>
            </a:prstGeom>
            <a:solidFill>
              <a:schemeClr val="accent5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Customisation</a:t>
              </a:r>
            </a:p>
          </xdr:txBody>
        </xdr:sp>
        <xdr:sp macro="" textlink="">
          <xdr:nvSpPr>
            <xdr:cNvPr id="30" name="Round Same Side Corner Rectangle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/>
          </xdr:nvSpPr>
          <xdr:spPr bwMode="auto">
            <a:xfrm>
              <a:off x="7305675" y="746676"/>
              <a:ext cx="1314450" cy="219075"/>
            </a:xfrm>
            <a:prstGeom prst="round2SameRect">
              <a:avLst/>
            </a:prstGeom>
            <a:solidFill>
              <a:schemeClr val="accent4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Output</a:t>
              </a:r>
            </a:p>
          </xdr:txBody>
        </xdr:sp>
        <xdr:grpSp>
          <xdr:nvGrpSpPr>
            <xdr:cNvPr id="31" name="Group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GrpSpPr/>
          </xdr:nvGrpSpPr>
          <xdr:grpSpPr>
            <a:xfrm>
              <a:off x="229025" y="746676"/>
              <a:ext cx="9998940" cy="720174"/>
              <a:chOff x="229025" y="746676"/>
              <a:chExt cx="9998940" cy="720174"/>
            </a:xfrm>
          </xdr:grpSpPr>
          <xdr:sp macro="" textlink="">
            <xdr:nvSpPr>
              <xdr:cNvPr id="32" name="Round Same Side Corner Rectangle 31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200-000020000000}"/>
                  </a:ext>
                </a:extLst>
              </xdr:cNvPr>
              <xdr:cNvSpPr/>
            </xdr:nvSpPr>
            <xdr:spPr bwMode="auto">
              <a:xfrm>
                <a:off x="3238500" y="746676"/>
                <a:ext cx="1314450" cy="219075"/>
              </a:xfrm>
              <a:prstGeom prst="round2SameRect">
                <a:avLst/>
              </a:prstGeom>
              <a:solidFill>
                <a:schemeClr val="accent3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Country Selection</a:t>
                </a:r>
              </a:p>
            </xdr:txBody>
          </xdr:sp>
          <xdr:sp macro="" textlink="">
            <xdr:nvSpPr>
              <xdr:cNvPr id="33" name="Rectangle 32">
                <a:extLst>
                  <a:ext uri="{FF2B5EF4-FFF2-40B4-BE49-F238E27FC236}">
                    <a16:creationId xmlns:a16="http://schemas.microsoft.com/office/drawing/2014/main" id="{00000000-0008-0000-0200-000021000000}"/>
                  </a:ext>
                </a:extLst>
              </xdr:cNvPr>
              <xdr:cNvSpPr/>
            </xdr:nvSpPr>
            <xdr:spPr bwMode="auto">
              <a:xfrm>
                <a:off x="229025" y="1009650"/>
                <a:ext cx="9998940" cy="457200"/>
              </a:xfrm>
              <a:prstGeom prst="rect">
                <a:avLst/>
              </a:prstGeom>
              <a:solidFill>
                <a:schemeClr val="accent6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lvl="1" algn="l"/>
                <a:r>
                  <a:rPr lang="en-GB" sz="1600">
                    <a:solidFill>
                      <a:schemeClr val="bg1"/>
                    </a:solidFill>
                  </a:rPr>
                  <a:t> Optional Step 3:</a:t>
                </a:r>
                <a:r>
                  <a:rPr lang="en-GB" sz="1600" baseline="0">
                    <a:solidFill>
                      <a:schemeClr val="bg1"/>
                    </a:solidFill>
                  </a:rPr>
                  <a:t> Override age-related data</a:t>
                </a:r>
                <a:endParaRPr lang="en-GB" sz="1600">
                  <a:solidFill>
                    <a:schemeClr val="bg1"/>
                  </a:solidFill>
                </a:endParaRPr>
              </a:p>
            </xdr:txBody>
          </xdr:sp>
        </xdr:grpSp>
      </xdr:grpSp>
      <xdr:sp macro="[0]!RoundSameSideCornerRectangle21_Click" textlink="">
        <xdr:nvSpPr>
          <xdr:cNvPr id="21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 bwMode="auto">
          <a:xfrm>
            <a:off x="8823188" y="1186854"/>
            <a:ext cx="1641612" cy="219689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180976</xdr:colOff>
      <xdr:row>28</xdr:row>
      <xdr:rowOff>66675</xdr:rowOff>
    </xdr:from>
    <xdr:to>
      <xdr:col>4</xdr:col>
      <xdr:colOff>28575</xdr:colOff>
      <xdr:row>45</xdr:row>
      <xdr:rowOff>177165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771525</xdr:colOff>
      <xdr:row>49</xdr:row>
      <xdr:rowOff>95250</xdr:rowOff>
    </xdr:from>
    <xdr:to>
      <xdr:col>5</xdr:col>
      <xdr:colOff>1123950</xdr:colOff>
      <xdr:row>52</xdr:row>
      <xdr:rowOff>57150</xdr:rowOff>
    </xdr:to>
    <xdr:sp macro="" textlink="">
      <xdr:nvSpPr>
        <xdr:cNvPr id="25" name="Right Arrow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 bwMode="auto">
        <a:xfrm rot="10800000">
          <a:off x="5819775" y="11220450"/>
          <a:ext cx="2543175" cy="53340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 editAs="absolute">
    <xdr:from>
      <xdr:col>3</xdr:col>
      <xdr:colOff>781050</xdr:colOff>
      <xdr:row>52</xdr:row>
      <xdr:rowOff>161925</xdr:rowOff>
    </xdr:from>
    <xdr:to>
      <xdr:col>5</xdr:col>
      <xdr:colOff>1133475</xdr:colOff>
      <xdr:row>55</xdr:row>
      <xdr:rowOff>123825</xdr:rowOff>
    </xdr:to>
    <xdr:sp macro="" textlink="">
      <xdr:nvSpPr>
        <xdr:cNvPr id="26" name="Right Arrow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 bwMode="auto">
        <a:xfrm rot="10800000">
          <a:off x="5829300" y="11858625"/>
          <a:ext cx="2543175" cy="533400"/>
        </a:xfrm>
        <a:prstGeom prst="rightArrow">
          <a:avLst/>
        </a:prstGeom>
        <a:solidFill>
          <a:schemeClr val="accent5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Customise input values</a:t>
          </a:r>
        </a:p>
      </xdr:txBody>
    </xdr:sp>
    <xdr:clientData/>
  </xdr:twoCellAnchor>
  <xdr:twoCellAnchor editAs="absolute">
    <xdr:from>
      <xdr:col>3</xdr:col>
      <xdr:colOff>781050</xdr:colOff>
      <xdr:row>56</xdr:row>
      <xdr:rowOff>19050</xdr:rowOff>
    </xdr:from>
    <xdr:to>
      <xdr:col>5</xdr:col>
      <xdr:colOff>1133475</xdr:colOff>
      <xdr:row>58</xdr:row>
      <xdr:rowOff>171450</xdr:rowOff>
    </xdr:to>
    <xdr:sp macro="" textlink="">
      <xdr:nvSpPr>
        <xdr:cNvPr id="27" name="Right Arrow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auto">
        <a:xfrm rot="10800000">
          <a:off x="5829300" y="12477750"/>
          <a:ext cx="2543175" cy="533400"/>
        </a:xfrm>
        <a:prstGeom prst="rightArrow">
          <a:avLst/>
        </a:prstGeom>
        <a:solidFill>
          <a:schemeClr val="accent6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Further</a:t>
          </a:r>
          <a:r>
            <a:rPr lang="en-GB" sz="1200" baseline="0">
              <a:solidFill>
                <a:schemeClr val="bg1"/>
              </a:solidFill>
            </a:rPr>
            <a:t> customise - edit age data</a:t>
          </a:r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38100</xdr:rowOff>
    </xdr:from>
    <xdr:to>
      <xdr:col>0</xdr:col>
      <xdr:colOff>1419225</xdr:colOff>
      <xdr:row>0</xdr:row>
      <xdr:rowOff>1457325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"/>
          <a:ext cx="1419225" cy="1419225"/>
        </a:xfrm>
        <a:prstGeom prst="rect">
          <a:avLst/>
        </a:prstGeom>
      </xdr:spPr>
    </xdr:pic>
    <xdr:clientData/>
  </xdr:twoCellAnchor>
  <xdr:twoCellAnchor editAs="absolute">
    <xdr:from>
      <xdr:col>3</xdr:col>
      <xdr:colOff>838200</xdr:colOff>
      <xdr:row>59</xdr:row>
      <xdr:rowOff>66675</xdr:rowOff>
    </xdr:from>
    <xdr:to>
      <xdr:col>5</xdr:col>
      <xdr:colOff>1171575</xdr:colOff>
      <xdr:row>62</xdr:row>
      <xdr:rowOff>57150</xdr:rowOff>
    </xdr:to>
    <xdr:sp macro="" textlink="">
      <xdr:nvSpPr>
        <xdr:cNvPr id="21" name="Right Arrow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 bwMode="auto">
        <a:xfrm>
          <a:off x="5895975" y="13096875"/>
          <a:ext cx="2533650" cy="561975"/>
        </a:xfrm>
        <a:prstGeom prst="rightArrow">
          <a:avLst/>
        </a:prstGeom>
        <a:solidFill>
          <a:srgbClr val="BD4A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Sensitivity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analysis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input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>
              <a:solidFill>
                <a:schemeClr val="bg1"/>
              </a:solidFill>
            </a:rPr>
            <a:t>values</a:t>
          </a:r>
        </a:p>
        <a:p>
          <a:pPr algn="ctr"/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1247775</xdr:colOff>
      <xdr:row>0</xdr:row>
      <xdr:rowOff>238125</xdr:rowOff>
    </xdr:from>
    <xdr:to>
      <xdr:col>5</xdr:col>
      <xdr:colOff>387280</xdr:colOff>
      <xdr:row>0</xdr:row>
      <xdr:rowOff>1123950</xdr:rowOff>
    </xdr:to>
    <xdr:sp macro="" textlink="">
      <xdr:nvSpPr>
        <xdr:cNvPr id="23" name="TextBox 1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1247775" y="238125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Analysis</a:t>
          </a:r>
          <a:r>
            <a:rPr lang="en-GB" sz="24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</a:t>
          </a:r>
          <a:r>
            <a:rPr kumimoji="0" lang="en-US" altLang="zh-CN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GitHub</a:t>
          </a:r>
          <a:endParaRPr lang="en-GB" sz="2000"/>
        </a:p>
      </xdr:txBody>
    </xdr:sp>
    <xdr:clientData/>
  </xdr:twoCellAnchor>
  <xdr:twoCellAnchor>
    <xdr:from>
      <xdr:col>0</xdr:col>
      <xdr:colOff>9524</xdr:colOff>
      <xdr:row>0</xdr:row>
      <xdr:rowOff>1182380</xdr:rowOff>
    </xdr:from>
    <xdr:to>
      <xdr:col>8</xdr:col>
      <xdr:colOff>330199</xdr:colOff>
      <xdr:row>1</xdr:row>
      <xdr:rowOff>0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524" y="1182380"/>
          <a:ext cx="10055225" cy="722620"/>
          <a:chOff x="9524" y="1182380"/>
          <a:chExt cx="10455275" cy="722620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pSpPr/>
        </xdr:nvGrpSpPr>
        <xdr:grpSpPr>
          <a:xfrm>
            <a:off x="9524" y="1182687"/>
            <a:ext cx="10455275" cy="722313"/>
            <a:chOff x="238124" y="744537"/>
            <a:chExt cx="10022486" cy="722313"/>
          </a:xfrm>
        </xdr:grpSpPr>
        <xdr:sp macro="" textlink="">
          <xdr:nvSpPr>
            <xdr:cNvPr id="9" name="Round Same Side Corner Rectangle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/>
          </xdr:nvSpPr>
          <xdr:spPr bwMode="auto">
            <a:xfrm>
              <a:off x="5949950" y="744537"/>
              <a:ext cx="1314450" cy="219075"/>
            </a:xfrm>
            <a:prstGeom prst="round2SameRect">
              <a:avLst/>
            </a:prstGeom>
            <a:solidFill>
              <a:schemeClr val="accent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Age Data</a:t>
              </a:r>
            </a:p>
          </xdr:txBody>
        </xdr:sp>
        <xdr:sp macro="" textlink="">
          <xdr:nvSpPr>
            <xdr:cNvPr id="10" name="Round Same Side Corner Rectangle 9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/>
          </xdr:nvSpPr>
          <xdr:spPr bwMode="auto">
            <a:xfrm>
              <a:off x="4594225" y="744537"/>
              <a:ext cx="1314450" cy="219075"/>
            </a:xfrm>
            <a:prstGeom prst="round2SameRect">
              <a:avLst/>
            </a:prstGeom>
            <a:solidFill>
              <a:schemeClr val="accent5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Customisation</a:t>
              </a:r>
            </a:p>
          </xdr:txBody>
        </xdr:sp>
        <xdr:sp macro="" textlink="">
          <xdr:nvSpPr>
            <xdr:cNvPr id="11" name="Round Same Side Corner Rectangle 1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/>
          </xdr:nvSpPr>
          <xdr:spPr bwMode="auto">
            <a:xfrm>
              <a:off x="7305675" y="790574"/>
              <a:ext cx="1314450" cy="219075"/>
            </a:xfrm>
            <a:prstGeom prst="round2SameRect">
              <a:avLst/>
            </a:prstGeom>
            <a:solidFill>
              <a:schemeClr val="accent4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algn="ctr"/>
              <a:r>
                <a:rPr lang="en-GB" sz="1200">
                  <a:solidFill>
                    <a:schemeClr val="bg1"/>
                  </a:solidFill>
                </a:rPr>
                <a:t>Output</a:t>
              </a:r>
            </a:p>
          </xdr:txBody>
        </xdr: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pSpPr/>
          </xdr:nvGrpSpPr>
          <xdr:grpSpPr>
            <a:xfrm>
              <a:off x="238124" y="744537"/>
              <a:ext cx="10022486" cy="722313"/>
              <a:chOff x="238124" y="744537"/>
              <a:chExt cx="10022486" cy="722313"/>
            </a:xfrm>
          </xdr:grpSpPr>
          <xdr:sp macro="" textlink="">
            <xdr:nvSpPr>
              <xdr:cNvPr id="13" name="Round Same Side Corner Rectangle 12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0300-00000D000000}"/>
                  </a:ext>
                </a:extLst>
              </xdr:cNvPr>
              <xdr:cNvSpPr/>
            </xdr:nvSpPr>
            <xdr:spPr bwMode="auto">
              <a:xfrm>
                <a:off x="3238500" y="744537"/>
                <a:ext cx="1314450" cy="219075"/>
              </a:xfrm>
              <a:prstGeom prst="round2SameRect">
                <a:avLst/>
              </a:prstGeom>
              <a:solidFill>
                <a:schemeClr val="accent3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algn="ctr"/>
                <a:r>
                  <a:rPr lang="en-GB" sz="1200">
                    <a:solidFill>
                      <a:schemeClr val="bg1"/>
                    </a:solidFill>
                  </a:rPr>
                  <a:t>Country Selection</a:t>
                </a:r>
              </a:p>
            </xdr:txBody>
          </xdr:sp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300-00000E000000}"/>
                  </a:ext>
                </a:extLst>
              </xdr:cNvPr>
              <xdr:cNvSpPr/>
            </xdr:nvSpPr>
            <xdr:spPr bwMode="auto">
              <a:xfrm>
                <a:off x="238124" y="1009650"/>
                <a:ext cx="10022486" cy="457200"/>
              </a:xfrm>
              <a:prstGeom prst="rect">
                <a:avLst/>
              </a:prstGeom>
              <a:solidFill>
                <a:schemeClr val="accent4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lvl="1" algn="l"/>
                <a:r>
                  <a:rPr lang="en-GB" sz="1600">
                    <a:solidFill>
                      <a:schemeClr val="bg1"/>
                    </a:solidFill>
                  </a:rPr>
                  <a:t> Step 4:</a:t>
                </a:r>
                <a:r>
                  <a:rPr lang="en-GB" sz="1600" baseline="0">
                    <a:solidFill>
                      <a:schemeClr val="bg1"/>
                    </a:solidFill>
                  </a:rPr>
                  <a:t> Predicted outcomes for given Data</a:t>
                </a:r>
                <a:endParaRPr lang="en-GB" sz="1600">
                  <a:solidFill>
                    <a:schemeClr val="bg1"/>
                  </a:solidFill>
                </a:endParaRPr>
              </a:p>
            </xdr:txBody>
          </xdr:sp>
        </xdr:grpSp>
      </xdr:grpSp>
      <xdr:sp macro="[0]!RoundSameSideCornerRectangle21_Click" textlink="">
        <xdr:nvSpPr>
          <xdr:cNvPr id="20" name="Round Same Side Corner Rectangle 2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 bwMode="auto">
          <a:xfrm>
            <a:off x="8823187" y="1182380"/>
            <a:ext cx="1641612" cy="219689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18</xdr:row>
          <xdr:rowOff>0</xdr:rowOff>
        </xdr:from>
        <xdr:to>
          <xdr:col>16</xdr:col>
          <xdr:colOff>0</xdr:colOff>
          <xdr:row>19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DSA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44174</xdr:rowOff>
    </xdr:from>
    <xdr:to>
      <xdr:col>4</xdr:col>
      <xdr:colOff>401292</xdr:colOff>
      <xdr:row>9</xdr:row>
      <xdr:rowOff>5659</xdr:rowOff>
    </xdr:to>
    <xdr:pic>
      <xdr:nvPicPr>
        <xdr:cNvPr id="144" name="Picture 2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6391"/>
          <a:ext cx="1304925" cy="1419225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7</xdr:row>
      <xdr:rowOff>115634</xdr:rowOff>
    </xdr:from>
    <xdr:to>
      <xdr:col>12</xdr:col>
      <xdr:colOff>266976</xdr:colOff>
      <xdr:row>11</xdr:row>
      <xdr:rowOff>87383</xdr:rowOff>
    </xdr:to>
    <xdr:grpSp>
      <xdr:nvGrpSpPr>
        <xdr:cNvPr id="145" name="组合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GrpSpPr/>
      </xdr:nvGrpSpPr>
      <xdr:grpSpPr>
        <a:xfrm>
          <a:off x="9525" y="1449134"/>
          <a:ext cx="9115701" cy="733749"/>
          <a:chOff x="9525" y="1208155"/>
          <a:chExt cx="10461625" cy="706370"/>
        </a:xfrm>
      </xdr:grpSpPr>
      <xdr:grpSp>
        <xdr:nvGrpSpPr>
          <xdr:cNvPr id="148" name="Group 14">
            <a:extLst>
              <a:ext uri="{FF2B5EF4-FFF2-40B4-BE49-F238E27FC236}">
                <a16:creationId xmlns:a16="http://schemas.microsoft.com/office/drawing/2014/main" id="{00000000-0008-0000-0500-000094000000}"/>
              </a:ext>
            </a:extLst>
          </xdr:cNvPr>
          <xdr:cNvGrpSpPr/>
        </xdr:nvGrpSpPr>
        <xdr:grpSpPr>
          <a:xfrm>
            <a:off x="9525" y="1208155"/>
            <a:ext cx="10461625" cy="706370"/>
            <a:chOff x="238125" y="760480"/>
            <a:chExt cx="10003147" cy="706370"/>
          </a:xfrm>
        </xdr:grpSpPr>
        <xdr:sp macro="" textlink="">
          <xdr:nvSpPr>
            <xdr:cNvPr id="150" name="Round Same Side Corner Rectangle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500-000096000000}"/>
                </a:ext>
              </a:extLst>
            </xdr:cNvPr>
            <xdr:cNvSpPr/>
          </xdr:nvSpPr>
          <xdr:spPr bwMode="auto">
            <a:xfrm>
              <a:off x="5949950" y="760480"/>
              <a:ext cx="1314450" cy="219075"/>
            </a:xfrm>
            <a:prstGeom prst="round2SameRect">
              <a:avLst/>
            </a:prstGeom>
            <a:solidFill>
              <a:srgbClr val="F7964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Age Data</a:t>
              </a:r>
            </a:p>
          </xdr:txBody>
        </xdr:sp>
        <xdr:sp macro="" textlink="">
          <xdr:nvSpPr>
            <xdr:cNvPr id="151" name="Round Same Side Corner Rectangle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500-000097000000}"/>
                </a:ext>
              </a:extLst>
            </xdr:cNvPr>
            <xdr:cNvSpPr/>
          </xdr:nvSpPr>
          <xdr:spPr bwMode="auto">
            <a:xfrm>
              <a:off x="4594225" y="760480"/>
              <a:ext cx="1314450" cy="219075"/>
            </a:xfrm>
            <a:prstGeom prst="round2SameRect">
              <a:avLst/>
            </a:prstGeom>
            <a:solidFill>
              <a:srgbClr val="1E7FB8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Customisation</a:t>
              </a:r>
            </a:p>
          </xdr:txBody>
        </xdr:sp>
        <xdr:sp macro="" textlink="">
          <xdr:nvSpPr>
            <xdr:cNvPr id="152" name="Round Same Side Corner Rectangle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500-000098000000}"/>
                </a:ext>
              </a:extLst>
            </xdr:cNvPr>
            <xdr:cNvSpPr/>
          </xdr:nvSpPr>
          <xdr:spPr bwMode="auto">
            <a:xfrm>
              <a:off x="7305675" y="760480"/>
              <a:ext cx="1314450" cy="219075"/>
            </a:xfrm>
            <a:prstGeom prst="round2SameRect">
              <a:avLst/>
            </a:prstGeom>
            <a:solidFill>
              <a:srgbClr val="8064A2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Output</a:t>
              </a:r>
            </a:p>
          </xdr:txBody>
        </xdr:sp>
        <xdr:grpSp>
          <xdr:nvGrpSpPr>
            <xdr:cNvPr id="153" name="Group 20">
              <a:extLst>
                <a:ext uri="{FF2B5EF4-FFF2-40B4-BE49-F238E27FC236}">
                  <a16:creationId xmlns:a16="http://schemas.microsoft.com/office/drawing/2014/main" id="{00000000-0008-0000-0500-000099000000}"/>
                </a:ext>
              </a:extLst>
            </xdr:cNvPr>
            <xdr:cNvGrpSpPr/>
          </xdr:nvGrpSpPr>
          <xdr:grpSpPr>
            <a:xfrm>
              <a:off x="238125" y="760480"/>
              <a:ext cx="10003147" cy="706370"/>
              <a:chOff x="238125" y="760480"/>
              <a:chExt cx="10003147" cy="706370"/>
            </a:xfrm>
          </xdr:grpSpPr>
          <xdr:sp macro="" textlink="">
            <xdr:nvSpPr>
              <xdr:cNvPr id="154" name="Round Same Side Corner Rectangle 21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500-00009A000000}"/>
                  </a:ext>
                </a:extLst>
              </xdr:cNvPr>
              <xdr:cNvSpPr/>
            </xdr:nvSpPr>
            <xdr:spPr bwMode="auto">
              <a:xfrm>
                <a:off x="3249060" y="760480"/>
                <a:ext cx="1314450" cy="219075"/>
              </a:xfrm>
              <a:prstGeom prst="round2SameRect">
                <a:avLst/>
              </a:prstGeom>
              <a:solidFill>
                <a:srgbClr val="9BBB59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2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Country Selection</a:t>
                </a:r>
              </a:p>
            </xdr:txBody>
          </xdr:sp>
          <xdr:sp macro="" textlink="">
            <xdr:nvSpPr>
              <xdr:cNvPr id="155" name="Rectangle 22">
                <a:extLst>
                  <a:ext uri="{FF2B5EF4-FFF2-40B4-BE49-F238E27FC236}">
                    <a16:creationId xmlns:a16="http://schemas.microsoft.com/office/drawing/2014/main" id="{00000000-0008-0000-0500-00009B000000}"/>
                  </a:ext>
                </a:extLst>
              </xdr:cNvPr>
              <xdr:cNvSpPr/>
            </xdr:nvSpPr>
            <xdr:spPr bwMode="auto">
              <a:xfrm>
                <a:off x="238125" y="1009650"/>
                <a:ext cx="10003147" cy="457200"/>
              </a:xfrm>
              <a:prstGeom prst="rect">
                <a:avLst/>
              </a:prstGeom>
              <a:solidFill>
                <a:schemeClr val="accent2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1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6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 Step 5: Override data Relevant to Sensitivity Analysis</a:t>
                </a:r>
              </a:p>
            </xdr:txBody>
          </xdr:sp>
        </xdr:grpSp>
      </xdr:grpSp>
      <xdr:sp macro="[0]!RoundSameSideCornerRectangle21_Click" textlink="">
        <xdr:nvSpPr>
          <xdr:cNvPr id="147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93000000}"/>
              </a:ext>
            </a:extLst>
          </xdr:cNvPr>
          <xdr:cNvSpPr/>
        </xdr:nvSpPr>
        <xdr:spPr bwMode="auto">
          <a:xfrm>
            <a:off x="8830577" y="1240321"/>
            <a:ext cx="1640573" cy="219075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  <xdr:twoCellAnchor>
    <xdr:from>
      <xdr:col>4</xdr:col>
      <xdr:colOff>393700</xdr:colOff>
      <xdr:row>1</xdr:row>
      <xdr:rowOff>152400</xdr:rowOff>
    </xdr:from>
    <xdr:to>
      <xdr:col>9</xdr:col>
      <xdr:colOff>60255</xdr:colOff>
      <xdr:row>6</xdr:row>
      <xdr:rowOff>92075</xdr:rowOff>
    </xdr:to>
    <xdr:sp macro="" textlink="">
      <xdr:nvSpPr>
        <xdr:cNvPr id="18" name="TextBox 16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1301750" y="336550"/>
          <a:ext cx="5953055" cy="860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Analysis</a:t>
          </a:r>
          <a:r>
            <a:rPr lang="en-GB" sz="24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</a:t>
          </a:r>
          <a:r>
            <a:rPr lang="en-US" altLang="zh-CN" sz="1200">
              <a:solidFill>
                <a:sysClr val="windowText" lastClr="000000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GitHub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12</xdr:col>
      <xdr:colOff>552450</xdr:colOff>
      <xdr:row>32</xdr:row>
      <xdr:rowOff>76200</xdr:rowOff>
    </xdr:from>
    <xdr:to>
      <xdr:col>16</xdr:col>
      <xdr:colOff>25400</xdr:colOff>
      <xdr:row>35</xdr:row>
      <xdr:rowOff>38100</xdr:rowOff>
    </xdr:to>
    <xdr:sp macro="" textlink="">
      <xdr:nvSpPr>
        <xdr:cNvPr id="19" name="Right Arrow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 rot="10800000">
          <a:off x="9829800" y="5975350"/>
          <a:ext cx="2660650" cy="51435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 editAs="absolute">
    <xdr:from>
      <xdr:col>12</xdr:col>
      <xdr:colOff>595313</xdr:colOff>
      <xdr:row>36</xdr:row>
      <xdr:rowOff>120650</xdr:rowOff>
    </xdr:from>
    <xdr:to>
      <xdr:col>15</xdr:col>
      <xdr:colOff>592138</xdr:colOff>
      <xdr:row>39</xdr:row>
      <xdr:rowOff>107950</xdr:rowOff>
    </xdr:to>
    <xdr:sp macro="" textlink="">
      <xdr:nvSpPr>
        <xdr:cNvPr id="21" name="Right Arrow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9872663" y="6756400"/>
          <a:ext cx="2574925" cy="53975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PSA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input</a:t>
          </a:r>
          <a:r>
            <a:rPr lang="en-GB" altLang="zh-CN" sz="1100" b="0" i="0" baseline="0">
              <a:effectLst/>
              <a:latin typeface="+mn-lt"/>
              <a:ea typeface="+mn-ea"/>
              <a:cs typeface="+mn-cs"/>
            </a:rPr>
            <a:t> </a:t>
          </a:r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values</a:t>
          </a:r>
          <a:endParaRPr lang="en-GB" sz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609600</xdr:colOff>
      <xdr:row>40</xdr:row>
      <xdr:rowOff>104775</xdr:rowOff>
    </xdr:from>
    <xdr:to>
      <xdr:col>15</xdr:col>
      <xdr:colOff>606425</xdr:colOff>
      <xdr:row>43</xdr:row>
      <xdr:rowOff>92075</xdr:rowOff>
    </xdr:to>
    <xdr:sp macro="" textlink="">
      <xdr:nvSpPr>
        <xdr:cNvPr id="17" name="Right Arrow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F165E5E-5F8B-45C0-A7F9-10256BE7ABAB}"/>
            </a:ext>
          </a:extLst>
        </xdr:cNvPr>
        <xdr:cNvSpPr/>
      </xdr:nvSpPr>
      <xdr:spPr bwMode="auto">
        <a:xfrm>
          <a:off x="9467850" y="7734300"/>
          <a:ext cx="2454275" cy="558800"/>
        </a:xfrm>
        <a:prstGeom prst="rightArrow">
          <a:avLst/>
        </a:prstGeom>
        <a:solidFill>
          <a:srgbClr val="BD4A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altLang="zh-CN" sz="1200">
              <a:solidFill>
                <a:schemeClr val="bg1"/>
              </a:solidFill>
              <a:latin typeface="+mn-lt"/>
              <a:ea typeface="+mn-ea"/>
              <a:cs typeface="+mn-cs"/>
            </a:rPr>
            <a:t>View</a:t>
          </a:r>
          <a:r>
            <a:rPr lang="en-GB" altLang="zh-CN" sz="1200" baseline="0">
              <a:solidFill>
                <a:schemeClr val="bg1"/>
              </a:solidFill>
              <a:latin typeface="+mn-lt"/>
              <a:ea typeface="+mn-ea"/>
              <a:cs typeface="+mn-cs"/>
            </a:rPr>
            <a:t> USA output</a:t>
          </a:r>
          <a:endParaRPr lang="en-GB" sz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1309342</xdr:colOff>
      <xdr:row>7</xdr:row>
      <xdr:rowOff>145635</xdr:rowOff>
    </xdr:to>
    <xdr:pic>
      <xdr:nvPicPr>
        <xdr:cNvPr id="62" name="Picture 23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1309342" cy="1434685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6</xdr:row>
      <xdr:rowOff>71460</xdr:rowOff>
    </xdr:from>
    <xdr:to>
      <xdr:col>7</xdr:col>
      <xdr:colOff>635276</xdr:colOff>
      <xdr:row>10</xdr:row>
      <xdr:rowOff>43209</xdr:rowOff>
    </xdr:to>
    <xdr:grpSp>
      <xdr:nvGrpSpPr>
        <xdr:cNvPr id="63" name="组合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GrpSpPr/>
      </xdr:nvGrpSpPr>
      <xdr:grpSpPr>
        <a:xfrm>
          <a:off x="9525" y="1214460"/>
          <a:ext cx="11629927" cy="733749"/>
          <a:chOff x="9525" y="1208155"/>
          <a:chExt cx="10461625" cy="706370"/>
        </a:xfrm>
      </xdr:grpSpPr>
      <xdr:grpSp>
        <xdr:nvGrpSpPr>
          <xdr:cNvPr id="66" name="Group 14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GrpSpPr/>
        </xdr:nvGrpSpPr>
        <xdr:grpSpPr>
          <a:xfrm>
            <a:off x="9525" y="1208155"/>
            <a:ext cx="10461625" cy="706370"/>
            <a:chOff x="238125" y="760480"/>
            <a:chExt cx="10003147" cy="706370"/>
          </a:xfrm>
        </xdr:grpSpPr>
        <xdr:sp macro="" textlink="">
          <xdr:nvSpPr>
            <xdr:cNvPr id="68" name="Round Same Side Corner Rectangle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44000000}"/>
                </a:ext>
              </a:extLst>
            </xdr:cNvPr>
            <xdr:cNvSpPr/>
          </xdr:nvSpPr>
          <xdr:spPr bwMode="auto">
            <a:xfrm>
              <a:off x="5949950" y="760480"/>
              <a:ext cx="1314450" cy="219075"/>
            </a:xfrm>
            <a:prstGeom prst="round2SameRect">
              <a:avLst/>
            </a:prstGeom>
            <a:solidFill>
              <a:srgbClr val="F7964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Age Data</a:t>
              </a:r>
            </a:p>
          </xdr:txBody>
        </xdr:sp>
        <xdr:sp macro="" textlink="">
          <xdr:nvSpPr>
            <xdr:cNvPr id="69" name="Round Same Side Corner Rectangle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:cNvPr>
            <xdr:cNvSpPr/>
          </xdr:nvSpPr>
          <xdr:spPr bwMode="auto">
            <a:xfrm>
              <a:off x="4594225" y="760480"/>
              <a:ext cx="1314450" cy="219075"/>
            </a:xfrm>
            <a:prstGeom prst="round2SameRect">
              <a:avLst/>
            </a:prstGeom>
            <a:solidFill>
              <a:srgbClr val="1E7FB8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Customisation</a:t>
              </a:r>
            </a:p>
          </xdr:txBody>
        </xdr:sp>
        <xdr:sp macro="" textlink="">
          <xdr:nvSpPr>
            <xdr:cNvPr id="70" name="Round Same Side Corner Rectangle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/>
          </xdr:nvSpPr>
          <xdr:spPr bwMode="auto">
            <a:xfrm>
              <a:off x="7305675" y="760480"/>
              <a:ext cx="1314450" cy="219075"/>
            </a:xfrm>
            <a:prstGeom prst="round2SameRect">
              <a:avLst/>
            </a:prstGeom>
            <a:solidFill>
              <a:srgbClr val="8064A2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Output</a:t>
              </a:r>
            </a:p>
          </xdr:txBody>
        </xdr:sp>
        <xdr:grpSp>
          <xdr:nvGrpSpPr>
            <xdr:cNvPr id="71" name="Group 20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GrpSpPr/>
          </xdr:nvGrpSpPr>
          <xdr:grpSpPr>
            <a:xfrm>
              <a:off x="238125" y="760480"/>
              <a:ext cx="10003147" cy="706370"/>
              <a:chOff x="238125" y="760480"/>
              <a:chExt cx="10003147" cy="706370"/>
            </a:xfrm>
          </xdr:grpSpPr>
          <xdr:sp macro="" textlink="">
            <xdr:nvSpPr>
              <xdr:cNvPr id="72" name="Round Same Side Corner Rectangle 21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00000000-0008-0000-0600-000048000000}"/>
                  </a:ext>
                </a:extLst>
              </xdr:cNvPr>
              <xdr:cNvSpPr/>
            </xdr:nvSpPr>
            <xdr:spPr bwMode="auto">
              <a:xfrm>
                <a:off x="3249060" y="760480"/>
                <a:ext cx="1314450" cy="219075"/>
              </a:xfrm>
              <a:prstGeom prst="round2SameRect">
                <a:avLst/>
              </a:prstGeom>
              <a:solidFill>
                <a:srgbClr val="9BBB59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2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Country Selection</a:t>
                </a:r>
              </a:p>
            </xdr:txBody>
          </xdr:sp>
          <xdr:sp macro="" textlink="">
            <xdr:nvSpPr>
              <xdr:cNvPr id="73" name="Rectangle 22">
                <a:extLst>
                  <a:ext uri="{FF2B5EF4-FFF2-40B4-BE49-F238E27FC236}">
                    <a16:creationId xmlns:a16="http://schemas.microsoft.com/office/drawing/2014/main" id="{00000000-0008-0000-0600-000049000000}"/>
                  </a:ext>
                </a:extLst>
              </xdr:cNvPr>
              <xdr:cNvSpPr/>
            </xdr:nvSpPr>
            <xdr:spPr bwMode="auto">
              <a:xfrm>
                <a:off x="238125" y="1009650"/>
                <a:ext cx="10003147" cy="457200"/>
              </a:xfrm>
              <a:prstGeom prst="rect">
                <a:avLst/>
              </a:prstGeom>
              <a:solidFill>
                <a:srgbClr val="C0504D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1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6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 Step 5: Override data relevant to sensitivity analysis</a:t>
                </a:r>
              </a:p>
            </xdr:txBody>
          </xdr:sp>
        </xdr:grpSp>
      </xdr:grpSp>
      <xdr:sp macro="[0]!RoundSameSideCornerRectangle21_Click" textlink="">
        <xdr:nvSpPr>
          <xdr:cNvPr id="65" name="Round Same Side Corner Rectangle 2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/>
        </xdr:nvSpPr>
        <xdr:spPr bwMode="auto">
          <a:xfrm>
            <a:off x="8830577" y="1240321"/>
            <a:ext cx="1640573" cy="219075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  <xdr:twoCellAnchor>
    <xdr:from>
      <xdr:col>0</xdr:col>
      <xdr:colOff>1209675</xdr:colOff>
      <xdr:row>1</xdr:row>
      <xdr:rowOff>9525</xdr:rowOff>
    </xdr:from>
    <xdr:to>
      <xdr:col>6</xdr:col>
      <xdr:colOff>177730</xdr:colOff>
      <xdr:row>5</xdr:row>
      <xdr:rowOff>133350</xdr:rowOff>
    </xdr:to>
    <xdr:sp macro="" textlink="">
      <xdr:nvSpPr>
        <xdr:cNvPr id="18" name="TextBox 16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1209675" y="200025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Analysis</a:t>
          </a:r>
          <a:r>
            <a:rPr lang="en-GB" sz="24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</a:t>
          </a:r>
          <a:r>
            <a:rPr lang="en-US" altLang="zh-CN" sz="1200">
              <a:solidFill>
                <a:sysClr val="windowText" lastClr="000000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GitHub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2495550</xdr:colOff>
          <xdr:row>15</xdr:row>
          <xdr:rowOff>19050</xdr:rowOff>
        </xdr:from>
        <xdr:to>
          <xdr:col>0</xdr:col>
          <xdr:colOff>3438525</xdr:colOff>
          <xdr:row>17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PSA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16</xdr:col>
      <xdr:colOff>0</xdr:colOff>
      <xdr:row>13</xdr:row>
      <xdr:rowOff>0</xdr:rowOff>
    </xdr:from>
    <xdr:to>
      <xdr:col>18</xdr:col>
      <xdr:colOff>548528</xdr:colOff>
      <xdr:row>15</xdr:row>
      <xdr:rowOff>152400</xdr:rowOff>
    </xdr:to>
    <xdr:sp macro="" textlink="">
      <xdr:nvSpPr>
        <xdr:cNvPr id="14" name="Right Arrow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0BCBBBE-F6EF-4B7B-BA1D-DF6ACD9D0829}"/>
            </a:ext>
          </a:extLst>
        </xdr:cNvPr>
        <xdr:cNvSpPr/>
      </xdr:nvSpPr>
      <xdr:spPr bwMode="auto">
        <a:xfrm rot="10800000">
          <a:off x="18456088" y="2476500"/>
          <a:ext cx="2543175" cy="533400"/>
        </a:xfrm>
        <a:prstGeom prst="rightArrow">
          <a:avLst/>
        </a:prstGeom>
        <a:solidFill>
          <a:srgbClr val="BD4A47"/>
        </a:solidFill>
        <a:ln w="9525" cap="flat" cmpd="sng" algn="ctr">
          <a:solidFill>
            <a:srgbClr val="BD4A47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rPr>
            <a:t>Go back </a:t>
          </a:r>
          <a:r>
            <a:rPr kumimoji="0" lang="en-US" altLang="zh-CN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rPr>
            <a:t>to USA</a:t>
          </a:r>
          <a:endParaRPr kumimoji="0" lang="en-GB" sz="12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</a:endParaRPr>
        </a:p>
      </xdr:txBody>
    </xdr:sp>
    <xdr:clientData/>
  </xdr:twoCellAnchor>
  <xdr:twoCellAnchor editAs="absolute">
    <xdr:from>
      <xdr:col>16</xdr:col>
      <xdr:colOff>0</xdr:colOff>
      <xdr:row>17</xdr:row>
      <xdr:rowOff>0</xdr:rowOff>
    </xdr:from>
    <xdr:to>
      <xdr:col>18</xdr:col>
      <xdr:colOff>459628</xdr:colOff>
      <xdr:row>19</xdr:row>
      <xdr:rowOff>177800</xdr:rowOff>
    </xdr:to>
    <xdr:sp macro="" textlink="">
      <xdr:nvSpPr>
        <xdr:cNvPr id="15" name="Right Arrow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FCC1A60-7BDC-483A-929B-C9F2F7760BD4}"/>
            </a:ext>
          </a:extLst>
        </xdr:cNvPr>
        <xdr:cNvSpPr/>
      </xdr:nvSpPr>
      <xdr:spPr bwMode="auto">
        <a:xfrm>
          <a:off x="18456088" y="3238500"/>
          <a:ext cx="2454275" cy="558800"/>
        </a:xfrm>
        <a:prstGeom prst="rightArrow">
          <a:avLst/>
        </a:prstGeom>
        <a:solidFill>
          <a:srgbClr val="BD4A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CN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宋体" panose="02010600030101010101" pitchFamily="2" charset="-122"/>
              <a:cs typeface="+mn-cs"/>
            </a:rPr>
            <a:t>View PSA output</a:t>
          </a:r>
          <a:endParaRPr kumimoji="0" lang="en-GB" sz="12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1371600</xdr:colOff>
      <xdr:row>52</xdr:row>
      <xdr:rowOff>136190</xdr:rowOff>
    </xdr:from>
    <xdr:to>
      <xdr:col>7</xdr:col>
      <xdr:colOff>167106</xdr:colOff>
      <xdr:row>70</xdr:row>
      <xdr:rowOff>99427</xdr:rowOff>
    </xdr:to>
    <xdr:graphicFrame macro="">
      <xdr:nvGraphicFramePr>
        <xdr:cNvPr id="11" name="Scatter plot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1130301</xdr:colOff>
      <xdr:row>73</xdr:row>
      <xdr:rowOff>57151</xdr:rowOff>
    </xdr:from>
    <xdr:to>
      <xdr:col>9</xdr:col>
      <xdr:colOff>226261</xdr:colOff>
      <xdr:row>90</xdr:row>
      <xdr:rowOff>18049</xdr:rowOff>
    </xdr:to>
    <xdr:graphicFrame macro="">
      <xdr:nvGraphicFramePr>
        <xdr:cNvPr id="3" name="Curv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1255367</xdr:colOff>
      <xdr:row>7</xdr:row>
      <xdr:rowOff>145635</xdr:rowOff>
    </xdr:to>
    <xdr:pic>
      <xdr:nvPicPr>
        <xdr:cNvPr id="68" name="Picture 23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09342" cy="143468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39710</xdr:rowOff>
    </xdr:from>
    <xdr:to>
      <xdr:col>11</xdr:col>
      <xdr:colOff>457476</xdr:colOff>
      <xdr:row>11</xdr:row>
      <xdr:rowOff>11459</xdr:rowOff>
    </xdr:to>
    <xdr:grpSp>
      <xdr:nvGrpSpPr>
        <xdr:cNvPr id="69" name="组合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GrpSpPr/>
      </xdr:nvGrpSpPr>
      <xdr:grpSpPr>
        <a:xfrm>
          <a:off x="0" y="1373210"/>
          <a:ext cx="12125601" cy="733749"/>
          <a:chOff x="9525" y="1208155"/>
          <a:chExt cx="10461625" cy="706370"/>
        </a:xfrm>
      </xdr:grpSpPr>
      <xdr:grpSp>
        <xdr:nvGrpSpPr>
          <xdr:cNvPr id="72" name="Group 14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GrpSpPr/>
        </xdr:nvGrpSpPr>
        <xdr:grpSpPr>
          <a:xfrm>
            <a:off x="9525" y="1208155"/>
            <a:ext cx="10461625" cy="706370"/>
            <a:chOff x="238125" y="760480"/>
            <a:chExt cx="10003147" cy="706370"/>
          </a:xfrm>
        </xdr:grpSpPr>
        <xdr:sp macro="" textlink="">
          <xdr:nvSpPr>
            <xdr:cNvPr id="74" name="Round Same Side Corner Rectangle 1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700-00004A000000}"/>
                </a:ext>
              </a:extLst>
            </xdr:cNvPr>
            <xdr:cNvSpPr/>
          </xdr:nvSpPr>
          <xdr:spPr bwMode="auto">
            <a:xfrm>
              <a:off x="5949950" y="760480"/>
              <a:ext cx="1314450" cy="219075"/>
            </a:xfrm>
            <a:prstGeom prst="round2SameRect">
              <a:avLst/>
            </a:prstGeom>
            <a:solidFill>
              <a:srgbClr val="F79646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Age Data</a:t>
              </a:r>
            </a:p>
          </xdr:txBody>
        </xdr:sp>
        <xdr:sp macro="" textlink="">
          <xdr:nvSpPr>
            <xdr:cNvPr id="75" name="Round Same Side Corner Rectangle 1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700-00004B000000}"/>
                </a:ext>
              </a:extLst>
            </xdr:cNvPr>
            <xdr:cNvSpPr/>
          </xdr:nvSpPr>
          <xdr:spPr bwMode="auto">
            <a:xfrm>
              <a:off x="4594225" y="760480"/>
              <a:ext cx="1314450" cy="219075"/>
            </a:xfrm>
            <a:prstGeom prst="round2SameRect">
              <a:avLst/>
            </a:prstGeom>
            <a:solidFill>
              <a:srgbClr val="1E7FB8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Customisation</a:t>
              </a:r>
            </a:p>
          </xdr:txBody>
        </xdr:sp>
        <xdr:sp macro="" textlink="">
          <xdr:nvSpPr>
            <xdr:cNvPr id="76" name="Round Same Side Corner Rectangle 1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700-00004C000000}"/>
                </a:ext>
              </a:extLst>
            </xdr:cNvPr>
            <xdr:cNvSpPr/>
          </xdr:nvSpPr>
          <xdr:spPr bwMode="auto">
            <a:xfrm>
              <a:off x="7305675" y="760480"/>
              <a:ext cx="1314450" cy="219075"/>
            </a:xfrm>
            <a:prstGeom prst="round2SameRect">
              <a:avLst/>
            </a:prstGeom>
            <a:solidFill>
              <a:srgbClr val="8064A2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horzOverflow="clip" wrap="square" lIns="18288" tIns="0" rIns="0" bIns="0" rtlCol="0" anchor="ctr" upright="1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2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</a:rPr>
                <a:t>Output</a:t>
              </a:r>
            </a:p>
          </xdr:txBody>
        </xdr:sp>
        <xdr:grpSp>
          <xdr:nvGrpSpPr>
            <xdr:cNvPr id="77" name="Group 20">
              <a:extLst>
                <a:ext uri="{FF2B5EF4-FFF2-40B4-BE49-F238E27FC236}">
                  <a16:creationId xmlns:a16="http://schemas.microsoft.com/office/drawing/2014/main" id="{00000000-0008-0000-0700-00004D000000}"/>
                </a:ext>
              </a:extLst>
            </xdr:cNvPr>
            <xdr:cNvGrpSpPr/>
          </xdr:nvGrpSpPr>
          <xdr:grpSpPr>
            <a:xfrm>
              <a:off x="238125" y="760480"/>
              <a:ext cx="10003147" cy="706370"/>
              <a:chOff x="238125" y="760480"/>
              <a:chExt cx="10003147" cy="706370"/>
            </a:xfrm>
          </xdr:grpSpPr>
          <xdr:sp macro="" textlink="">
            <xdr:nvSpPr>
              <xdr:cNvPr id="78" name="Round Same Side Corner Rectangle 21">
                <a:hlinkClick xmlns:r="http://schemas.openxmlformats.org/officeDocument/2006/relationships" r:id="rId7"/>
                <a:extLst>
                  <a:ext uri="{FF2B5EF4-FFF2-40B4-BE49-F238E27FC236}">
                    <a16:creationId xmlns:a16="http://schemas.microsoft.com/office/drawing/2014/main" id="{00000000-0008-0000-0700-00004E000000}"/>
                  </a:ext>
                </a:extLst>
              </xdr:cNvPr>
              <xdr:cNvSpPr/>
            </xdr:nvSpPr>
            <xdr:spPr bwMode="auto">
              <a:xfrm>
                <a:off x="3249060" y="760480"/>
                <a:ext cx="1314450" cy="219075"/>
              </a:xfrm>
              <a:prstGeom prst="round2SameRect">
                <a:avLst/>
              </a:prstGeom>
              <a:solidFill>
                <a:srgbClr val="9BBB59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2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Country Selection</a:t>
                </a:r>
              </a:p>
            </xdr:txBody>
          </xdr:sp>
          <xdr:sp macro="" textlink="">
            <xdr:nvSpPr>
              <xdr:cNvPr id="79" name="Rectangle 22">
                <a:extLst>
                  <a:ext uri="{FF2B5EF4-FFF2-40B4-BE49-F238E27FC236}">
                    <a16:creationId xmlns:a16="http://schemas.microsoft.com/office/drawing/2014/main" id="{00000000-0008-0000-0700-00004F000000}"/>
                  </a:ext>
                </a:extLst>
              </xdr:cNvPr>
              <xdr:cNvSpPr/>
            </xdr:nvSpPr>
            <xdr:spPr bwMode="auto">
              <a:xfrm>
                <a:off x="238125" y="1009650"/>
                <a:ext cx="10003147" cy="457200"/>
              </a:xfrm>
              <a:prstGeom prst="rect">
                <a:avLst/>
              </a:prstGeom>
              <a:solidFill>
                <a:srgbClr val="C0504D"/>
              </a:solidFill>
              <a:ln w="9525" cap="flat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</xdr:spPr>
            <xdr:txBody>
              <a:bodyPr vertOverflow="clip" horzOverflow="clip" wrap="square" lIns="18288" tIns="0" rIns="0" bIns="0" rtlCol="0" anchor="ctr" upright="1"/>
              <a:lstStyle/>
              <a:p>
                <a:pPr marL="0" marR="0" lvl="1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GB" sz="16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</a:rPr>
                  <a:t> Step 5: Override data Relevant to Sensitivity Analysis</a:t>
                </a:r>
              </a:p>
            </xdr:txBody>
          </xdr:sp>
        </xdr:grpSp>
      </xdr:grpSp>
      <xdr:sp macro="[0]!RoundSameSideCornerRectangle21_Click" textlink="">
        <xdr:nvSpPr>
          <xdr:cNvPr id="71" name="Round Same Side Corner Rectangle 21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SpPr/>
        </xdr:nvSpPr>
        <xdr:spPr bwMode="auto">
          <a:xfrm>
            <a:off x="8830577" y="1240321"/>
            <a:ext cx="1640573" cy="219075"/>
          </a:xfrm>
          <a:prstGeom prst="round2SameRect">
            <a:avLst/>
          </a:prstGeom>
          <a:solidFill>
            <a:srgbClr val="C0504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S</a:t>
            </a:r>
            <a:r>
              <a:rPr kumimoji="0" lang="en-US" altLang="zh-CN" sz="12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</a:rPr>
              <a:t>ensitivity analyses</a:t>
            </a:r>
            <a:endParaRPr kumimoji="0" lang="en-GB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</a:endParaRPr>
          </a:p>
        </xdr:txBody>
      </xdr:sp>
    </xdr:grpSp>
    <xdr:clientData/>
  </xdr:twoCellAnchor>
  <xdr:twoCellAnchor>
    <xdr:from>
      <xdr:col>0</xdr:col>
      <xdr:colOff>1171575</xdr:colOff>
      <xdr:row>1</xdr:row>
      <xdr:rowOff>161925</xdr:rowOff>
    </xdr:from>
    <xdr:to>
      <xdr:col>7</xdr:col>
      <xdr:colOff>187255</xdr:colOff>
      <xdr:row>6</xdr:row>
      <xdr:rowOff>95250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171575" y="352425"/>
          <a:ext cx="6397555" cy="885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400"/>
            <a:t>PRIME Tool </a:t>
          </a:r>
          <a:r>
            <a:rPr lang="en-US" altLang="zh-CN" sz="2400"/>
            <a:t>&amp; </a:t>
          </a:r>
          <a:r>
            <a:rPr lang="en-US" altLang="zh-CN" sz="2400">
              <a:solidFill>
                <a:schemeClr val="dk1"/>
              </a:solidFill>
              <a:latin typeface="+mn-lt"/>
              <a:ea typeface="+mn-ea"/>
              <a:cs typeface="+mn-cs"/>
            </a:rPr>
            <a:t>Uncertainty Analysis</a:t>
          </a:r>
          <a:r>
            <a:rPr lang="en-GB" sz="24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en-GB" sz="24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/>
            <a:t>HPV</a:t>
          </a:r>
          <a:r>
            <a:rPr lang="en-GB" sz="1200" baseline="0"/>
            <a:t> Vaccination cost-effective assessment and </a:t>
          </a:r>
          <a:r>
            <a:rPr lang="en-GB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ensitivity</a:t>
          </a:r>
          <a:r>
            <a:rPr lang="en-US" altLang="zh-CN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analyses</a:t>
          </a:r>
          <a:endParaRPr lang="en-GB" sz="1200" baseline="0"/>
        </a:p>
        <a:p>
          <a:r>
            <a:rPr lang="en-GB" sz="1200" baseline="0"/>
            <a:t>More information at </a:t>
          </a:r>
          <a:r>
            <a:rPr lang="en-US" altLang="zh-CN" sz="1200">
              <a:solidFill>
                <a:sysClr val="windowText" lastClr="000000"/>
              </a:solidFill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GitHub</a:t>
          </a:r>
          <a:endParaRPr lang="en-GB" sz="20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140494</xdr:colOff>
      <xdr:row>28</xdr:row>
      <xdr:rowOff>63500</xdr:rowOff>
    </xdr:from>
    <xdr:to>
      <xdr:col>10</xdr:col>
      <xdr:colOff>254794</xdr:colOff>
      <xdr:row>31</xdr:row>
      <xdr:rowOff>31750</xdr:rowOff>
    </xdr:to>
    <xdr:sp macro="" textlink="">
      <xdr:nvSpPr>
        <xdr:cNvPr id="22" name="Right Arrow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 bwMode="auto">
        <a:xfrm rot="10800000">
          <a:off x="9176544" y="5226050"/>
          <a:ext cx="2679700" cy="520700"/>
        </a:xfrm>
        <a:prstGeom prst="rightArrow">
          <a:avLst/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and change country</a:t>
          </a:r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5</xdr:col>
      <xdr:colOff>0</xdr:colOff>
      <xdr:row>38</xdr:row>
      <xdr:rowOff>157655</xdr:rowOff>
    </xdr:to>
    <xdr:graphicFrame macro="">
      <xdr:nvGraphicFramePr>
        <xdr:cNvPr id="5" name="Tornado Chart">
          <a:extLst>
            <a:ext uri="{FF2B5EF4-FFF2-40B4-BE49-F238E27FC236}">
              <a16:creationId xmlns:a16="http://schemas.microsoft.com/office/drawing/2014/main" id="{C7D42A3D-A807-4FE4-8E81-25AD8F728C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6</xdr:col>
      <xdr:colOff>78582</xdr:colOff>
      <xdr:row>24</xdr:row>
      <xdr:rowOff>38100</xdr:rowOff>
    </xdr:from>
    <xdr:to>
      <xdr:col>10</xdr:col>
      <xdr:colOff>183357</xdr:colOff>
      <xdr:row>27</xdr:row>
      <xdr:rowOff>0</xdr:rowOff>
    </xdr:to>
    <xdr:sp macro="" textlink="">
      <xdr:nvSpPr>
        <xdr:cNvPr id="23" name="Right Arrow 2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7FAF61B-2224-4388-ADA0-715168B79ECF}"/>
            </a:ext>
          </a:extLst>
        </xdr:cNvPr>
        <xdr:cNvSpPr/>
      </xdr:nvSpPr>
      <xdr:spPr bwMode="auto">
        <a:xfrm rot="10800000">
          <a:off x="8698707" y="4619625"/>
          <a:ext cx="2543175" cy="533400"/>
        </a:xfrm>
        <a:prstGeom prst="rightArrow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</a:t>
          </a:r>
          <a:r>
            <a:rPr lang="en-US" altLang="zh-CN" sz="1200">
              <a:solidFill>
                <a:schemeClr val="bg1"/>
              </a:solidFill>
            </a:rPr>
            <a:t>to PSA</a:t>
          </a:r>
          <a:endParaRPr lang="en-GB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57150</xdr:colOff>
      <xdr:row>19</xdr:row>
      <xdr:rowOff>152400</xdr:rowOff>
    </xdr:from>
    <xdr:to>
      <xdr:col>10</xdr:col>
      <xdr:colOff>161925</xdr:colOff>
      <xdr:row>22</xdr:row>
      <xdr:rowOff>114300</xdr:rowOff>
    </xdr:to>
    <xdr:sp macro="" textlink="">
      <xdr:nvSpPr>
        <xdr:cNvPr id="24" name="Right Arrow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9A6882E-FC13-44F4-B6E2-2BF68CCE4B8E}"/>
            </a:ext>
          </a:extLst>
        </xdr:cNvPr>
        <xdr:cNvSpPr/>
      </xdr:nvSpPr>
      <xdr:spPr bwMode="auto">
        <a:xfrm rot="10800000">
          <a:off x="8677275" y="3781425"/>
          <a:ext cx="2543175" cy="533400"/>
        </a:xfrm>
        <a:prstGeom prst="rightArrow">
          <a:avLst/>
        </a:prstGeom>
        <a:solidFill>
          <a:srgbClr val="BD4A47"/>
        </a:solidFill>
        <a:ln w="9525" cap="flat" cmpd="sng" algn="ctr">
          <a:solidFill>
            <a:srgbClr val="BD4A47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200">
              <a:solidFill>
                <a:schemeClr val="bg1"/>
              </a:solidFill>
            </a:rPr>
            <a:t>Go back </a:t>
          </a:r>
          <a:r>
            <a:rPr lang="en-US" altLang="zh-CN" sz="1200">
              <a:solidFill>
                <a:schemeClr val="bg1"/>
              </a:solidFill>
            </a:rPr>
            <a:t>to USA</a:t>
          </a:r>
          <a:endParaRPr lang="en-GB" sz="12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WHO customised colour schem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1E7FB8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/>
  </sheetPr>
  <dimension ref="A1:M41"/>
  <sheetViews>
    <sheetView showGridLines="0" tabSelected="1" workbookViewId="0"/>
  </sheetViews>
  <sheetFormatPr defaultColWidth="9.140625" defaultRowHeight="15" x14ac:dyDescent="0.25"/>
  <cols>
    <col min="1" max="1" width="8.85546875" style="70" customWidth="1"/>
    <col min="2" max="2" width="9.140625" style="1"/>
    <col min="3" max="3" width="9.140625" style="1" customWidth="1"/>
    <col min="4" max="4" width="44.42578125" style="1" customWidth="1"/>
    <col min="5" max="5" width="33.140625" style="1" customWidth="1"/>
    <col min="6" max="6" width="9.140625" style="1"/>
    <col min="7" max="7" width="18.85546875" style="1" hidden="1" customWidth="1"/>
    <col min="8" max="8" width="5.5703125" style="1" customWidth="1"/>
    <col min="9" max="9" width="4.42578125" style="1" customWidth="1"/>
    <col min="10" max="10" width="4" style="1" customWidth="1"/>
    <col min="11" max="11" width="5.5703125" style="1" customWidth="1"/>
    <col min="12" max="16384" width="9.140625" style="1"/>
  </cols>
  <sheetData>
    <row r="1" spans="1:13" customFormat="1" ht="150" customHeight="1" x14ac:dyDescent="0.25">
      <c r="A1" s="65"/>
    </row>
    <row r="2" spans="1:13" customFormat="1" x14ac:dyDescent="0.25">
      <c r="A2" s="65"/>
    </row>
    <row r="3" spans="1:13" customFormat="1" x14ac:dyDescent="0.25">
      <c r="A3" s="66"/>
      <c r="B3" s="63"/>
      <c r="C3" s="63"/>
      <c r="D3" s="63"/>
      <c r="E3" s="63"/>
      <c r="F3" s="63"/>
      <c r="G3" s="63" t="s">
        <v>480</v>
      </c>
      <c r="H3" s="63"/>
      <c r="I3" s="1"/>
    </row>
    <row r="4" spans="1:13" x14ac:dyDescent="0.25">
      <c r="A4" s="69"/>
    </row>
    <row r="5" spans="1:13" x14ac:dyDescent="0.25">
      <c r="D5" s="46" t="s">
        <v>578</v>
      </c>
      <c r="E5" s="170" t="s">
        <v>139</v>
      </c>
    </row>
    <row r="7" spans="1:13" x14ac:dyDescent="0.25">
      <c r="D7" s="44" t="s">
        <v>0</v>
      </c>
      <c r="E7" s="43" t="s">
        <v>459</v>
      </c>
      <c r="G7" s="37" t="s">
        <v>470</v>
      </c>
    </row>
    <row r="8" spans="1:13" x14ac:dyDescent="0.25">
      <c r="D8" s="45" t="s">
        <v>45</v>
      </c>
      <c r="E8" s="47" t="str">
        <f>VLOOKUP('Country selection'!$E$5,Parameters!$A$2:$V$195,G8,FALSE)</f>
        <v>CHINA</v>
      </c>
      <c r="G8" s="38">
        <v>1</v>
      </c>
    </row>
    <row r="9" spans="1:13" x14ac:dyDescent="0.25">
      <c r="D9" s="45" t="s">
        <v>24</v>
      </c>
      <c r="E9" s="86">
        <f>VLOOKUP('Country selection'!$E$5,Parameters!$A$2:$V$195,G9,FALSE)</f>
        <v>7707500.3999999994</v>
      </c>
      <c r="G9" s="38">
        <v>8</v>
      </c>
      <c r="I9" s="2"/>
      <c r="L9" s="2"/>
      <c r="M9" s="2"/>
    </row>
    <row r="10" spans="1:13" x14ac:dyDescent="0.25">
      <c r="D10" s="45" t="s">
        <v>491</v>
      </c>
      <c r="E10" s="86">
        <f>VLOOKUP('Country selection'!$E$5,Parameters!$A$2:$V$195,G10,FALSE)</f>
        <v>6986267.2000000002</v>
      </c>
      <c r="G10" s="38">
        <v>10</v>
      </c>
      <c r="I10" s="2"/>
      <c r="L10" s="2"/>
      <c r="M10" s="2"/>
    </row>
    <row r="11" spans="1:13" x14ac:dyDescent="0.25">
      <c r="D11" s="45" t="s">
        <v>482</v>
      </c>
      <c r="E11" s="48">
        <f>VLOOKUP('Country selection'!$E$5,Parameters!$A$2:$V$195,G11,FALSE)</f>
        <v>0.8</v>
      </c>
      <c r="G11" s="38">
        <v>11</v>
      </c>
    </row>
    <row r="12" spans="1:13" x14ac:dyDescent="0.25">
      <c r="D12" s="45" t="s">
        <v>36</v>
      </c>
      <c r="E12" s="48">
        <f>VLOOKUP('Country selection'!$E$5,Parameters!$A$2:$V$195,G12,FALSE)</f>
        <v>1</v>
      </c>
      <c r="G12" s="38">
        <v>12</v>
      </c>
    </row>
    <row r="13" spans="1:13" x14ac:dyDescent="0.25">
      <c r="D13" s="46" t="s">
        <v>2</v>
      </c>
      <c r="E13" s="47">
        <f>VLOOKUP('Country selection'!$E$5,Parameters!$A$2:$V$195,G13,FALSE)</f>
        <v>12</v>
      </c>
      <c r="G13" s="38">
        <v>13</v>
      </c>
    </row>
    <row r="14" spans="1:13" x14ac:dyDescent="0.25">
      <c r="D14" s="45" t="s">
        <v>42</v>
      </c>
      <c r="E14" s="90">
        <f>VLOOKUP('Country selection'!$E$5,Parameters!$A$2:$V$195,G14,FALSE)</f>
        <v>40.44</v>
      </c>
      <c r="G14" s="38">
        <v>14</v>
      </c>
    </row>
    <row r="15" spans="1:13" x14ac:dyDescent="0.25">
      <c r="D15" s="45" t="s">
        <v>43</v>
      </c>
      <c r="E15" s="90">
        <f>VLOOKUP('Country selection'!$E$5,Parameters!$A$2:$V$195,G15,FALSE)</f>
        <v>15</v>
      </c>
      <c r="G15" s="38">
        <v>15</v>
      </c>
    </row>
    <row r="16" spans="1:13" x14ac:dyDescent="0.25">
      <c r="D16" s="45" t="s">
        <v>44</v>
      </c>
      <c r="E16" s="49">
        <f>E14+E15</f>
        <v>55.44</v>
      </c>
      <c r="G16" s="38"/>
    </row>
    <row r="17" spans="4:13" x14ac:dyDescent="0.25">
      <c r="D17" s="46" t="s">
        <v>3</v>
      </c>
      <c r="E17" s="49">
        <f>VLOOKUP('Country selection'!$E$5,Parameters!$A$2:$V$195,G17,FALSE)</f>
        <v>650.09150220000004</v>
      </c>
      <c r="G17" s="38">
        <v>16</v>
      </c>
    </row>
    <row r="18" spans="4:13" x14ac:dyDescent="0.25">
      <c r="D18" s="91" t="s">
        <v>511</v>
      </c>
      <c r="E18" s="85">
        <v>0.08</v>
      </c>
      <c r="G18" s="38"/>
      <c r="I18" s="2"/>
      <c r="L18" s="2"/>
      <c r="M18" s="2"/>
    </row>
    <row r="19" spans="4:13" x14ac:dyDescent="0.25">
      <c r="D19" s="91" t="s">
        <v>531</v>
      </c>
      <c r="E19" s="85">
        <f>VLOOKUP('Country selection'!$E$5,Parameters!$A$2:$V$195,G19,FALSE)</f>
        <v>0.11</v>
      </c>
      <c r="G19" s="38">
        <v>22</v>
      </c>
      <c r="M19" s="3"/>
    </row>
    <row r="20" spans="4:13" x14ac:dyDescent="0.25">
      <c r="D20" s="91" t="s">
        <v>513</v>
      </c>
      <c r="E20" s="85">
        <v>0.78</v>
      </c>
      <c r="G20" s="38"/>
      <c r="M20" s="3"/>
    </row>
    <row r="21" spans="4:13" x14ac:dyDescent="0.25">
      <c r="D21" s="46" t="s">
        <v>4</v>
      </c>
      <c r="E21" s="50">
        <f>VLOOKUP('Country selection'!$E$5,Parameters!$A$2:$V$195,G21,FALSE)</f>
        <v>0.03</v>
      </c>
      <c r="G21" s="38">
        <v>18</v>
      </c>
      <c r="M21" s="3"/>
    </row>
    <row r="22" spans="4:13" x14ac:dyDescent="0.25">
      <c r="D22" s="45" t="s">
        <v>487</v>
      </c>
      <c r="E22" s="50">
        <f>VLOOKUP('Country selection'!$E$5,Parameters!$A$2:$V$195,G22,FALSE)</f>
        <v>0.68420000000000003</v>
      </c>
      <c r="G22" s="38">
        <v>19</v>
      </c>
      <c r="M22" s="3"/>
    </row>
    <row r="23" spans="4:13" x14ac:dyDescent="0.25">
      <c r="D23" s="45" t="s">
        <v>472</v>
      </c>
      <c r="E23" s="49">
        <f>VLOOKUP('Country selection'!$E$5,Parameters!$A$2:$V$195,G23,FALSE)</f>
        <v>5444.7853033333186</v>
      </c>
      <c r="G23" s="38">
        <v>20</v>
      </c>
      <c r="M23" s="3"/>
    </row>
    <row r="24" spans="4:13" x14ac:dyDescent="0.25">
      <c r="E24" s="36"/>
    </row>
    <row r="25" spans="4:13" x14ac:dyDescent="0.25">
      <c r="D25" s="91"/>
      <c r="F25" s="64"/>
    </row>
    <row r="26" spans="4:13" x14ac:dyDescent="0.25">
      <c r="D26" s="91"/>
      <c r="F26" s="64"/>
    </row>
    <row r="27" spans="4:13" x14ac:dyDescent="0.25">
      <c r="D27" s="91"/>
      <c r="F27" s="64"/>
    </row>
    <row r="31" spans="4:13" x14ac:dyDescent="0.25">
      <c r="D31"/>
      <c r="E31"/>
    </row>
    <row r="32" spans="4:13" x14ac:dyDescent="0.25">
      <c r="D32"/>
      <c r="E32"/>
    </row>
    <row r="33" spans="4:5" x14ac:dyDescent="0.25">
      <c r="D33"/>
      <c r="E33"/>
    </row>
    <row r="34" spans="4:5" x14ac:dyDescent="0.25">
      <c r="D34"/>
      <c r="E34"/>
    </row>
    <row r="35" spans="4:5" x14ac:dyDescent="0.25">
      <c r="D35"/>
      <c r="E35"/>
    </row>
    <row r="36" spans="4:5" x14ac:dyDescent="0.25">
      <c r="D36"/>
      <c r="E36"/>
    </row>
    <row r="37" spans="4:5" x14ac:dyDescent="0.25">
      <c r="D37"/>
      <c r="E37"/>
    </row>
    <row r="38" spans="4:5" x14ac:dyDescent="0.25">
      <c r="D38"/>
      <c r="E38"/>
    </row>
    <row r="39" spans="4:5" x14ac:dyDescent="0.25">
      <c r="D39"/>
      <c r="E39"/>
    </row>
    <row r="40" spans="4:5" x14ac:dyDescent="0.25">
      <c r="D40"/>
      <c r="E40"/>
    </row>
    <row r="41" spans="4:5" x14ac:dyDescent="0.25">
      <c r="D41"/>
      <c r="E41"/>
    </row>
  </sheetData>
  <sheetProtection selectLockedCells="1" selectUnlockedCells="1"/>
  <phoneticPr fontId="19" type="noConversion"/>
  <dataValidations count="1">
    <dataValidation type="list" allowBlank="1" showErrorMessage="1" sqref="E5" xr:uid="{00000000-0002-0000-0000-000000000000}">
      <formula1>Country</formula1>
    </dataValidation>
  </dataValidations>
  <hyperlinks>
    <hyperlink ref="G3" location="'Country selection'!A1" display="Country Selection" xr:uid="{00000000-0004-0000-0000-000000000000}"/>
  </hyperlinks>
  <pageMargins left="0.7" right="0.7" top="0.75" bottom="0.75" header="0.51180555555555551" footer="0.51180555555555551"/>
  <pageSetup paperSize="9" firstPageNumber="0" orientation="portrait" horizontalDpi="300" verticalDpi="300" r:id="rId1"/>
  <headerFooter alignWithMargins="0"/>
  <ignoredErrors>
    <ignoredError sqref="E16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/>
  </sheetPr>
  <dimension ref="A1:H31"/>
  <sheetViews>
    <sheetView showGridLines="0" topLeftCell="A19" workbookViewId="0">
      <selection activeCell="I7" sqref="I7:I23"/>
    </sheetView>
  </sheetViews>
  <sheetFormatPr defaultRowHeight="15" x14ac:dyDescent="0.25"/>
  <cols>
    <col min="1" max="1" width="18.140625" style="65" customWidth="1"/>
    <col min="3" max="3" width="8.85546875" customWidth="1"/>
    <col min="4" max="4" width="45.5703125" customWidth="1"/>
    <col min="5" max="5" width="22" customWidth="1"/>
    <col min="6" max="6" width="20.5703125" customWidth="1"/>
    <col min="7" max="7" width="7.42578125" customWidth="1"/>
    <col min="8" max="8" width="17.140625" hidden="1" customWidth="1"/>
    <col min="9" max="9" width="27.42578125" bestFit="1" customWidth="1"/>
    <col min="10" max="10" width="26.140625" bestFit="1" customWidth="1"/>
  </cols>
  <sheetData>
    <row r="1" spans="1:8" ht="150" customHeight="1" x14ac:dyDescent="0.25">
      <c r="A1" s="74"/>
      <c r="B1" s="71"/>
    </row>
    <row r="2" spans="1:8" x14ac:dyDescent="0.25">
      <c r="A2" s="74"/>
      <c r="B2" s="71"/>
    </row>
    <row r="3" spans="1:8" x14ac:dyDescent="0.25">
      <c r="A3" s="75"/>
      <c r="B3" s="71"/>
    </row>
    <row r="4" spans="1:8" x14ac:dyDescent="0.25">
      <c r="A4" s="76"/>
      <c r="B4" s="72"/>
      <c r="C4" s="73"/>
      <c r="D4" s="73"/>
      <c r="E4" s="73"/>
      <c r="F4" s="73"/>
      <c r="G4" s="73"/>
    </row>
    <row r="5" spans="1:8" x14ac:dyDescent="0.25">
      <c r="D5" s="44" t="s">
        <v>478</v>
      </c>
    </row>
    <row r="7" spans="1:8" x14ac:dyDescent="0.25">
      <c r="D7" s="44" t="s">
        <v>0</v>
      </c>
      <c r="E7" s="2" t="s">
        <v>459</v>
      </c>
      <c r="F7" s="2" t="s">
        <v>460</v>
      </c>
      <c r="G7" s="2"/>
      <c r="H7" s="37" t="s">
        <v>469</v>
      </c>
    </row>
    <row r="8" spans="1:8" x14ac:dyDescent="0.25">
      <c r="D8" s="45" t="str">
        <f>'Country selection'!D8</f>
        <v>Country</v>
      </c>
      <c r="E8" s="4" t="str">
        <f>'Country selection'!E8</f>
        <v>CHINA</v>
      </c>
      <c r="F8" s="47"/>
      <c r="H8" s="39" t="str">
        <f>IF(F8="",E8,F8)</f>
        <v>CHINA</v>
      </c>
    </row>
    <row r="9" spans="1:8" x14ac:dyDescent="0.25">
      <c r="D9" s="45" t="s">
        <v>24</v>
      </c>
      <c r="E9" s="87">
        <f>'Country selection'!E9</f>
        <v>7707500.3999999994</v>
      </c>
      <c r="F9" s="47"/>
      <c r="H9" s="39">
        <f t="shared" ref="H9:H23" si="0">IF(F9="",E9,F9)</f>
        <v>7707500.3999999994</v>
      </c>
    </row>
    <row r="10" spans="1:8" x14ac:dyDescent="0.25">
      <c r="D10" s="45" t="s">
        <v>579</v>
      </c>
      <c r="E10" s="87">
        <f>'Country selection'!E10</f>
        <v>6986267.2000000002</v>
      </c>
      <c r="F10" s="47"/>
      <c r="H10" s="39">
        <f t="shared" si="0"/>
        <v>6986267.2000000002</v>
      </c>
    </row>
    <row r="11" spans="1:8" x14ac:dyDescent="0.25">
      <c r="D11" s="45" t="str">
        <f>'Country selection'!D11</f>
        <v>Coverage (all doses)</v>
      </c>
      <c r="E11" s="35">
        <f>'Country selection'!E11</f>
        <v>0.8</v>
      </c>
      <c r="F11" s="48"/>
      <c r="H11" s="39">
        <f t="shared" si="0"/>
        <v>0.8</v>
      </c>
    </row>
    <row r="12" spans="1:8" x14ac:dyDescent="0.25">
      <c r="D12" s="45" t="str">
        <f>'Country selection'!D12</f>
        <v>Vaccine efficacy vs HPV 16/18</v>
      </c>
      <c r="E12" s="35">
        <f>'Country selection'!E12</f>
        <v>1</v>
      </c>
      <c r="F12" s="48"/>
      <c r="H12" s="40">
        <f ca="1">IF(modeltype="Stochastic",PSA!B21,IF(AND(modeltype="Deterministic",Customisation!F12=""),Customisation!E12,Customisation!F12))</f>
        <v>0.77737569596110645</v>
      </c>
    </row>
    <row r="13" spans="1:8" x14ac:dyDescent="0.25">
      <c r="D13" s="45" t="str">
        <f>'Country selection'!D13</f>
        <v>Target age group</v>
      </c>
      <c r="E13" s="4">
        <f>'Country selection'!E13</f>
        <v>12</v>
      </c>
      <c r="F13" s="47"/>
      <c r="H13" s="127">
        <f>IF(F13="",E13,F13)</f>
        <v>12</v>
      </c>
    </row>
    <row r="14" spans="1:8" x14ac:dyDescent="0.25">
      <c r="D14" s="45" t="str">
        <f>'Country selection'!D14</f>
        <v>Vaccine price per FIG</v>
      </c>
      <c r="E14" s="8">
        <f>'Country selection'!E14</f>
        <v>40.44</v>
      </c>
      <c r="F14" s="49"/>
      <c r="H14" s="128">
        <f ca="1">IF(modeltype="Stochastic",PSA!B22,IF(AND(modeltype="Deterministic",Customisation!F14=""),Customisation!E14,Customisation!F14))</f>
        <v>37.57742833839314</v>
      </c>
    </row>
    <row r="15" spans="1:8" x14ac:dyDescent="0.25">
      <c r="D15" s="45" t="str">
        <f>'Country selection'!D15</f>
        <v>Vaccine delivery cost per FIG</v>
      </c>
      <c r="E15" s="8">
        <f>'Country selection'!E15</f>
        <v>15</v>
      </c>
      <c r="F15" s="49"/>
      <c r="H15" s="128">
        <f ca="1">IF(modeltype="Stochastic",PSA!B23,IF(AND(modeltype="Deterministic",Customisation!F15=""),Customisation!E15,Customisation!F15))</f>
        <v>13.342731875385002</v>
      </c>
    </row>
    <row r="16" spans="1:8" x14ac:dyDescent="0.25">
      <c r="D16" s="45" t="str">
        <f>'Country selection'!D16</f>
        <v>Total vaccine cost per FIG</v>
      </c>
      <c r="E16" s="8">
        <f>'Country selection'!E16</f>
        <v>55.44</v>
      </c>
      <c r="F16" s="89">
        <f ca="1">H14+H15</f>
        <v>50.920160213778146</v>
      </c>
      <c r="H16" s="41">
        <f t="shared" ca="1" si="0"/>
        <v>50.920160213778146</v>
      </c>
    </row>
    <row r="17" spans="4:8" x14ac:dyDescent="0.25">
      <c r="D17" s="45" t="str">
        <f>'Country selection'!D17</f>
        <v>Cancer treatment cost (per episode, over lifetime)</v>
      </c>
      <c r="E17" s="8">
        <f>'Country selection'!E17</f>
        <v>650.09150220000004</v>
      </c>
      <c r="F17" s="49"/>
      <c r="H17" s="41">
        <f ca="1">IF(modeltype="Stochastic",PSA!B24,IF(AND(modeltype="Deterministic",Customisation!F17=""),Customisation!E17,Customisation!F17))</f>
        <v>692.73392238669464</v>
      </c>
    </row>
    <row r="18" spans="4:8" x14ac:dyDescent="0.25">
      <c r="D18" s="91" t="s">
        <v>511</v>
      </c>
      <c r="E18" s="88">
        <f>'Country selection'!E18</f>
        <v>0.08</v>
      </c>
      <c r="F18" s="47"/>
      <c r="H18" s="129">
        <f ca="1">IF(modeltype="Stochastic",PSA!B25,IF(AND(modeltype="Deterministic",Customisation!F18=""),Customisation!E18,Customisation!F18))</f>
        <v>7.8714178749755753E-2</v>
      </c>
    </row>
    <row r="19" spans="4:8" x14ac:dyDescent="0.25">
      <c r="D19" s="91" t="s">
        <v>512</v>
      </c>
      <c r="E19" s="88">
        <f>'Country selection'!E19</f>
        <v>0.11</v>
      </c>
      <c r="F19" s="47"/>
      <c r="H19" s="129">
        <f ca="1">IF(modeltype="Stochastic",PSA!B26,IF(AND(modeltype="Deterministic",Customisation!F19=""),Customisation!E19,Customisation!F19))</f>
        <v>0.1104024515996137</v>
      </c>
    </row>
    <row r="20" spans="4:8" x14ac:dyDescent="0.25">
      <c r="D20" s="91" t="s">
        <v>513</v>
      </c>
      <c r="E20" s="88">
        <f>'Country selection'!E20</f>
        <v>0.78</v>
      </c>
      <c r="F20" s="47"/>
      <c r="H20" s="129">
        <f ca="1">IF(modeltype="Stochastic",PSA!B27,IF(AND(modeltype="Deterministic",Customisation!F20=""),Customisation!E20,Customisation!F20))</f>
        <v>0.73878224949396265</v>
      </c>
    </row>
    <row r="21" spans="4:8" x14ac:dyDescent="0.25">
      <c r="D21" s="45" t="str">
        <f>'Country selection'!D21</f>
        <v>Discount rate</v>
      </c>
      <c r="E21" s="36">
        <f>'Country selection'!E21</f>
        <v>0.03</v>
      </c>
      <c r="F21" s="50"/>
      <c r="H21" s="130">
        <f ca="1">IF(modeltype="Stochastic",PSA!B28,IF(AND(modeltype="Deterministic",Customisation!F21=""),Customisation!E21,Customisation!F21))</f>
        <v>2.9641034551180057E-2</v>
      </c>
    </row>
    <row r="22" spans="4:8" x14ac:dyDescent="0.25">
      <c r="D22" s="45" t="str">
        <f>'Country selection'!D22</f>
        <v>Proportion of cervical cancer cases that are due to HPV 16/18</v>
      </c>
      <c r="E22" s="36">
        <f>'Country selection'!E22</f>
        <v>0.68420000000000003</v>
      </c>
      <c r="F22" s="50"/>
      <c r="H22" s="131">
        <f ca="1">IF(modeltype="Stochastic",PSA!B29,IF(AND(modeltype="Deterministic",Customisation!F22=""),Customisation!E22,Customisation!F22))</f>
        <v>0.69909792167730767</v>
      </c>
    </row>
    <row r="23" spans="4:8" x14ac:dyDescent="0.25">
      <c r="D23" s="45" t="str">
        <f>'Country selection'!D23</f>
        <v>GDP per capita</v>
      </c>
      <c r="E23" s="8">
        <f>'Country selection'!E23</f>
        <v>5444.7853033333186</v>
      </c>
      <c r="F23" s="49"/>
      <c r="H23" s="41">
        <f t="shared" si="0"/>
        <v>5444.7853033333186</v>
      </c>
    </row>
    <row r="31" spans="4:8" x14ac:dyDescent="0.25">
      <c r="E31" s="1"/>
    </row>
  </sheetData>
  <phoneticPr fontId="19" type="noConversion"/>
  <pageMargins left="0.7" right="0.7" top="0.75" bottom="0.75" header="0.3" footer="0.3"/>
  <pageSetup paperSize="9" orientation="portrait" r:id="rId1"/>
  <ignoredErrors>
    <ignoredError sqref="H1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O108"/>
  <sheetViews>
    <sheetView showGridLines="0" workbookViewId="0"/>
  </sheetViews>
  <sheetFormatPr defaultRowHeight="15" x14ac:dyDescent="0.25"/>
  <cols>
    <col min="1" max="1" width="18.140625" style="65" customWidth="1"/>
    <col min="2" max="2" width="4.85546875" customWidth="1"/>
    <col min="3" max="3" width="4.42578125" style="52" bestFit="1" customWidth="1"/>
    <col min="4" max="6" width="11.42578125" customWidth="1"/>
    <col min="7" max="7" width="11.140625" customWidth="1"/>
    <col min="8" max="8" width="4.42578125" style="52" bestFit="1" customWidth="1"/>
    <col min="9" max="11" width="11.42578125" customWidth="1"/>
    <col min="13" max="15" width="0" hidden="1" customWidth="1"/>
  </cols>
  <sheetData>
    <row r="1" spans="1:15" ht="150" customHeight="1" x14ac:dyDescent="0.25">
      <c r="A1" s="77"/>
      <c r="B1" s="77"/>
      <c r="C1" s="77"/>
      <c r="D1" s="77"/>
      <c r="E1" s="77"/>
      <c r="F1" s="77"/>
      <c r="G1" s="77"/>
      <c r="H1" s="77"/>
      <c r="I1" s="77"/>
    </row>
    <row r="2" spans="1:15" x14ac:dyDescent="0.25">
      <c r="A2" s="77"/>
      <c r="B2" s="77"/>
      <c r="C2" s="77"/>
      <c r="D2" s="77"/>
      <c r="E2" s="77"/>
      <c r="F2" s="77"/>
      <c r="G2" s="77"/>
      <c r="H2" s="77"/>
      <c r="I2" s="77"/>
    </row>
    <row r="3" spans="1:15" ht="15.75" customHeight="1" x14ac:dyDescent="0.25">
      <c r="A3" s="68"/>
      <c r="B3" s="77"/>
      <c r="C3" s="77"/>
      <c r="D3" s="77"/>
      <c r="E3" s="77"/>
      <c r="F3" s="77"/>
      <c r="G3" s="77"/>
      <c r="H3" s="77"/>
      <c r="I3" s="77"/>
    </row>
    <row r="4" spans="1:15" ht="0.75" customHeight="1" x14ac:dyDescent="0.25">
      <c r="A4" s="77"/>
      <c r="B4" s="77"/>
      <c r="C4" s="77"/>
      <c r="D4" s="77"/>
      <c r="E4" s="77"/>
      <c r="F4" s="77"/>
      <c r="G4" s="77"/>
      <c r="H4" s="77"/>
      <c r="I4" s="77"/>
    </row>
    <row r="5" spans="1:15" ht="15.75" customHeight="1" x14ac:dyDescent="0.25">
      <c r="C5"/>
      <c r="H5"/>
    </row>
    <row r="6" spans="1:15" ht="20.25" thickBot="1" x14ac:dyDescent="0.3">
      <c r="D6" s="171" t="s">
        <v>461</v>
      </c>
      <c r="E6" s="171"/>
      <c r="F6" s="171"/>
      <c r="G6" s="51"/>
      <c r="I6" s="171" t="s">
        <v>462</v>
      </c>
      <c r="J6" s="171"/>
      <c r="K6" s="171"/>
      <c r="M6" s="42" t="s">
        <v>471</v>
      </c>
      <c r="N6" s="42"/>
      <c r="O6" s="42"/>
    </row>
    <row r="7" spans="1:15" s="79" customFormat="1" ht="60.75" thickTop="1" x14ac:dyDescent="0.25">
      <c r="A7" s="78"/>
      <c r="C7" s="80" t="s">
        <v>1</v>
      </c>
      <c r="D7" s="80" t="s">
        <v>39</v>
      </c>
      <c r="E7" s="80" t="s">
        <v>40</v>
      </c>
      <c r="F7" s="80" t="s">
        <v>41</v>
      </c>
      <c r="G7" s="80"/>
      <c r="H7" s="80" t="s">
        <v>1</v>
      </c>
      <c r="I7" s="80" t="s">
        <v>39</v>
      </c>
      <c r="J7" s="80" t="s">
        <v>40</v>
      </c>
      <c r="K7" s="80" t="s">
        <v>41</v>
      </c>
      <c r="M7" s="81" t="s">
        <v>39</v>
      </c>
      <c r="N7" s="81" t="s">
        <v>40</v>
      </c>
      <c r="O7" s="81" t="s">
        <v>41</v>
      </c>
    </row>
    <row r="8" spans="1:15" x14ac:dyDescent="0.25">
      <c r="C8" s="4">
        <v>0</v>
      </c>
      <c r="D8" s="1">
        <f>IF(ISNUMBER(VLOOKUP('Country selection'!$E$5,incidence!$A$2:$CX$195,$C8+2,FALSE)),VLOOKUP('Country selection'!$E$5,incidence!$A$2:$CX$195,$C8+2,FALSE),0)</f>
        <v>9.9999999999999995E-7</v>
      </c>
      <c r="E8" s="1">
        <f>IF(ISNUMBER(VLOOKUP('Country selection'!$E$5,mortcecx!$A$2:$CX$195,$C8+2,FALSE)),VLOOKUP('Country selection'!$E$5,mortcecx!$A$2:$CX$195,$C8+2,FALSE),0)</f>
        <v>0</v>
      </c>
      <c r="F8" s="1">
        <f>IF(ISNUMBER(VLOOKUP('Country selection'!$E$5,mortall!$A$2:$CX$195,$C8+2,FALSE)),VLOOKUP('Country selection'!$E$5,mortall!$A$2:$CX$195,$C8+2,FALSE),0)</f>
        <v>2.0109999999999999E-2</v>
      </c>
      <c r="G8" s="1"/>
      <c r="H8" s="4">
        <v>0</v>
      </c>
      <c r="I8" s="53"/>
      <c r="J8" s="53"/>
      <c r="K8" s="53"/>
      <c r="M8" s="38">
        <f t="shared" ref="M8:M39" si="0">IF(I8="",D8,I8)</f>
        <v>9.9999999999999995E-7</v>
      </c>
      <c r="N8" s="38">
        <f t="shared" ref="N8:N39" si="1">IF(J8="",E8,J8)</f>
        <v>0</v>
      </c>
      <c r="O8" s="38">
        <f t="shared" ref="O8:O39" si="2">IF(K8="",F8,K8)</f>
        <v>2.0109999999999999E-2</v>
      </c>
    </row>
    <row r="9" spans="1:15" x14ac:dyDescent="0.25">
      <c r="C9" s="4">
        <f t="shared" ref="C9:C40" si="3">C8+1</f>
        <v>1</v>
      </c>
      <c r="D9" s="1">
        <f>IF(ISNUMBER(VLOOKUP('Country selection'!$E$5,incidence!$A$2:$CX$195,$C9+2,FALSE)),VLOOKUP('Country selection'!$E$5,incidence!$A$2:$CX$195,$C9+2,FALSE),0)</f>
        <v>9.9999999999999995E-7</v>
      </c>
      <c r="E9" s="1">
        <f>IF(ISNUMBER(VLOOKUP('Country selection'!$E$5,mortcecx!$A$2:$CX$195,$C9+2,FALSE)),VLOOKUP('Country selection'!$E$5,mortcecx!$A$2:$CX$195,$C9+2,FALSE),0)</f>
        <v>0</v>
      </c>
      <c r="F9" s="1">
        <f>IF(ISNUMBER(VLOOKUP('Country selection'!$E$5,mortall!$A$2:$CX$195,$C9+2,FALSE)),VLOOKUP('Country selection'!$E$5,mortall!$A$2:$CX$195,$C9+2,FALSE),0)</f>
        <v>5.9000000000000003E-4</v>
      </c>
      <c r="G9" s="1"/>
      <c r="H9" s="4">
        <f t="shared" ref="H9:H72" si="4">H8+1</f>
        <v>1</v>
      </c>
      <c r="I9" s="53"/>
      <c r="J9" s="53"/>
      <c r="K9" s="53"/>
      <c r="M9" s="38">
        <f t="shared" si="0"/>
        <v>9.9999999999999995E-7</v>
      </c>
      <c r="N9" s="38">
        <f t="shared" si="1"/>
        <v>0</v>
      </c>
      <c r="O9" s="38">
        <f t="shared" si="2"/>
        <v>5.9000000000000003E-4</v>
      </c>
    </row>
    <row r="10" spans="1:15" x14ac:dyDescent="0.25">
      <c r="C10" s="4">
        <f t="shared" si="3"/>
        <v>2</v>
      </c>
      <c r="D10" s="1">
        <f>IF(ISNUMBER(VLOOKUP('Country selection'!$E$5,incidence!$A$2:$CX$195,$C10+2,FALSE)),VLOOKUP('Country selection'!$E$5,incidence!$A$2:$CX$195,$C10+2,FALSE),0)</f>
        <v>9.9999999999999995E-7</v>
      </c>
      <c r="E10" s="1">
        <f>IF(ISNUMBER(VLOOKUP('Country selection'!$E$5,mortcecx!$A$2:$CX$195,$C10+2,FALSE)),VLOOKUP('Country selection'!$E$5,mortcecx!$A$2:$CX$195,$C10+2,FALSE),0)</f>
        <v>0</v>
      </c>
      <c r="F10" s="1">
        <f>IF(ISNUMBER(VLOOKUP('Country selection'!$E$5,mortall!$A$2:$CX$195,$C10+2,FALSE)),VLOOKUP('Country selection'!$E$5,mortall!$A$2:$CX$195,$C10+2,FALSE),0)</f>
        <v>5.9000000000000003E-4</v>
      </c>
      <c r="G10" s="1"/>
      <c r="H10" s="4">
        <f t="shared" si="4"/>
        <v>2</v>
      </c>
      <c r="I10" s="53"/>
      <c r="J10" s="53"/>
      <c r="K10" s="53"/>
      <c r="M10" s="38">
        <f t="shared" si="0"/>
        <v>9.9999999999999995E-7</v>
      </c>
      <c r="N10" s="38">
        <f t="shared" si="1"/>
        <v>0</v>
      </c>
      <c r="O10" s="38">
        <f t="shared" si="2"/>
        <v>5.9000000000000003E-4</v>
      </c>
    </row>
    <row r="11" spans="1:15" x14ac:dyDescent="0.25">
      <c r="C11" s="4">
        <f t="shared" si="3"/>
        <v>3</v>
      </c>
      <c r="D11" s="1">
        <f>IF(ISNUMBER(VLOOKUP('Country selection'!$E$5,incidence!$A$2:$CX$195,$C11+2,FALSE)),VLOOKUP('Country selection'!$E$5,incidence!$A$2:$CX$195,$C11+2,FALSE),0)</f>
        <v>9.9999999999999995E-7</v>
      </c>
      <c r="E11" s="1">
        <f>IF(ISNUMBER(VLOOKUP('Country selection'!$E$5,mortcecx!$A$2:$CX$195,$C11+2,FALSE)),VLOOKUP('Country selection'!$E$5,mortcecx!$A$2:$CX$195,$C11+2,FALSE),0)</f>
        <v>0</v>
      </c>
      <c r="F11" s="1">
        <f>IF(ISNUMBER(VLOOKUP('Country selection'!$E$5,mortall!$A$2:$CX$195,$C11+2,FALSE)),VLOOKUP('Country selection'!$E$5,mortall!$A$2:$CX$195,$C11+2,FALSE),0)</f>
        <v>5.9000000000000003E-4</v>
      </c>
      <c r="G11" s="1"/>
      <c r="H11" s="4">
        <f t="shared" si="4"/>
        <v>3</v>
      </c>
      <c r="I11" s="53"/>
      <c r="J11" s="53"/>
      <c r="K11" s="53"/>
      <c r="M11" s="38">
        <f t="shared" si="0"/>
        <v>9.9999999999999995E-7</v>
      </c>
      <c r="N11" s="38">
        <f t="shared" si="1"/>
        <v>0</v>
      </c>
      <c r="O11" s="38">
        <f t="shared" si="2"/>
        <v>5.9000000000000003E-4</v>
      </c>
    </row>
    <row r="12" spans="1:15" x14ac:dyDescent="0.25">
      <c r="C12" s="4">
        <f t="shared" si="3"/>
        <v>4</v>
      </c>
      <c r="D12" s="1">
        <f>IF(ISNUMBER(VLOOKUP('Country selection'!$E$5,incidence!$A$2:$CX$195,$C12+2,FALSE)),VLOOKUP('Country selection'!$E$5,incidence!$A$2:$CX$195,$C12+2,FALSE),0)</f>
        <v>9.9999999999999995E-7</v>
      </c>
      <c r="E12" s="1">
        <f>IF(ISNUMBER(VLOOKUP('Country selection'!$E$5,mortcecx!$A$2:$CX$195,$C12+2,FALSE)),VLOOKUP('Country selection'!$E$5,mortcecx!$A$2:$CX$195,$C12+2,FALSE),0)</f>
        <v>0</v>
      </c>
      <c r="F12" s="1">
        <f>IF(ISNUMBER(VLOOKUP('Country selection'!$E$5,mortall!$A$2:$CX$195,$C12+2,FALSE)),VLOOKUP('Country selection'!$E$5,mortall!$A$2:$CX$195,$C12+2,FALSE),0)</f>
        <v>5.9000000000000003E-4</v>
      </c>
      <c r="G12" s="1"/>
      <c r="H12" s="4">
        <f t="shared" si="4"/>
        <v>4</v>
      </c>
      <c r="I12" s="53"/>
      <c r="J12" s="53"/>
      <c r="K12" s="53"/>
      <c r="M12" s="38">
        <f t="shared" si="0"/>
        <v>9.9999999999999995E-7</v>
      </c>
      <c r="N12" s="38">
        <f t="shared" si="1"/>
        <v>0</v>
      </c>
      <c r="O12" s="38">
        <f t="shared" si="2"/>
        <v>5.9000000000000003E-4</v>
      </c>
    </row>
    <row r="13" spans="1:15" x14ac:dyDescent="0.25">
      <c r="C13" s="4">
        <f t="shared" si="3"/>
        <v>5</v>
      </c>
      <c r="D13" s="1">
        <f>IF(ISNUMBER(VLOOKUP('Country selection'!$E$5,incidence!$A$2:$CX$195,$C13+2,FALSE)),VLOOKUP('Country selection'!$E$5,incidence!$A$2:$CX$195,$C13+2,FALSE),0)</f>
        <v>9.9999999999999995E-7</v>
      </c>
      <c r="E13" s="1">
        <f>IF(ISNUMBER(VLOOKUP('Country selection'!$E$5,mortcecx!$A$2:$CX$195,$C13+2,FALSE)),VLOOKUP('Country selection'!$E$5,mortcecx!$A$2:$CX$195,$C13+2,FALSE),0)</f>
        <v>0</v>
      </c>
      <c r="F13" s="1">
        <f>IF(ISNUMBER(VLOOKUP('Country selection'!$E$5,mortall!$A$2:$CX$195,$C13+2,FALSE)),VLOOKUP('Country selection'!$E$5,mortall!$A$2:$CX$195,$C13+2,FALSE),0)</f>
        <v>3.2000000000000003E-4</v>
      </c>
      <c r="G13" s="1"/>
      <c r="H13" s="4">
        <f t="shared" si="4"/>
        <v>5</v>
      </c>
      <c r="I13" s="53"/>
      <c r="J13" s="53"/>
      <c r="K13" s="53"/>
      <c r="M13" s="38">
        <f t="shared" si="0"/>
        <v>9.9999999999999995E-7</v>
      </c>
      <c r="N13" s="38">
        <f t="shared" si="1"/>
        <v>0</v>
      </c>
      <c r="O13" s="38">
        <f t="shared" si="2"/>
        <v>3.2000000000000003E-4</v>
      </c>
    </row>
    <row r="14" spans="1:15" x14ac:dyDescent="0.25">
      <c r="C14" s="4">
        <f t="shared" si="3"/>
        <v>6</v>
      </c>
      <c r="D14" s="1">
        <f>IF(ISNUMBER(VLOOKUP('Country selection'!$E$5,incidence!$A$2:$CX$195,$C14+2,FALSE)),VLOOKUP('Country selection'!$E$5,incidence!$A$2:$CX$195,$C14+2,FALSE),0)</f>
        <v>9.9999999999999995E-7</v>
      </c>
      <c r="E14" s="1">
        <f>IF(ISNUMBER(VLOOKUP('Country selection'!$E$5,mortcecx!$A$2:$CX$195,$C14+2,FALSE)),VLOOKUP('Country selection'!$E$5,mortcecx!$A$2:$CX$195,$C14+2,FALSE),0)</f>
        <v>0</v>
      </c>
      <c r="F14" s="1">
        <f>IF(ISNUMBER(VLOOKUP('Country selection'!$E$5,mortall!$A$2:$CX$195,$C14+2,FALSE)),VLOOKUP('Country selection'!$E$5,mortall!$A$2:$CX$195,$C14+2,FALSE),0)</f>
        <v>3.2000000000000003E-4</v>
      </c>
      <c r="G14" s="1"/>
      <c r="H14" s="4">
        <f t="shared" si="4"/>
        <v>6</v>
      </c>
      <c r="I14" s="53"/>
      <c r="J14" s="53"/>
      <c r="K14" s="53"/>
      <c r="M14" s="38">
        <f t="shared" si="0"/>
        <v>9.9999999999999995E-7</v>
      </c>
      <c r="N14" s="38">
        <f t="shared" si="1"/>
        <v>0</v>
      </c>
      <c r="O14" s="38">
        <f t="shared" si="2"/>
        <v>3.2000000000000003E-4</v>
      </c>
    </row>
    <row r="15" spans="1:15" x14ac:dyDescent="0.25">
      <c r="C15" s="4">
        <f t="shared" si="3"/>
        <v>7</v>
      </c>
      <c r="D15" s="1">
        <f>IF(ISNUMBER(VLOOKUP('Country selection'!$E$5,incidence!$A$2:$CX$195,$C15+2,FALSE)),VLOOKUP('Country selection'!$E$5,incidence!$A$2:$CX$195,$C15+2,FALSE),0)</f>
        <v>9.9999999999999995E-7</v>
      </c>
      <c r="E15" s="1">
        <f>IF(ISNUMBER(VLOOKUP('Country selection'!$E$5,mortcecx!$A$2:$CX$195,$C15+2,FALSE)),VLOOKUP('Country selection'!$E$5,mortcecx!$A$2:$CX$195,$C15+2,FALSE),0)</f>
        <v>0</v>
      </c>
      <c r="F15" s="1">
        <f>IF(ISNUMBER(VLOOKUP('Country selection'!$E$5,mortall!$A$2:$CX$195,$C15+2,FALSE)),VLOOKUP('Country selection'!$E$5,mortall!$A$2:$CX$195,$C15+2,FALSE),0)</f>
        <v>3.2000000000000003E-4</v>
      </c>
      <c r="G15" s="1"/>
      <c r="H15" s="4">
        <f t="shared" si="4"/>
        <v>7</v>
      </c>
      <c r="I15" s="53"/>
      <c r="J15" s="53"/>
      <c r="K15" s="53"/>
      <c r="M15" s="38">
        <f t="shared" si="0"/>
        <v>9.9999999999999995E-7</v>
      </c>
      <c r="N15" s="38">
        <f t="shared" si="1"/>
        <v>0</v>
      </c>
      <c r="O15" s="38">
        <f t="shared" si="2"/>
        <v>3.2000000000000003E-4</v>
      </c>
    </row>
    <row r="16" spans="1:15" x14ac:dyDescent="0.25">
      <c r="C16" s="4">
        <f t="shared" si="3"/>
        <v>8</v>
      </c>
      <c r="D16" s="1">
        <f>IF(ISNUMBER(VLOOKUP('Country selection'!$E$5,incidence!$A$2:$CX$195,$C16+2,FALSE)),VLOOKUP('Country selection'!$E$5,incidence!$A$2:$CX$195,$C16+2,FALSE),0)</f>
        <v>9.9999999999999995E-7</v>
      </c>
      <c r="E16" s="1">
        <f>IF(ISNUMBER(VLOOKUP('Country selection'!$E$5,mortcecx!$A$2:$CX$195,$C16+2,FALSE)),VLOOKUP('Country selection'!$E$5,mortcecx!$A$2:$CX$195,$C16+2,FALSE),0)</f>
        <v>0</v>
      </c>
      <c r="F16" s="1">
        <f>IF(ISNUMBER(VLOOKUP('Country selection'!$E$5,mortall!$A$2:$CX$195,$C16+2,FALSE)),VLOOKUP('Country selection'!$E$5,mortall!$A$2:$CX$195,$C16+2,FALSE),0)</f>
        <v>3.2000000000000003E-4</v>
      </c>
      <c r="G16" s="1"/>
      <c r="H16" s="4">
        <f t="shared" si="4"/>
        <v>8</v>
      </c>
      <c r="I16" s="53"/>
      <c r="J16" s="53"/>
      <c r="K16" s="53"/>
      <c r="M16" s="38">
        <f t="shared" si="0"/>
        <v>9.9999999999999995E-7</v>
      </c>
      <c r="N16" s="38">
        <f t="shared" si="1"/>
        <v>0</v>
      </c>
      <c r="O16" s="38">
        <f t="shared" si="2"/>
        <v>3.2000000000000003E-4</v>
      </c>
    </row>
    <row r="17" spans="3:15" x14ac:dyDescent="0.25">
      <c r="C17" s="4">
        <f t="shared" si="3"/>
        <v>9</v>
      </c>
      <c r="D17" s="1">
        <f>IF(ISNUMBER(VLOOKUP('Country selection'!$E$5,incidence!$A$2:$CX$195,$C17+2,FALSE)),VLOOKUP('Country selection'!$E$5,incidence!$A$2:$CX$195,$C17+2,FALSE),0)</f>
        <v>9.9999999999999995E-7</v>
      </c>
      <c r="E17" s="1">
        <f>IF(ISNUMBER(VLOOKUP('Country selection'!$E$5,mortcecx!$A$2:$CX$195,$C17+2,FALSE)),VLOOKUP('Country selection'!$E$5,mortcecx!$A$2:$CX$195,$C17+2,FALSE),0)</f>
        <v>0</v>
      </c>
      <c r="F17" s="1">
        <f>IF(ISNUMBER(VLOOKUP('Country selection'!$E$5,mortall!$A$2:$CX$195,$C17+2,FALSE)),VLOOKUP('Country selection'!$E$5,mortall!$A$2:$CX$195,$C17+2,FALSE),0)</f>
        <v>3.2000000000000003E-4</v>
      </c>
      <c r="G17" s="1"/>
      <c r="H17" s="4">
        <f t="shared" si="4"/>
        <v>9</v>
      </c>
      <c r="I17" s="53"/>
      <c r="J17" s="53"/>
      <c r="K17" s="53"/>
      <c r="M17" s="38">
        <f t="shared" si="0"/>
        <v>9.9999999999999995E-7</v>
      </c>
      <c r="N17" s="38">
        <f t="shared" si="1"/>
        <v>0</v>
      </c>
      <c r="O17" s="38">
        <f t="shared" si="2"/>
        <v>3.2000000000000003E-4</v>
      </c>
    </row>
    <row r="18" spans="3:15" x14ac:dyDescent="0.25">
      <c r="C18" s="4">
        <f t="shared" si="3"/>
        <v>10</v>
      </c>
      <c r="D18" s="1">
        <f>IF(ISNUMBER(VLOOKUP('Country selection'!$E$5,incidence!$A$2:$CX$195,$C18+2,FALSE)),VLOOKUP('Country selection'!$E$5,incidence!$A$2:$CX$195,$C18+2,FALSE),0)</f>
        <v>9.9999999999999995E-7</v>
      </c>
      <c r="E18" s="1">
        <f>IF(ISNUMBER(VLOOKUP('Country selection'!$E$5,mortcecx!$A$2:$CX$195,$C18+2,FALSE)),VLOOKUP('Country selection'!$E$5,mortcecx!$A$2:$CX$195,$C18+2,FALSE),0)</f>
        <v>0</v>
      </c>
      <c r="F18" s="1">
        <f>IF(ISNUMBER(VLOOKUP('Country selection'!$E$5,mortall!$A$2:$CX$195,$C18+2,FALSE)),VLOOKUP('Country selection'!$E$5,mortall!$A$2:$CX$195,$C18+2,FALSE),0)</f>
        <v>2.5999999999999998E-4</v>
      </c>
      <c r="G18" s="1"/>
      <c r="H18" s="4">
        <f t="shared" si="4"/>
        <v>10</v>
      </c>
      <c r="I18" s="53"/>
      <c r="J18" s="53"/>
      <c r="K18" s="53"/>
      <c r="M18" s="38">
        <f t="shared" si="0"/>
        <v>9.9999999999999995E-7</v>
      </c>
      <c r="N18" s="38">
        <f t="shared" si="1"/>
        <v>0</v>
      </c>
      <c r="O18" s="38">
        <f t="shared" si="2"/>
        <v>2.5999999999999998E-4</v>
      </c>
    </row>
    <row r="19" spans="3:15" x14ac:dyDescent="0.25">
      <c r="C19" s="4">
        <f t="shared" si="3"/>
        <v>11</v>
      </c>
      <c r="D19" s="1">
        <f>IF(ISNUMBER(VLOOKUP('Country selection'!$E$5,incidence!$A$2:$CX$195,$C19+2,FALSE)),VLOOKUP('Country selection'!$E$5,incidence!$A$2:$CX$195,$C19+2,FALSE),0)</f>
        <v>9.9999999999999995E-7</v>
      </c>
      <c r="E19" s="1">
        <f>IF(ISNUMBER(VLOOKUP('Country selection'!$E$5,mortcecx!$A$2:$CX$195,$C19+2,FALSE)),VLOOKUP('Country selection'!$E$5,mortcecx!$A$2:$CX$195,$C19+2,FALSE),0)</f>
        <v>0</v>
      </c>
      <c r="F19" s="1">
        <f>IF(ISNUMBER(VLOOKUP('Country selection'!$E$5,mortall!$A$2:$CX$195,$C19+2,FALSE)),VLOOKUP('Country selection'!$E$5,mortall!$A$2:$CX$195,$C19+2,FALSE),0)</f>
        <v>2.5999999999999998E-4</v>
      </c>
      <c r="G19" s="1"/>
      <c r="H19" s="4">
        <f t="shared" si="4"/>
        <v>11</v>
      </c>
      <c r="I19" s="53"/>
      <c r="J19" s="53"/>
      <c r="K19" s="53"/>
      <c r="M19" s="38">
        <f t="shared" si="0"/>
        <v>9.9999999999999995E-7</v>
      </c>
      <c r="N19" s="38">
        <f t="shared" si="1"/>
        <v>0</v>
      </c>
      <c r="O19" s="38">
        <f t="shared" si="2"/>
        <v>2.5999999999999998E-4</v>
      </c>
    </row>
    <row r="20" spans="3:15" x14ac:dyDescent="0.25">
      <c r="C20" s="4">
        <f t="shared" si="3"/>
        <v>12</v>
      </c>
      <c r="D20" s="1">
        <f>IF(ISNUMBER(VLOOKUP('Country selection'!$E$5,incidence!$A$2:$CX$195,$C20+2,FALSE)),VLOOKUP('Country selection'!$E$5,incidence!$A$2:$CX$195,$C20+2,FALSE),0)</f>
        <v>9.9999999999999995E-7</v>
      </c>
      <c r="E20" s="1">
        <f>IF(ISNUMBER(VLOOKUP('Country selection'!$E$5,mortcecx!$A$2:$CX$195,$C20+2,FALSE)),VLOOKUP('Country selection'!$E$5,mortcecx!$A$2:$CX$195,$C20+2,FALSE),0)</f>
        <v>0</v>
      </c>
      <c r="F20" s="1">
        <f>IF(ISNUMBER(VLOOKUP('Country selection'!$E$5,mortall!$A$2:$CX$195,$C20+2,FALSE)),VLOOKUP('Country selection'!$E$5,mortall!$A$2:$CX$195,$C20+2,FALSE),0)</f>
        <v>2.5999999999999998E-4</v>
      </c>
      <c r="G20" s="1"/>
      <c r="H20" s="4">
        <f t="shared" si="4"/>
        <v>12</v>
      </c>
      <c r="I20" s="53"/>
      <c r="J20" s="53"/>
      <c r="K20" s="53"/>
      <c r="M20" s="38">
        <f t="shared" si="0"/>
        <v>9.9999999999999995E-7</v>
      </c>
      <c r="N20" s="38">
        <f t="shared" si="1"/>
        <v>0</v>
      </c>
      <c r="O20" s="38">
        <f t="shared" si="2"/>
        <v>2.5999999999999998E-4</v>
      </c>
    </row>
    <row r="21" spans="3:15" x14ac:dyDescent="0.25">
      <c r="C21" s="4">
        <f t="shared" si="3"/>
        <v>13</v>
      </c>
      <c r="D21" s="1">
        <f>IF(ISNUMBER(VLOOKUP('Country selection'!$E$5,incidence!$A$2:$CX$195,$C21+2,FALSE)),VLOOKUP('Country selection'!$E$5,incidence!$A$2:$CX$195,$C21+2,FALSE),0)</f>
        <v>9.9999999999999995E-7</v>
      </c>
      <c r="E21" s="1">
        <f>IF(ISNUMBER(VLOOKUP('Country selection'!$E$5,mortcecx!$A$2:$CX$195,$C21+2,FALSE)),VLOOKUP('Country selection'!$E$5,mortcecx!$A$2:$CX$195,$C21+2,FALSE),0)</f>
        <v>0</v>
      </c>
      <c r="F21" s="1">
        <f>IF(ISNUMBER(VLOOKUP('Country selection'!$E$5,mortall!$A$2:$CX$195,$C21+2,FALSE)),VLOOKUP('Country selection'!$E$5,mortall!$A$2:$CX$195,$C21+2,FALSE),0)</f>
        <v>2.5999999999999998E-4</v>
      </c>
      <c r="G21" s="1"/>
      <c r="H21" s="4">
        <f t="shared" si="4"/>
        <v>13</v>
      </c>
      <c r="I21" s="53"/>
      <c r="J21" s="53"/>
      <c r="K21" s="53"/>
      <c r="M21" s="38">
        <f t="shared" si="0"/>
        <v>9.9999999999999995E-7</v>
      </c>
      <c r="N21" s="38">
        <f t="shared" si="1"/>
        <v>0</v>
      </c>
      <c r="O21" s="38">
        <f t="shared" si="2"/>
        <v>2.5999999999999998E-4</v>
      </c>
    </row>
    <row r="22" spans="3:15" x14ac:dyDescent="0.25">
      <c r="C22" s="4">
        <f t="shared" si="3"/>
        <v>14</v>
      </c>
      <c r="D22" s="1">
        <f>IF(ISNUMBER(VLOOKUP('Country selection'!$E$5,incidence!$A$2:$CX$195,$C22+2,FALSE)),VLOOKUP('Country selection'!$E$5,incidence!$A$2:$CX$195,$C22+2,FALSE),0)</f>
        <v>9.9999999999999995E-7</v>
      </c>
      <c r="E22" s="1">
        <f>IF(ISNUMBER(VLOOKUP('Country selection'!$E$5,mortcecx!$A$2:$CX$195,$C22+2,FALSE)),VLOOKUP('Country selection'!$E$5,mortcecx!$A$2:$CX$195,$C22+2,FALSE),0)</f>
        <v>0</v>
      </c>
      <c r="F22" s="1">
        <f>IF(ISNUMBER(VLOOKUP('Country selection'!$E$5,mortall!$A$2:$CX$195,$C22+2,FALSE)),VLOOKUP('Country selection'!$E$5,mortall!$A$2:$CX$195,$C22+2,FALSE),0)</f>
        <v>2.5999999999999998E-4</v>
      </c>
      <c r="G22" s="1"/>
      <c r="H22" s="4">
        <f t="shared" si="4"/>
        <v>14</v>
      </c>
      <c r="I22" s="53"/>
      <c r="J22" s="53"/>
      <c r="K22" s="53"/>
      <c r="M22" s="38">
        <f t="shared" si="0"/>
        <v>9.9999999999999995E-7</v>
      </c>
      <c r="N22" s="38">
        <f t="shared" si="1"/>
        <v>0</v>
      </c>
      <c r="O22" s="38">
        <f t="shared" si="2"/>
        <v>2.5999999999999998E-4</v>
      </c>
    </row>
    <row r="23" spans="3:15" x14ac:dyDescent="0.25">
      <c r="C23" s="4">
        <f t="shared" si="3"/>
        <v>15</v>
      </c>
      <c r="D23" s="1">
        <f>IF(ISNUMBER(VLOOKUP('Country selection'!$E$5,incidence!$A$2:$CX$195,$C23+2,FALSE)),VLOOKUP('Country selection'!$E$5,incidence!$A$2:$CX$195,$C23+2,FALSE),0)</f>
        <v>6.7000000000000002E-5</v>
      </c>
      <c r="E23" s="1">
        <f>IF(ISNUMBER(VLOOKUP('Country selection'!$E$5,mortcecx!$A$2:$CX$195,$C23+2,FALSE)),VLOOKUP('Country selection'!$E$5,mortcecx!$A$2:$CX$195,$C23+2,FALSE),0)</f>
        <v>1.2E-5</v>
      </c>
      <c r="F23" s="1">
        <f>IF(ISNUMBER(VLOOKUP('Country selection'!$E$5,mortall!$A$2:$CX$195,$C23+2,FALSE)),VLOOKUP('Country selection'!$E$5,mortall!$A$2:$CX$195,$C23+2,FALSE),0)</f>
        <v>4.0999999999999999E-4</v>
      </c>
      <c r="G23" s="1"/>
      <c r="H23" s="4">
        <f t="shared" si="4"/>
        <v>15</v>
      </c>
      <c r="I23" s="53"/>
      <c r="J23" s="53"/>
      <c r="K23" s="53"/>
      <c r="M23" s="38">
        <f t="shared" si="0"/>
        <v>6.7000000000000002E-5</v>
      </c>
      <c r="N23" s="38">
        <f t="shared" si="1"/>
        <v>1.2E-5</v>
      </c>
      <c r="O23" s="38">
        <f t="shared" si="2"/>
        <v>4.0999999999999999E-4</v>
      </c>
    </row>
    <row r="24" spans="3:15" x14ac:dyDescent="0.25">
      <c r="C24" s="4">
        <f t="shared" si="3"/>
        <v>16</v>
      </c>
      <c r="D24" s="1">
        <f>IF(ISNUMBER(VLOOKUP('Country selection'!$E$5,incidence!$A$2:$CX$195,$C24+2,FALSE)),VLOOKUP('Country selection'!$E$5,incidence!$A$2:$CX$195,$C24+2,FALSE),0)</f>
        <v>6.7000000000000002E-5</v>
      </c>
      <c r="E24" s="1">
        <f>IF(ISNUMBER(VLOOKUP('Country selection'!$E$5,mortcecx!$A$2:$CX$195,$C24+2,FALSE)),VLOOKUP('Country selection'!$E$5,mortcecx!$A$2:$CX$195,$C24+2,FALSE),0)</f>
        <v>1.2E-5</v>
      </c>
      <c r="F24" s="1">
        <f>IF(ISNUMBER(VLOOKUP('Country selection'!$E$5,mortall!$A$2:$CX$195,$C24+2,FALSE)),VLOOKUP('Country selection'!$E$5,mortall!$A$2:$CX$195,$C24+2,FALSE),0)</f>
        <v>4.0999999999999999E-4</v>
      </c>
      <c r="G24" s="1"/>
      <c r="H24" s="4">
        <f t="shared" si="4"/>
        <v>16</v>
      </c>
      <c r="I24" s="53"/>
      <c r="J24" s="53"/>
      <c r="K24" s="53"/>
      <c r="M24" s="38">
        <f t="shared" si="0"/>
        <v>6.7000000000000002E-5</v>
      </c>
      <c r="N24" s="38">
        <f t="shared" si="1"/>
        <v>1.2E-5</v>
      </c>
      <c r="O24" s="38">
        <f t="shared" si="2"/>
        <v>4.0999999999999999E-4</v>
      </c>
    </row>
    <row r="25" spans="3:15" x14ac:dyDescent="0.25">
      <c r="C25" s="4">
        <f t="shared" si="3"/>
        <v>17</v>
      </c>
      <c r="D25" s="1">
        <f>IF(ISNUMBER(VLOOKUP('Country selection'!$E$5,incidence!$A$2:$CX$195,$C25+2,FALSE)),VLOOKUP('Country selection'!$E$5,incidence!$A$2:$CX$195,$C25+2,FALSE),0)</f>
        <v>6.7000000000000002E-5</v>
      </c>
      <c r="E25" s="1">
        <f>IF(ISNUMBER(VLOOKUP('Country selection'!$E$5,mortcecx!$A$2:$CX$195,$C25+2,FALSE)),VLOOKUP('Country selection'!$E$5,mortcecx!$A$2:$CX$195,$C25+2,FALSE),0)</f>
        <v>1.2E-5</v>
      </c>
      <c r="F25" s="1">
        <f>IF(ISNUMBER(VLOOKUP('Country selection'!$E$5,mortall!$A$2:$CX$195,$C25+2,FALSE)),VLOOKUP('Country selection'!$E$5,mortall!$A$2:$CX$195,$C25+2,FALSE),0)</f>
        <v>4.0999999999999999E-4</v>
      </c>
      <c r="G25" s="1"/>
      <c r="H25" s="4">
        <f t="shared" si="4"/>
        <v>17</v>
      </c>
      <c r="I25" s="53"/>
      <c r="J25" s="53"/>
      <c r="K25" s="53"/>
      <c r="M25" s="38">
        <f t="shared" si="0"/>
        <v>6.7000000000000002E-5</v>
      </c>
      <c r="N25" s="38">
        <f t="shared" si="1"/>
        <v>1.2E-5</v>
      </c>
      <c r="O25" s="38">
        <f t="shared" si="2"/>
        <v>4.0999999999999999E-4</v>
      </c>
    </row>
    <row r="26" spans="3:15" x14ac:dyDescent="0.25">
      <c r="C26" s="4">
        <f t="shared" si="3"/>
        <v>18</v>
      </c>
      <c r="D26" s="1">
        <f>IF(ISNUMBER(VLOOKUP('Country selection'!$E$5,incidence!$A$2:$CX$195,$C26+2,FALSE)),VLOOKUP('Country selection'!$E$5,incidence!$A$2:$CX$195,$C26+2,FALSE),0)</f>
        <v>6.7000000000000002E-5</v>
      </c>
      <c r="E26" s="1">
        <f>IF(ISNUMBER(VLOOKUP('Country selection'!$E$5,mortcecx!$A$2:$CX$195,$C26+2,FALSE)),VLOOKUP('Country selection'!$E$5,mortcecx!$A$2:$CX$195,$C26+2,FALSE),0)</f>
        <v>1.2E-5</v>
      </c>
      <c r="F26" s="1">
        <f>IF(ISNUMBER(VLOOKUP('Country selection'!$E$5,mortall!$A$2:$CX$195,$C26+2,FALSE)),VLOOKUP('Country selection'!$E$5,mortall!$A$2:$CX$195,$C26+2,FALSE),0)</f>
        <v>4.0999999999999999E-4</v>
      </c>
      <c r="G26" s="1"/>
      <c r="H26" s="4">
        <f t="shared" si="4"/>
        <v>18</v>
      </c>
      <c r="I26" s="53"/>
      <c r="J26" s="53"/>
      <c r="K26" s="53"/>
      <c r="M26" s="38">
        <f t="shared" si="0"/>
        <v>6.7000000000000002E-5</v>
      </c>
      <c r="N26" s="38">
        <f t="shared" si="1"/>
        <v>1.2E-5</v>
      </c>
      <c r="O26" s="38">
        <f t="shared" si="2"/>
        <v>4.0999999999999999E-4</v>
      </c>
    </row>
    <row r="27" spans="3:15" x14ac:dyDescent="0.25">
      <c r="C27" s="4">
        <f t="shared" si="3"/>
        <v>19</v>
      </c>
      <c r="D27" s="1">
        <f>IF(ISNUMBER(VLOOKUP('Country selection'!$E$5,incidence!$A$2:$CX$195,$C27+2,FALSE)),VLOOKUP('Country selection'!$E$5,incidence!$A$2:$CX$195,$C27+2,FALSE),0)</f>
        <v>6.7000000000000002E-5</v>
      </c>
      <c r="E27" s="1">
        <f>IF(ISNUMBER(VLOOKUP('Country selection'!$E$5,mortcecx!$A$2:$CX$195,$C27+2,FALSE)),VLOOKUP('Country selection'!$E$5,mortcecx!$A$2:$CX$195,$C27+2,FALSE),0)</f>
        <v>1.2E-5</v>
      </c>
      <c r="F27" s="1">
        <f>IF(ISNUMBER(VLOOKUP('Country selection'!$E$5,mortall!$A$2:$CX$195,$C27+2,FALSE)),VLOOKUP('Country selection'!$E$5,mortall!$A$2:$CX$195,$C27+2,FALSE),0)</f>
        <v>4.0999999999999999E-4</v>
      </c>
      <c r="G27" s="1"/>
      <c r="H27" s="4">
        <f t="shared" si="4"/>
        <v>19</v>
      </c>
      <c r="I27" s="53"/>
      <c r="J27" s="53"/>
      <c r="K27" s="53"/>
      <c r="M27" s="38">
        <f t="shared" si="0"/>
        <v>6.7000000000000002E-5</v>
      </c>
      <c r="N27" s="38">
        <f t="shared" si="1"/>
        <v>1.2E-5</v>
      </c>
      <c r="O27" s="38">
        <f t="shared" si="2"/>
        <v>4.0999999999999999E-4</v>
      </c>
    </row>
    <row r="28" spans="3:15" x14ac:dyDescent="0.25">
      <c r="C28" s="4">
        <f t="shared" si="3"/>
        <v>20</v>
      </c>
      <c r="D28" s="1">
        <f>IF(ISNUMBER(VLOOKUP('Country selection'!$E$5,incidence!$A$2:$CX$195,$C28+2,FALSE)),VLOOKUP('Country selection'!$E$5,incidence!$A$2:$CX$195,$C28+2,FALSE),0)</f>
        <v>6.7000000000000002E-5</v>
      </c>
      <c r="E28" s="1">
        <f>IF(ISNUMBER(VLOOKUP('Country selection'!$E$5,mortcecx!$A$2:$CX$195,$C28+2,FALSE)),VLOOKUP('Country selection'!$E$5,mortcecx!$A$2:$CX$195,$C28+2,FALSE),0)</f>
        <v>1.2E-5</v>
      </c>
      <c r="F28" s="1">
        <f>IF(ISNUMBER(VLOOKUP('Country selection'!$E$5,mortall!$A$2:$CX$195,$C28+2,FALSE)),VLOOKUP('Country selection'!$E$5,mortall!$A$2:$CX$195,$C28+2,FALSE),0)</f>
        <v>4.8999999999999998E-4</v>
      </c>
      <c r="G28" s="1"/>
      <c r="H28" s="4">
        <f t="shared" si="4"/>
        <v>20</v>
      </c>
      <c r="I28" s="53"/>
      <c r="J28" s="53"/>
      <c r="K28" s="53"/>
      <c r="M28" s="38">
        <f t="shared" si="0"/>
        <v>6.7000000000000002E-5</v>
      </c>
      <c r="N28" s="38">
        <f t="shared" si="1"/>
        <v>1.2E-5</v>
      </c>
      <c r="O28" s="38">
        <f t="shared" si="2"/>
        <v>4.8999999999999998E-4</v>
      </c>
    </row>
    <row r="29" spans="3:15" x14ac:dyDescent="0.25">
      <c r="C29" s="4">
        <f t="shared" si="3"/>
        <v>21</v>
      </c>
      <c r="D29" s="1">
        <f>IF(ISNUMBER(VLOOKUP('Country selection'!$E$5,incidence!$A$2:$CX$195,$C29+2,FALSE)),VLOOKUP('Country selection'!$E$5,incidence!$A$2:$CX$195,$C29+2,FALSE),0)</f>
        <v>6.7000000000000002E-5</v>
      </c>
      <c r="E29" s="1">
        <f>IF(ISNUMBER(VLOOKUP('Country selection'!$E$5,mortcecx!$A$2:$CX$195,$C29+2,FALSE)),VLOOKUP('Country selection'!$E$5,mortcecx!$A$2:$CX$195,$C29+2,FALSE),0)</f>
        <v>1.2E-5</v>
      </c>
      <c r="F29" s="1">
        <f>IF(ISNUMBER(VLOOKUP('Country selection'!$E$5,mortall!$A$2:$CX$195,$C29+2,FALSE)),VLOOKUP('Country selection'!$E$5,mortall!$A$2:$CX$195,$C29+2,FALSE),0)</f>
        <v>4.8999999999999998E-4</v>
      </c>
      <c r="G29" s="1"/>
      <c r="H29" s="4">
        <f t="shared" si="4"/>
        <v>21</v>
      </c>
      <c r="I29" s="53"/>
      <c r="J29" s="53"/>
      <c r="K29" s="53"/>
      <c r="M29" s="38">
        <f t="shared" si="0"/>
        <v>6.7000000000000002E-5</v>
      </c>
      <c r="N29" s="38">
        <f t="shared" si="1"/>
        <v>1.2E-5</v>
      </c>
      <c r="O29" s="38">
        <f t="shared" si="2"/>
        <v>4.8999999999999998E-4</v>
      </c>
    </row>
    <row r="30" spans="3:15" x14ac:dyDescent="0.25">
      <c r="C30" s="4">
        <f t="shared" si="3"/>
        <v>22</v>
      </c>
      <c r="D30" s="1">
        <f>IF(ISNUMBER(VLOOKUP('Country selection'!$E$5,incidence!$A$2:$CX$195,$C30+2,FALSE)),VLOOKUP('Country selection'!$E$5,incidence!$A$2:$CX$195,$C30+2,FALSE),0)</f>
        <v>6.7000000000000002E-5</v>
      </c>
      <c r="E30" s="1">
        <f>IF(ISNUMBER(VLOOKUP('Country selection'!$E$5,mortcecx!$A$2:$CX$195,$C30+2,FALSE)),VLOOKUP('Country selection'!$E$5,mortcecx!$A$2:$CX$195,$C30+2,FALSE),0)</f>
        <v>1.2E-5</v>
      </c>
      <c r="F30" s="1">
        <f>IF(ISNUMBER(VLOOKUP('Country selection'!$E$5,mortall!$A$2:$CX$195,$C30+2,FALSE)),VLOOKUP('Country selection'!$E$5,mortall!$A$2:$CX$195,$C30+2,FALSE),0)</f>
        <v>4.8999999999999998E-4</v>
      </c>
      <c r="G30" s="1"/>
      <c r="H30" s="4">
        <f t="shared" si="4"/>
        <v>22</v>
      </c>
      <c r="I30" s="53"/>
      <c r="J30" s="53"/>
      <c r="K30" s="53"/>
      <c r="M30" s="38">
        <f t="shared" si="0"/>
        <v>6.7000000000000002E-5</v>
      </c>
      <c r="N30" s="38">
        <f t="shared" si="1"/>
        <v>1.2E-5</v>
      </c>
      <c r="O30" s="38">
        <f t="shared" si="2"/>
        <v>4.8999999999999998E-4</v>
      </c>
    </row>
    <row r="31" spans="3:15" x14ac:dyDescent="0.25">
      <c r="C31" s="4">
        <f t="shared" si="3"/>
        <v>23</v>
      </c>
      <c r="D31" s="1">
        <f>IF(ISNUMBER(VLOOKUP('Country selection'!$E$5,incidence!$A$2:$CX$195,$C31+2,FALSE)),VLOOKUP('Country selection'!$E$5,incidence!$A$2:$CX$195,$C31+2,FALSE),0)</f>
        <v>6.7000000000000002E-5</v>
      </c>
      <c r="E31" s="1">
        <f>IF(ISNUMBER(VLOOKUP('Country selection'!$E$5,mortcecx!$A$2:$CX$195,$C31+2,FALSE)),VLOOKUP('Country selection'!$E$5,mortcecx!$A$2:$CX$195,$C31+2,FALSE),0)</f>
        <v>1.2E-5</v>
      </c>
      <c r="F31" s="1">
        <f>IF(ISNUMBER(VLOOKUP('Country selection'!$E$5,mortall!$A$2:$CX$195,$C31+2,FALSE)),VLOOKUP('Country selection'!$E$5,mortall!$A$2:$CX$195,$C31+2,FALSE),0)</f>
        <v>4.8999999999999998E-4</v>
      </c>
      <c r="G31" s="1"/>
      <c r="H31" s="4">
        <f t="shared" si="4"/>
        <v>23</v>
      </c>
      <c r="I31" s="53"/>
      <c r="J31" s="53"/>
      <c r="K31" s="53"/>
      <c r="M31" s="38">
        <f t="shared" si="0"/>
        <v>6.7000000000000002E-5</v>
      </c>
      <c r="N31" s="38">
        <f t="shared" si="1"/>
        <v>1.2E-5</v>
      </c>
      <c r="O31" s="38">
        <f t="shared" si="2"/>
        <v>4.8999999999999998E-4</v>
      </c>
    </row>
    <row r="32" spans="3:15" x14ac:dyDescent="0.25">
      <c r="C32" s="4">
        <f t="shared" si="3"/>
        <v>24</v>
      </c>
      <c r="D32" s="1">
        <f>IF(ISNUMBER(VLOOKUP('Country selection'!$E$5,incidence!$A$2:$CX$195,$C32+2,FALSE)),VLOOKUP('Country selection'!$E$5,incidence!$A$2:$CX$195,$C32+2,FALSE),0)</f>
        <v>6.7000000000000002E-5</v>
      </c>
      <c r="E32" s="1">
        <f>IF(ISNUMBER(VLOOKUP('Country selection'!$E$5,mortcecx!$A$2:$CX$195,$C32+2,FALSE)),VLOOKUP('Country selection'!$E$5,mortcecx!$A$2:$CX$195,$C32+2,FALSE),0)</f>
        <v>1.2E-5</v>
      </c>
      <c r="F32" s="1">
        <f>IF(ISNUMBER(VLOOKUP('Country selection'!$E$5,mortall!$A$2:$CX$195,$C32+2,FALSE)),VLOOKUP('Country selection'!$E$5,mortall!$A$2:$CX$195,$C32+2,FALSE),0)</f>
        <v>4.8999999999999998E-4</v>
      </c>
      <c r="G32" s="1"/>
      <c r="H32" s="4">
        <f t="shared" si="4"/>
        <v>24</v>
      </c>
      <c r="I32" s="53"/>
      <c r="J32" s="53"/>
      <c r="K32" s="53"/>
      <c r="M32" s="38">
        <f t="shared" si="0"/>
        <v>6.7000000000000002E-5</v>
      </c>
      <c r="N32" s="38">
        <f t="shared" si="1"/>
        <v>1.2E-5</v>
      </c>
      <c r="O32" s="38">
        <f t="shared" si="2"/>
        <v>4.8999999999999998E-4</v>
      </c>
    </row>
    <row r="33" spans="3:15" x14ac:dyDescent="0.25">
      <c r="C33" s="4">
        <f t="shared" si="3"/>
        <v>25</v>
      </c>
      <c r="D33" s="1">
        <f>IF(ISNUMBER(VLOOKUP('Country selection'!$E$5,incidence!$A$2:$CX$195,$C33+2,FALSE)),VLOOKUP('Country selection'!$E$5,incidence!$A$2:$CX$195,$C33+2,FALSE),0)</f>
        <v>6.7000000000000002E-5</v>
      </c>
      <c r="E33" s="1">
        <f>IF(ISNUMBER(VLOOKUP('Country selection'!$E$5,mortcecx!$A$2:$CX$195,$C33+2,FALSE)),VLOOKUP('Country selection'!$E$5,mortcecx!$A$2:$CX$195,$C33+2,FALSE),0)</f>
        <v>1.2E-5</v>
      </c>
      <c r="F33" s="1">
        <f>IF(ISNUMBER(VLOOKUP('Country selection'!$E$5,mortall!$A$2:$CX$195,$C33+2,FALSE)),VLOOKUP('Country selection'!$E$5,mortall!$A$2:$CX$195,$C33+2,FALSE),0)</f>
        <v>5.9000000000000003E-4</v>
      </c>
      <c r="G33" s="1"/>
      <c r="H33" s="4">
        <f t="shared" si="4"/>
        <v>25</v>
      </c>
      <c r="I33" s="53"/>
      <c r="J33" s="53"/>
      <c r="K33" s="53"/>
      <c r="M33" s="38">
        <f t="shared" si="0"/>
        <v>6.7000000000000002E-5</v>
      </c>
      <c r="N33" s="38">
        <f t="shared" si="1"/>
        <v>1.2E-5</v>
      </c>
      <c r="O33" s="38">
        <f t="shared" si="2"/>
        <v>5.9000000000000003E-4</v>
      </c>
    </row>
    <row r="34" spans="3:15" x14ac:dyDescent="0.25">
      <c r="C34" s="4">
        <f t="shared" si="3"/>
        <v>26</v>
      </c>
      <c r="D34" s="1">
        <f>IF(ISNUMBER(VLOOKUP('Country selection'!$E$5,incidence!$A$2:$CX$195,$C34+2,FALSE)),VLOOKUP('Country selection'!$E$5,incidence!$A$2:$CX$195,$C34+2,FALSE),0)</f>
        <v>6.7000000000000002E-5</v>
      </c>
      <c r="E34" s="1">
        <f>IF(ISNUMBER(VLOOKUP('Country selection'!$E$5,mortcecx!$A$2:$CX$195,$C34+2,FALSE)),VLOOKUP('Country selection'!$E$5,mortcecx!$A$2:$CX$195,$C34+2,FALSE),0)</f>
        <v>1.2E-5</v>
      </c>
      <c r="F34" s="1">
        <f>IF(ISNUMBER(VLOOKUP('Country selection'!$E$5,mortall!$A$2:$CX$195,$C34+2,FALSE)),VLOOKUP('Country selection'!$E$5,mortall!$A$2:$CX$195,$C34+2,FALSE),0)</f>
        <v>5.9000000000000003E-4</v>
      </c>
      <c r="G34" s="1"/>
      <c r="H34" s="4">
        <f t="shared" si="4"/>
        <v>26</v>
      </c>
      <c r="I34" s="53"/>
      <c r="J34" s="53"/>
      <c r="K34" s="53"/>
      <c r="M34" s="38">
        <f t="shared" si="0"/>
        <v>6.7000000000000002E-5</v>
      </c>
      <c r="N34" s="38">
        <f t="shared" si="1"/>
        <v>1.2E-5</v>
      </c>
      <c r="O34" s="38">
        <f t="shared" si="2"/>
        <v>5.9000000000000003E-4</v>
      </c>
    </row>
    <row r="35" spans="3:15" x14ac:dyDescent="0.25">
      <c r="C35" s="4">
        <f t="shared" si="3"/>
        <v>27</v>
      </c>
      <c r="D35" s="1">
        <f>IF(ISNUMBER(VLOOKUP('Country selection'!$E$5,incidence!$A$2:$CX$195,$C35+2,FALSE)),VLOOKUP('Country selection'!$E$5,incidence!$A$2:$CX$195,$C35+2,FALSE),0)</f>
        <v>6.7000000000000002E-5</v>
      </c>
      <c r="E35" s="1">
        <f>IF(ISNUMBER(VLOOKUP('Country selection'!$E$5,mortcecx!$A$2:$CX$195,$C35+2,FALSE)),VLOOKUP('Country selection'!$E$5,mortcecx!$A$2:$CX$195,$C35+2,FALSE),0)</f>
        <v>1.2E-5</v>
      </c>
      <c r="F35" s="1">
        <f>IF(ISNUMBER(VLOOKUP('Country selection'!$E$5,mortall!$A$2:$CX$195,$C35+2,FALSE)),VLOOKUP('Country selection'!$E$5,mortall!$A$2:$CX$195,$C35+2,FALSE),0)</f>
        <v>5.9000000000000003E-4</v>
      </c>
      <c r="G35" s="1"/>
      <c r="H35" s="4">
        <f t="shared" si="4"/>
        <v>27</v>
      </c>
      <c r="I35" s="53"/>
      <c r="J35" s="53"/>
      <c r="K35" s="53"/>
      <c r="M35" s="38">
        <f t="shared" si="0"/>
        <v>6.7000000000000002E-5</v>
      </c>
      <c r="N35" s="38">
        <f t="shared" si="1"/>
        <v>1.2E-5</v>
      </c>
      <c r="O35" s="38">
        <f t="shared" si="2"/>
        <v>5.9000000000000003E-4</v>
      </c>
    </row>
    <row r="36" spans="3:15" x14ac:dyDescent="0.25">
      <c r="C36" s="4">
        <f t="shared" si="3"/>
        <v>28</v>
      </c>
      <c r="D36" s="1">
        <f>IF(ISNUMBER(VLOOKUP('Country selection'!$E$5,incidence!$A$2:$CX$195,$C36+2,FALSE)),VLOOKUP('Country selection'!$E$5,incidence!$A$2:$CX$195,$C36+2,FALSE),0)</f>
        <v>6.7000000000000002E-5</v>
      </c>
      <c r="E36" s="1">
        <f>IF(ISNUMBER(VLOOKUP('Country selection'!$E$5,mortcecx!$A$2:$CX$195,$C36+2,FALSE)),VLOOKUP('Country selection'!$E$5,mortcecx!$A$2:$CX$195,$C36+2,FALSE),0)</f>
        <v>1.2E-5</v>
      </c>
      <c r="F36" s="1">
        <f>IF(ISNUMBER(VLOOKUP('Country selection'!$E$5,mortall!$A$2:$CX$195,$C36+2,FALSE)),VLOOKUP('Country selection'!$E$5,mortall!$A$2:$CX$195,$C36+2,FALSE),0)</f>
        <v>5.9000000000000003E-4</v>
      </c>
      <c r="G36" s="1"/>
      <c r="H36" s="4">
        <f t="shared" si="4"/>
        <v>28</v>
      </c>
      <c r="I36" s="53"/>
      <c r="J36" s="53"/>
      <c r="K36" s="53"/>
      <c r="M36" s="38">
        <f t="shared" si="0"/>
        <v>6.7000000000000002E-5</v>
      </c>
      <c r="N36" s="38">
        <f t="shared" si="1"/>
        <v>1.2E-5</v>
      </c>
      <c r="O36" s="38">
        <f t="shared" si="2"/>
        <v>5.9000000000000003E-4</v>
      </c>
    </row>
    <row r="37" spans="3:15" x14ac:dyDescent="0.25">
      <c r="C37" s="4">
        <f t="shared" si="3"/>
        <v>29</v>
      </c>
      <c r="D37" s="1">
        <f>IF(ISNUMBER(VLOOKUP('Country selection'!$E$5,incidence!$A$2:$CX$195,$C37+2,FALSE)),VLOOKUP('Country selection'!$E$5,incidence!$A$2:$CX$195,$C37+2,FALSE),0)</f>
        <v>6.7000000000000002E-5</v>
      </c>
      <c r="E37" s="1">
        <f>IF(ISNUMBER(VLOOKUP('Country selection'!$E$5,mortcecx!$A$2:$CX$195,$C37+2,FALSE)),VLOOKUP('Country selection'!$E$5,mortcecx!$A$2:$CX$195,$C37+2,FALSE),0)</f>
        <v>1.2E-5</v>
      </c>
      <c r="F37" s="1">
        <f>IF(ISNUMBER(VLOOKUP('Country selection'!$E$5,mortall!$A$2:$CX$195,$C37+2,FALSE)),VLOOKUP('Country selection'!$E$5,mortall!$A$2:$CX$195,$C37+2,FALSE),0)</f>
        <v>5.9000000000000003E-4</v>
      </c>
      <c r="G37" s="1"/>
      <c r="H37" s="4">
        <f t="shared" si="4"/>
        <v>29</v>
      </c>
      <c r="I37" s="53"/>
      <c r="J37" s="53"/>
      <c r="K37" s="53"/>
      <c r="M37" s="38">
        <f t="shared" si="0"/>
        <v>6.7000000000000002E-5</v>
      </c>
      <c r="N37" s="38">
        <f t="shared" si="1"/>
        <v>1.2E-5</v>
      </c>
      <c r="O37" s="38">
        <f t="shared" si="2"/>
        <v>5.9000000000000003E-4</v>
      </c>
    </row>
    <row r="38" spans="3:15" x14ac:dyDescent="0.25">
      <c r="C38" s="4">
        <f t="shared" si="3"/>
        <v>30</v>
      </c>
      <c r="D38" s="1">
        <f>IF(ISNUMBER(VLOOKUP('Country selection'!$E$5,incidence!$A$2:$CX$195,$C38+2,FALSE)),VLOOKUP('Country selection'!$E$5,incidence!$A$2:$CX$195,$C38+2,FALSE),0)</f>
        <v>6.7000000000000002E-5</v>
      </c>
      <c r="E38" s="1">
        <f>IF(ISNUMBER(VLOOKUP('Country selection'!$E$5,mortcecx!$A$2:$CX$195,$C38+2,FALSE)),VLOOKUP('Country selection'!$E$5,mortcecx!$A$2:$CX$195,$C38+2,FALSE),0)</f>
        <v>1.2E-5</v>
      </c>
      <c r="F38" s="1">
        <f>IF(ISNUMBER(VLOOKUP('Country selection'!$E$5,mortall!$A$2:$CX$195,$C38+2,FALSE)),VLOOKUP('Country selection'!$E$5,mortall!$A$2:$CX$195,$C38+2,FALSE),0)</f>
        <v>7.9000000000000001E-4</v>
      </c>
      <c r="G38" s="1"/>
      <c r="H38" s="4">
        <f t="shared" si="4"/>
        <v>30</v>
      </c>
      <c r="I38" s="53"/>
      <c r="J38" s="53"/>
      <c r="K38" s="53"/>
      <c r="M38" s="38">
        <f t="shared" si="0"/>
        <v>6.7000000000000002E-5</v>
      </c>
      <c r="N38" s="38">
        <f t="shared" si="1"/>
        <v>1.2E-5</v>
      </c>
      <c r="O38" s="38">
        <f t="shared" si="2"/>
        <v>7.9000000000000001E-4</v>
      </c>
    </row>
    <row r="39" spans="3:15" x14ac:dyDescent="0.25">
      <c r="C39" s="4">
        <f t="shared" si="3"/>
        <v>31</v>
      </c>
      <c r="D39" s="1">
        <f>IF(ISNUMBER(VLOOKUP('Country selection'!$E$5,incidence!$A$2:$CX$195,$C39+2,FALSE)),VLOOKUP('Country selection'!$E$5,incidence!$A$2:$CX$195,$C39+2,FALSE),0)</f>
        <v>6.7000000000000002E-5</v>
      </c>
      <c r="E39" s="1">
        <f>IF(ISNUMBER(VLOOKUP('Country selection'!$E$5,mortcecx!$A$2:$CX$195,$C39+2,FALSE)),VLOOKUP('Country selection'!$E$5,mortcecx!$A$2:$CX$195,$C39+2,FALSE),0)</f>
        <v>1.2E-5</v>
      </c>
      <c r="F39" s="1">
        <f>IF(ISNUMBER(VLOOKUP('Country selection'!$E$5,mortall!$A$2:$CX$195,$C39+2,FALSE)),VLOOKUP('Country selection'!$E$5,mortall!$A$2:$CX$195,$C39+2,FALSE),0)</f>
        <v>7.9000000000000001E-4</v>
      </c>
      <c r="G39" s="1"/>
      <c r="H39" s="4">
        <f t="shared" si="4"/>
        <v>31</v>
      </c>
      <c r="I39" s="53"/>
      <c r="J39" s="53"/>
      <c r="K39" s="53"/>
      <c r="M39" s="38">
        <f t="shared" si="0"/>
        <v>6.7000000000000002E-5</v>
      </c>
      <c r="N39" s="38">
        <f t="shared" si="1"/>
        <v>1.2E-5</v>
      </c>
      <c r="O39" s="38">
        <f t="shared" si="2"/>
        <v>7.9000000000000001E-4</v>
      </c>
    </row>
    <row r="40" spans="3:15" x14ac:dyDescent="0.25">
      <c r="C40" s="4">
        <f t="shared" si="3"/>
        <v>32</v>
      </c>
      <c r="D40" s="1">
        <f>IF(ISNUMBER(VLOOKUP('Country selection'!$E$5,incidence!$A$2:$CX$195,$C40+2,FALSE)),VLOOKUP('Country selection'!$E$5,incidence!$A$2:$CX$195,$C40+2,FALSE),0)</f>
        <v>6.7000000000000002E-5</v>
      </c>
      <c r="E40" s="1">
        <f>IF(ISNUMBER(VLOOKUP('Country selection'!$E$5,mortcecx!$A$2:$CX$195,$C40+2,FALSE)),VLOOKUP('Country selection'!$E$5,mortcecx!$A$2:$CX$195,$C40+2,FALSE),0)</f>
        <v>1.2E-5</v>
      </c>
      <c r="F40" s="1">
        <f>IF(ISNUMBER(VLOOKUP('Country selection'!$E$5,mortall!$A$2:$CX$195,$C40+2,FALSE)),VLOOKUP('Country selection'!$E$5,mortall!$A$2:$CX$195,$C40+2,FALSE),0)</f>
        <v>7.9000000000000001E-4</v>
      </c>
      <c r="G40" s="1"/>
      <c r="H40" s="4">
        <f t="shared" si="4"/>
        <v>32</v>
      </c>
      <c r="I40" s="53"/>
      <c r="J40" s="53"/>
      <c r="K40" s="53"/>
      <c r="M40" s="38">
        <f t="shared" ref="M40:M71" si="5">IF(I40="",D40,I40)</f>
        <v>6.7000000000000002E-5</v>
      </c>
      <c r="N40" s="38">
        <f t="shared" ref="N40:N71" si="6">IF(J40="",E40,J40)</f>
        <v>1.2E-5</v>
      </c>
      <c r="O40" s="38">
        <f t="shared" ref="O40:O71" si="7">IF(K40="",F40,K40)</f>
        <v>7.9000000000000001E-4</v>
      </c>
    </row>
    <row r="41" spans="3:15" x14ac:dyDescent="0.25">
      <c r="C41" s="4">
        <f t="shared" ref="C41:C72" si="8">C40+1</f>
        <v>33</v>
      </c>
      <c r="D41" s="1">
        <f>IF(ISNUMBER(VLOOKUP('Country selection'!$E$5,incidence!$A$2:$CX$195,$C41+2,FALSE)),VLOOKUP('Country selection'!$E$5,incidence!$A$2:$CX$195,$C41+2,FALSE),0)</f>
        <v>6.7000000000000002E-5</v>
      </c>
      <c r="E41" s="1">
        <f>IF(ISNUMBER(VLOOKUP('Country selection'!$E$5,mortcecx!$A$2:$CX$195,$C41+2,FALSE)),VLOOKUP('Country selection'!$E$5,mortcecx!$A$2:$CX$195,$C41+2,FALSE),0)</f>
        <v>1.2E-5</v>
      </c>
      <c r="F41" s="1">
        <f>IF(ISNUMBER(VLOOKUP('Country selection'!$E$5,mortall!$A$2:$CX$195,$C41+2,FALSE)),VLOOKUP('Country selection'!$E$5,mortall!$A$2:$CX$195,$C41+2,FALSE),0)</f>
        <v>7.9000000000000001E-4</v>
      </c>
      <c r="G41" s="1"/>
      <c r="H41" s="4">
        <f t="shared" si="4"/>
        <v>33</v>
      </c>
      <c r="I41" s="53"/>
      <c r="J41" s="53"/>
      <c r="K41" s="53"/>
      <c r="M41" s="38">
        <f t="shared" si="5"/>
        <v>6.7000000000000002E-5</v>
      </c>
      <c r="N41" s="38">
        <f t="shared" si="6"/>
        <v>1.2E-5</v>
      </c>
      <c r="O41" s="38">
        <f t="shared" si="7"/>
        <v>7.9000000000000001E-4</v>
      </c>
    </row>
    <row r="42" spans="3:15" x14ac:dyDescent="0.25">
      <c r="C42" s="4">
        <f t="shared" si="8"/>
        <v>34</v>
      </c>
      <c r="D42" s="1">
        <f>IF(ISNUMBER(VLOOKUP('Country selection'!$E$5,incidence!$A$2:$CX$195,$C42+2,FALSE)),VLOOKUP('Country selection'!$E$5,incidence!$A$2:$CX$195,$C42+2,FALSE),0)</f>
        <v>6.7000000000000002E-5</v>
      </c>
      <c r="E42" s="1">
        <f>IF(ISNUMBER(VLOOKUP('Country selection'!$E$5,mortcecx!$A$2:$CX$195,$C42+2,FALSE)),VLOOKUP('Country selection'!$E$5,mortcecx!$A$2:$CX$195,$C42+2,FALSE),0)</f>
        <v>1.2E-5</v>
      </c>
      <c r="F42" s="1">
        <f>IF(ISNUMBER(VLOOKUP('Country selection'!$E$5,mortall!$A$2:$CX$195,$C42+2,FALSE)),VLOOKUP('Country selection'!$E$5,mortall!$A$2:$CX$195,$C42+2,FALSE),0)</f>
        <v>7.9000000000000001E-4</v>
      </c>
      <c r="G42" s="1"/>
      <c r="H42" s="4">
        <f t="shared" si="4"/>
        <v>34</v>
      </c>
      <c r="I42" s="53"/>
      <c r="J42" s="53"/>
      <c r="K42" s="53"/>
      <c r="M42" s="38">
        <f t="shared" si="5"/>
        <v>6.7000000000000002E-5</v>
      </c>
      <c r="N42" s="38">
        <f t="shared" si="6"/>
        <v>1.2E-5</v>
      </c>
      <c r="O42" s="38">
        <f t="shared" si="7"/>
        <v>7.9000000000000001E-4</v>
      </c>
    </row>
    <row r="43" spans="3:15" x14ac:dyDescent="0.25">
      <c r="C43" s="4">
        <f t="shared" si="8"/>
        <v>35</v>
      </c>
      <c r="D43" s="1">
        <f>IF(ISNUMBER(VLOOKUP('Country selection'!$E$5,incidence!$A$2:$CX$195,$C43+2,FALSE)),VLOOKUP('Country selection'!$E$5,incidence!$A$2:$CX$195,$C43+2,FALSE),0)</f>
        <v>6.7000000000000002E-5</v>
      </c>
      <c r="E43" s="1">
        <f>IF(ISNUMBER(VLOOKUP('Country selection'!$E$5,mortcecx!$A$2:$CX$195,$C43+2,FALSE)),VLOOKUP('Country selection'!$E$5,mortcecx!$A$2:$CX$195,$C43+2,FALSE),0)</f>
        <v>1.2E-5</v>
      </c>
      <c r="F43" s="1">
        <f>IF(ISNUMBER(VLOOKUP('Country selection'!$E$5,mortall!$A$2:$CX$195,$C43+2,FALSE)),VLOOKUP('Country selection'!$E$5,mortall!$A$2:$CX$195,$C43+2,FALSE),0)</f>
        <v>1.1299999999999999E-3</v>
      </c>
      <c r="G43" s="1"/>
      <c r="H43" s="4">
        <f t="shared" si="4"/>
        <v>35</v>
      </c>
      <c r="I43" s="53"/>
      <c r="J43" s="53"/>
      <c r="K43" s="53"/>
      <c r="M43" s="38">
        <f t="shared" si="5"/>
        <v>6.7000000000000002E-5</v>
      </c>
      <c r="N43" s="38">
        <f t="shared" si="6"/>
        <v>1.2E-5</v>
      </c>
      <c r="O43" s="38">
        <f t="shared" si="7"/>
        <v>1.1299999999999999E-3</v>
      </c>
    </row>
    <row r="44" spans="3:15" x14ac:dyDescent="0.25">
      <c r="C44" s="4">
        <f t="shared" si="8"/>
        <v>36</v>
      </c>
      <c r="D44" s="1">
        <f>IF(ISNUMBER(VLOOKUP('Country selection'!$E$5,incidence!$A$2:$CX$195,$C44+2,FALSE)),VLOOKUP('Country selection'!$E$5,incidence!$A$2:$CX$195,$C44+2,FALSE),0)</f>
        <v>6.7000000000000002E-5</v>
      </c>
      <c r="E44" s="1">
        <f>IF(ISNUMBER(VLOOKUP('Country selection'!$E$5,mortcecx!$A$2:$CX$195,$C44+2,FALSE)),VLOOKUP('Country selection'!$E$5,mortcecx!$A$2:$CX$195,$C44+2,FALSE),0)</f>
        <v>1.2E-5</v>
      </c>
      <c r="F44" s="1">
        <f>IF(ISNUMBER(VLOOKUP('Country selection'!$E$5,mortall!$A$2:$CX$195,$C44+2,FALSE)),VLOOKUP('Country selection'!$E$5,mortall!$A$2:$CX$195,$C44+2,FALSE),0)</f>
        <v>1.1299999999999999E-3</v>
      </c>
      <c r="G44" s="1"/>
      <c r="H44" s="4">
        <f t="shared" si="4"/>
        <v>36</v>
      </c>
      <c r="I44" s="53"/>
      <c r="J44" s="53"/>
      <c r="K44" s="53"/>
      <c r="M44" s="38">
        <f t="shared" si="5"/>
        <v>6.7000000000000002E-5</v>
      </c>
      <c r="N44" s="38">
        <f t="shared" si="6"/>
        <v>1.2E-5</v>
      </c>
      <c r="O44" s="38">
        <f t="shared" si="7"/>
        <v>1.1299999999999999E-3</v>
      </c>
    </row>
    <row r="45" spans="3:15" x14ac:dyDescent="0.25">
      <c r="C45" s="4">
        <f t="shared" si="8"/>
        <v>37</v>
      </c>
      <c r="D45" s="1">
        <f>IF(ISNUMBER(VLOOKUP('Country selection'!$E$5,incidence!$A$2:$CX$195,$C45+2,FALSE)),VLOOKUP('Country selection'!$E$5,incidence!$A$2:$CX$195,$C45+2,FALSE),0)</f>
        <v>6.7000000000000002E-5</v>
      </c>
      <c r="E45" s="1">
        <f>IF(ISNUMBER(VLOOKUP('Country selection'!$E$5,mortcecx!$A$2:$CX$195,$C45+2,FALSE)),VLOOKUP('Country selection'!$E$5,mortcecx!$A$2:$CX$195,$C45+2,FALSE),0)</f>
        <v>1.2E-5</v>
      </c>
      <c r="F45" s="1">
        <f>IF(ISNUMBER(VLOOKUP('Country selection'!$E$5,mortall!$A$2:$CX$195,$C45+2,FALSE)),VLOOKUP('Country selection'!$E$5,mortall!$A$2:$CX$195,$C45+2,FALSE),0)</f>
        <v>1.1299999999999999E-3</v>
      </c>
      <c r="G45" s="1"/>
      <c r="H45" s="4">
        <f t="shared" si="4"/>
        <v>37</v>
      </c>
      <c r="I45" s="53"/>
      <c r="J45" s="53"/>
      <c r="K45" s="53"/>
      <c r="M45" s="38">
        <f t="shared" si="5"/>
        <v>6.7000000000000002E-5</v>
      </c>
      <c r="N45" s="38">
        <f t="shared" si="6"/>
        <v>1.2E-5</v>
      </c>
      <c r="O45" s="38">
        <f t="shared" si="7"/>
        <v>1.1299999999999999E-3</v>
      </c>
    </row>
    <row r="46" spans="3:15" x14ac:dyDescent="0.25">
      <c r="C46" s="4">
        <f t="shared" si="8"/>
        <v>38</v>
      </c>
      <c r="D46" s="1">
        <f>IF(ISNUMBER(VLOOKUP('Country selection'!$E$5,incidence!$A$2:$CX$195,$C46+2,FALSE)),VLOOKUP('Country selection'!$E$5,incidence!$A$2:$CX$195,$C46+2,FALSE),0)</f>
        <v>6.7000000000000002E-5</v>
      </c>
      <c r="E46" s="1">
        <f>IF(ISNUMBER(VLOOKUP('Country selection'!$E$5,mortcecx!$A$2:$CX$195,$C46+2,FALSE)),VLOOKUP('Country selection'!$E$5,mortcecx!$A$2:$CX$195,$C46+2,FALSE),0)</f>
        <v>1.2E-5</v>
      </c>
      <c r="F46" s="1">
        <f>IF(ISNUMBER(VLOOKUP('Country selection'!$E$5,mortall!$A$2:$CX$195,$C46+2,FALSE)),VLOOKUP('Country selection'!$E$5,mortall!$A$2:$CX$195,$C46+2,FALSE),0)</f>
        <v>1.1299999999999999E-3</v>
      </c>
      <c r="G46" s="1"/>
      <c r="H46" s="4">
        <f t="shared" si="4"/>
        <v>38</v>
      </c>
      <c r="I46" s="53"/>
      <c r="J46" s="53"/>
      <c r="K46" s="53"/>
      <c r="M46" s="38">
        <f t="shared" si="5"/>
        <v>6.7000000000000002E-5</v>
      </c>
      <c r="N46" s="38">
        <f t="shared" si="6"/>
        <v>1.2E-5</v>
      </c>
      <c r="O46" s="38">
        <f t="shared" si="7"/>
        <v>1.1299999999999999E-3</v>
      </c>
    </row>
    <row r="47" spans="3:15" x14ac:dyDescent="0.25">
      <c r="C47" s="4">
        <f t="shared" si="8"/>
        <v>39</v>
      </c>
      <c r="D47" s="1">
        <f>IF(ISNUMBER(VLOOKUP('Country selection'!$E$5,incidence!$A$2:$CX$195,$C47+2,FALSE)),VLOOKUP('Country selection'!$E$5,incidence!$A$2:$CX$195,$C47+2,FALSE),0)</f>
        <v>6.7000000000000002E-5</v>
      </c>
      <c r="E47" s="1">
        <f>IF(ISNUMBER(VLOOKUP('Country selection'!$E$5,mortcecx!$A$2:$CX$195,$C47+2,FALSE)),VLOOKUP('Country selection'!$E$5,mortcecx!$A$2:$CX$195,$C47+2,FALSE),0)</f>
        <v>1.2E-5</v>
      </c>
      <c r="F47" s="1">
        <f>IF(ISNUMBER(VLOOKUP('Country selection'!$E$5,mortall!$A$2:$CX$195,$C47+2,FALSE)),VLOOKUP('Country selection'!$E$5,mortall!$A$2:$CX$195,$C47+2,FALSE),0)</f>
        <v>1.1299999999999999E-3</v>
      </c>
      <c r="G47" s="1"/>
      <c r="H47" s="4">
        <f t="shared" si="4"/>
        <v>39</v>
      </c>
      <c r="I47" s="53"/>
      <c r="J47" s="53"/>
      <c r="K47" s="53"/>
      <c r="M47" s="38">
        <f t="shared" si="5"/>
        <v>6.7000000000000002E-5</v>
      </c>
      <c r="N47" s="38">
        <f t="shared" si="6"/>
        <v>1.2E-5</v>
      </c>
      <c r="O47" s="38">
        <f t="shared" si="7"/>
        <v>1.1299999999999999E-3</v>
      </c>
    </row>
    <row r="48" spans="3:15" x14ac:dyDescent="0.25">
      <c r="C48" s="4">
        <f t="shared" si="8"/>
        <v>40</v>
      </c>
      <c r="D48" s="1">
        <f>IF(ISNUMBER(VLOOKUP('Country selection'!$E$5,incidence!$A$2:$CX$195,$C48+2,FALSE)),VLOOKUP('Country selection'!$E$5,incidence!$A$2:$CX$195,$C48+2,FALSE),0)</f>
        <v>1.75E-4</v>
      </c>
      <c r="E48" s="1">
        <f>IF(ISNUMBER(VLOOKUP('Country selection'!$E$5,mortcecx!$A$2:$CX$195,$C48+2,FALSE)),VLOOKUP('Country selection'!$E$5,mortcecx!$A$2:$CX$195,$C48+2,FALSE),0)</f>
        <v>4.8000000000000001E-5</v>
      </c>
      <c r="F48" s="1">
        <f>IF(ISNUMBER(VLOOKUP('Country selection'!$E$5,mortall!$A$2:$CX$195,$C48+2,FALSE)),VLOOKUP('Country selection'!$E$5,mortall!$A$2:$CX$195,$C48+2,FALSE),0)</f>
        <v>1.7099999999999999E-3</v>
      </c>
      <c r="G48" s="1"/>
      <c r="H48" s="4">
        <f t="shared" si="4"/>
        <v>40</v>
      </c>
      <c r="I48" s="53"/>
      <c r="J48" s="53"/>
      <c r="K48" s="53"/>
      <c r="M48" s="38">
        <f t="shared" si="5"/>
        <v>1.75E-4</v>
      </c>
      <c r="N48" s="38">
        <f t="shared" si="6"/>
        <v>4.8000000000000001E-5</v>
      </c>
      <c r="O48" s="38">
        <f t="shared" si="7"/>
        <v>1.7099999999999999E-3</v>
      </c>
    </row>
    <row r="49" spans="3:15" x14ac:dyDescent="0.25">
      <c r="C49" s="4">
        <f t="shared" si="8"/>
        <v>41</v>
      </c>
      <c r="D49" s="1">
        <f>IF(ISNUMBER(VLOOKUP('Country selection'!$E$5,incidence!$A$2:$CX$195,$C49+2,FALSE)),VLOOKUP('Country selection'!$E$5,incidence!$A$2:$CX$195,$C49+2,FALSE),0)</f>
        <v>1.75E-4</v>
      </c>
      <c r="E49" s="1">
        <f>IF(ISNUMBER(VLOOKUP('Country selection'!$E$5,mortcecx!$A$2:$CX$195,$C49+2,FALSE)),VLOOKUP('Country selection'!$E$5,mortcecx!$A$2:$CX$195,$C49+2,FALSE),0)</f>
        <v>4.8000000000000001E-5</v>
      </c>
      <c r="F49" s="1">
        <f>IF(ISNUMBER(VLOOKUP('Country selection'!$E$5,mortall!$A$2:$CX$195,$C49+2,FALSE)),VLOOKUP('Country selection'!$E$5,mortall!$A$2:$CX$195,$C49+2,FALSE),0)</f>
        <v>1.7099999999999999E-3</v>
      </c>
      <c r="G49" s="1"/>
      <c r="H49" s="4">
        <f t="shared" si="4"/>
        <v>41</v>
      </c>
      <c r="I49" s="53"/>
      <c r="J49" s="53"/>
      <c r="K49" s="53"/>
      <c r="M49" s="38">
        <f t="shared" si="5"/>
        <v>1.75E-4</v>
      </c>
      <c r="N49" s="38">
        <f t="shared" si="6"/>
        <v>4.8000000000000001E-5</v>
      </c>
      <c r="O49" s="38">
        <f t="shared" si="7"/>
        <v>1.7099999999999999E-3</v>
      </c>
    </row>
    <row r="50" spans="3:15" x14ac:dyDescent="0.25">
      <c r="C50" s="4">
        <f t="shared" si="8"/>
        <v>42</v>
      </c>
      <c r="D50" s="1">
        <f>IF(ISNUMBER(VLOOKUP('Country selection'!$E$5,incidence!$A$2:$CX$195,$C50+2,FALSE)),VLOOKUP('Country selection'!$E$5,incidence!$A$2:$CX$195,$C50+2,FALSE),0)</f>
        <v>1.75E-4</v>
      </c>
      <c r="E50" s="1">
        <f>IF(ISNUMBER(VLOOKUP('Country selection'!$E$5,mortcecx!$A$2:$CX$195,$C50+2,FALSE)),VLOOKUP('Country selection'!$E$5,mortcecx!$A$2:$CX$195,$C50+2,FALSE),0)</f>
        <v>4.8000000000000001E-5</v>
      </c>
      <c r="F50" s="1">
        <f>IF(ISNUMBER(VLOOKUP('Country selection'!$E$5,mortall!$A$2:$CX$195,$C50+2,FALSE)),VLOOKUP('Country selection'!$E$5,mortall!$A$2:$CX$195,$C50+2,FALSE),0)</f>
        <v>1.7099999999999999E-3</v>
      </c>
      <c r="G50" s="1"/>
      <c r="H50" s="4">
        <f t="shared" si="4"/>
        <v>42</v>
      </c>
      <c r="I50" s="53"/>
      <c r="J50" s="53"/>
      <c r="K50" s="53"/>
      <c r="M50" s="38">
        <f t="shared" si="5"/>
        <v>1.75E-4</v>
      </c>
      <c r="N50" s="38">
        <f t="shared" si="6"/>
        <v>4.8000000000000001E-5</v>
      </c>
      <c r="O50" s="38">
        <f t="shared" si="7"/>
        <v>1.7099999999999999E-3</v>
      </c>
    </row>
    <row r="51" spans="3:15" x14ac:dyDescent="0.25">
      <c r="C51" s="4">
        <f t="shared" si="8"/>
        <v>43</v>
      </c>
      <c r="D51" s="1">
        <f>IF(ISNUMBER(VLOOKUP('Country selection'!$E$5,incidence!$A$2:$CX$195,$C51+2,FALSE)),VLOOKUP('Country selection'!$E$5,incidence!$A$2:$CX$195,$C51+2,FALSE),0)</f>
        <v>1.75E-4</v>
      </c>
      <c r="E51" s="1">
        <f>IF(ISNUMBER(VLOOKUP('Country selection'!$E$5,mortcecx!$A$2:$CX$195,$C51+2,FALSE)),VLOOKUP('Country selection'!$E$5,mortcecx!$A$2:$CX$195,$C51+2,FALSE),0)</f>
        <v>4.8000000000000001E-5</v>
      </c>
      <c r="F51" s="1">
        <f>IF(ISNUMBER(VLOOKUP('Country selection'!$E$5,mortall!$A$2:$CX$195,$C51+2,FALSE)),VLOOKUP('Country selection'!$E$5,mortall!$A$2:$CX$195,$C51+2,FALSE),0)</f>
        <v>1.7099999999999999E-3</v>
      </c>
      <c r="G51" s="1"/>
      <c r="H51" s="4">
        <f t="shared" si="4"/>
        <v>43</v>
      </c>
      <c r="I51" s="53"/>
      <c r="J51" s="53"/>
      <c r="K51" s="53"/>
      <c r="M51" s="38">
        <f t="shared" si="5"/>
        <v>1.75E-4</v>
      </c>
      <c r="N51" s="38">
        <f t="shared" si="6"/>
        <v>4.8000000000000001E-5</v>
      </c>
      <c r="O51" s="38">
        <f t="shared" si="7"/>
        <v>1.7099999999999999E-3</v>
      </c>
    </row>
    <row r="52" spans="3:15" x14ac:dyDescent="0.25">
      <c r="C52" s="4">
        <f t="shared" si="8"/>
        <v>44</v>
      </c>
      <c r="D52" s="1">
        <f>IF(ISNUMBER(VLOOKUP('Country selection'!$E$5,incidence!$A$2:$CX$195,$C52+2,FALSE)),VLOOKUP('Country selection'!$E$5,incidence!$A$2:$CX$195,$C52+2,FALSE),0)</f>
        <v>1.75E-4</v>
      </c>
      <c r="E52" s="1">
        <f>IF(ISNUMBER(VLOOKUP('Country selection'!$E$5,mortcecx!$A$2:$CX$195,$C52+2,FALSE)),VLOOKUP('Country selection'!$E$5,mortcecx!$A$2:$CX$195,$C52+2,FALSE),0)</f>
        <v>4.8000000000000001E-5</v>
      </c>
      <c r="F52" s="1">
        <f>IF(ISNUMBER(VLOOKUP('Country selection'!$E$5,mortall!$A$2:$CX$195,$C52+2,FALSE)),VLOOKUP('Country selection'!$E$5,mortall!$A$2:$CX$195,$C52+2,FALSE),0)</f>
        <v>1.7099999999999999E-3</v>
      </c>
      <c r="G52" s="1"/>
      <c r="H52" s="4">
        <f t="shared" si="4"/>
        <v>44</v>
      </c>
      <c r="I52" s="53"/>
      <c r="J52" s="53"/>
      <c r="K52" s="53"/>
      <c r="M52" s="38">
        <f t="shared" si="5"/>
        <v>1.75E-4</v>
      </c>
      <c r="N52" s="38">
        <f t="shared" si="6"/>
        <v>4.8000000000000001E-5</v>
      </c>
      <c r="O52" s="38">
        <f t="shared" si="7"/>
        <v>1.7099999999999999E-3</v>
      </c>
    </row>
    <row r="53" spans="3:15" x14ac:dyDescent="0.25">
      <c r="C53" s="4">
        <f t="shared" si="8"/>
        <v>45</v>
      </c>
      <c r="D53" s="1">
        <f>IF(ISNUMBER(VLOOKUP('Country selection'!$E$5,incidence!$A$2:$CX$195,$C53+2,FALSE)),VLOOKUP('Country selection'!$E$5,incidence!$A$2:$CX$195,$C53+2,FALSE),0)</f>
        <v>1.8200000000000001E-4</v>
      </c>
      <c r="E53" s="1">
        <f>IF(ISNUMBER(VLOOKUP('Country selection'!$E$5,mortcecx!$A$2:$CX$195,$C53+2,FALSE)),VLOOKUP('Country selection'!$E$5,mortcecx!$A$2:$CX$195,$C53+2,FALSE),0)</f>
        <v>6.3999999999999997E-5</v>
      </c>
      <c r="F53" s="1">
        <f>IF(ISNUMBER(VLOOKUP('Country selection'!$E$5,mortall!$A$2:$CX$195,$C53+2,FALSE)),VLOOKUP('Country selection'!$E$5,mortall!$A$2:$CX$195,$C53+2,FALSE),0)</f>
        <v>2.6700000000000001E-3</v>
      </c>
      <c r="G53" s="1"/>
      <c r="H53" s="4">
        <f t="shared" si="4"/>
        <v>45</v>
      </c>
      <c r="I53" s="53"/>
      <c r="J53" s="53"/>
      <c r="K53" s="53"/>
      <c r="M53" s="38">
        <f t="shared" si="5"/>
        <v>1.8200000000000001E-4</v>
      </c>
      <c r="N53" s="38">
        <f t="shared" si="6"/>
        <v>6.3999999999999997E-5</v>
      </c>
      <c r="O53" s="38">
        <f t="shared" si="7"/>
        <v>2.6700000000000001E-3</v>
      </c>
    </row>
    <row r="54" spans="3:15" x14ac:dyDescent="0.25">
      <c r="C54" s="4">
        <f t="shared" si="8"/>
        <v>46</v>
      </c>
      <c r="D54" s="1">
        <f>IF(ISNUMBER(VLOOKUP('Country selection'!$E$5,incidence!$A$2:$CX$195,$C54+2,FALSE)),VLOOKUP('Country selection'!$E$5,incidence!$A$2:$CX$195,$C54+2,FALSE),0)</f>
        <v>1.8200000000000001E-4</v>
      </c>
      <c r="E54" s="1">
        <f>IF(ISNUMBER(VLOOKUP('Country selection'!$E$5,mortcecx!$A$2:$CX$195,$C54+2,FALSE)),VLOOKUP('Country selection'!$E$5,mortcecx!$A$2:$CX$195,$C54+2,FALSE),0)</f>
        <v>6.3999999999999997E-5</v>
      </c>
      <c r="F54" s="1">
        <f>IF(ISNUMBER(VLOOKUP('Country selection'!$E$5,mortall!$A$2:$CX$195,$C54+2,FALSE)),VLOOKUP('Country selection'!$E$5,mortall!$A$2:$CX$195,$C54+2,FALSE),0)</f>
        <v>2.6700000000000001E-3</v>
      </c>
      <c r="G54" s="1"/>
      <c r="H54" s="4">
        <f t="shared" si="4"/>
        <v>46</v>
      </c>
      <c r="I54" s="53"/>
      <c r="J54" s="53"/>
      <c r="K54" s="53"/>
      <c r="M54" s="38">
        <f t="shared" si="5"/>
        <v>1.8200000000000001E-4</v>
      </c>
      <c r="N54" s="38">
        <f t="shared" si="6"/>
        <v>6.3999999999999997E-5</v>
      </c>
      <c r="O54" s="38">
        <f t="shared" si="7"/>
        <v>2.6700000000000001E-3</v>
      </c>
    </row>
    <row r="55" spans="3:15" x14ac:dyDescent="0.25">
      <c r="C55" s="4">
        <f t="shared" si="8"/>
        <v>47</v>
      </c>
      <c r="D55" s="1">
        <f>IF(ISNUMBER(VLOOKUP('Country selection'!$E$5,incidence!$A$2:$CX$195,$C55+2,FALSE)),VLOOKUP('Country selection'!$E$5,incidence!$A$2:$CX$195,$C55+2,FALSE),0)</f>
        <v>1.8200000000000001E-4</v>
      </c>
      <c r="E55" s="1">
        <f>IF(ISNUMBER(VLOOKUP('Country selection'!$E$5,mortcecx!$A$2:$CX$195,$C55+2,FALSE)),VLOOKUP('Country selection'!$E$5,mortcecx!$A$2:$CX$195,$C55+2,FALSE),0)</f>
        <v>6.3999999999999997E-5</v>
      </c>
      <c r="F55" s="1">
        <f>IF(ISNUMBER(VLOOKUP('Country selection'!$E$5,mortall!$A$2:$CX$195,$C55+2,FALSE)),VLOOKUP('Country selection'!$E$5,mortall!$A$2:$CX$195,$C55+2,FALSE),0)</f>
        <v>2.6700000000000001E-3</v>
      </c>
      <c r="G55" s="1"/>
      <c r="H55" s="4">
        <f t="shared" si="4"/>
        <v>47</v>
      </c>
      <c r="I55" s="53"/>
      <c r="J55" s="53"/>
      <c r="K55" s="53"/>
      <c r="M55" s="38">
        <f t="shared" si="5"/>
        <v>1.8200000000000001E-4</v>
      </c>
      <c r="N55" s="38">
        <f t="shared" si="6"/>
        <v>6.3999999999999997E-5</v>
      </c>
      <c r="O55" s="38">
        <f t="shared" si="7"/>
        <v>2.6700000000000001E-3</v>
      </c>
    </row>
    <row r="56" spans="3:15" x14ac:dyDescent="0.25">
      <c r="C56" s="4">
        <f t="shared" si="8"/>
        <v>48</v>
      </c>
      <c r="D56" s="1">
        <f>IF(ISNUMBER(VLOOKUP('Country selection'!$E$5,incidence!$A$2:$CX$195,$C56+2,FALSE)),VLOOKUP('Country selection'!$E$5,incidence!$A$2:$CX$195,$C56+2,FALSE),0)</f>
        <v>1.8200000000000001E-4</v>
      </c>
      <c r="E56" s="1">
        <f>IF(ISNUMBER(VLOOKUP('Country selection'!$E$5,mortcecx!$A$2:$CX$195,$C56+2,FALSE)),VLOOKUP('Country selection'!$E$5,mortcecx!$A$2:$CX$195,$C56+2,FALSE),0)</f>
        <v>6.3999999999999997E-5</v>
      </c>
      <c r="F56" s="1">
        <f>IF(ISNUMBER(VLOOKUP('Country selection'!$E$5,mortall!$A$2:$CX$195,$C56+2,FALSE)),VLOOKUP('Country selection'!$E$5,mortall!$A$2:$CX$195,$C56+2,FALSE),0)</f>
        <v>2.6700000000000001E-3</v>
      </c>
      <c r="G56" s="1"/>
      <c r="H56" s="4">
        <f t="shared" si="4"/>
        <v>48</v>
      </c>
      <c r="I56" s="53"/>
      <c r="J56" s="53"/>
      <c r="K56" s="53"/>
      <c r="M56" s="38">
        <f t="shared" si="5"/>
        <v>1.8200000000000001E-4</v>
      </c>
      <c r="N56" s="38">
        <f t="shared" si="6"/>
        <v>6.3999999999999997E-5</v>
      </c>
      <c r="O56" s="38">
        <f t="shared" si="7"/>
        <v>2.6700000000000001E-3</v>
      </c>
    </row>
    <row r="57" spans="3:15" x14ac:dyDescent="0.25">
      <c r="C57" s="4">
        <f t="shared" si="8"/>
        <v>49</v>
      </c>
      <c r="D57" s="1">
        <f>IF(ISNUMBER(VLOOKUP('Country selection'!$E$5,incidence!$A$2:$CX$195,$C57+2,FALSE)),VLOOKUP('Country selection'!$E$5,incidence!$A$2:$CX$195,$C57+2,FALSE),0)</f>
        <v>1.8200000000000001E-4</v>
      </c>
      <c r="E57" s="1">
        <f>IF(ISNUMBER(VLOOKUP('Country selection'!$E$5,mortcecx!$A$2:$CX$195,$C57+2,FALSE)),VLOOKUP('Country selection'!$E$5,mortcecx!$A$2:$CX$195,$C57+2,FALSE),0)</f>
        <v>6.3999999999999997E-5</v>
      </c>
      <c r="F57" s="1">
        <f>IF(ISNUMBER(VLOOKUP('Country selection'!$E$5,mortall!$A$2:$CX$195,$C57+2,FALSE)),VLOOKUP('Country selection'!$E$5,mortall!$A$2:$CX$195,$C57+2,FALSE),0)</f>
        <v>2.6700000000000001E-3</v>
      </c>
      <c r="G57" s="1"/>
      <c r="H57" s="4">
        <f t="shared" si="4"/>
        <v>49</v>
      </c>
      <c r="I57" s="53"/>
      <c r="J57" s="53"/>
      <c r="K57" s="53"/>
      <c r="M57" s="38">
        <f t="shared" si="5"/>
        <v>1.8200000000000001E-4</v>
      </c>
      <c r="N57" s="38">
        <f t="shared" si="6"/>
        <v>6.3999999999999997E-5</v>
      </c>
      <c r="O57" s="38">
        <f t="shared" si="7"/>
        <v>2.6700000000000001E-3</v>
      </c>
    </row>
    <row r="58" spans="3:15" x14ac:dyDescent="0.25">
      <c r="C58" s="4">
        <f t="shared" si="8"/>
        <v>50</v>
      </c>
      <c r="D58" s="1">
        <f>IF(ISNUMBER(VLOOKUP('Country selection'!$E$5,incidence!$A$2:$CX$195,$C58+2,FALSE)),VLOOKUP('Country selection'!$E$5,incidence!$A$2:$CX$195,$C58+2,FALSE),0)</f>
        <v>1.74E-4</v>
      </c>
      <c r="E58" s="1">
        <f>IF(ISNUMBER(VLOOKUP('Country selection'!$E$5,mortcecx!$A$2:$CX$195,$C58+2,FALSE)),VLOOKUP('Country selection'!$E$5,mortcecx!$A$2:$CX$195,$C58+2,FALSE),0)</f>
        <v>7.7999999999999999E-5</v>
      </c>
      <c r="F58" s="1">
        <f>IF(ISNUMBER(VLOOKUP('Country selection'!$E$5,mortall!$A$2:$CX$195,$C58+2,FALSE)),VLOOKUP('Country selection'!$E$5,mortall!$A$2:$CX$195,$C58+2,FALSE),0)</f>
        <v>4.1200000000000004E-3</v>
      </c>
      <c r="G58" s="1"/>
      <c r="H58" s="4">
        <f t="shared" si="4"/>
        <v>50</v>
      </c>
      <c r="I58" s="53"/>
      <c r="J58" s="53"/>
      <c r="K58" s="53"/>
      <c r="M58" s="38">
        <f t="shared" si="5"/>
        <v>1.74E-4</v>
      </c>
      <c r="N58" s="38">
        <f t="shared" si="6"/>
        <v>7.7999999999999999E-5</v>
      </c>
      <c r="O58" s="38">
        <f t="shared" si="7"/>
        <v>4.1200000000000004E-3</v>
      </c>
    </row>
    <row r="59" spans="3:15" x14ac:dyDescent="0.25">
      <c r="C59" s="4">
        <f t="shared" si="8"/>
        <v>51</v>
      </c>
      <c r="D59" s="1">
        <f>IF(ISNUMBER(VLOOKUP('Country selection'!$E$5,incidence!$A$2:$CX$195,$C59+2,FALSE)),VLOOKUP('Country selection'!$E$5,incidence!$A$2:$CX$195,$C59+2,FALSE),0)</f>
        <v>1.74E-4</v>
      </c>
      <c r="E59" s="1">
        <f>IF(ISNUMBER(VLOOKUP('Country selection'!$E$5,mortcecx!$A$2:$CX$195,$C59+2,FALSE)),VLOOKUP('Country selection'!$E$5,mortcecx!$A$2:$CX$195,$C59+2,FALSE),0)</f>
        <v>7.7999999999999999E-5</v>
      </c>
      <c r="F59" s="1">
        <f>IF(ISNUMBER(VLOOKUP('Country selection'!$E$5,mortall!$A$2:$CX$195,$C59+2,FALSE)),VLOOKUP('Country selection'!$E$5,mortall!$A$2:$CX$195,$C59+2,FALSE),0)</f>
        <v>4.1200000000000004E-3</v>
      </c>
      <c r="G59" s="1"/>
      <c r="H59" s="4">
        <f t="shared" si="4"/>
        <v>51</v>
      </c>
      <c r="I59" s="53"/>
      <c r="J59" s="53"/>
      <c r="K59" s="53"/>
      <c r="M59" s="38">
        <f t="shared" si="5"/>
        <v>1.74E-4</v>
      </c>
      <c r="N59" s="38">
        <f t="shared" si="6"/>
        <v>7.7999999999999999E-5</v>
      </c>
      <c r="O59" s="38">
        <f t="shared" si="7"/>
        <v>4.1200000000000004E-3</v>
      </c>
    </row>
    <row r="60" spans="3:15" x14ac:dyDescent="0.25">
      <c r="C60" s="4">
        <f t="shared" si="8"/>
        <v>52</v>
      </c>
      <c r="D60" s="1">
        <f>IF(ISNUMBER(VLOOKUP('Country selection'!$E$5,incidence!$A$2:$CX$195,$C60+2,FALSE)),VLOOKUP('Country selection'!$E$5,incidence!$A$2:$CX$195,$C60+2,FALSE),0)</f>
        <v>1.74E-4</v>
      </c>
      <c r="E60" s="1">
        <f>IF(ISNUMBER(VLOOKUP('Country selection'!$E$5,mortcecx!$A$2:$CX$195,$C60+2,FALSE)),VLOOKUP('Country selection'!$E$5,mortcecx!$A$2:$CX$195,$C60+2,FALSE),0)</f>
        <v>7.7999999999999999E-5</v>
      </c>
      <c r="F60" s="1">
        <f>IF(ISNUMBER(VLOOKUP('Country selection'!$E$5,mortall!$A$2:$CX$195,$C60+2,FALSE)),VLOOKUP('Country selection'!$E$5,mortall!$A$2:$CX$195,$C60+2,FALSE),0)</f>
        <v>4.1200000000000004E-3</v>
      </c>
      <c r="G60" s="1"/>
      <c r="H60" s="4">
        <f t="shared" si="4"/>
        <v>52</v>
      </c>
      <c r="I60" s="53"/>
      <c r="J60" s="53"/>
      <c r="K60" s="53"/>
      <c r="M60" s="38">
        <f t="shared" si="5"/>
        <v>1.74E-4</v>
      </c>
      <c r="N60" s="38">
        <f t="shared" si="6"/>
        <v>7.7999999999999999E-5</v>
      </c>
      <c r="O60" s="38">
        <f t="shared" si="7"/>
        <v>4.1200000000000004E-3</v>
      </c>
    </row>
    <row r="61" spans="3:15" x14ac:dyDescent="0.25">
      <c r="C61" s="4">
        <f t="shared" si="8"/>
        <v>53</v>
      </c>
      <c r="D61" s="1">
        <f>IF(ISNUMBER(VLOOKUP('Country selection'!$E$5,incidence!$A$2:$CX$195,$C61+2,FALSE)),VLOOKUP('Country selection'!$E$5,incidence!$A$2:$CX$195,$C61+2,FALSE),0)</f>
        <v>1.74E-4</v>
      </c>
      <c r="E61" s="1">
        <f>IF(ISNUMBER(VLOOKUP('Country selection'!$E$5,mortcecx!$A$2:$CX$195,$C61+2,FALSE)),VLOOKUP('Country selection'!$E$5,mortcecx!$A$2:$CX$195,$C61+2,FALSE),0)</f>
        <v>7.7999999999999999E-5</v>
      </c>
      <c r="F61" s="1">
        <f>IF(ISNUMBER(VLOOKUP('Country selection'!$E$5,mortall!$A$2:$CX$195,$C61+2,FALSE)),VLOOKUP('Country selection'!$E$5,mortall!$A$2:$CX$195,$C61+2,FALSE),0)</f>
        <v>4.1200000000000004E-3</v>
      </c>
      <c r="G61" s="1"/>
      <c r="H61" s="4">
        <f t="shared" si="4"/>
        <v>53</v>
      </c>
      <c r="I61" s="53"/>
      <c r="J61" s="53"/>
      <c r="K61" s="53"/>
      <c r="M61" s="38">
        <f t="shared" si="5"/>
        <v>1.74E-4</v>
      </c>
      <c r="N61" s="38">
        <f t="shared" si="6"/>
        <v>7.7999999999999999E-5</v>
      </c>
      <c r="O61" s="38">
        <f t="shared" si="7"/>
        <v>4.1200000000000004E-3</v>
      </c>
    </row>
    <row r="62" spans="3:15" x14ac:dyDescent="0.25">
      <c r="C62" s="4">
        <f t="shared" si="8"/>
        <v>54</v>
      </c>
      <c r="D62" s="1">
        <f>IF(ISNUMBER(VLOOKUP('Country selection'!$E$5,incidence!$A$2:$CX$195,$C62+2,FALSE)),VLOOKUP('Country selection'!$E$5,incidence!$A$2:$CX$195,$C62+2,FALSE),0)</f>
        <v>1.74E-4</v>
      </c>
      <c r="E62" s="1">
        <f>IF(ISNUMBER(VLOOKUP('Country selection'!$E$5,mortcecx!$A$2:$CX$195,$C62+2,FALSE)),VLOOKUP('Country selection'!$E$5,mortcecx!$A$2:$CX$195,$C62+2,FALSE),0)</f>
        <v>7.7999999999999999E-5</v>
      </c>
      <c r="F62" s="1">
        <f>IF(ISNUMBER(VLOOKUP('Country selection'!$E$5,mortall!$A$2:$CX$195,$C62+2,FALSE)),VLOOKUP('Country selection'!$E$5,mortall!$A$2:$CX$195,$C62+2,FALSE),0)</f>
        <v>4.1200000000000004E-3</v>
      </c>
      <c r="G62" s="1"/>
      <c r="H62" s="4">
        <f t="shared" si="4"/>
        <v>54</v>
      </c>
      <c r="I62" s="53"/>
      <c r="J62" s="53"/>
      <c r="K62" s="53"/>
      <c r="M62" s="38">
        <f t="shared" si="5"/>
        <v>1.74E-4</v>
      </c>
      <c r="N62" s="38">
        <f t="shared" si="6"/>
        <v>7.7999999999999999E-5</v>
      </c>
      <c r="O62" s="38">
        <f t="shared" si="7"/>
        <v>4.1200000000000004E-3</v>
      </c>
    </row>
    <row r="63" spans="3:15" x14ac:dyDescent="0.25">
      <c r="C63" s="4">
        <f t="shared" si="8"/>
        <v>55</v>
      </c>
      <c r="D63" s="1">
        <f>IF(ISNUMBER(VLOOKUP('Country selection'!$E$5,incidence!$A$2:$CX$195,$C63+2,FALSE)),VLOOKUP('Country selection'!$E$5,incidence!$A$2:$CX$195,$C63+2,FALSE),0)</f>
        <v>1.54E-4</v>
      </c>
      <c r="E63" s="1">
        <f>IF(ISNUMBER(VLOOKUP('Country selection'!$E$5,mortcecx!$A$2:$CX$195,$C63+2,FALSE)),VLOOKUP('Country selection'!$E$5,mortcecx!$A$2:$CX$195,$C63+2,FALSE),0)</f>
        <v>8.7999999999999998E-5</v>
      </c>
      <c r="F63" s="1">
        <f>IF(ISNUMBER(VLOOKUP('Country selection'!$E$5,mortall!$A$2:$CX$195,$C63+2,FALSE)),VLOOKUP('Country selection'!$E$5,mortall!$A$2:$CX$195,$C63+2,FALSE),0)</f>
        <v>6.3899999999999998E-3</v>
      </c>
      <c r="G63" s="1"/>
      <c r="H63" s="4">
        <f t="shared" si="4"/>
        <v>55</v>
      </c>
      <c r="I63" s="53"/>
      <c r="J63" s="53"/>
      <c r="K63" s="53"/>
      <c r="M63" s="38">
        <f t="shared" si="5"/>
        <v>1.54E-4</v>
      </c>
      <c r="N63" s="38">
        <f t="shared" si="6"/>
        <v>8.7999999999999998E-5</v>
      </c>
      <c r="O63" s="38">
        <f t="shared" si="7"/>
        <v>6.3899999999999998E-3</v>
      </c>
    </row>
    <row r="64" spans="3:15" x14ac:dyDescent="0.25">
      <c r="C64" s="4">
        <f t="shared" si="8"/>
        <v>56</v>
      </c>
      <c r="D64" s="1">
        <f>IF(ISNUMBER(VLOOKUP('Country selection'!$E$5,incidence!$A$2:$CX$195,$C64+2,FALSE)),VLOOKUP('Country selection'!$E$5,incidence!$A$2:$CX$195,$C64+2,FALSE),0)</f>
        <v>1.54E-4</v>
      </c>
      <c r="E64" s="1">
        <f>IF(ISNUMBER(VLOOKUP('Country selection'!$E$5,mortcecx!$A$2:$CX$195,$C64+2,FALSE)),VLOOKUP('Country selection'!$E$5,mortcecx!$A$2:$CX$195,$C64+2,FALSE),0)</f>
        <v>8.7999999999999998E-5</v>
      </c>
      <c r="F64" s="1">
        <f>IF(ISNUMBER(VLOOKUP('Country selection'!$E$5,mortall!$A$2:$CX$195,$C64+2,FALSE)),VLOOKUP('Country selection'!$E$5,mortall!$A$2:$CX$195,$C64+2,FALSE),0)</f>
        <v>6.3899999999999998E-3</v>
      </c>
      <c r="G64" s="1"/>
      <c r="H64" s="4">
        <f t="shared" si="4"/>
        <v>56</v>
      </c>
      <c r="I64" s="53"/>
      <c r="J64" s="53"/>
      <c r="K64" s="53"/>
      <c r="M64" s="38">
        <f t="shared" si="5"/>
        <v>1.54E-4</v>
      </c>
      <c r="N64" s="38">
        <f t="shared" si="6"/>
        <v>8.7999999999999998E-5</v>
      </c>
      <c r="O64" s="38">
        <f t="shared" si="7"/>
        <v>6.3899999999999998E-3</v>
      </c>
    </row>
    <row r="65" spans="3:15" x14ac:dyDescent="0.25">
      <c r="C65" s="4">
        <f t="shared" si="8"/>
        <v>57</v>
      </c>
      <c r="D65" s="1">
        <f>IF(ISNUMBER(VLOOKUP('Country selection'!$E$5,incidence!$A$2:$CX$195,$C65+2,FALSE)),VLOOKUP('Country selection'!$E$5,incidence!$A$2:$CX$195,$C65+2,FALSE),0)</f>
        <v>1.54E-4</v>
      </c>
      <c r="E65" s="1">
        <f>IF(ISNUMBER(VLOOKUP('Country selection'!$E$5,mortcecx!$A$2:$CX$195,$C65+2,FALSE)),VLOOKUP('Country selection'!$E$5,mortcecx!$A$2:$CX$195,$C65+2,FALSE),0)</f>
        <v>8.7999999999999998E-5</v>
      </c>
      <c r="F65" s="1">
        <f>IF(ISNUMBER(VLOOKUP('Country selection'!$E$5,mortall!$A$2:$CX$195,$C65+2,FALSE)),VLOOKUP('Country selection'!$E$5,mortall!$A$2:$CX$195,$C65+2,FALSE),0)</f>
        <v>6.3899999999999998E-3</v>
      </c>
      <c r="G65" s="1"/>
      <c r="H65" s="4">
        <f t="shared" si="4"/>
        <v>57</v>
      </c>
      <c r="I65" s="53"/>
      <c r="J65" s="53"/>
      <c r="K65" s="53"/>
      <c r="M65" s="38">
        <f t="shared" si="5"/>
        <v>1.54E-4</v>
      </c>
      <c r="N65" s="38">
        <f t="shared" si="6"/>
        <v>8.7999999999999998E-5</v>
      </c>
      <c r="O65" s="38">
        <f t="shared" si="7"/>
        <v>6.3899999999999998E-3</v>
      </c>
    </row>
    <row r="66" spans="3:15" x14ac:dyDescent="0.25">
      <c r="C66" s="4">
        <f t="shared" si="8"/>
        <v>58</v>
      </c>
      <c r="D66" s="1">
        <f>IF(ISNUMBER(VLOOKUP('Country selection'!$E$5,incidence!$A$2:$CX$195,$C66+2,FALSE)),VLOOKUP('Country selection'!$E$5,incidence!$A$2:$CX$195,$C66+2,FALSE),0)</f>
        <v>1.54E-4</v>
      </c>
      <c r="E66" s="1">
        <f>IF(ISNUMBER(VLOOKUP('Country selection'!$E$5,mortcecx!$A$2:$CX$195,$C66+2,FALSE)),VLOOKUP('Country selection'!$E$5,mortcecx!$A$2:$CX$195,$C66+2,FALSE),0)</f>
        <v>8.7999999999999998E-5</v>
      </c>
      <c r="F66" s="1">
        <f>IF(ISNUMBER(VLOOKUP('Country selection'!$E$5,mortall!$A$2:$CX$195,$C66+2,FALSE)),VLOOKUP('Country selection'!$E$5,mortall!$A$2:$CX$195,$C66+2,FALSE),0)</f>
        <v>6.3899999999999998E-3</v>
      </c>
      <c r="G66" s="1"/>
      <c r="H66" s="4">
        <f t="shared" si="4"/>
        <v>58</v>
      </c>
      <c r="I66" s="53"/>
      <c r="J66" s="53"/>
      <c r="K66" s="53"/>
      <c r="M66" s="38">
        <f t="shared" si="5"/>
        <v>1.54E-4</v>
      </c>
      <c r="N66" s="38">
        <f t="shared" si="6"/>
        <v>8.7999999999999998E-5</v>
      </c>
      <c r="O66" s="38">
        <f t="shared" si="7"/>
        <v>6.3899999999999998E-3</v>
      </c>
    </row>
    <row r="67" spans="3:15" x14ac:dyDescent="0.25">
      <c r="C67" s="4">
        <f t="shared" si="8"/>
        <v>59</v>
      </c>
      <c r="D67" s="1">
        <f>IF(ISNUMBER(VLOOKUP('Country selection'!$E$5,incidence!$A$2:$CX$195,$C67+2,FALSE)),VLOOKUP('Country selection'!$E$5,incidence!$A$2:$CX$195,$C67+2,FALSE),0)</f>
        <v>1.54E-4</v>
      </c>
      <c r="E67" s="1">
        <f>IF(ISNUMBER(VLOOKUP('Country selection'!$E$5,mortcecx!$A$2:$CX$195,$C67+2,FALSE)),VLOOKUP('Country selection'!$E$5,mortcecx!$A$2:$CX$195,$C67+2,FALSE),0)</f>
        <v>8.7999999999999998E-5</v>
      </c>
      <c r="F67" s="1">
        <f>IF(ISNUMBER(VLOOKUP('Country selection'!$E$5,mortall!$A$2:$CX$195,$C67+2,FALSE)),VLOOKUP('Country selection'!$E$5,mortall!$A$2:$CX$195,$C67+2,FALSE),0)</f>
        <v>6.3899999999999998E-3</v>
      </c>
      <c r="G67" s="1"/>
      <c r="H67" s="4">
        <f t="shared" si="4"/>
        <v>59</v>
      </c>
      <c r="I67" s="53"/>
      <c r="J67" s="53"/>
      <c r="K67" s="53"/>
      <c r="M67" s="38">
        <f t="shared" si="5"/>
        <v>1.54E-4</v>
      </c>
      <c r="N67" s="38">
        <f t="shared" si="6"/>
        <v>8.7999999999999998E-5</v>
      </c>
      <c r="O67" s="38">
        <f t="shared" si="7"/>
        <v>6.3899999999999998E-3</v>
      </c>
    </row>
    <row r="68" spans="3:15" x14ac:dyDescent="0.25">
      <c r="C68" s="4">
        <f t="shared" si="8"/>
        <v>60</v>
      </c>
      <c r="D68" s="1">
        <f>IF(ISNUMBER(VLOOKUP('Country selection'!$E$5,incidence!$A$2:$CX$195,$C68+2,FALSE)),VLOOKUP('Country selection'!$E$5,incidence!$A$2:$CX$195,$C68+2,FALSE),0)</f>
        <v>1.3200000000000001E-4</v>
      </c>
      <c r="E68" s="1">
        <f>IF(ISNUMBER(VLOOKUP('Country selection'!$E$5,mortcecx!$A$2:$CX$195,$C68+2,FALSE)),VLOOKUP('Country selection'!$E$5,mortcecx!$A$2:$CX$195,$C68+2,FALSE),0)</f>
        <v>9.8999999999999994E-5</v>
      </c>
      <c r="F68" s="1">
        <f>IF(ISNUMBER(VLOOKUP('Country selection'!$E$5,mortall!$A$2:$CX$195,$C68+2,FALSE)),VLOOKUP('Country selection'!$E$5,mortall!$A$2:$CX$195,$C68+2,FALSE),0)</f>
        <v>1.0410000000000001E-2</v>
      </c>
      <c r="G68" s="1"/>
      <c r="H68" s="4">
        <f t="shared" si="4"/>
        <v>60</v>
      </c>
      <c r="I68" s="53"/>
      <c r="J68" s="53"/>
      <c r="K68" s="53"/>
      <c r="M68" s="38">
        <f t="shared" si="5"/>
        <v>1.3200000000000001E-4</v>
      </c>
      <c r="N68" s="38">
        <f t="shared" si="6"/>
        <v>9.8999999999999994E-5</v>
      </c>
      <c r="O68" s="38">
        <f t="shared" si="7"/>
        <v>1.0410000000000001E-2</v>
      </c>
    </row>
    <row r="69" spans="3:15" x14ac:dyDescent="0.25">
      <c r="C69" s="4">
        <f t="shared" si="8"/>
        <v>61</v>
      </c>
      <c r="D69" s="1">
        <f>IF(ISNUMBER(VLOOKUP('Country selection'!$E$5,incidence!$A$2:$CX$195,$C69+2,FALSE)),VLOOKUP('Country selection'!$E$5,incidence!$A$2:$CX$195,$C69+2,FALSE),0)</f>
        <v>1.3200000000000001E-4</v>
      </c>
      <c r="E69" s="1">
        <f>IF(ISNUMBER(VLOOKUP('Country selection'!$E$5,mortcecx!$A$2:$CX$195,$C69+2,FALSE)),VLOOKUP('Country selection'!$E$5,mortcecx!$A$2:$CX$195,$C69+2,FALSE),0)</f>
        <v>9.8999999999999994E-5</v>
      </c>
      <c r="F69" s="1">
        <f>IF(ISNUMBER(VLOOKUP('Country selection'!$E$5,mortall!$A$2:$CX$195,$C69+2,FALSE)),VLOOKUP('Country selection'!$E$5,mortall!$A$2:$CX$195,$C69+2,FALSE),0)</f>
        <v>1.0410000000000001E-2</v>
      </c>
      <c r="G69" s="1"/>
      <c r="H69" s="4">
        <f t="shared" si="4"/>
        <v>61</v>
      </c>
      <c r="I69" s="53"/>
      <c r="J69" s="53"/>
      <c r="K69" s="53"/>
      <c r="M69" s="38">
        <f t="shared" si="5"/>
        <v>1.3200000000000001E-4</v>
      </c>
      <c r="N69" s="38">
        <f t="shared" si="6"/>
        <v>9.8999999999999994E-5</v>
      </c>
      <c r="O69" s="38">
        <f t="shared" si="7"/>
        <v>1.0410000000000001E-2</v>
      </c>
    </row>
    <row r="70" spans="3:15" x14ac:dyDescent="0.25">
      <c r="C70" s="4">
        <f t="shared" si="8"/>
        <v>62</v>
      </c>
      <c r="D70" s="1">
        <f>IF(ISNUMBER(VLOOKUP('Country selection'!$E$5,incidence!$A$2:$CX$195,$C70+2,FALSE)),VLOOKUP('Country selection'!$E$5,incidence!$A$2:$CX$195,$C70+2,FALSE),0)</f>
        <v>1.3200000000000001E-4</v>
      </c>
      <c r="E70" s="1">
        <f>IF(ISNUMBER(VLOOKUP('Country selection'!$E$5,mortcecx!$A$2:$CX$195,$C70+2,FALSE)),VLOOKUP('Country selection'!$E$5,mortcecx!$A$2:$CX$195,$C70+2,FALSE),0)</f>
        <v>9.8999999999999994E-5</v>
      </c>
      <c r="F70" s="1">
        <f>IF(ISNUMBER(VLOOKUP('Country selection'!$E$5,mortall!$A$2:$CX$195,$C70+2,FALSE)),VLOOKUP('Country selection'!$E$5,mortall!$A$2:$CX$195,$C70+2,FALSE),0)</f>
        <v>1.0410000000000001E-2</v>
      </c>
      <c r="G70" s="1"/>
      <c r="H70" s="4">
        <f t="shared" si="4"/>
        <v>62</v>
      </c>
      <c r="I70" s="53"/>
      <c r="J70" s="53"/>
      <c r="K70" s="53"/>
      <c r="M70" s="38">
        <f t="shared" si="5"/>
        <v>1.3200000000000001E-4</v>
      </c>
      <c r="N70" s="38">
        <f t="shared" si="6"/>
        <v>9.8999999999999994E-5</v>
      </c>
      <c r="O70" s="38">
        <f t="shared" si="7"/>
        <v>1.0410000000000001E-2</v>
      </c>
    </row>
    <row r="71" spans="3:15" x14ac:dyDescent="0.25">
      <c r="C71" s="4">
        <f t="shared" si="8"/>
        <v>63</v>
      </c>
      <c r="D71" s="1">
        <f>IF(ISNUMBER(VLOOKUP('Country selection'!$E$5,incidence!$A$2:$CX$195,$C71+2,FALSE)),VLOOKUP('Country selection'!$E$5,incidence!$A$2:$CX$195,$C71+2,FALSE),0)</f>
        <v>1.3200000000000001E-4</v>
      </c>
      <c r="E71" s="1">
        <f>IF(ISNUMBER(VLOOKUP('Country selection'!$E$5,mortcecx!$A$2:$CX$195,$C71+2,FALSE)),VLOOKUP('Country selection'!$E$5,mortcecx!$A$2:$CX$195,$C71+2,FALSE),0)</f>
        <v>9.8999999999999994E-5</v>
      </c>
      <c r="F71" s="1">
        <f>IF(ISNUMBER(VLOOKUP('Country selection'!$E$5,mortall!$A$2:$CX$195,$C71+2,FALSE)),VLOOKUP('Country selection'!$E$5,mortall!$A$2:$CX$195,$C71+2,FALSE),0)</f>
        <v>1.0410000000000001E-2</v>
      </c>
      <c r="G71" s="1"/>
      <c r="H71" s="4">
        <f t="shared" si="4"/>
        <v>63</v>
      </c>
      <c r="I71" s="53"/>
      <c r="J71" s="53"/>
      <c r="K71" s="53"/>
      <c r="M71" s="38">
        <f t="shared" si="5"/>
        <v>1.3200000000000001E-4</v>
      </c>
      <c r="N71" s="38">
        <f t="shared" si="6"/>
        <v>9.8999999999999994E-5</v>
      </c>
      <c r="O71" s="38">
        <f t="shared" si="7"/>
        <v>1.0410000000000001E-2</v>
      </c>
    </row>
    <row r="72" spans="3:15" x14ac:dyDescent="0.25">
      <c r="C72" s="4">
        <f t="shared" si="8"/>
        <v>64</v>
      </c>
      <c r="D72" s="1">
        <f>IF(ISNUMBER(VLOOKUP('Country selection'!$E$5,incidence!$A$2:$CX$195,$C72+2,FALSE)),VLOOKUP('Country selection'!$E$5,incidence!$A$2:$CX$195,$C72+2,FALSE),0)</f>
        <v>1.3200000000000001E-4</v>
      </c>
      <c r="E72" s="1">
        <f>IF(ISNUMBER(VLOOKUP('Country selection'!$E$5,mortcecx!$A$2:$CX$195,$C72+2,FALSE)),VLOOKUP('Country selection'!$E$5,mortcecx!$A$2:$CX$195,$C72+2,FALSE),0)</f>
        <v>9.8999999999999994E-5</v>
      </c>
      <c r="F72" s="1">
        <f>IF(ISNUMBER(VLOOKUP('Country selection'!$E$5,mortall!$A$2:$CX$195,$C72+2,FALSE)),VLOOKUP('Country selection'!$E$5,mortall!$A$2:$CX$195,$C72+2,FALSE),0)</f>
        <v>1.0410000000000001E-2</v>
      </c>
      <c r="G72" s="1"/>
      <c r="H72" s="4">
        <f t="shared" si="4"/>
        <v>64</v>
      </c>
      <c r="I72" s="53"/>
      <c r="J72" s="53"/>
      <c r="K72" s="53"/>
      <c r="M72" s="38">
        <f t="shared" ref="M72:M108" si="9">IF(I72="",D72,I72)</f>
        <v>1.3200000000000001E-4</v>
      </c>
      <c r="N72" s="38">
        <f t="shared" ref="N72:N108" si="10">IF(J72="",E72,J72)</f>
        <v>9.8999999999999994E-5</v>
      </c>
      <c r="O72" s="38">
        <f t="shared" ref="O72:O108" si="11">IF(K72="",F72,K72)</f>
        <v>1.0410000000000001E-2</v>
      </c>
    </row>
    <row r="73" spans="3:15" x14ac:dyDescent="0.25">
      <c r="C73" s="4">
        <f t="shared" ref="C73:C108" si="12">C72+1</f>
        <v>65</v>
      </c>
      <c r="D73" s="1">
        <f>IF(ISNUMBER(VLOOKUP('Country selection'!$E$5,incidence!$A$2:$CX$195,$C73+2,FALSE)),VLOOKUP('Country selection'!$E$5,incidence!$A$2:$CX$195,$C73+2,FALSE),0)</f>
        <v>1.2E-4</v>
      </c>
      <c r="E73" s="1">
        <f>IF(ISNUMBER(VLOOKUP('Country selection'!$E$5,mortcecx!$A$2:$CX$195,$C73+2,FALSE)),VLOOKUP('Country selection'!$E$5,mortcecx!$A$2:$CX$195,$C73+2,FALSE),0)</f>
        <v>1.15E-4</v>
      </c>
      <c r="F73" s="1">
        <f>IF(ISNUMBER(VLOOKUP('Country selection'!$E$5,mortall!$A$2:$CX$195,$C73+2,FALSE)),VLOOKUP('Country selection'!$E$5,mortall!$A$2:$CX$195,$C73+2,FALSE),0)</f>
        <v>1.7749999999999998E-2</v>
      </c>
      <c r="G73" s="1"/>
      <c r="H73" s="4">
        <f t="shared" ref="H73:H108" si="13">H72+1</f>
        <v>65</v>
      </c>
      <c r="I73" s="53"/>
      <c r="J73" s="53"/>
      <c r="K73" s="53"/>
      <c r="M73" s="38">
        <f t="shared" si="9"/>
        <v>1.2E-4</v>
      </c>
      <c r="N73" s="38">
        <f t="shared" si="10"/>
        <v>1.15E-4</v>
      </c>
      <c r="O73" s="38">
        <f t="shared" si="11"/>
        <v>1.7749999999999998E-2</v>
      </c>
    </row>
    <row r="74" spans="3:15" x14ac:dyDescent="0.25">
      <c r="C74" s="4">
        <f t="shared" si="12"/>
        <v>66</v>
      </c>
      <c r="D74" s="1">
        <f>IF(ISNUMBER(VLOOKUP('Country selection'!$E$5,incidence!$A$2:$CX$195,$C74+2,FALSE)),VLOOKUP('Country selection'!$E$5,incidence!$A$2:$CX$195,$C74+2,FALSE),0)</f>
        <v>1.2E-4</v>
      </c>
      <c r="E74" s="1">
        <f>IF(ISNUMBER(VLOOKUP('Country selection'!$E$5,mortcecx!$A$2:$CX$195,$C74+2,FALSE)),VLOOKUP('Country selection'!$E$5,mortcecx!$A$2:$CX$195,$C74+2,FALSE),0)</f>
        <v>1.15E-4</v>
      </c>
      <c r="F74" s="1">
        <f>IF(ISNUMBER(VLOOKUP('Country selection'!$E$5,mortall!$A$2:$CX$195,$C74+2,FALSE)),VLOOKUP('Country selection'!$E$5,mortall!$A$2:$CX$195,$C74+2,FALSE),0)</f>
        <v>1.7749999999999998E-2</v>
      </c>
      <c r="G74" s="1"/>
      <c r="H74" s="4">
        <f t="shared" si="13"/>
        <v>66</v>
      </c>
      <c r="I74" s="53"/>
      <c r="J74" s="53"/>
      <c r="K74" s="53"/>
      <c r="M74" s="38">
        <f t="shared" si="9"/>
        <v>1.2E-4</v>
      </c>
      <c r="N74" s="38">
        <f t="shared" si="10"/>
        <v>1.15E-4</v>
      </c>
      <c r="O74" s="38">
        <f t="shared" si="11"/>
        <v>1.7749999999999998E-2</v>
      </c>
    </row>
    <row r="75" spans="3:15" x14ac:dyDescent="0.25">
      <c r="C75" s="4">
        <f t="shared" si="12"/>
        <v>67</v>
      </c>
      <c r="D75" s="1">
        <f>IF(ISNUMBER(VLOOKUP('Country selection'!$E$5,incidence!$A$2:$CX$195,$C75+2,FALSE)),VLOOKUP('Country selection'!$E$5,incidence!$A$2:$CX$195,$C75+2,FALSE),0)</f>
        <v>1.2E-4</v>
      </c>
      <c r="E75" s="1">
        <f>IF(ISNUMBER(VLOOKUP('Country selection'!$E$5,mortcecx!$A$2:$CX$195,$C75+2,FALSE)),VLOOKUP('Country selection'!$E$5,mortcecx!$A$2:$CX$195,$C75+2,FALSE),0)</f>
        <v>1.15E-4</v>
      </c>
      <c r="F75" s="1">
        <f>IF(ISNUMBER(VLOOKUP('Country selection'!$E$5,mortall!$A$2:$CX$195,$C75+2,FALSE)),VLOOKUP('Country selection'!$E$5,mortall!$A$2:$CX$195,$C75+2,FALSE),0)</f>
        <v>1.7749999999999998E-2</v>
      </c>
      <c r="G75" s="1"/>
      <c r="H75" s="4">
        <f t="shared" si="13"/>
        <v>67</v>
      </c>
      <c r="I75" s="53"/>
      <c r="J75" s="53"/>
      <c r="K75" s="53"/>
      <c r="M75" s="38">
        <f t="shared" si="9"/>
        <v>1.2E-4</v>
      </c>
      <c r="N75" s="38">
        <f t="shared" si="10"/>
        <v>1.15E-4</v>
      </c>
      <c r="O75" s="38">
        <f t="shared" si="11"/>
        <v>1.7749999999999998E-2</v>
      </c>
    </row>
    <row r="76" spans="3:15" x14ac:dyDescent="0.25">
      <c r="C76" s="4">
        <f t="shared" si="12"/>
        <v>68</v>
      </c>
      <c r="D76" s="1">
        <f>IF(ISNUMBER(VLOOKUP('Country selection'!$E$5,incidence!$A$2:$CX$195,$C76+2,FALSE)),VLOOKUP('Country selection'!$E$5,incidence!$A$2:$CX$195,$C76+2,FALSE),0)</f>
        <v>1.2E-4</v>
      </c>
      <c r="E76" s="1">
        <f>IF(ISNUMBER(VLOOKUP('Country selection'!$E$5,mortcecx!$A$2:$CX$195,$C76+2,FALSE)),VLOOKUP('Country selection'!$E$5,mortcecx!$A$2:$CX$195,$C76+2,FALSE),0)</f>
        <v>1.15E-4</v>
      </c>
      <c r="F76" s="1">
        <f>IF(ISNUMBER(VLOOKUP('Country selection'!$E$5,mortall!$A$2:$CX$195,$C76+2,FALSE)),VLOOKUP('Country selection'!$E$5,mortall!$A$2:$CX$195,$C76+2,FALSE),0)</f>
        <v>1.7749999999999998E-2</v>
      </c>
      <c r="G76" s="1"/>
      <c r="H76" s="4">
        <f t="shared" si="13"/>
        <v>68</v>
      </c>
      <c r="I76" s="53"/>
      <c r="J76" s="53"/>
      <c r="K76" s="53"/>
      <c r="M76" s="38">
        <f t="shared" si="9"/>
        <v>1.2E-4</v>
      </c>
      <c r="N76" s="38">
        <f t="shared" si="10"/>
        <v>1.15E-4</v>
      </c>
      <c r="O76" s="38">
        <f t="shared" si="11"/>
        <v>1.7749999999999998E-2</v>
      </c>
    </row>
    <row r="77" spans="3:15" x14ac:dyDescent="0.25">
      <c r="C77" s="4">
        <f t="shared" si="12"/>
        <v>69</v>
      </c>
      <c r="D77" s="1">
        <f>IF(ISNUMBER(VLOOKUP('Country selection'!$E$5,incidence!$A$2:$CX$195,$C77+2,FALSE)),VLOOKUP('Country selection'!$E$5,incidence!$A$2:$CX$195,$C77+2,FALSE),0)</f>
        <v>1.2E-4</v>
      </c>
      <c r="E77" s="1">
        <f>IF(ISNUMBER(VLOOKUP('Country selection'!$E$5,mortcecx!$A$2:$CX$195,$C77+2,FALSE)),VLOOKUP('Country selection'!$E$5,mortcecx!$A$2:$CX$195,$C77+2,FALSE),0)</f>
        <v>1.15E-4</v>
      </c>
      <c r="F77" s="1">
        <f>IF(ISNUMBER(VLOOKUP('Country selection'!$E$5,mortall!$A$2:$CX$195,$C77+2,FALSE)),VLOOKUP('Country selection'!$E$5,mortall!$A$2:$CX$195,$C77+2,FALSE),0)</f>
        <v>1.7749999999999998E-2</v>
      </c>
      <c r="G77" s="1"/>
      <c r="H77" s="4">
        <f t="shared" si="13"/>
        <v>69</v>
      </c>
      <c r="I77" s="53"/>
      <c r="J77" s="53"/>
      <c r="K77" s="53"/>
      <c r="M77" s="38">
        <f t="shared" si="9"/>
        <v>1.2E-4</v>
      </c>
      <c r="N77" s="38">
        <f t="shared" si="10"/>
        <v>1.15E-4</v>
      </c>
      <c r="O77" s="38">
        <f t="shared" si="11"/>
        <v>1.7749999999999998E-2</v>
      </c>
    </row>
    <row r="78" spans="3:15" x14ac:dyDescent="0.25">
      <c r="C78" s="4">
        <f t="shared" si="12"/>
        <v>70</v>
      </c>
      <c r="D78" s="1">
        <f>IF(ISNUMBER(VLOOKUP('Country selection'!$E$5,incidence!$A$2:$CX$195,$C78+2,FALSE)),VLOOKUP('Country selection'!$E$5,incidence!$A$2:$CX$195,$C78+2,FALSE),0)</f>
        <v>1.13E-4</v>
      </c>
      <c r="E78" s="1">
        <f>IF(ISNUMBER(VLOOKUP('Country selection'!$E$5,mortcecx!$A$2:$CX$195,$C78+2,FALSE)),VLOOKUP('Country selection'!$E$5,mortcecx!$A$2:$CX$195,$C78+2,FALSE),0)</f>
        <v>1.4100000000000001E-4</v>
      </c>
      <c r="F78" s="1">
        <f>IF(ISNUMBER(VLOOKUP('Country selection'!$E$5,mortall!$A$2:$CX$195,$C78+2,FALSE)),VLOOKUP('Country selection'!$E$5,mortall!$A$2:$CX$195,$C78+2,FALSE),0)</f>
        <v>3.1829999999999997E-2</v>
      </c>
      <c r="G78" s="1"/>
      <c r="H78" s="4">
        <f t="shared" si="13"/>
        <v>70</v>
      </c>
      <c r="I78" s="53"/>
      <c r="J78" s="53"/>
      <c r="K78" s="53"/>
      <c r="M78" s="38">
        <f t="shared" si="9"/>
        <v>1.13E-4</v>
      </c>
      <c r="N78" s="38">
        <f t="shared" si="10"/>
        <v>1.4100000000000001E-4</v>
      </c>
      <c r="O78" s="38">
        <f t="shared" si="11"/>
        <v>3.1829999999999997E-2</v>
      </c>
    </row>
    <row r="79" spans="3:15" x14ac:dyDescent="0.25">
      <c r="C79" s="4">
        <f t="shared" si="12"/>
        <v>71</v>
      </c>
      <c r="D79" s="1">
        <f>IF(ISNUMBER(VLOOKUP('Country selection'!$E$5,incidence!$A$2:$CX$195,$C79+2,FALSE)),VLOOKUP('Country selection'!$E$5,incidence!$A$2:$CX$195,$C79+2,FALSE),0)</f>
        <v>1.13E-4</v>
      </c>
      <c r="E79" s="1">
        <f>IF(ISNUMBER(VLOOKUP('Country selection'!$E$5,mortcecx!$A$2:$CX$195,$C79+2,FALSE)),VLOOKUP('Country selection'!$E$5,mortcecx!$A$2:$CX$195,$C79+2,FALSE),0)</f>
        <v>1.4100000000000001E-4</v>
      </c>
      <c r="F79" s="1">
        <f>IF(ISNUMBER(VLOOKUP('Country selection'!$E$5,mortall!$A$2:$CX$195,$C79+2,FALSE)),VLOOKUP('Country selection'!$E$5,mortall!$A$2:$CX$195,$C79+2,FALSE),0)</f>
        <v>3.1829999999999997E-2</v>
      </c>
      <c r="G79" s="1"/>
      <c r="H79" s="4">
        <f t="shared" si="13"/>
        <v>71</v>
      </c>
      <c r="I79" s="53"/>
      <c r="J79" s="53"/>
      <c r="K79" s="53"/>
      <c r="M79" s="38">
        <f t="shared" si="9"/>
        <v>1.13E-4</v>
      </c>
      <c r="N79" s="38">
        <f t="shared" si="10"/>
        <v>1.4100000000000001E-4</v>
      </c>
      <c r="O79" s="38">
        <f t="shared" si="11"/>
        <v>3.1829999999999997E-2</v>
      </c>
    </row>
    <row r="80" spans="3:15" x14ac:dyDescent="0.25">
      <c r="C80" s="4">
        <f t="shared" si="12"/>
        <v>72</v>
      </c>
      <c r="D80" s="1">
        <f>IF(ISNUMBER(VLOOKUP('Country selection'!$E$5,incidence!$A$2:$CX$195,$C80+2,FALSE)),VLOOKUP('Country selection'!$E$5,incidence!$A$2:$CX$195,$C80+2,FALSE),0)</f>
        <v>1.13E-4</v>
      </c>
      <c r="E80" s="1">
        <f>IF(ISNUMBER(VLOOKUP('Country selection'!$E$5,mortcecx!$A$2:$CX$195,$C80+2,FALSE)),VLOOKUP('Country selection'!$E$5,mortcecx!$A$2:$CX$195,$C80+2,FALSE),0)</f>
        <v>1.4100000000000001E-4</v>
      </c>
      <c r="F80" s="1">
        <f>IF(ISNUMBER(VLOOKUP('Country selection'!$E$5,mortall!$A$2:$CX$195,$C80+2,FALSE)),VLOOKUP('Country selection'!$E$5,mortall!$A$2:$CX$195,$C80+2,FALSE),0)</f>
        <v>3.1829999999999997E-2</v>
      </c>
      <c r="G80" s="1"/>
      <c r="H80" s="4">
        <f t="shared" si="13"/>
        <v>72</v>
      </c>
      <c r="I80" s="53"/>
      <c r="J80" s="53"/>
      <c r="K80" s="53"/>
      <c r="M80" s="38">
        <f t="shared" si="9"/>
        <v>1.13E-4</v>
      </c>
      <c r="N80" s="38">
        <f t="shared" si="10"/>
        <v>1.4100000000000001E-4</v>
      </c>
      <c r="O80" s="38">
        <f t="shared" si="11"/>
        <v>3.1829999999999997E-2</v>
      </c>
    </row>
    <row r="81" spans="3:15" x14ac:dyDescent="0.25">
      <c r="C81" s="4">
        <f t="shared" si="12"/>
        <v>73</v>
      </c>
      <c r="D81" s="1">
        <f>IF(ISNUMBER(VLOOKUP('Country selection'!$E$5,incidence!$A$2:$CX$195,$C81+2,FALSE)),VLOOKUP('Country selection'!$E$5,incidence!$A$2:$CX$195,$C81+2,FALSE),0)</f>
        <v>1.13E-4</v>
      </c>
      <c r="E81" s="1">
        <f>IF(ISNUMBER(VLOOKUP('Country selection'!$E$5,mortcecx!$A$2:$CX$195,$C81+2,FALSE)),VLOOKUP('Country selection'!$E$5,mortcecx!$A$2:$CX$195,$C81+2,FALSE),0)</f>
        <v>1.4100000000000001E-4</v>
      </c>
      <c r="F81" s="1">
        <f>IF(ISNUMBER(VLOOKUP('Country selection'!$E$5,mortall!$A$2:$CX$195,$C81+2,FALSE)),VLOOKUP('Country selection'!$E$5,mortall!$A$2:$CX$195,$C81+2,FALSE),0)</f>
        <v>3.1829999999999997E-2</v>
      </c>
      <c r="G81" s="1"/>
      <c r="H81" s="4">
        <f t="shared" si="13"/>
        <v>73</v>
      </c>
      <c r="I81" s="53"/>
      <c r="J81" s="53"/>
      <c r="K81" s="53"/>
      <c r="M81" s="38">
        <f t="shared" si="9"/>
        <v>1.13E-4</v>
      </c>
      <c r="N81" s="38">
        <f t="shared" si="10"/>
        <v>1.4100000000000001E-4</v>
      </c>
      <c r="O81" s="38">
        <f t="shared" si="11"/>
        <v>3.1829999999999997E-2</v>
      </c>
    </row>
    <row r="82" spans="3:15" x14ac:dyDescent="0.25">
      <c r="C82" s="4">
        <f t="shared" si="12"/>
        <v>74</v>
      </c>
      <c r="D82" s="1">
        <f>IF(ISNUMBER(VLOOKUP('Country selection'!$E$5,incidence!$A$2:$CX$195,$C82+2,FALSE)),VLOOKUP('Country selection'!$E$5,incidence!$A$2:$CX$195,$C82+2,FALSE),0)</f>
        <v>1.13E-4</v>
      </c>
      <c r="E82" s="1">
        <f>IF(ISNUMBER(VLOOKUP('Country selection'!$E$5,mortcecx!$A$2:$CX$195,$C82+2,FALSE)),VLOOKUP('Country selection'!$E$5,mortcecx!$A$2:$CX$195,$C82+2,FALSE),0)</f>
        <v>1.4100000000000001E-4</v>
      </c>
      <c r="F82" s="1">
        <f>IF(ISNUMBER(VLOOKUP('Country selection'!$E$5,mortall!$A$2:$CX$195,$C82+2,FALSE)),VLOOKUP('Country selection'!$E$5,mortall!$A$2:$CX$195,$C82+2,FALSE),0)</f>
        <v>3.1829999999999997E-2</v>
      </c>
      <c r="G82" s="1"/>
      <c r="H82" s="4">
        <f t="shared" si="13"/>
        <v>74</v>
      </c>
      <c r="I82" s="53"/>
      <c r="J82" s="53"/>
      <c r="K82" s="53"/>
      <c r="M82" s="38">
        <f t="shared" si="9"/>
        <v>1.13E-4</v>
      </c>
      <c r="N82" s="38">
        <f t="shared" si="10"/>
        <v>1.4100000000000001E-4</v>
      </c>
      <c r="O82" s="38">
        <f t="shared" si="11"/>
        <v>3.1829999999999997E-2</v>
      </c>
    </row>
    <row r="83" spans="3:15" x14ac:dyDescent="0.25">
      <c r="C83" s="4">
        <f t="shared" si="12"/>
        <v>75</v>
      </c>
      <c r="D83" s="1">
        <f>IF(ISNUMBER(VLOOKUP('Country selection'!$E$5,incidence!$A$2:$CX$195,$C83+2,FALSE)),VLOOKUP('Country selection'!$E$5,incidence!$A$2:$CX$195,$C83+2,FALSE),0)</f>
        <v>1.1900000000000001E-4</v>
      </c>
      <c r="E83" s="1">
        <f>IF(ISNUMBER(VLOOKUP('Country selection'!$E$5,mortcecx!$A$2:$CX$195,$C83+2,FALSE)),VLOOKUP('Country selection'!$E$5,mortcecx!$A$2:$CX$195,$C83+2,FALSE),0)</f>
        <v>2.31E-4</v>
      </c>
      <c r="F83" s="1">
        <f>IF(ISNUMBER(VLOOKUP('Country selection'!$E$5,mortall!$A$2:$CX$195,$C83+2,FALSE)),VLOOKUP('Country selection'!$E$5,mortall!$A$2:$CX$195,$C83+2,FALSE),0)</f>
        <v>5.7529999999999998E-2</v>
      </c>
      <c r="G83" s="1"/>
      <c r="H83" s="4">
        <f t="shared" si="13"/>
        <v>75</v>
      </c>
      <c r="I83" s="53"/>
      <c r="J83" s="53"/>
      <c r="K83" s="53"/>
      <c r="M83" s="38">
        <f t="shared" si="9"/>
        <v>1.1900000000000001E-4</v>
      </c>
      <c r="N83" s="38">
        <f t="shared" si="10"/>
        <v>2.31E-4</v>
      </c>
      <c r="O83" s="38">
        <f t="shared" si="11"/>
        <v>5.7529999999999998E-2</v>
      </c>
    </row>
    <row r="84" spans="3:15" x14ac:dyDescent="0.25">
      <c r="C84" s="4">
        <f t="shared" si="12"/>
        <v>76</v>
      </c>
      <c r="D84" s="1">
        <f>IF(ISNUMBER(VLOOKUP('Country selection'!$E$5,incidence!$A$2:$CX$195,$C84+2,FALSE)),VLOOKUP('Country selection'!$E$5,incidence!$A$2:$CX$195,$C84+2,FALSE),0)</f>
        <v>1.1900000000000001E-4</v>
      </c>
      <c r="E84" s="1">
        <f>IF(ISNUMBER(VLOOKUP('Country selection'!$E$5,mortcecx!$A$2:$CX$195,$C84+2,FALSE)),VLOOKUP('Country selection'!$E$5,mortcecx!$A$2:$CX$195,$C84+2,FALSE),0)</f>
        <v>2.31E-4</v>
      </c>
      <c r="F84" s="1">
        <f>IF(ISNUMBER(VLOOKUP('Country selection'!$E$5,mortall!$A$2:$CX$195,$C84+2,FALSE)),VLOOKUP('Country selection'!$E$5,mortall!$A$2:$CX$195,$C84+2,FALSE),0)</f>
        <v>5.7529999999999998E-2</v>
      </c>
      <c r="G84" s="1"/>
      <c r="H84" s="4">
        <f t="shared" si="13"/>
        <v>76</v>
      </c>
      <c r="I84" s="53"/>
      <c r="J84" s="53"/>
      <c r="K84" s="53"/>
      <c r="M84" s="38">
        <f t="shared" si="9"/>
        <v>1.1900000000000001E-4</v>
      </c>
      <c r="N84" s="38">
        <f t="shared" si="10"/>
        <v>2.31E-4</v>
      </c>
      <c r="O84" s="38">
        <f t="shared" si="11"/>
        <v>5.7529999999999998E-2</v>
      </c>
    </row>
    <row r="85" spans="3:15" x14ac:dyDescent="0.25">
      <c r="C85" s="4">
        <f t="shared" si="12"/>
        <v>77</v>
      </c>
      <c r="D85" s="1">
        <f>IF(ISNUMBER(VLOOKUP('Country selection'!$E$5,incidence!$A$2:$CX$195,$C85+2,FALSE)),VLOOKUP('Country selection'!$E$5,incidence!$A$2:$CX$195,$C85+2,FALSE),0)</f>
        <v>1.1900000000000001E-4</v>
      </c>
      <c r="E85" s="1">
        <f>IF(ISNUMBER(VLOOKUP('Country selection'!$E$5,mortcecx!$A$2:$CX$195,$C85+2,FALSE)),VLOOKUP('Country selection'!$E$5,mortcecx!$A$2:$CX$195,$C85+2,FALSE),0)</f>
        <v>2.31E-4</v>
      </c>
      <c r="F85" s="1">
        <f>IF(ISNUMBER(VLOOKUP('Country selection'!$E$5,mortall!$A$2:$CX$195,$C85+2,FALSE)),VLOOKUP('Country selection'!$E$5,mortall!$A$2:$CX$195,$C85+2,FALSE),0)</f>
        <v>5.7529999999999998E-2</v>
      </c>
      <c r="G85" s="1"/>
      <c r="H85" s="4">
        <f t="shared" si="13"/>
        <v>77</v>
      </c>
      <c r="I85" s="53"/>
      <c r="J85" s="53"/>
      <c r="K85" s="53"/>
      <c r="M85" s="38">
        <f t="shared" si="9"/>
        <v>1.1900000000000001E-4</v>
      </c>
      <c r="N85" s="38">
        <f t="shared" si="10"/>
        <v>2.31E-4</v>
      </c>
      <c r="O85" s="38">
        <f t="shared" si="11"/>
        <v>5.7529999999999998E-2</v>
      </c>
    </row>
    <row r="86" spans="3:15" x14ac:dyDescent="0.25">
      <c r="C86" s="4">
        <f t="shared" si="12"/>
        <v>78</v>
      </c>
      <c r="D86" s="1">
        <f>IF(ISNUMBER(VLOOKUP('Country selection'!$E$5,incidence!$A$2:$CX$195,$C86+2,FALSE)),VLOOKUP('Country selection'!$E$5,incidence!$A$2:$CX$195,$C86+2,FALSE),0)</f>
        <v>1.1900000000000001E-4</v>
      </c>
      <c r="E86" s="1">
        <f>IF(ISNUMBER(VLOOKUP('Country selection'!$E$5,mortcecx!$A$2:$CX$195,$C86+2,FALSE)),VLOOKUP('Country selection'!$E$5,mortcecx!$A$2:$CX$195,$C86+2,FALSE),0)</f>
        <v>2.31E-4</v>
      </c>
      <c r="F86" s="1">
        <f>IF(ISNUMBER(VLOOKUP('Country selection'!$E$5,mortall!$A$2:$CX$195,$C86+2,FALSE)),VLOOKUP('Country selection'!$E$5,mortall!$A$2:$CX$195,$C86+2,FALSE),0)</f>
        <v>5.7529999999999998E-2</v>
      </c>
      <c r="G86" s="1"/>
      <c r="H86" s="4">
        <f t="shared" si="13"/>
        <v>78</v>
      </c>
      <c r="I86" s="53"/>
      <c r="J86" s="53"/>
      <c r="K86" s="53"/>
      <c r="M86" s="38">
        <f t="shared" si="9"/>
        <v>1.1900000000000001E-4</v>
      </c>
      <c r="N86" s="38">
        <f t="shared" si="10"/>
        <v>2.31E-4</v>
      </c>
      <c r="O86" s="38">
        <f t="shared" si="11"/>
        <v>5.7529999999999998E-2</v>
      </c>
    </row>
    <row r="87" spans="3:15" x14ac:dyDescent="0.25">
      <c r="C87" s="4">
        <f t="shared" si="12"/>
        <v>79</v>
      </c>
      <c r="D87" s="1">
        <f>IF(ISNUMBER(VLOOKUP('Country selection'!$E$5,incidence!$A$2:$CX$195,$C87+2,FALSE)),VLOOKUP('Country selection'!$E$5,incidence!$A$2:$CX$195,$C87+2,FALSE),0)</f>
        <v>1.1900000000000001E-4</v>
      </c>
      <c r="E87" s="1">
        <f>IF(ISNUMBER(VLOOKUP('Country selection'!$E$5,mortcecx!$A$2:$CX$195,$C87+2,FALSE)),VLOOKUP('Country selection'!$E$5,mortcecx!$A$2:$CX$195,$C87+2,FALSE),0)</f>
        <v>2.31E-4</v>
      </c>
      <c r="F87" s="1">
        <f>IF(ISNUMBER(VLOOKUP('Country selection'!$E$5,mortall!$A$2:$CX$195,$C87+2,FALSE)),VLOOKUP('Country selection'!$E$5,mortall!$A$2:$CX$195,$C87+2,FALSE),0)</f>
        <v>5.7529999999999998E-2</v>
      </c>
      <c r="G87" s="1"/>
      <c r="H87" s="4">
        <f t="shared" si="13"/>
        <v>79</v>
      </c>
      <c r="I87" s="53"/>
      <c r="J87" s="53"/>
      <c r="K87" s="53"/>
      <c r="M87" s="38">
        <f t="shared" si="9"/>
        <v>1.1900000000000001E-4</v>
      </c>
      <c r="N87" s="38">
        <f t="shared" si="10"/>
        <v>2.31E-4</v>
      </c>
      <c r="O87" s="38">
        <f t="shared" si="11"/>
        <v>5.7529999999999998E-2</v>
      </c>
    </row>
    <row r="88" spans="3:15" x14ac:dyDescent="0.25">
      <c r="C88" s="4">
        <f t="shared" si="12"/>
        <v>80</v>
      </c>
      <c r="D88" s="1">
        <f>IF(ISNUMBER(VLOOKUP('Country selection'!$E$5,incidence!$A$2:$CX$195,$C88+2,FALSE)),VLOOKUP('Country selection'!$E$5,incidence!$A$2:$CX$195,$C88+2,FALSE),0)</f>
        <v>1.1900000000000001E-4</v>
      </c>
      <c r="E88" s="1">
        <f>IF(ISNUMBER(VLOOKUP('Country selection'!$E$5,mortcecx!$A$2:$CX$195,$C88+2,FALSE)),VLOOKUP('Country selection'!$E$5,mortcecx!$A$2:$CX$195,$C88+2,FALSE),0)</f>
        <v>2.31E-4</v>
      </c>
      <c r="F88" s="1">
        <f>IF(ISNUMBER(VLOOKUP('Country selection'!$E$5,mortall!$A$2:$CX$195,$C88+2,FALSE)),VLOOKUP('Country selection'!$E$5,mortall!$A$2:$CX$195,$C88+2,FALSE),0)</f>
        <v>0.10249</v>
      </c>
      <c r="G88" s="1"/>
      <c r="H88" s="4">
        <f t="shared" si="13"/>
        <v>80</v>
      </c>
      <c r="I88" s="53"/>
      <c r="J88" s="53"/>
      <c r="K88" s="53"/>
      <c r="M88" s="38">
        <f t="shared" si="9"/>
        <v>1.1900000000000001E-4</v>
      </c>
      <c r="N88" s="38">
        <f t="shared" si="10"/>
        <v>2.31E-4</v>
      </c>
      <c r="O88" s="38">
        <f t="shared" si="11"/>
        <v>0.10249</v>
      </c>
    </row>
    <row r="89" spans="3:15" x14ac:dyDescent="0.25">
      <c r="C89" s="4">
        <f t="shared" si="12"/>
        <v>81</v>
      </c>
      <c r="D89" s="1">
        <f>IF(ISNUMBER(VLOOKUP('Country selection'!$E$5,incidence!$A$2:$CX$195,$C89+2,FALSE)),VLOOKUP('Country selection'!$E$5,incidence!$A$2:$CX$195,$C89+2,FALSE),0)</f>
        <v>1.1900000000000001E-4</v>
      </c>
      <c r="E89" s="1">
        <f>IF(ISNUMBER(VLOOKUP('Country selection'!$E$5,mortcecx!$A$2:$CX$195,$C89+2,FALSE)),VLOOKUP('Country selection'!$E$5,mortcecx!$A$2:$CX$195,$C89+2,FALSE),0)</f>
        <v>2.31E-4</v>
      </c>
      <c r="F89" s="1">
        <f>IF(ISNUMBER(VLOOKUP('Country selection'!$E$5,mortall!$A$2:$CX$195,$C89+2,FALSE)),VLOOKUP('Country selection'!$E$5,mortall!$A$2:$CX$195,$C89+2,FALSE),0)</f>
        <v>0.10249</v>
      </c>
      <c r="G89" s="1"/>
      <c r="H89" s="4">
        <f t="shared" si="13"/>
        <v>81</v>
      </c>
      <c r="I89" s="53"/>
      <c r="J89" s="53"/>
      <c r="K89" s="53"/>
      <c r="M89" s="38">
        <f t="shared" si="9"/>
        <v>1.1900000000000001E-4</v>
      </c>
      <c r="N89" s="38">
        <f t="shared" si="10"/>
        <v>2.31E-4</v>
      </c>
      <c r="O89" s="38">
        <f t="shared" si="11"/>
        <v>0.10249</v>
      </c>
    </row>
    <row r="90" spans="3:15" x14ac:dyDescent="0.25">
      <c r="C90" s="4">
        <f t="shared" si="12"/>
        <v>82</v>
      </c>
      <c r="D90" s="1">
        <f>IF(ISNUMBER(VLOOKUP('Country selection'!$E$5,incidence!$A$2:$CX$195,$C90+2,FALSE)),VLOOKUP('Country selection'!$E$5,incidence!$A$2:$CX$195,$C90+2,FALSE),0)</f>
        <v>1.1900000000000001E-4</v>
      </c>
      <c r="E90" s="1">
        <f>IF(ISNUMBER(VLOOKUP('Country selection'!$E$5,mortcecx!$A$2:$CX$195,$C90+2,FALSE)),VLOOKUP('Country selection'!$E$5,mortcecx!$A$2:$CX$195,$C90+2,FALSE),0)</f>
        <v>2.31E-4</v>
      </c>
      <c r="F90" s="1">
        <f>IF(ISNUMBER(VLOOKUP('Country selection'!$E$5,mortall!$A$2:$CX$195,$C90+2,FALSE)),VLOOKUP('Country selection'!$E$5,mortall!$A$2:$CX$195,$C90+2,FALSE),0)</f>
        <v>0.10249</v>
      </c>
      <c r="G90" s="1"/>
      <c r="H90" s="4">
        <f t="shared" si="13"/>
        <v>82</v>
      </c>
      <c r="I90" s="53"/>
      <c r="J90" s="53"/>
      <c r="K90" s="53"/>
      <c r="M90" s="38">
        <f t="shared" si="9"/>
        <v>1.1900000000000001E-4</v>
      </c>
      <c r="N90" s="38">
        <f t="shared" si="10"/>
        <v>2.31E-4</v>
      </c>
      <c r="O90" s="38">
        <f t="shared" si="11"/>
        <v>0.10249</v>
      </c>
    </row>
    <row r="91" spans="3:15" x14ac:dyDescent="0.25">
      <c r="C91" s="4">
        <f t="shared" si="12"/>
        <v>83</v>
      </c>
      <c r="D91" s="1">
        <f>IF(ISNUMBER(VLOOKUP('Country selection'!$E$5,incidence!$A$2:$CX$195,$C91+2,FALSE)),VLOOKUP('Country selection'!$E$5,incidence!$A$2:$CX$195,$C91+2,FALSE),0)</f>
        <v>1.1900000000000001E-4</v>
      </c>
      <c r="E91" s="1">
        <f>IF(ISNUMBER(VLOOKUP('Country selection'!$E$5,mortcecx!$A$2:$CX$195,$C91+2,FALSE)),VLOOKUP('Country selection'!$E$5,mortcecx!$A$2:$CX$195,$C91+2,FALSE),0)</f>
        <v>2.31E-4</v>
      </c>
      <c r="F91" s="1">
        <f>IF(ISNUMBER(VLOOKUP('Country selection'!$E$5,mortall!$A$2:$CX$195,$C91+2,FALSE)),VLOOKUP('Country selection'!$E$5,mortall!$A$2:$CX$195,$C91+2,FALSE),0)</f>
        <v>0.10249</v>
      </c>
      <c r="G91" s="1"/>
      <c r="H91" s="4">
        <f t="shared" si="13"/>
        <v>83</v>
      </c>
      <c r="I91" s="53"/>
      <c r="J91" s="53"/>
      <c r="K91" s="53"/>
      <c r="M91" s="38">
        <f t="shared" si="9"/>
        <v>1.1900000000000001E-4</v>
      </c>
      <c r="N91" s="38">
        <f t="shared" si="10"/>
        <v>2.31E-4</v>
      </c>
      <c r="O91" s="38">
        <f t="shared" si="11"/>
        <v>0.10249</v>
      </c>
    </row>
    <row r="92" spans="3:15" x14ac:dyDescent="0.25">
      <c r="C92" s="4">
        <f t="shared" si="12"/>
        <v>84</v>
      </c>
      <c r="D92" s="1">
        <f>IF(ISNUMBER(VLOOKUP('Country selection'!$E$5,incidence!$A$2:$CX$195,$C92+2,FALSE)),VLOOKUP('Country selection'!$E$5,incidence!$A$2:$CX$195,$C92+2,FALSE),0)</f>
        <v>1.1900000000000001E-4</v>
      </c>
      <c r="E92" s="1">
        <f>IF(ISNUMBER(VLOOKUP('Country selection'!$E$5,mortcecx!$A$2:$CX$195,$C92+2,FALSE)),VLOOKUP('Country selection'!$E$5,mortcecx!$A$2:$CX$195,$C92+2,FALSE),0)</f>
        <v>2.31E-4</v>
      </c>
      <c r="F92" s="1">
        <f>IF(ISNUMBER(VLOOKUP('Country selection'!$E$5,mortall!$A$2:$CX$195,$C92+2,FALSE)),VLOOKUP('Country selection'!$E$5,mortall!$A$2:$CX$195,$C92+2,FALSE),0)</f>
        <v>0.10249</v>
      </c>
      <c r="G92" s="1"/>
      <c r="H92" s="4">
        <f t="shared" si="13"/>
        <v>84</v>
      </c>
      <c r="I92" s="53"/>
      <c r="J92" s="53"/>
      <c r="K92" s="53"/>
      <c r="M92" s="38">
        <f t="shared" si="9"/>
        <v>1.1900000000000001E-4</v>
      </c>
      <c r="N92" s="38">
        <f t="shared" si="10"/>
        <v>2.31E-4</v>
      </c>
      <c r="O92" s="38">
        <f t="shared" si="11"/>
        <v>0.10249</v>
      </c>
    </row>
    <row r="93" spans="3:15" x14ac:dyDescent="0.25">
      <c r="C93" s="4">
        <f t="shared" si="12"/>
        <v>85</v>
      </c>
      <c r="D93" s="1">
        <f>IF(ISNUMBER(VLOOKUP('Country selection'!$E$5,incidence!$A$2:$CX$195,$C93+2,FALSE)),VLOOKUP('Country selection'!$E$5,incidence!$A$2:$CX$195,$C93+2,FALSE),0)</f>
        <v>1.1900000000000001E-4</v>
      </c>
      <c r="E93" s="1">
        <f>IF(ISNUMBER(VLOOKUP('Country selection'!$E$5,mortcecx!$A$2:$CX$195,$C93+2,FALSE)),VLOOKUP('Country selection'!$E$5,mortcecx!$A$2:$CX$195,$C93+2,FALSE),0)</f>
        <v>2.31E-4</v>
      </c>
      <c r="F93" s="1">
        <f>IF(ISNUMBER(VLOOKUP('Country selection'!$E$5,mortall!$A$2:$CX$195,$C93+2,FALSE)),VLOOKUP('Country selection'!$E$5,mortall!$A$2:$CX$195,$C93+2,FALSE),0)</f>
        <v>0.17150000000000001</v>
      </c>
      <c r="G93" s="1"/>
      <c r="H93" s="4">
        <f t="shared" si="13"/>
        <v>85</v>
      </c>
      <c r="I93" s="53"/>
      <c r="J93" s="53"/>
      <c r="K93" s="53"/>
      <c r="M93" s="38">
        <f t="shared" si="9"/>
        <v>1.1900000000000001E-4</v>
      </c>
      <c r="N93" s="38">
        <f t="shared" si="10"/>
        <v>2.31E-4</v>
      </c>
      <c r="O93" s="38">
        <f t="shared" si="11"/>
        <v>0.17150000000000001</v>
      </c>
    </row>
    <row r="94" spans="3:15" x14ac:dyDescent="0.25">
      <c r="C94" s="4">
        <f t="shared" si="12"/>
        <v>86</v>
      </c>
      <c r="D94" s="1">
        <f>IF(ISNUMBER(VLOOKUP('Country selection'!$E$5,incidence!$A$2:$CX$195,$C94+2,FALSE)),VLOOKUP('Country selection'!$E$5,incidence!$A$2:$CX$195,$C94+2,FALSE),0)</f>
        <v>1.1900000000000001E-4</v>
      </c>
      <c r="E94" s="1">
        <f>IF(ISNUMBER(VLOOKUP('Country selection'!$E$5,mortcecx!$A$2:$CX$195,$C94+2,FALSE)),VLOOKUP('Country selection'!$E$5,mortcecx!$A$2:$CX$195,$C94+2,FALSE),0)</f>
        <v>2.31E-4</v>
      </c>
      <c r="F94" s="1">
        <f>IF(ISNUMBER(VLOOKUP('Country selection'!$E$5,mortall!$A$2:$CX$195,$C94+2,FALSE)),VLOOKUP('Country selection'!$E$5,mortall!$A$2:$CX$195,$C94+2,FALSE),0)</f>
        <v>0.17150000000000001</v>
      </c>
      <c r="G94" s="1"/>
      <c r="H94" s="4">
        <f t="shared" si="13"/>
        <v>86</v>
      </c>
      <c r="I94" s="53"/>
      <c r="J94" s="53"/>
      <c r="K94" s="53"/>
      <c r="M94" s="38">
        <f t="shared" si="9"/>
        <v>1.1900000000000001E-4</v>
      </c>
      <c r="N94" s="38">
        <f t="shared" si="10"/>
        <v>2.31E-4</v>
      </c>
      <c r="O94" s="38">
        <f t="shared" si="11"/>
        <v>0.17150000000000001</v>
      </c>
    </row>
    <row r="95" spans="3:15" x14ac:dyDescent="0.25">
      <c r="C95" s="4">
        <f t="shared" si="12"/>
        <v>87</v>
      </c>
      <c r="D95" s="1">
        <f>IF(ISNUMBER(VLOOKUP('Country selection'!$E$5,incidence!$A$2:$CX$195,$C95+2,FALSE)),VLOOKUP('Country selection'!$E$5,incidence!$A$2:$CX$195,$C95+2,FALSE),0)</f>
        <v>1.1900000000000001E-4</v>
      </c>
      <c r="E95" s="1">
        <f>IF(ISNUMBER(VLOOKUP('Country selection'!$E$5,mortcecx!$A$2:$CX$195,$C95+2,FALSE)),VLOOKUP('Country selection'!$E$5,mortcecx!$A$2:$CX$195,$C95+2,FALSE),0)</f>
        <v>2.31E-4</v>
      </c>
      <c r="F95" s="1">
        <f>IF(ISNUMBER(VLOOKUP('Country selection'!$E$5,mortall!$A$2:$CX$195,$C95+2,FALSE)),VLOOKUP('Country selection'!$E$5,mortall!$A$2:$CX$195,$C95+2,FALSE),0)</f>
        <v>0.17150000000000001</v>
      </c>
      <c r="G95" s="1"/>
      <c r="H95" s="4">
        <f t="shared" si="13"/>
        <v>87</v>
      </c>
      <c r="I95" s="53"/>
      <c r="J95" s="53"/>
      <c r="K95" s="53"/>
      <c r="M95" s="38">
        <f t="shared" si="9"/>
        <v>1.1900000000000001E-4</v>
      </c>
      <c r="N95" s="38">
        <f t="shared" si="10"/>
        <v>2.31E-4</v>
      </c>
      <c r="O95" s="38">
        <f t="shared" si="11"/>
        <v>0.17150000000000001</v>
      </c>
    </row>
    <row r="96" spans="3:15" x14ac:dyDescent="0.25">
      <c r="C96" s="4">
        <f t="shared" si="12"/>
        <v>88</v>
      </c>
      <c r="D96" s="1">
        <f>IF(ISNUMBER(VLOOKUP('Country selection'!$E$5,incidence!$A$2:$CX$195,$C96+2,FALSE)),VLOOKUP('Country selection'!$E$5,incidence!$A$2:$CX$195,$C96+2,FALSE),0)</f>
        <v>1.1900000000000001E-4</v>
      </c>
      <c r="E96" s="1">
        <f>IF(ISNUMBER(VLOOKUP('Country selection'!$E$5,mortcecx!$A$2:$CX$195,$C96+2,FALSE)),VLOOKUP('Country selection'!$E$5,mortcecx!$A$2:$CX$195,$C96+2,FALSE),0)</f>
        <v>2.31E-4</v>
      </c>
      <c r="F96" s="1">
        <f>IF(ISNUMBER(VLOOKUP('Country selection'!$E$5,mortall!$A$2:$CX$195,$C96+2,FALSE)),VLOOKUP('Country selection'!$E$5,mortall!$A$2:$CX$195,$C96+2,FALSE),0)</f>
        <v>0.17150000000000001</v>
      </c>
      <c r="G96" s="1"/>
      <c r="H96" s="4">
        <f t="shared" si="13"/>
        <v>88</v>
      </c>
      <c r="I96" s="53"/>
      <c r="J96" s="53"/>
      <c r="K96" s="53"/>
      <c r="M96" s="38">
        <f t="shared" si="9"/>
        <v>1.1900000000000001E-4</v>
      </c>
      <c r="N96" s="38">
        <f t="shared" si="10"/>
        <v>2.31E-4</v>
      </c>
      <c r="O96" s="38">
        <f t="shared" si="11"/>
        <v>0.17150000000000001</v>
      </c>
    </row>
    <row r="97" spans="3:15" x14ac:dyDescent="0.25">
      <c r="C97" s="4">
        <f t="shared" si="12"/>
        <v>89</v>
      </c>
      <c r="D97" s="1">
        <f>IF(ISNUMBER(VLOOKUP('Country selection'!$E$5,incidence!$A$2:$CX$195,$C97+2,FALSE)),VLOOKUP('Country selection'!$E$5,incidence!$A$2:$CX$195,$C97+2,FALSE),0)</f>
        <v>1.1900000000000001E-4</v>
      </c>
      <c r="E97" s="1">
        <f>IF(ISNUMBER(VLOOKUP('Country selection'!$E$5,mortcecx!$A$2:$CX$195,$C97+2,FALSE)),VLOOKUP('Country selection'!$E$5,mortcecx!$A$2:$CX$195,$C97+2,FALSE),0)</f>
        <v>2.31E-4</v>
      </c>
      <c r="F97" s="1">
        <f>IF(ISNUMBER(VLOOKUP('Country selection'!$E$5,mortall!$A$2:$CX$195,$C97+2,FALSE)),VLOOKUP('Country selection'!$E$5,mortall!$A$2:$CX$195,$C97+2,FALSE),0)</f>
        <v>0.17150000000000001</v>
      </c>
      <c r="G97" s="1"/>
      <c r="H97" s="4">
        <f t="shared" si="13"/>
        <v>89</v>
      </c>
      <c r="I97" s="53"/>
      <c r="J97" s="53"/>
      <c r="K97" s="53"/>
      <c r="M97" s="38">
        <f t="shared" si="9"/>
        <v>1.1900000000000001E-4</v>
      </c>
      <c r="N97" s="38">
        <f t="shared" si="10"/>
        <v>2.31E-4</v>
      </c>
      <c r="O97" s="38">
        <f t="shared" si="11"/>
        <v>0.17150000000000001</v>
      </c>
    </row>
    <row r="98" spans="3:15" x14ac:dyDescent="0.25">
      <c r="C98" s="4">
        <f t="shared" si="12"/>
        <v>90</v>
      </c>
      <c r="D98" s="1">
        <f>IF(ISNUMBER(VLOOKUP('Country selection'!$E$5,incidence!$A$2:$CX$195,$C98+2,FALSE)),VLOOKUP('Country selection'!$E$5,incidence!$A$2:$CX$195,$C98+2,FALSE),0)</f>
        <v>1.1900000000000001E-4</v>
      </c>
      <c r="E98" s="1">
        <f>IF(ISNUMBER(VLOOKUP('Country selection'!$E$5,mortcecx!$A$2:$CX$195,$C98+2,FALSE)),VLOOKUP('Country selection'!$E$5,mortcecx!$A$2:$CX$195,$C98+2,FALSE),0)</f>
        <v>2.31E-4</v>
      </c>
      <c r="F98" s="1">
        <f>IF(ISNUMBER(VLOOKUP('Country selection'!$E$5,mortall!$A$2:$CX$195,$C98+2,FALSE)),VLOOKUP('Country selection'!$E$5,mortall!$A$2:$CX$195,$C98+2,FALSE),0)</f>
        <v>0.26949000000000001</v>
      </c>
      <c r="G98" s="1"/>
      <c r="H98" s="4">
        <f t="shared" si="13"/>
        <v>90</v>
      </c>
      <c r="I98" s="53"/>
      <c r="J98" s="53"/>
      <c r="K98" s="53"/>
      <c r="M98" s="38">
        <f t="shared" si="9"/>
        <v>1.1900000000000001E-4</v>
      </c>
      <c r="N98" s="38">
        <f t="shared" si="10"/>
        <v>2.31E-4</v>
      </c>
      <c r="O98" s="38">
        <f t="shared" si="11"/>
        <v>0.26949000000000001</v>
      </c>
    </row>
    <row r="99" spans="3:15" x14ac:dyDescent="0.25">
      <c r="C99" s="4">
        <f t="shared" si="12"/>
        <v>91</v>
      </c>
      <c r="D99" s="1">
        <f>IF(ISNUMBER(VLOOKUP('Country selection'!$E$5,incidence!$A$2:$CX$195,$C99+2,FALSE)),VLOOKUP('Country selection'!$E$5,incidence!$A$2:$CX$195,$C99+2,FALSE),0)</f>
        <v>1.1900000000000001E-4</v>
      </c>
      <c r="E99" s="1">
        <f>IF(ISNUMBER(VLOOKUP('Country selection'!$E$5,mortcecx!$A$2:$CX$195,$C99+2,FALSE)),VLOOKUP('Country selection'!$E$5,mortcecx!$A$2:$CX$195,$C99+2,FALSE),0)</f>
        <v>2.31E-4</v>
      </c>
      <c r="F99" s="1">
        <f>IF(ISNUMBER(VLOOKUP('Country selection'!$E$5,mortall!$A$2:$CX$195,$C99+2,FALSE)),VLOOKUP('Country selection'!$E$5,mortall!$A$2:$CX$195,$C99+2,FALSE),0)</f>
        <v>0.26949000000000001</v>
      </c>
      <c r="G99" s="1"/>
      <c r="H99" s="4">
        <f t="shared" si="13"/>
        <v>91</v>
      </c>
      <c r="I99" s="53"/>
      <c r="J99" s="53"/>
      <c r="K99" s="53"/>
      <c r="M99" s="38">
        <f t="shared" si="9"/>
        <v>1.1900000000000001E-4</v>
      </c>
      <c r="N99" s="38">
        <f t="shared" si="10"/>
        <v>2.31E-4</v>
      </c>
      <c r="O99" s="38">
        <f t="shared" si="11"/>
        <v>0.26949000000000001</v>
      </c>
    </row>
    <row r="100" spans="3:15" x14ac:dyDescent="0.25">
      <c r="C100" s="4">
        <f t="shared" si="12"/>
        <v>92</v>
      </c>
      <c r="D100" s="1">
        <f>IF(ISNUMBER(VLOOKUP('Country selection'!$E$5,incidence!$A$2:$CX$195,$C100+2,FALSE)),VLOOKUP('Country selection'!$E$5,incidence!$A$2:$CX$195,$C100+2,FALSE),0)</f>
        <v>1.1900000000000001E-4</v>
      </c>
      <c r="E100" s="1">
        <f>IF(ISNUMBER(VLOOKUP('Country selection'!$E$5,mortcecx!$A$2:$CX$195,$C100+2,FALSE)),VLOOKUP('Country selection'!$E$5,mortcecx!$A$2:$CX$195,$C100+2,FALSE),0)</f>
        <v>2.31E-4</v>
      </c>
      <c r="F100" s="1">
        <f>IF(ISNUMBER(VLOOKUP('Country selection'!$E$5,mortall!$A$2:$CX$195,$C100+2,FALSE)),VLOOKUP('Country selection'!$E$5,mortall!$A$2:$CX$195,$C100+2,FALSE),0)</f>
        <v>0.26949000000000001</v>
      </c>
      <c r="G100" s="1"/>
      <c r="H100" s="4">
        <f t="shared" si="13"/>
        <v>92</v>
      </c>
      <c r="I100" s="53"/>
      <c r="J100" s="53"/>
      <c r="K100" s="53"/>
      <c r="M100" s="38">
        <f t="shared" si="9"/>
        <v>1.1900000000000001E-4</v>
      </c>
      <c r="N100" s="38">
        <f t="shared" si="10"/>
        <v>2.31E-4</v>
      </c>
      <c r="O100" s="38">
        <f t="shared" si="11"/>
        <v>0.26949000000000001</v>
      </c>
    </row>
    <row r="101" spans="3:15" x14ac:dyDescent="0.25">
      <c r="C101" s="4">
        <f t="shared" si="12"/>
        <v>93</v>
      </c>
      <c r="D101" s="1">
        <f>IF(ISNUMBER(VLOOKUP('Country selection'!$E$5,incidence!$A$2:$CX$195,$C101+2,FALSE)),VLOOKUP('Country selection'!$E$5,incidence!$A$2:$CX$195,$C101+2,FALSE),0)</f>
        <v>1.1900000000000001E-4</v>
      </c>
      <c r="E101" s="1">
        <f>IF(ISNUMBER(VLOOKUP('Country selection'!$E$5,mortcecx!$A$2:$CX$195,$C101+2,FALSE)),VLOOKUP('Country selection'!$E$5,mortcecx!$A$2:$CX$195,$C101+2,FALSE),0)</f>
        <v>2.31E-4</v>
      </c>
      <c r="F101" s="1">
        <f>IF(ISNUMBER(VLOOKUP('Country selection'!$E$5,mortall!$A$2:$CX$195,$C101+2,FALSE)),VLOOKUP('Country selection'!$E$5,mortall!$A$2:$CX$195,$C101+2,FALSE),0)</f>
        <v>0.26949000000000001</v>
      </c>
      <c r="G101" s="1"/>
      <c r="H101" s="4">
        <f t="shared" si="13"/>
        <v>93</v>
      </c>
      <c r="I101" s="53"/>
      <c r="J101" s="53"/>
      <c r="K101" s="53"/>
      <c r="M101" s="38">
        <f t="shared" si="9"/>
        <v>1.1900000000000001E-4</v>
      </c>
      <c r="N101" s="38">
        <f t="shared" si="10"/>
        <v>2.31E-4</v>
      </c>
      <c r="O101" s="38">
        <f t="shared" si="11"/>
        <v>0.26949000000000001</v>
      </c>
    </row>
    <row r="102" spans="3:15" x14ac:dyDescent="0.25">
      <c r="C102" s="4">
        <f t="shared" si="12"/>
        <v>94</v>
      </c>
      <c r="D102" s="1">
        <f>IF(ISNUMBER(VLOOKUP('Country selection'!$E$5,incidence!$A$2:$CX$195,$C102+2,FALSE)),VLOOKUP('Country selection'!$E$5,incidence!$A$2:$CX$195,$C102+2,FALSE),0)</f>
        <v>1.1900000000000001E-4</v>
      </c>
      <c r="E102" s="1">
        <f>IF(ISNUMBER(VLOOKUP('Country selection'!$E$5,mortcecx!$A$2:$CX$195,$C102+2,FALSE)),VLOOKUP('Country selection'!$E$5,mortcecx!$A$2:$CX$195,$C102+2,FALSE),0)</f>
        <v>2.31E-4</v>
      </c>
      <c r="F102" s="1">
        <f>IF(ISNUMBER(VLOOKUP('Country selection'!$E$5,mortall!$A$2:$CX$195,$C102+2,FALSE)),VLOOKUP('Country selection'!$E$5,mortall!$A$2:$CX$195,$C102+2,FALSE),0)</f>
        <v>0.26949000000000001</v>
      </c>
      <c r="G102" s="1"/>
      <c r="H102" s="4">
        <f t="shared" si="13"/>
        <v>94</v>
      </c>
      <c r="I102" s="53"/>
      <c r="J102" s="53"/>
      <c r="K102" s="53"/>
      <c r="M102" s="38">
        <f t="shared" si="9"/>
        <v>1.1900000000000001E-4</v>
      </c>
      <c r="N102" s="38">
        <f t="shared" si="10"/>
        <v>2.31E-4</v>
      </c>
      <c r="O102" s="38">
        <f t="shared" si="11"/>
        <v>0.26949000000000001</v>
      </c>
    </row>
    <row r="103" spans="3:15" x14ac:dyDescent="0.25">
      <c r="C103" s="4">
        <f t="shared" si="12"/>
        <v>95</v>
      </c>
      <c r="D103" s="1">
        <f>IF(ISNUMBER(VLOOKUP('Country selection'!$E$5,incidence!$A$2:$CX$195,$C103+2,FALSE)),VLOOKUP('Country selection'!$E$5,incidence!$A$2:$CX$195,$C103+2,FALSE),0)</f>
        <v>1.1900000000000001E-4</v>
      </c>
      <c r="E103" s="1">
        <f>IF(ISNUMBER(VLOOKUP('Country selection'!$E$5,mortcecx!$A$2:$CX$195,$C103+2,FALSE)),VLOOKUP('Country selection'!$E$5,mortcecx!$A$2:$CX$195,$C103+2,FALSE),0)</f>
        <v>2.31E-4</v>
      </c>
      <c r="F103" s="1">
        <f>IF(ISNUMBER(VLOOKUP('Country selection'!$E$5,mortall!$A$2:$CX$195,$C103+2,FALSE)),VLOOKUP('Country selection'!$E$5,mortall!$A$2:$CX$195,$C103+2,FALSE),0)</f>
        <v>0.39772000000000002</v>
      </c>
      <c r="G103" s="1"/>
      <c r="H103" s="4">
        <f t="shared" si="13"/>
        <v>95</v>
      </c>
      <c r="I103" s="53"/>
      <c r="J103" s="53"/>
      <c r="K103" s="53"/>
      <c r="M103" s="38">
        <f t="shared" si="9"/>
        <v>1.1900000000000001E-4</v>
      </c>
      <c r="N103" s="38">
        <f t="shared" si="10"/>
        <v>2.31E-4</v>
      </c>
      <c r="O103" s="38">
        <f t="shared" si="11"/>
        <v>0.39772000000000002</v>
      </c>
    </row>
    <row r="104" spans="3:15" x14ac:dyDescent="0.25">
      <c r="C104" s="4">
        <f t="shared" si="12"/>
        <v>96</v>
      </c>
      <c r="D104" s="1">
        <f>IF(ISNUMBER(VLOOKUP('Country selection'!$E$5,incidence!$A$2:$CX$195,$C104+2,FALSE)),VLOOKUP('Country selection'!$E$5,incidence!$A$2:$CX$195,$C104+2,FALSE),0)</f>
        <v>1.1900000000000001E-4</v>
      </c>
      <c r="E104" s="1">
        <f>IF(ISNUMBER(VLOOKUP('Country selection'!$E$5,mortcecx!$A$2:$CX$195,$C104+2,FALSE)),VLOOKUP('Country selection'!$E$5,mortcecx!$A$2:$CX$195,$C104+2,FALSE),0)</f>
        <v>2.31E-4</v>
      </c>
      <c r="F104" s="1">
        <f>IF(ISNUMBER(VLOOKUP('Country selection'!$E$5,mortall!$A$2:$CX$195,$C104+2,FALSE)),VLOOKUP('Country selection'!$E$5,mortall!$A$2:$CX$195,$C104+2,FALSE),0)</f>
        <v>0.39772000000000002</v>
      </c>
      <c r="G104" s="1"/>
      <c r="H104" s="4">
        <f t="shared" si="13"/>
        <v>96</v>
      </c>
      <c r="I104" s="53"/>
      <c r="J104" s="53"/>
      <c r="K104" s="53"/>
      <c r="M104" s="38">
        <f t="shared" si="9"/>
        <v>1.1900000000000001E-4</v>
      </c>
      <c r="N104" s="38">
        <f t="shared" si="10"/>
        <v>2.31E-4</v>
      </c>
      <c r="O104" s="38">
        <f t="shared" si="11"/>
        <v>0.39772000000000002</v>
      </c>
    </row>
    <row r="105" spans="3:15" x14ac:dyDescent="0.25">
      <c r="C105" s="4">
        <f t="shared" si="12"/>
        <v>97</v>
      </c>
      <c r="D105" s="1">
        <f>IF(ISNUMBER(VLOOKUP('Country selection'!$E$5,incidence!$A$2:$CX$195,$C105+2,FALSE)),VLOOKUP('Country selection'!$E$5,incidence!$A$2:$CX$195,$C105+2,FALSE),0)</f>
        <v>1.1900000000000001E-4</v>
      </c>
      <c r="E105" s="1">
        <f>IF(ISNUMBER(VLOOKUP('Country selection'!$E$5,mortcecx!$A$2:$CX$195,$C105+2,FALSE)),VLOOKUP('Country selection'!$E$5,mortcecx!$A$2:$CX$195,$C105+2,FALSE),0)</f>
        <v>2.31E-4</v>
      </c>
      <c r="F105" s="1">
        <f>IF(ISNUMBER(VLOOKUP('Country selection'!$E$5,mortall!$A$2:$CX$195,$C105+2,FALSE)),VLOOKUP('Country selection'!$E$5,mortall!$A$2:$CX$195,$C105+2,FALSE),0)</f>
        <v>0.39772000000000002</v>
      </c>
      <c r="G105" s="1"/>
      <c r="H105" s="4">
        <f t="shared" si="13"/>
        <v>97</v>
      </c>
      <c r="I105" s="53"/>
      <c r="J105" s="53"/>
      <c r="K105" s="53"/>
      <c r="M105" s="38">
        <f t="shared" si="9"/>
        <v>1.1900000000000001E-4</v>
      </c>
      <c r="N105" s="38">
        <f t="shared" si="10"/>
        <v>2.31E-4</v>
      </c>
      <c r="O105" s="38">
        <f t="shared" si="11"/>
        <v>0.39772000000000002</v>
      </c>
    </row>
    <row r="106" spans="3:15" x14ac:dyDescent="0.25">
      <c r="C106" s="4">
        <f t="shared" si="12"/>
        <v>98</v>
      </c>
      <c r="D106" s="1">
        <f>IF(ISNUMBER(VLOOKUP('Country selection'!$E$5,incidence!$A$2:$CX$195,$C106+2,FALSE)),VLOOKUP('Country selection'!$E$5,incidence!$A$2:$CX$195,$C106+2,FALSE),0)</f>
        <v>1.1900000000000001E-4</v>
      </c>
      <c r="E106" s="1">
        <f>IF(ISNUMBER(VLOOKUP('Country selection'!$E$5,mortcecx!$A$2:$CX$195,$C106+2,FALSE)),VLOOKUP('Country selection'!$E$5,mortcecx!$A$2:$CX$195,$C106+2,FALSE),0)</f>
        <v>2.31E-4</v>
      </c>
      <c r="F106" s="1">
        <f>IF(ISNUMBER(VLOOKUP('Country selection'!$E$5,mortall!$A$2:$CX$195,$C106+2,FALSE)),VLOOKUP('Country selection'!$E$5,mortall!$A$2:$CX$195,$C106+2,FALSE),0)</f>
        <v>0.39772000000000002</v>
      </c>
      <c r="G106" s="1"/>
      <c r="H106" s="4">
        <f t="shared" si="13"/>
        <v>98</v>
      </c>
      <c r="I106" s="53"/>
      <c r="J106" s="53"/>
      <c r="K106" s="53"/>
      <c r="M106" s="38">
        <f t="shared" si="9"/>
        <v>1.1900000000000001E-4</v>
      </c>
      <c r="N106" s="38">
        <f t="shared" si="10"/>
        <v>2.31E-4</v>
      </c>
      <c r="O106" s="38">
        <f t="shared" si="11"/>
        <v>0.39772000000000002</v>
      </c>
    </row>
    <row r="107" spans="3:15" x14ac:dyDescent="0.25">
      <c r="C107" s="4">
        <f t="shared" si="12"/>
        <v>99</v>
      </c>
      <c r="D107" s="1">
        <f>IF(ISNUMBER(VLOOKUP('Country selection'!$E$5,incidence!$A$2:$CX$195,$C107+2,FALSE)),VLOOKUP('Country selection'!$E$5,incidence!$A$2:$CX$195,$C107+2,FALSE),0)</f>
        <v>1.1900000000000001E-4</v>
      </c>
      <c r="E107" s="1">
        <f>IF(ISNUMBER(VLOOKUP('Country selection'!$E$5,mortcecx!$A$2:$CX$195,$C107+2,FALSE)),VLOOKUP('Country selection'!$E$5,mortcecx!$A$2:$CX$195,$C107+2,FALSE),0)</f>
        <v>2.31E-4</v>
      </c>
      <c r="F107" s="1">
        <f>IF(ISNUMBER(VLOOKUP('Country selection'!$E$5,mortall!$A$2:$CX$195,$C107+2,FALSE)),VLOOKUP('Country selection'!$E$5,mortall!$A$2:$CX$195,$C107+2,FALSE),0)</f>
        <v>0.39772000000000002</v>
      </c>
      <c r="G107" s="1"/>
      <c r="H107" s="4">
        <f t="shared" si="13"/>
        <v>99</v>
      </c>
      <c r="I107" s="53"/>
      <c r="J107" s="53"/>
      <c r="K107" s="53"/>
      <c r="M107" s="38">
        <f t="shared" si="9"/>
        <v>1.1900000000000001E-4</v>
      </c>
      <c r="N107" s="38">
        <f t="shared" si="10"/>
        <v>2.31E-4</v>
      </c>
      <c r="O107" s="38">
        <f t="shared" si="11"/>
        <v>0.39772000000000002</v>
      </c>
    </row>
    <row r="108" spans="3:15" x14ac:dyDescent="0.25">
      <c r="C108" s="4">
        <f t="shared" si="12"/>
        <v>100</v>
      </c>
      <c r="D108" s="1">
        <f>IF(ISNUMBER(VLOOKUP('Country selection'!$E$5,incidence!$A$2:$CX$195,$C108+2,FALSE)),VLOOKUP('Country selection'!$E$5,incidence!$A$2:$CX$195,$C108+2,FALSE),0)</f>
        <v>1.1900000000000001E-4</v>
      </c>
      <c r="E108" s="1">
        <f>IF(ISNUMBER(VLOOKUP('Country selection'!$E$5,mortcecx!$A$2:$CX$195,$C108+2,FALSE)),VLOOKUP('Country selection'!$E$5,mortcecx!$A$2:$CX$195,$C108+2,FALSE),0)</f>
        <v>2.31E-4</v>
      </c>
      <c r="F108" s="1">
        <f>IF(ISNUMBER(VLOOKUP('Country selection'!$E$5,mortall!$A$2:$CX$195,$C108+2,FALSE)),VLOOKUP('Country selection'!$E$5,mortall!$A$2:$CX$195,$C108+2,FALSE),0)</f>
        <v>1</v>
      </c>
      <c r="G108" s="1"/>
      <c r="H108" s="4">
        <f t="shared" si="13"/>
        <v>100</v>
      </c>
      <c r="I108" s="53"/>
      <c r="J108" s="53"/>
      <c r="K108" s="53"/>
      <c r="M108" s="38">
        <f t="shared" si="9"/>
        <v>1.1900000000000001E-4</v>
      </c>
      <c r="N108" s="38">
        <f t="shared" si="10"/>
        <v>2.31E-4</v>
      </c>
      <c r="O108" s="38">
        <f t="shared" si="11"/>
        <v>1</v>
      </c>
    </row>
  </sheetData>
  <mergeCells count="2">
    <mergeCell ref="I6:K6"/>
    <mergeCell ref="D6:F6"/>
  </mergeCells>
  <phoneticPr fontId="1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A1:D25"/>
  <sheetViews>
    <sheetView showGridLines="0" topLeftCell="A46" workbookViewId="0">
      <selection activeCell="D23" sqref="D23"/>
    </sheetView>
  </sheetViews>
  <sheetFormatPr defaultRowHeight="15" x14ac:dyDescent="0.25"/>
  <cols>
    <col min="1" max="1" width="21.5703125" style="65" customWidth="1"/>
    <col min="2" max="2" width="30.42578125" style="45" customWidth="1"/>
    <col min="3" max="4" width="23.85546875" style="52" customWidth="1"/>
    <col min="5" max="5" width="9.140625" customWidth="1"/>
    <col min="6" max="6" width="18.85546875" customWidth="1"/>
  </cols>
  <sheetData>
    <row r="1" spans="1:4" ht="150" customHeight="1" x14ac:dyDescent="0.25">
      <c r="B1"/>
      <c r="C1"/>
      <c r="D1"/>
    </row>
    <row r="2" spans="1:4" s="77" customFormat="1" x14ac:dyDescent="0.25"/>
    <row r="3" spans="1:4" s="77" customFormat="1" x14ac:dyDescent="0.25">
      <c r="A3" s="66"/>
    </row>
    <row r="4" spans="1:4" s="77" customFormat="1" ht="20.25" thickBot="1" x14ac:dyDescent="0.3">
      <c r="A4" s="67"/>
      <c r="B4" s="82"/>
      <c r="C4" s="83" t="s">
        <v>481</v>
      </c>
      <c r="D4" s="82" t="str">
        <f>'Country selection'!E8</f>
        <v>CHINA</v>
      </c>
    </row>
    <row r="5" spans="1:4" ht="15.75" thickTop="1" x14ac:dyDescent="0.25"/>
    <row r="6" spans="1:4" x14ac:dyDescent="0.25">
      <c r="B6" s="59" t="s">
        <v>14</v>
      </c>
      <c r="C6" s="54" t="s">
        <v>7</v>
      </c>
      <c r="D6" s="55" t="s">
        <v>8</v>
      </c>
    </row>
    <row r="7" spans="1:4" x14ac:dyDescent="0.25">
      <c r="B7" s="60" t="s">
        <v>492</v>
      </c>
      <c r="C7" s="56">
        <f>Customisation!$H$9</f>
        <v>7707500.3999999994</v>
      </c>
      <c r="D7" s="56">
        <f>Customisation!$H$9</f>
        <v>7707500.3999999994</v>
      </c>
    </row>
    <row r="8" spans="1:4" x14ac:dyDescent="0.25">
      <c r="B8" s="60" t="s">
        <v>491</v>
      </c>
      <c r="C8" s="56">
        <f>Customisation!$H$10</f>
        <v>6986267.2000000002</v>
      </c>
      <c r="D8" s="56">
        <f>Customisation!$H$10</f>
        <v>6986267.2000000002</v>
      </c>
    </row>
    <row r="9" spans="1:4" x14ac:dyDescent="0.25">
      <c r="B9" s="60"/>
      <c r="C9" s="57"/>
      <c r="D9" s="57"/>
    </row>
    <row r="10" spans="1:4" x14ac:dyDescent="0.25">
      <c r="B10" s="61" t="s">
        <v>15</v>
      </c>
      <c r="C10" s="58">
        <f ca="1">Customisation!H16*C8*Customisation!H11</f>
        <v>284593476.09621066</v>
      </c>
      <c r="D10" s="58">
        <f ca="1">Customisation!H16*D8*Customisation!H11</f>
        <v>284593476.09621066</v>
      </c>
    </row>
    <row r="11" spans="1:4" x14ac:dyDescent="0.25">
      <c r="B11" s="60" t="s">
        <v>26</v>
      </c>
      <c r="C11" s="58">
        <f ca="1">Model!AI3*C8</f>
        <v>15208876.80852819</v>
      </c>
      <c r="D11" s="58">
        <f ca="1">Model!AJ3*D8</f>
        <v>5555227.4920369405</v>
      </c>
    </row>
    <row r="12" spans="1:4" x14ac:dyDescent="0.25">
      <c r="B12" s="60" t="s">
        <v>16</v>
      </c>
      <c r="C12" s="58">
        <f ca="1">C10-C11</f>
        <v>269384599.28768247</v>
      </c>
      <c r="D12" s="58">
        <f ca="1">D10-D11</f>
        <v>279038248.60417372</v>
      </c>
    </row>
    <row r="13" spans="1:4" x14ac:dyDescent="0.25">
      <c r="B13" s="60"/>
      <c r="C13" s="57"/>
      <c r="D13" s="57"/>
    </row>
    <row r="14" spans="1:4" x14ac:dyDescent="0.25">
      <c r="B14" s="60" t="s">
        <v>484</v>
      </c>
      <c r="C14" s="56">
        <f ca="1">Model!AA3*C8</f>
        <v>21954.860758267263</v>
      </c>
      <c r="D14" s="56">
        <f ca="1">Model!AB3*D8</f>
        <v>8019.2802929259888</v>
      </c>
    </row>
    <row r="15" spans="1:4" x14ac:dyDescent="0.25">
      <c r="B15" s="60" t="s">
        <v>29</v>
      </c>
      <c r="C15" s="56">
        <f ca="1">Model!AC3*C8</f>
        <v>13858.002661925984</v>
      </c>
      <c r="D15" s="56">
        <f ca="1">Model!AD3*D8</f>
        <v>3412.3921015502438</v>
      </c>
    </row>
    <row r="16" spans="1:4" x14ac:dyDescent="0.25">
      <c r="B16" s="60" t="s">
        <v>17</v>
      </c>
      <c r="C16" s="56">
        <f ca="1">Model!AE3*C8</f>
        <v>253468.92575724988</v>
      </c>
      <c r="D16" s="56">
        <f ca="1">Model!AF3*D8</f>
        <v>72203.728024319338</v>
      </c>
    </row>
    <row r="17" spans="2:4" x14ac:dyDescent="0.25">
      <c r="B17" s="60" t="s">
        <v>28</v>
      </c>
      <c r="C17" s="56">
        <f ca="1">Model!AG3*D8</f>
        <v>15541.857150584274</v>
      </c>
      <c r="D17" s="56">
        <f ca="1">Model!AH3*D8</f>
        <v>4969.3780880684753</v>
      </c>
    </row>
    <row r="18" spans="2:4" x14ac:dyDescent="0.25">
      <c r="B18" s="60"/>
      <c r="C18" s="57"/>
      <c r="D18" s="57"/>
    </row>
    <row r="19" spans="2:4" x14ac:dyDescent="0.25">
      <c r="B19" s="62" t="s">
        <v>479</v>
      </c>
      <c r="C19" s="57"/>
      <c r="D19" s="57"/>
    </row>
    <row r="20" spans="2:4" x14ac:dyDescent="0.25">
      <c r="B20" s="60" t="s">
        <v>486</v>
      </c>
      <c r="C20" s="58">
        <f ca="1">C12/C14</f>
        <v>12269.92975513378</v>
      </c>
      <c r="D20" s="58">
        <f ca="1">D12/D14</f>
        <v>34795.92163031394</v>
      </c>
    </row>
    <row r="21" spans="2:4" x14ac:dyDescent="0.25">
      <c r="B21" s="60" t="s">
        <v>18</v>
      </c>
      <c r="C21" s="58">
        <f ca="1">C12/C15</f>
        <v>19438.919580222064</v>
      </c>
      <c r="D21" s="58">
        <f ca="1">D12/D15</f>
        <v>81772.035657158835</v>
      </c>
    </row>
    <row r="22" spans="2:4" x14ac:dyDescent="0.25">
      <c r="B22" s="60" t="s">
        <v>19</v>
      </c>
      <c r="C22" s="58">
        <f ca="1">C12/C16</f>
        <v>1062.7914190383842</v>
      </c>
      <c r="D22" s="58">
        <f ca="1">D12/D16</f>
        <v>3864.5961398307481</v>
      </c>
    </row>
    <row r="23" spans="2:4" x14ac:dyDescent="0.25">
      <c r="B23" s="60" t="s">
        <v>27</v>
      </c>
      <c r="C23" s="58">
        <f ca="1">C12/(C16+C17)</f>
        <v>1001.3895962675086</v>
      </c>
      <c r="D23" s="58">
        <f ca="1">D12/(D16+D17)</f>
        <v>3615.7446895788808</v>
      </c>
    </row>
    <row r="24" spans="2:4" x14ac:dyDescent="0.25">
      <c r="B24" s="60"/>
      <c r="C24" s="58"/>
      <c r="D24" s="58"/>
    </row>
    <row r="25" spans="2:4" x14ac:dyDescent="0.25">
      <c r="B25" s="60" t="s">
        <v>573</v>
      </c>
      <c r="C25" s="58">
        <f>Customisation!H23</f>
        <v>5444.7853033333186</v>
      </c>
      <c r="D25" s="58">
        <f>Customisation!H23</f>
        <v>5444.7853033333186</v>
      </c>
    </row>
  </sheetData>
  <phoneticPr fontId="1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2060"/>
  </sheetPr>
  <dimension ref="A1:N102"/>
  <sheetViews>
    <sheetView workbookViewId="0">
      <selection activeCell="A5" sqref="A5"/>
    </sheetView>
  </sheetViews>
  <sheetFormatPr defaultRowHeight="15" x14ac:dyDescent="0.25"/>
  <cols>
    <col min="5" max="5" width="9.140625" customWidth="1"/>
    <col min="9" max="9" width="14.140625" customWidth="1"/>
    <col min="10" max="10" width="19.5703125" customWidth="1"/>
    <col min="14" max="14" width="14" customWidth="1"/>
  </cols>
  <sheetData>
    <row r="1" spans="1:14" ht="30" customHeight="1" x14ac:dyDescent="0.25">
      <c r="A1" s="2" t="s">
        <v>38</v>
      </c>
      <c r="B1" s="2" t="s">
        <v>30</v>
      </c>
      <c r="C1" s="2" t="s">
        <v>31</v>
      </c>
      <c r="D1" s="2" t="s">
        <v>32</v>
      </c>
      <c r="E1" s="2" t="s">
        <v>33</v>
      </c>
      <c r="F1" s="2" t="s">
        <v>34</v>
      </c>
      <c r="G1" s="2" t="s">
        <v>35</v>
      </c>
      <c r="I1" s="6" t="s">
        <v>5</v>
      </c>
      <c r="J1" s="6" t="s">
        <v>37</v>
      </c>
      <c r="L1" s="6"/>
      <c r="M1" s="6"/>
      <c r="N1" s="6"/>
    </row>
    <row r="2" spans="1:14" x14ac:dyDescent="0.25">
      <c r="A2">
        <v>0</v>
      </c>
      <c r="B2">
        <f>'Age data'!O8</f>
        <v>2.0109999999999999E-2</v>
      </c>
      <c r="C2">
        <f>1-B2</f>
        <v>0.97989000000000004</v>
      </c>
      <c r="D2">
        <v>1</v>
      </c>
      <c r="E2">
        <f>(D2+D3)/2</f>
        <v>0.98994500000000007</v>
      </c>
      <c r="F2">
        <f>SUM(E2:E$102)</f>
        <v>75.429030954548409</v>
      </c>
      <c r="G2">
        <f>F2/D2</f>
        <v>75.429030954548409</v>
      </c>
      <c r="I2" s="7">
        <f>G2</f>
        <v>75.429030954548409</v>
      </c>
      <c r="J2" s="7">
        <f ca="1">LOOKUP($I2,Model!$A$4:$A$104,Model!$E$4:$E$104)+($I2-INT($I2))*LOOKUP($I2,Model!$A$4:$A$104,Model!$D$4:$D$104)</f>
        <v>41.289640960743135</v>
      </c>
      <c r="L2" s="5"/>
      <c r="M2" s="5"/>
      <c r="N2" s="5"/>
    </row>
    <row r="3" spans="1:14" x14ac:dyDescent="0.25">
      <c r="A3">
        <v>1</v>
      </c>
      <c r="B3">
        <f>'Age data'!O9</f>
        <v>5.9000000000000003E-4</v>
      </c>
      <c r="C3">
        <f t="shared" ref="C3:C66" si="0">1-B3</f>
        <v>0.99941000000000002</v>
      </c>
      <c r="D3">
        <f>D2*C2</f>
        <v>0.97989000000000004</v>
      </c>
      <c r="E3">
        <f t="shared" ref="E3:E66" si="1">(D3+D4)/2</f>
        <v>0.97960093245000013</v>
      </c>
      <c r="F3">
        <f>SUM(E3:E$102)</f>
        <v>74.439085954548389</v>
      </c>
      <c r="G3">
        <f>F3/D3</f>
        <v>75.966777857257838</v>
      </c>
      <c r="I3" s="7">
        <f t="shared" ref="I3:I66" si="2">G3</f>
        <v>75.966777857257838</v>
      </c>
      <c r="J3" s="7">
        <f ca="1">LOOKUP($I3,Model!$A$4:$A$104,Model!$E$4:$E$104)+($I3-INT($I3))*LOOKUP($I3,Model!$A$4:$A$104,Model!$D$4:$D$104)</f>
        <v>41.375023654680227</v>
      </c>
      <c r="L3" s="5"/>
      <c r="M3" s="5"/>
    </row>
    <row r="4" spans="1:14" x14ac:dyDescent="0.25">
      <c r="A4">
        <v>2</v>
      </c>
      <c r="B4">
        <f>'Age data'!O10</f>
        <v>5.9000000000000003E-4</v>
      </c>
      <c r="C4">
        <f t="shared" si="0"/>
        <v>0.99941000000000002</v>
      </c>
      <c r="D4">
        <f t="shared" ref="D4:D67" si="3">D3*C3</f>
        <v>0.97931186490000011</v>
      </c>
      <c r="E4">
        <f t="shared" si="1"/>
        <v>0.97902296789985455</v>
      </c>
      <c r="F4">
        <f>SUM(E4:E$102)</f>
        <v>73.459485022098377</v>
      </c>
      <c r="G4">
        <f>F4/D4</f>
        <v>75.011329541687417</v>
      </c>
      <c r="I4" s="7">
        <f t="shared" si="2"/>
        <v>75.011329541687417</v>
      </c>
      <c r="J4" s="7">
        <f ca="1">LOOKUP($I4,Model!$A$4:$A$104,Model!$E$4:$E$104)+($I4-INT($I4))*LOOKUP($I4,Model!$A$4:$A$104,Model!$D$4:$D$104)</f>
        <v>41.223318920185193</v>
      </c>
      <c r="L4" s="5"/>
      <c r="M4" s="5"/>
    </row>
    <row r="5" spans="1:14" x14ac:dyDescent="0.25">
      <c r="A5">
        <v>3</v>
      </c>
      <c r="B5">
        <f>'Age data'!O11</f>
        <v>5.9000000000000003E-4</v>
      </c>
      <c r="C5">
        <f t="shared" si="0"/>
        <v>0.99941000000000002</v>
      </c>
      <c r="D5">
        <f t="shared" si="3"/>
        <v>0.9787340708997091</v>
      </c>
      <c r="E5">
        <f t="shared" si="1"/>
        <v>0.97844534434879371</v>
      </c>
      <c r="F5">
        <f>SUM(E5:E$102)</f>
        <v>72.480462054198526</v>
      </c>
      <c r="G5">
        <f>F5/D5</f>
        <v>74.055317178822932</v>
      </c>
      <c r="I5" s="7">
        <f t="shared" si="2"/>
        <v>74.055317178822932</v>
      </c>
      <c r="J5" s="7">
        <f ca="1">LOOKUP($I5,Model!$A$4:$A$104,Model!$E$4:$E$104)+($I5-INT($I5))*LOOKUP($I5,Model!$A$4:$A$104,Model!$D$4:$D$104)</f>
        <v>41.06707860809005</v>
      </c>
      <c r="L5" s="5"/>
      <c r="M5" s="5"/>
    </row>
    <row r="6" spans="1:14" x14ac:dyDescent="0.25">
      <c r="A6">
        <v>4</v>
      </c>
      <c r="B6">
        <f>'Age data'!O12</f>
        <v>5.9000000000000003E-4</v>
      </c>
      <c r="C6">
        <f t="shared" si="0"/>
        <v>0.99941000000000002</v>
      </c>
      <c r="D6">
        <f t="shared" si="3"/>
        <v>0.97815661779787832</v>
      </c>
      <c r="E6">
        <f t="shared" si="1"/>
        <v>0.97786806159562789</v>
      </c>
      <c r="F6">
        <f>SUM(E6:E$102)</f>
        <v>71.502016709849727</v>
      </c>
      <c r="G6">
        <f t="shared" ref="G6:G69" si="4">F6/D6</f>
        <v>73.098740435679971</v>
      </c>
      <c r="I6" s="7">
        <f t="shared" si="2"/>
        <v>73.098740435679971</v>
      </c>
      <c r="J6" s="7">
        <f ca="1">LOOKUP($I6,Model!$A$4:$A$104,Model!$E$4:$E$104)+($I6-INT($I6))*LOOKUP($I6,Model!$A$4:$A$104,Model!$D$4:$D$104)</f>
        <v>40.906325326979932</v>
      </c>
      <c r="L6" s="5"/>
      <c r="M6" s="5"/>
    </row>
    <row r="7" spans="1:14" x14ac:dyDescent="0.25">
      <c r="A7">
        <v>5</v>
      </c>
      <c r="B7">
        <f>'Age data'!O13</f>
        <v>3.2000000000000003E-4</v>
      </c>
      <c r="C7">
        <f t="shared" si="0"/>
        <v>0.99968000000000001</v>
      </c>
      <c r="D7">
        <f t="shared" si="3"/>
        <v>0.97757950539337757</v>
      </c>
      <c r="E7">
        <f t="shared" si="1"/>
        <v>0.9774230926725147</v>
      </c>
      <c r="F7">
        <f>SUM(E7:E$102)</f>
        <v>70.524148648254098</v>
      </c>
      <c r="G7">
        <f t="shared" si="4"/>
        <v>72.141598979077628</v>
      </c>
      <c r="I7" s="7">
        <f t="shared" si="2"/>
        <v>72.141598979077628</v>
      </c>
      <c r="J7" s="7">
        <f ca="1">LOOKUP($I7,Model!$A$4:$A$104,Model!$E$4:$E$104)+($I7-INT($I7))*LOOKUP($I7,Model!$A$4:$A$104,Model!$D$4:$D$104)</f>
        <v>40.740925936312728</v>
      </c>
      <c r="L7" s="5"/>
      <c r="M7" s="5"/>
    </row>
    <row r="8" spans="1:14" x14ac:dyDescent="0.25">
      <c r="A8">
        <v>6</v>
      </c>
      <c r="B8">
        <f>'Age data'!O14</f>
        <v>3.2000000000000003E-4</v>
      </c>
      <c r="C8">
        <f t="shared" si="0"/>
        <v>0.99968000000000001</v>
      </c>
      <c r="D8">
        <f t="shared" si="3"/>
        <v>0.97726667995165173</v>
      </c>
      <c r="E8">
        <f t="shared" si="1"/>
        <v>0.97711031728285946</v>
      </c>
      <c r="F8">
        <f>SUM(E8:E$102)</f>
        <v>69.546725555581574</v>
      </c>
      <c r="G8">
        <f t="shared" si="4"/>
        <v>71.164531629198962</v>
      </c>
      <c r="I8" s="7">
        <f t="shared" si="2"/>
        <v>71.164531629198962</v>
      </c>
      <c r="J8" s="7">
        <f ca="1">LOOKUP($I8,Model!$A$4:$A$104,Model!$E$4:$E$104)+($I8-INT($I8))*LOOKUP($I8,Model!$A$4:$A$104,Model!$D$4:$D$104)</f>
        <v>40.567288188594269</v>
      </c>
      <c r="L8" s="5"/>
      <c r="M8" s="5"/>
    </row>
    <row r="9" spans="1:14" x14ac:dyDescent="0.25">
      <c r="A9">
        <v>7</v>
      </c>
      <c r="B9">
        <f>'Age data'!O15</f>
        <v>3.2000000000000003E-4</v>
      </c>
      <c r="C9">
        <f t="shared" si="0"/>
        <v>0.99968000000000001</v>
      </c>
      <c r="D9">
        <f t="shared" si="3"/>
        <v>0.9769539546140672</v>
      </c>
      <c r="E9">
        <f t="shared" si="1"/>
        <v>0.9767976419813289</v>
      </c>
      <c r="F9">
        <f>SUM(E9:E$102)</f>
        <v>68.569615238298724</v>
      </c>
      <c r="G9">
        <f t="shared" si="4"/>
        <v>70.187151517684626</v>
      </c>
      <c r="I9" s="7">
        <f t="shared" si="2"/>
        <v>70.187151517684626</v>
      </c>
      <c r="J9" s="7">
        <f ca="1">LOOKUP($I9,Model!$A$4:$A$104,Model!$E$4:$E$104)+($I9-INT($I9))*LOOKUP($I9,Model!$A$4:$A$104,Model!$D$4:$D$104)</f>
        <v>40.388567475440908</v>
      </c>
      <c r="L9" s="5"/>
      <c r="M9" s="5"/>
    </row>
    <row r="10" spans="1:14" x14ac:dyDescent="0.25">
      <c r="A10">
        <v>8</v>
      </c>
      <c r="B10">
        <f>'Age data'!O16</f>
        <v>3.2000000000000003E-4</v>
      </c>
      <c r="C10">
        <f t="shared" si="0"/>
        <v>0.99968000000000001</v>
      </c>
      <c r="D10">
        <f t="shared" si="3"/>
        <v>0.97664132934859071</v>
      </c>
      <c r="E10">
        <f t="shared" si="1"/>
        <v>0.97648506673589497</v>
      </c>
      <c r="F10">
        <f>SUM(E10:E$102)</f>
        <v>67.592817596317389</v>
      </c>
      <c r="G10">
        <f t="shared" si="4"/>
        <v>69.209458544418837</v>
      </c>
      <c r="I10" s="7">
        <f t="shared" si="2"/>
        <v>69.209458544418837</v>
      </c>
      <c r="J10" s="7">
        <f ca="1">LOOKUP($I10,Model!$A$4:$A$104,Model!$E$4:$E$104)+($I10-INT($I10))*LOOKUP($I10,Model!$A$4:$A$104,Model!$D$4:$D$104)</f>
        <v>40.204613302308843</v>
      </c>
      <c r="L10" s="5"/>
      <c r="M10" s="5"/>
    </row>
    <row r="11" spans="1:14" x14ac:dyDescent="0.25">
      <c r="A11">
        <v>9</v>
      </c>
      <c r="B11">
        <f>'Age data'!O17</f>
        <v>3.2000000000000003E-4</v>
      </c>
      <c r="C11">
        <f t="shared" si="0"/>
        <v>0.99968000000000001</v>
      </c>
      <c r="D11">
        <f t="shared" si="3"/>
        <v>0.97632880412319922</v>
      </c>
      <c r="E11">
        <f t="shared" si="1"/>
        <v>0.9761725915145395</v>
      </c>
      <c r="F11">
        <f>SUM(E11:E$102)</f>
        <v>66.616332529581513</v>
      </c>
      <c r="G11">
        <f t="shared" si="4"/>
        <v>68.231452609253807</v>
      </c>
      <c r="I11" s="7">
        <f t="shared" si="2"/>
        <v>68.231452609253807</v>
      </c>
      <c r="J11" s="7">
        <f ca="1">LOOKUP($I11,Model!$A$4:$A$104,Model!$E$4:$E$104)+($I11-INT($I11))*LOOKUP($I11,Model!$A$4:$A$104,Model!$D$4:$D$104)</f>
        <v>40.0152706672527</v>
      </c>
      <c r="L11" s="5"/>
      <c r="M11" s="5"/>
    </row>
    <row r="12" spans="1:14" x14ac:dyDescent="0.25">
      <c r="A12">
        <v>10</v>
      </c>
      <c r="B12">
        <f>'Age data'!O18</f>
        <v>2.5999999999999998E-4</v>
      </c>
      <c r="C12">
        <f t="shared" si="0"/>
        <v>0.99973999999999996</v>
      </c>
      <c r="D12">
        <f t="shared" si="3"/>
        <v>0.97601637890587978</v>
      </c>
      <c r="E12">
        <f t="shared" si="1"/>
        <v>0.97588949677662207</v>
      </c>
      <c r="F12">
        <f>SUM(E12:E$102)</f>
        <v>65.640159938066972</v>
      </c>
      <c r="G12">
        <f t="shared" si="4"/>
        <v>67.253133612009648</v>
      </c>
      <c r="I12" s="7">
        <f t="shared" si="2"/>
        <v>67.253133612009648</v>
      </c>
      <c r="J12" s="7">
        <f ca="1">LOOKUP($I12,Model!$A$4:$A$104,Model!$E$4:$E$104)+($I12-INT($I12))*LOOKUP($I12,Model!$A$4:$A$104,Model!$D$4:$D$104)</f>
        <v>39.820379924393428</v>
      </c>
      <c r="L12" s="5"/>
      <c r="M12" s="5"/>
    </row>
    <row r="13" spans="1:14" x14ac:dyDescent="0.25">
      <c r="A13">
        <v>11</v>
      </c>
      <c r="B13">
        <f>'Age data'!O19</f>
        <v>2.5999999999999998E-4</v>
      </c>
      <c r="C13">
        <f t="shared" si="0"/>
        <v>0.99973999999999996</v>
      </c>
      <c r="D13">
        <f t="shared" si="3"/>
        <v>0.97576261464736425</v>
      </c>
      <c r="E13">
        <f t="shared" si="1"/>
        <v>0.97563576550746012</v>
      </c>
      <c r="F13">
        <f>SUM(E13:E$102)</f>
        <v>64.664270441290356</v>
      </c>
      <c r="G13">
        <f t="shared" si="4"/>
        <v>66.270493940434164</v>
      </c>
      <c r="I13" s="7">
        <f t="shared" si="2"/>
        <v>66.270493940434164</v>
      </c>
      <c r="J13" s="7">
        <f ca="1">LOOKUP($I13,Model!$A$4:$A$104,Model!$E$4:$E$104)+($I13-INT($I13))*LOOKUP($I13,Model!$A$4:$A$104,Model!$D$4:$D$104)</f>
        <v>39.618949007246179</v>
      </c>
      <c r="L13" s="5"/>
      <c r="M13" s="5"/>
    </row>
    <row r="14" spans="1:14" x14ac:dyDescent="0.25">
      <c r="A14">
        <v>12</v>
      </c>
      <c r="B14">
        <f>'Age data'!O20</f>
        <v>2.5999999999999998E-4</v>
      </c>
      <c r="C14">
        <f t="shared" si="0"/>
        <v>0.99973999999999996</v>
      </c>
      <c r="D14">
        <f t="shared" si="3"/>
        <v>0.97550891636755588</v>
      </c>
      <c r="E14">
        <f t="shared" si="1"/>
        <v>0.97538210020842808</v>
      </c>
      <c r="F14">
        <f>SUM(E14:E$102)</f>
        <v>63.688634675782886</v>
      </c>
      <c r="G14">
        <f t="shared" si="4"/>
        <v>65.287598716100348</v>
      </c>
      <c r="I14" s="7">
        <f t="shared" si="2"/>
        <v>65.287598716100348</v>
      </c>
      <c r="J14" s="7">
        <f ca="1">LOOKUP($I14,Model!$A$4:$A$104,Model!$E$4:$E$104)+($I14-INT($I14))*LOOKUP($I14,Model!$A$4:$A$104,Model!$D$4:$D$104)</f>
        <v>39.411599399165858</v>
      </c>
      <c r="L14" s="5"/>
      <c r="M14" s="5"/>
    </row>
    <row r="15" spans="1:14" x14ac:dyDescent="0.25">
      <c r="A15">
        <v>13</v>
      </c>
      <c r="B15">
        <f>'Age data'!O21</f>
        <v>2.5999999999999998E-4</v>
      </c>
      <c r="C15">
        <f t="shared" si="0"/>
        <v>0.99973999999999996</v>
      </c>
      <c r="D15">
        <f t="shared" si="3"/>
        <v>0.97525528404930029</v>
      </c>
      <c r="E15">
        <f t="shared" si="1"/>
        <v>0.97512850086237379</v>
      </c>
      <c r="F15">
        <f>SUM(E15:E$102)</f>
        <v>62.713252575574465</v>
      </c>
      <c r="G15">
        <f t="shared" si="4"/>
        <v>64.304447872547229</v>
      </c>
      <c r="I15" s="7">
        <f t="shared" si="2"/>
        <v>64.304447872547229</v>
      </c>
      <c r="J15" s="7">
        <f ca="1">LOOKUP($I15,Model!$A$4:$A$104,Model!$E$4:$E$104)+($I15-INT($I15))*LOOKUP($I15,Model!$A$4:$A$104,Model!$D$4:$D$104)</f>
        <v>39.198155577997213</v>
      </c>
      <c r="L15" s="5"/>
      <c r="M15" s="5"/>
    </row>
    <row r="16" spans="1:14" x14ac:dyDescent="0.25">
      <c r="A16">
        <v>14</v>
      </c>
      <c r="B16">
        <f>'Age data'!O22</f>
        <v>2.5999999999999998E-4</v>
      </c>
      <c r="C16">
        <f t="shared" si="0"/>
        <v>0.99973999999999996</v>
      </c>
      <c r="D16">
        <f t="shared" si="3"/>
        <v>0.97500171767544741</v>
      </c>
      <c r="E16">
        <f t="shared" si="1"/>
        <v>0.97487496745214952</v>
      </c>
      <c r="F16">
        <f>SUM(E16:E$102)</f>
        <v>61.738124074712083</v>
      </c>
      <c r="G16">
        <f t="shared" si="4"/>
        <v>63.321041343296471</v>
      </c>
      <c r="I16" s="7">
        <f t="shared" si="2"/>
        <v>63.321041343296471</v>
      </c>
      <c r="J16" s="7">
        <f ca="1">LOOKUP($I16,Model!$A$4:$A$104,Model!$E$4:$E$104)+($I16-INT($I16))*LOOKUP($I16,Model!$A$4:$A$104,Model!$D$4:$D$104)</f>
        <v>38.97843676776619</v>
      </c>
      <c r="L16" s="5"/>
      <c r="M16" s="5"/>
    </row>
    <row r="17" spans="1:13" x14ac:dyDescent="0.25">
      <c r="A17">
        <v>15</v>
      </c>
      <c r="B17">
        <f>'Age data'!O23</f>
        <v>4.0999999999999999E-4</v>
      </c>
      <c r="C17">
        <f t="shared" si="0"/>
        <v>0.99958999999999998</v>
      </c>
      <c r="D17">
        <f t="shared" si="3"/>
        <v>0.97474821722885174</v>
      </c>
      <c r="E17">
        <f t="shared" si="1"/>
        <v>0.97454839384431979</v>
      </c>
      <c r="F17">
        <f>SUM(E17:E$102)</f>
        <v>60.763249107259945</v>
      </c>
      <c r="G17">
        <f t="shared" si="4"/>
        <v>62.337379061852573</v>
      </c>
      <c r="I17" s="7">
        <f t="shared" si="2"/>
        <v>62.337379061852573</v>
      </c>
      <c r="J17" s="7">
        <f ca="1">LOOKUP($I17,Model!$A$4:$A$104,Model!$E$4:$E$104)+($I17-INT($I17))*LOOKUP($I17,Model!$A$4:$A$104,Model!$D$4:$D$104)</f>
        <v>38.752256779981032</v>
      </c>
      <c r="L17" s="5"/>
      <c r="M17" s="5"/>
    </row>
    <row r="18" spans="1:13" x14ac:dyDescent="0.25">
      <c r="A18">
        <v>16</v>
      </c>
      <c r="B18">
        <f>'Age data'!O24</f>
        <v>4.0999999999999999E-4</v>
      </c>
      <c r="C18">
        <f t="shared" si="0"/>
        <v>0.99958999999999998</v>
      </c>
      <c r="D18">
        <f t="shared" si="3"/>
        <v>0.97434857045978784</v>
      </c>
      <c r="E18">
        <f t="shared" si="1"/>
        <v>0.9741488290028435</v>
      </c>
      <c r="F18">
        <f>SUM(E18:E$102)</f>
        <v>59.788700713415615</v>
      </c>
      <c r="G18">
        <f t="shared" si="4"/>
        <v>61.362742786394989</v>
      </c>
      <c r="I18" s="7">
        <f t="shared" si="2"/>
        <v>61.362742786394989</v>
      </c>
      <c r="J18" s="7">
        <f ca="1">LOOKUP($I18,Model!$A$4:$A$104,Model!$E$4:$E$104)+($I18-INT($I18))*LOOKUP($I18,Model!$A$4:$A$104,Model!$D$4:$D$104)</f>
        <v>38.521642184882559</v>
      </c>
      <c r="L18" s="5"/>
      <c r="M18" s="5"/>
    </row>
    <row r="19" spans="1:13" x14ac:dyDescent="0.25">
      <c r="A19">
        <v>17</v>
      </c>
      <c r="B19">
        <f>'Age data'!O25</f>
        <v>4.0999999999999999E-4</v>
      </c>
      <c r="C19">
        <f t="shared" si="0"/>
        <v>0.99958999999999998</v>
      </c>
      <c r="D19">
        <f t="shared" si="3"/>
        <v>0.97394908754589926</v>
      </c>
      <c r="E19">
        <f t="shared" si="1"/>
        <v>0.97374942798295239</v>
      </c>
      <c r="F19">
        <f>SUM(E19:E$102)</f>
        <v>58.814551884412772</v>
      </c>
      <c r="G19">
        <f t="shared" si="4"/>
        <v>60.387706746160916</v>
      </c>
      <c r="I19" s="7">
        <f t="shared" si="2"/>
        <v>60.387706746160916</v>
      </c>
      <c r="J19" s="7">
        <f ca="1">LOOKUP($I19,Model!$A$4:$A$104,Model!$E$4:$E$104)+($I19-INT($I19))*LOOKUP($I19,Model!$A$4:$A$104,Model!$D$4:$D$104)</f>
        <v>38.284273239904856</v>
      </c>
      <c r="L19" s="5"/>
      <c r="M19" s="5"/>
    </row>
    <row r="20" spans="1:13" x14ac:dyDescent="0.25">
      <c r="A20">
        <v>18</v>
      </c>
      <c r="B20">
        <f>'Age data'!O26</f>
        <v>4.0999999999999999E-4</v>
      </c>
      <c r="C20">
        <f t="shared" si="0"/>
        <v>0.99958999999999998</v>
      </c>
      <c r="D20">
        <f t="shared" si="3"/>
        <v>0.9735497684200054</v>
      </c>
      <c r="E20">
        <f t="shared" si="1"/>
        <v>0.9733501907174793</v>
      </c>
      <c r="F20">
        <f>SUM(E20:E$102)</f>
        <v>57.84080245642982</v>
      </c>
      <c r="G20">
        <f t="shared" si="4"/>
        <v>59.412270777179565</v>
      </c>
      <c r="I20" s="7">
        <f t="shared" si="2"/>
        <v>59.412270777179565</v>
      </c>
      <c r="J20" s="7">
        <f ca="1">LOOKUP($I20,Model!$A$4:$A$104,Model!$E$4:$E$104)+($I20-INT($I20))*LOOKUP($I20,Model!$A$4:$A$104,Model!$D$4:$D$104)</f>
        <v>38.039949191624373</v>
      </c>
      <c r="L20" s="5"/>
      <c r="M20" s="5"/>
    </row>
    <row r="21" spans="1:13" x14ac:dyDescent="0.25">
      <c r="A21">
        <v>19</v>
      </c>
      <c r="B21">
        <f>'Age data'!O27</f>
        <v>4.0999999999999999E-4</v>
      </c>
      <c r="C21">
        <f t="shared" si="0"/>
        <v>0.99958999999999998</v>
      </c>
      <c r="D21">
        <f t="shared" si="3"/>
        <v>0.9731506130149532</v>
      </c>
      <c r="E21">
        <f t="shared" si="1"/>
        <v>0.97295111713928506</v>
      </c>
      <c r="F21">
        <f>SUM(E21:E$102)</f>
        <v>56.867452265712352</v>
      </c>
      <c r="G21">
        <f t="shared" si="4"/>
        <v>58.436434715412894</v>
      </c>
      <c r="I21" s="7">
        <f t="shared" si="2"/>
        <v>58.436434715412894</v>
      </c>
      <c r="J21" s="7">
        <f ca="1">LOOKUP($I21,Model!$A$4:$A$104,Model!$E$4:$E$104)+($I21-INT($I21))*LOOKUP($I21,Model!$A$4:$A$104,Model!$D$4:$D$104)</f>
        <v>37.788463230938049</v>
      </c>
      <c r="L21" s="5"/>
      <c r="M21" s="5"/>
    </row>
    <row r="22" spans="1:13" x14ac:dyDescent="0.25">
      <c r="A22">
        <v>20</v>
      </c>
      <c r="B22">
        <f>'Age data'!O28</f>
        <v>4.8999999999999998E-4</v>
      </c>
      <c r="C22">
        <f t="shared" si="0"/>
        <v>0.99951000000000001</v>
      </c>
      <c r="D22">
        <f t="shared" si="3"/>
        <v>0.97275162126361703</v>
      </c>
      <c r="E22">
        <f t="shared" si="1"/>
        <v>0.97251329711640744</v>
      </c>
      <c r="F22">
        <f>SUM(E22:E$102)</f>
        <v>55.894501148573049</v>
      </c>
      <c r="G22">
        <f t="shared" si="4"/>
        <v>57.460198396755551</v>
      </c>
      <c r="I22" s="7">
        <f t="shared" si="2"/>
        <v>57.460198396755551</v>
      </c>
      <c r="J22" s="7">
        <f ca="1">LOOKUP($I22,Model!$A$4:$A$104,Model!$E$4:$E$104)+($I22-INT($I22))*LOOKUP($I22,Model!$A$4:$A$104,Model!$D$4:$D$104)</f>
        <v>37.529602307777189</v>
      </c>
      <c r="L22" s="5"/>
      <c r="M22" s="5"/>
    </row>
    <row r="23" spans="1:13" x14ac:dyDescent="0.25">
      <c r="A23">
        <v>21</v>
      </c>
      <c r="B23">
        <f>'Age data'!O29</f>
        <v>4.8999999999999998E-4</v>
      </c>
      <c r="C23">
        <f t="shared" si="0"/>
        <v>0.99951000000000001</v>
      </c>
      <c r="D23">
        <f t="shared" si="3"/>
        <v>0.97227497296919785</v>
      </c>
      <c r="E23">
        <f t="shared" si="1"/>
        <v>0.97203676560082042</v>
      </c>
      <c r="F23">
        <f>SUM(E23:E$102)</f>
        <v>54.921987851456642</v>
      </c>
      <c r="G23">
        <f t="shared" si="4"/>
        <v>56.488122576818192</v>
      </c>
      <c r="I23" s="7">
        <f t="shared" si="2"/>
        <v>56.488122576818192</v>
      </c>
      <c r="J23" s="7">
        <f ca="1">LOOKUP($I23,Model!$A$4:$A$104,Model!$E$4:$E$104)+($I23-INT($I23))*LOOKUP($I23,Model!$A$4:$A$104,Model!$D$4:$D$104)</f>
        <v>37.264408405565035</v>
      </c>
      <c r="L23" s="5"/>
      <c r="M23" s="5"/>
    </row>
    <row r="24" spans="1:13" x14ac:dyDescent="0.25">
      <c r="A24">
        <v>22</v>
      </c>
      <c r="B24">
        <f>'Age data'!O30</f>
        <v>4.8999999999999998E-4</v>
      </c>
      <c r="C24">
        <f t="shared" si="0"/>
        <v>0.99951000000000001</v>
      </c>
      <c r="D24">
        <f t="shared" si="3"/>
        <v>0.97179855823244299</v>
      </c>
      <c r="E24">
        <f t="shared" si="1"/>
        <v>0.97156046758567605</v>
      </c>
      <c r="F24">
        <f>SUM(E24:E$102)</f>
        <v>53.949951085855822</v>
      </c>
      <c r="G24">
        <f t="shared" si="4"/>
        <v>55.515570206219238</v>
      </c>
      <c r="I24" s="7">
        <f t="shared" si="2"/>
        <v>55.515570206219238</v>
      </c>
      <c r="J24" s="7">
        <f ca="1">LOOKUP($I24,Model!$A$4:$A$104,Model!$E$4:$E$104)+($I24-INT($I24))*LOOKUP($I24,Model!$A$4:$A$104,Model!$D$4:$D$104)</f>
        <v>36.991447096704171</v>
      </c>
      <c r="L24" s="5"/>
      <c r="M24" s="5"/>
    </row>
    <row r="25" spans="1:13" x14ac:dyDescent="0.25">
      <c r="A25">
        <v>23</v>
      </c>
      <c r="B25">
        <f>'Age data'!O31</f>
        <v>4.8999999999999998E-4</v>
      </c>
      <c r="C25">
        <f t="shared" si="0"/>
        <v>0.99951000000000001</v>
      </c>
      <c r="D25">
        <f t="shared" si="3"/>
        <v>0.9713223769389091</v>
      </c>
      <c r="E25">
        <f t="shared" si="1"/>
        <v>0.97108440295655907</v>
      </c>
      <c r="F25">
        <f>SUM(E25:E$102)</f>
        <v>52.978390618270147</v>
      </c>
      <c r="G25">
        <f t="shared" si="4"/>
        <v>54.542541051334389</v>
      </c>
      <c r="I25" s="7">
        <f t="shared" si="2"/>
        <v>54.542541051334389</v>
      </c>
      <c r="J25" s="7">
        <f ca="1">LOOKUP($I25,Model!$A$4:$A$104,Model!$E$4:$E$104)+($I25-INT($I25))*LOOKUP($I25,Model!$A$4:$A$104,Model!$D$4:$D$104)</f>
        <v>36.71048681906997</v>
      </c>
      <c r="L25" s="5"/>
      <c r="M25" s="5"/>
    </row>
    <row r="26" spans="1:13" x14ac:dyDescent="0.25">
      <c r="A26">
        <v>24</v>
      </c>
      <c r="B26">
        <f>'Age data'!O32</f>
        <v>4.8999999999999998E-4</v>
      </c>
      <c r="C26">
        <f t="shared" si="0"/>
        <v>0.99951000000000001</v>
      </c>
      <c r="D26">
        <f t="shared" si="3"/>
        <v>0.97084642897420903</v>
      </c>
      <c r="E26">
        <f t="shared" si="1"/>
        <v>0.9706085715991104</v>
      </c>
      <c r="F26">
        <f>SUM(E26:E$102)</f>
        <v>52.007306215313584</v>
      </c>
      <c r="G26">
        <f t="shared" si="4"/>
        <v>53.569034878424816</v>
      </c>
      <c r="I26" s="7">
        <f t="shared" si="2"/>
        <v>53.569034878424816</v>
      </c>
      <c r="J26" s="7">
        <f ca="1">LOOKUP($I26,Model!$A$4:$A$104,Model!$E$4:$E$104)+($I26-INT($I26))*LOOKUP($I26,Model!$A$4:$A$104,Model!$D$4:$D$104)</f>
        <v>36.421288984098105</v>
      </c>
      <c r="L26" s="5"/>
      <c r="M26" s="5"/>
    </row>
    <row r="27" spans="1:13" x14ac:dyDescent="0.25">
      <c r="A27">
        <v>25</v>
      </c>
      <c r="B27">
        <f>'Age data'!O33</f>
        <v>5.9000000000000003E-4</v>
      </c>
      <c r="C27">
        <f t="shared" si="0"/>
        <v>0.99941000000000002</v>
      </c>
      <c r="D27">
        <f t="shared" si="3"/>
        <v>0.97037071422401167</v>
      </c>
      <c r="E27">
        <f t="shared" si="1"/>
        <v>0.97008445486331563</v>
      </c>
      <c r="F27">
        <f>SUM(E27:E$102)</f>
        <v>51.036697643714483</v>
      </c>
      <c r="G27">
        <f t="shared" si="4"/>
        <v>52.595051453637105</v>
      </c>
      <c r="I27" s="7">
        <f t="shared" si="2"/>
        <v>52.595051453637105</v>
      </c>
      <c r="J27" s="7">
        <f ca="1">LOOKUP($I27,Model!$A$4:$A$104,Model!$E$4:$E$104)+($I27-INT($I27))*LOOKUP($I27,Model!$A$4:$A$104,Model!$D$4:$D$104)</f>
        <v>36.123607759973169</v>
      </c>
      <c r="L27" s="5"/>
      <c r="M27" s="5"/>
    </row>
    <row r="28" spans="1:13" x14ac:dyDescent="0.25">
      <c r="A28">
        <v>26</v>
      </c>
      <c r="B28">
        <f>'Age data'!O34</f>
        <v>5.9000000000000003E-4</v>
      </c>
      <c r="C28">
        <f t="shared" si="0"/>
        <v>0.99941000000000002</v>
      </c>
      <c r="D28">
        <f t="shared" si="3"/>
        <v>0.96979819550261948</v>
      </c>
      <c r="E28">
        <f t="shared" si="1"/>
        <v>0.96951210503494623</v>
      </c>
      <c r="F28">
        <f>SUM(E28:E$102)</f>
        <v>50.066613188851171</v>
      </c>
      <c r="G28">
        <f t="shared" si="4"/>
        <v>51.625805678987717</v>
      </c>
      <c r="I28" s="7">
        <f t="shared" si="2"/>
        <v>51.625805678987717</v>
      </c>
      <c r="J28" s="7">
        <f ca="1">LOOKUP($I28,Model!$A$4:$A$104,Model!$E$4:$E$104)+($I28-INT($I28))*LOOKUP($I28,Model!$A$4:$A$104,Model!$D$4:$D$104)</f>
        <v>35.818859084199566</v>
      </c>
      <c r="L28" s="5"/>
      <c r="M28" s="5"/>
    </row>
    <row r="29" spans="1:13" x14ac:dyDescent="0.25">
      <c r="A29">
        <v>27</v>
      </c>
      <c r="B29">
        <f>'Age data'!O35</f>
        <v>5.9000000000000003E-4</v>
      </c>
      <c r="C29">
        <f t="shared" si="0"/>
        <v>0.99941000000000002</v>
      </c>
      <c r="D29">
        <f t="shared" si="3"/>
        <v>0.96922601456727298</v>
      </c>
      <c r="E29">
        <f t="shared" si="1"/>
        <v>0.96894009289297567</v>
      </c>
      <c r="F29">
        <f>SUM(E29:E$102)</f>
        <v>49.09710108381622</v>
      </c>
      <c r="G29">
        <f t="shared" si="4"/>
        <v>50.65598771173763</v>
      </c>
      <c r="I29" s="7">
        <f t="shared" si="2"/>
        <v>50.65598771173763</v>
      </c>
      <c r="J29" s="7">
        <f ca="1">LOOKUP($I29,Model!$A$4:$A$104,Model!$E$4:$E$104)+($I29-INT($I29))*LOOKUP($I29,Model!$A$4:$A$104,Model!$D$4:$D$104)</f>
        <v>35.505180545578654</v>
      </c>
      <c r="L29" s="5"/>
      <c r="M29" s="5"/>
    </row>
    <row r="30" spans="1:13" x14ac:dyDescent="0.25">
      <c r="A30">
        <v>28</v>
      </c>
      <c r="B30">
        <f>'Age data'!O36</f>
        <v>5.9000000000000003E-4</v>
      </c>
      <c r="C30">
        <f t="shared" si="0"/>
        <v>0.99941000000000002</v>
      </c>
      <c r="D30">
        <f t="shared" si="3"/>
        <v>0.96865417121867825</v>
      </c>
      <c r="E30">
        <f t="shared" si="1"/>
        <v>0.96836841823816877</v>
      </c>
      <c r="F30">
        <f>SUM(E30:E$102)</f>
        <v>48.128160990923256</v>
      </c>
      <c r="G30">
        <f t="shared" si="4"/>
        <v>49.68559721409396</v>
      </c>
      <c r="I30" s="7">
        <f t="shared" si="2"/>
        <v>49.68559721409396</v>
      </c>
      <c r="J30" s="7">
        <f ca="1">LOOKUP($I30,Model!$A$4:$A$104,Model!$E$4:$E$104)+($I30-INT($I30))*LOOKUP($I30,Model!$A$4:$A$104,Model!$D$4:$D$104)</f>
        <v>35.182304808654536</v>
      </c>
      <c r="L30" s="5"/>
      <c r="M30" s="5"/>
    </row>
    <row r="31" spans="1:13" x14ac:dyDescent="0.25">
      <c r="A31">
        <v>29</v>
      </c>
      <c r="B31">
        <f>'Age data'!O37</f>
        <v>5.9000000000000003E-4</v>
      </c>
      <c r="C31">
        <f t="shared" si="0"/>
        <v>0.99941000000000002</v>
      </c>
      <c r="D31">
        <f t="shared" si="3"/>
        <v>0.96808266525765929</v>
      </c>
      <c r="E31">
        <f t="shared" si="1"/>
        <v>0.96779708087140826</v>
      </c>
      <c r="F31">
        <f>SUM(E31:E$102)</f>
        <v>47.159792572685085</v>
      </c>
      <c r="G31">
        <f t="shared" si="4"/>
        <v>48.714633848064317</v>
      </c>
      <c r="I31" s="7">
        <f t="shared" si="2"/>
        <v>48.714633848064317</v>
      </c>
      <c r="J31" s="7">
        <f ca="1">LOOKUP($I31,Model!$A$4:$A$104,Model!$E$4:$E$104)+($I31-INT($I31))*LOOKUP($I31,Model!$A$4:$A$104,Model!$D$4:$D$104)</f>
        <v>34.849956362925198</v>
      </c>
      <c r="L31" s="5"/>
      <c r="M31" s="5"/>
    </row>
    <row r="32" spans="1:13" x14ac:dyDescent="0.25">
      <c r="A32">
        <v>30</v>
      </c>
      <c r="B32">
        <f>'Age data'!O38</f>
        <v>7.9000000000000001E-4</v>
      </c>
      <c r="C32">
        <f t="shared" si="0"/>
        <v>0.99921000000000004</v>
      </c>
      <c r="D32">
        <f t="shared" si="3"/>
        <v>0.96751149648515733</v>
      </c>
      <c r="E32">
        <f t="shared" si="1"/>
        <v>0.96712932944404573</v>
      </c>
      <c r="F32">
        <f>SUM(E32:E$102)</f>
        <v>46.191995491813678</v>
      </c>
      <c r="G32">
        <f t="shared" si="4"/>
        <v>47.743097275456833</v>
      </c>
      <c r="I32" s="7">
        <f t="shared" si="2"/>
        <v>47.743097275456833</v>
      </c>
      <c r="J32" s="7">
        <f ca="1">LOOKUP($I32,Model!$A$4:$A$104,Model!$E$4:$E$104)+($I32-INT($I32))*LOOKUP($I32,Model!$A$4:$A$104,Model!$D$4:$D$104)</f>
        <v>34.50785126786819</v>
      </c>
      <c r="L32" s="5"/>
      <c r="M32" s="5"/>
    </row>
    <row r="33" spans="1:13" x14ac:dyDescent="0.25">
      <c r="A33">
        <v>31</v>
      </c>
      <c r="B33">
        <f>'Age data'!O39</f>
        <v>7.9000000000000001E-4</v>
      </c>
      <c r="C33">
        <f t="shared" si="0"/>
        <v>0.99921000000000004</v>
      </c>
      <c r="D33">
        <f t="shared" si="3"/>
        <v>0.96674716240293412</v>
      </c>
      <c r="E33">
        <f t="shared" si="1"/>
        <v>0.96636529727378506</v>
      </c>
      <c r="F33">
        <f>SUM(E33:E$102)</f>
        <v>45.224866162369629</v>
      </c>
      <c r="G33">
        <f t="shared" si="4"/>
        <v>46.780448830032554</v>
      </c>
      <c r="I33" s="7">
        <f t="shared" si="2"/>
        <v>46.780448830032554</v>
      </c>
      <c r="J33" s="7">
        <f ca="1">LOOKUP($I33,Model!$A$4:$A$104,Model!$E$4:$E$104)+($I33-INT($I33))*LOOKUP($I33,Model!$A$4:$A$104,Model!$D$4:$D$104)</f>
        <v>34.159201577037486</v>
      </c>
      <c r="L33" s="5"/>
      <c r="M33" s="5"/>
    </row>
    <row r="34" spans="1:13" x14ac:dyDescent="0.25">
      <c r="A34">
        <v>32</v>
      </c>
      <c r="B34">
        <f>'Age data'!O40</f>
        <v>7.9000000000000001E-4</v>
      </c>
      <c r="C34">
        <f t="shared" si="0"/>
        <v>0.99921000000000004</v>
      </c>
      <c r="D34">
        <f t="shared" si="3"/>
        <v>0.96598343214463589</v>
      </c>
      <c r="E34">
        <f t="shared" si="1"/>
        <v>0.96560186868893871</v>
      </c>
      <c r="F34">
        <f>SUM(E34:E$102)</f>
        <v>44.258500865095847</v>
      </c>
      <c r="G34">
        <f t="shared" si="4"/>
        <v>45.817039291072497</v>
      </c>
      <c r="I34" s="7">
        <f t="shared" si="2"/>
        <v>45.817039291072497</v>
      </c>
      <c r="J34" s="7">
        <f ca="1">LOOKUP($I34,Model!$A$4:$A$104,Model!$E$4:$E$104)+($I34-INT($I34))*LOOKUP($I34,Model!$A$4:$A$104,Model!$D$4:$D$104)</f>
        <v>33.800337370599912</v>
      </c>
      <c r="L34" s="5"/>
      <c r="M34" s="5"/>
    </row>
    <row r="35" spans="1:13" x14ac:dyDescent="0.25">
      <c r="A35">
        <v>33</v>
      </c>
      <c r="B35">
        <f>'Age data'!O41</f>
        <v>7.9000000000000001E-4</v>
      </c>
      <c r="C35">
        <f t="shared" si="0"/>
        <v>0.99921000000000004</v>
      </c>
      <c r="D35">
        <f t="shared" si="3"/>
        <v>0.96522030523324165</v>
      </c>
      <c r="E35">
        <f t="shared" si="1"/>
        <v>0.96483904321267455</v>
      </c>
      <c r="F35">
        <f>SUM(E35:E$102)</f>
        <v>43.292898996406912</v>
      </c>
      <c r="G35">
        <f t="shared" si="4"/>
        <v>44.852868056837401</v>
      </c>
      <c r="I35" s="7">
        <f t="shared" si="2"/>
        <v>44.852868056837401</v>
      </c>
      <c r="J35" s="7">
        <f ca="1">LOOKUP($I35,Model!$A$4:$A$104,Model!$E$4:$E$104)+($I35-INT($I35))*LOOKUP($I35,Model!$A$4:$A$104,Model!$D$4:$D$104)</f>
        <v>33.43095059112833</v>
      </c>
      <c r="L35" s="5"/>
      <c r="M35" s="5"/>
    </row>
    <row r="36" spans="1:13" x14ac:dyDescent="0.25">
      <c r="A36">
        <v>34</v>
      </c>
      <c r="B36">
        <f>'Age data'!O42</f>
        <v>7.9000000000000001E-4</v>
      </c>
      <c r="C36">
        <f t="shared" si="0"/>
        <v>0.99921000000000004</v>
      </c>
      <c r="D36">
        <f t="shared" si="3"/>
        <v>0.96445778119210746</v>
      </c>
      <c r="E36">
        <f t="shared" si="1"/>
        <v>0.96407682036853659</v>
      </c>
      <c r="F36">
        <f>SUM(E36:E$102)</f>
        <v>42.328059953194234</v>
      </c>
      <c r="G36">
        <f t="shared" si="4"/>
        <v>43.887934525112236</v>
      </c>
      <c r="I36" s="7">
        <f t="shared" si="2"/>
        <v>43.887934525112236</v>
      </c>
      <c r="J36" s="7">
        <f ca="1">LOOKUP($I36,Model!$A$4:$A$104,Model!$E$4:$E$104)+($I36-INT($I36))*LOOKUP($I36,Model!$A$4:$A$104,Model!$D$4:$D$104)</f>
        <v>33.050723624063608</v>
      </c>
      <c r="L36" s="5"/>
      <c r="M36" s="5"/>
    </row>
    <row r="37" spans="1:13" x14ac:dyDescent="0.25">
      <c r="A37">
        <v>35</v>
      </c>
      <c r="B37">
        <f>'Age data'!O43</f>
        <v>1.1299999999999999E-3</v>
      </c>
      <c r="C37">
        <f t="shared" si="0"/>
        <v>0.99887000000000004</v>
      </c>
      <c r="D37">
        <f t="shared" si="3"/>
        <v>0.96369585954496573</v>
      </c>
      <c r="E37">
        <f t="shared" si="1"/>
        <v>0.96315137138432283</v>
      </c>
      <c r="F37">
        <f>SUM(E37:E$102)</f>
        <v>41.363983132825702</v>
      </c>
      <c r="G37">
        <f t="shared" si="4"/>
        <v>42.92223809320587</v>
      </c>
      <c r="I37" s="7">
        <f t="shared" si="2"/>
        <v>42.92223809320587</v>
      </c>
      <c r="J37" s="7">
        <f ca="1">LOOKUP($I37,Model!$A$4:$A$104,Model!$E$4:$E$104)+($I37-INT($I37))*LOOKUP($I37,Model!$A$4:$A$104,Model!$D$4:$D$104)</f>
        <v>32.659328993605129</v>
      </c>
      <c r="L37" s="5"/>
      <c r="M37" s="5"/>
    </row>
    <row r="38" spans="1:13" x14ac:dyDescent="0.25">
      <c r="A38">
        <v>36</v>
      </c>
      <c r="B38">
        <f>'Age data'!O44</f>
        <v>1.1299999999999999E-3</v>
      </c>
      <c r="C38">
        <f t="shared" si="0"/>
        <v>0.99887000000000004</v>
      </c>
      <c r="D38">
        <f t="shared" si="3"/>
        <v>0.96260688322367993</v>
      </c>
      <c r="E38">
        <f t="shared" si="1"/>
        <v>0.96206301033465857</v>
      </c>
      <c r="F38">
        <f>SUM(E38:E$102)</f>
        <v>40.400831761441388</v>
      </c>
      <c r="G38">
        <f t="shared" si="4"/>
        <v>41.970229452487189</v>
      </c>
      <c r="I38" s="7">
        <f t="shared" si="2"/>
        <v>41.970229452487189</v>
      </c>
      <c r="J38" s="7">
        <f ca="1">LOOKUP($I38,Model!$A$4:$A$104,Model!$E$4:$E$104)+($I38-INT($I38))*LOOKUP($I38,Model!$A$4:$A$104,Model!$D$4:$D$104)</f>
        <v>32.262623706601453</v>
      </c>
      <c r="L38" s="5"/>
      <c r="M38" s="5"/>
    </row>
    <row r="39" spans="1:13" x14ac:dyDescent="0.25">
      <c r="A39">
        <v>37</v>
      </c>
      <c r="B39">
        <f>'Age data'!O45</f>
        <v>1.1299999999999999E-3</v>
      </c>
      <c r="C39">
        <f t="shared" si="0"/>
        <v>0.99887000000000004</v>
      </c>
      <c r="D39">
        <f t="shared" si="3"/>
        <v>0.96151913744563722</v>
      </c>
      <c r="E39">
        <f t="shared" si="1"/>
        <v>0.96097587913298044</v>
      </c>
      <c r="F39">
        <f>SUM(E39:E$102)</f>
        <v>39.438768751106714</v>
      </c>
      <c r="G39">
        <f t="shared" si="4"/>
        <v>41.017143825009434</v>
      </c>
      <c r="I39" s="7">
        <f t="shared" si="2"/>
        <v>41.017143825009434</v>
      </c>
      <c r="J39" s="7">
        <f ca="1">LOOKUP($I39,Model!$A$4:$A$104,Model!$E$4:$E$104)+($I39-INT($I39))*LOOKUP($I39,Model!$A$4:$A$104,Model!$D$4:$D$104)</f>
        <v>31.854076266162963</v>
      </c>
      <c r="L39" s="5"/>
      <c r="M39" s="5"/>
    </row>
    <row r="40" spans="1:13" x14ac:dyDescent="0.25">
      <c r="A40">
        <v>38</v>
      </c>
      <c r="B40">
        <f>'Age data'!O46</f>
        <v>1.1299999999999999E-3</v>
      </c>
      <c r="C40">
        <f t="shared" si="0"/>
        <v>0.99887000000000004</v>
      </c>
      <c r="D40">
        <f t="shared" si="3"/>
        <v>0.96043262082032366</v>
      </c>
      <c r="E40">
        <f t="shared" si="1"/>
        <v>0.9598899763895602</v>
      </c>
      <c r="F40">
        <f>SUM(E40:E$102)</f>
        <v>38.477792871973755</v>
      </c>
      <c r="G40">
        <f t="shared" si="4"/>
        <v>40.062979992400869</v>
      </c>
      <c r="I40" s="7">
        <f t="shared" si="2"/>
        <v>40.062979992400869</v>
      </c>
      <c r="J40" s="7">
        <f ca="1">LOOKUP($I40,Model!$A$4:$A$104,Model!$E$4:$E$104)+($I40-INT($I40))*LOOKUP($I40,Model!$A$4:$A$104,Model!$D$4:$D$104)</f>
        <v>31.4331610035083</v>
      </c>
      <c r="L40" s="5"/>
      <c r="M40" s="5"/>
    </row>
    <row r="41" spans="1:13" x14ac:dyDescent="0.25">
      <c r="A41">
        <v>39</v>
      </c>
      <c r="B41">
        <f>'Age data'!O47</f>
        <v>1.1299999999999999E-3</v>
      </c>
      <c r="C41">
        <f t="shared" si="0"/>
        <v>0.99887000000000004</v>
      </c>
      <c r="D41">
        <f t="shared" si="3"/>
        <v>0.95934733195879673</v>
      </c>
      <c r="E41">
        <f t="shared" si="1"/>
        <v>0.95880530071624004</v>
      </c>
      <c r="F41">
        <f>SUM(E41:E$102)</f>
        <v>37.517902895584193</v>
      </c>
      <c r="G41">
        <f t="shared" si="4"/>
        <v>39.107736734911313</v>
      </c>
      <c r="I41" s="7">
        <f t="shared" si="2"/>
        <v>39.107736734911313</v>
      </c>
      <c r="J41" s="7">
        <f ca="1">LOOKUP($I41,Model!$A$4:$A$104,Model!$E$4:$E$104)+($I41-INT($I41))*LOOKUP($I41,Model!$A$4:$A$104,Model!$D$4:$D$104)</f>
        <v>30.99987848704184</v>
      </c>
      <c r="L41" s="5"/>
      <c r="M41" s="5"/>
    </row>
    <row r="42" spans="1:13" x14ac:dyDescent="0.25">
      <c r="A42">
        <v>40</v>
      </c>
      <c r="B42">
        <f>'Age data'!O48</f>
        <v>1.7099999999999999E-3</v>
      </c>
      <c r="C42">
        <f t="shared" si="0"/>
        <v>0.99829000000000001</v>
      </c>
      <c r="D42">
        <f t="shared" si="3"/>
        <v>0.95826326947368334</v>
      </c>
      <c r="E42">
        <f t="shared" si="1"/>
        <v>0.95744395437828334</v>
      </c>
      <c r="F42">
        <f>SUM(E42:E$102)</f>
        <v>36.559097594867957</v>
      </c>
      <c r="G42">
        <f t="shared" si="4"/>
        <v>38.151412831410809</v>
      </c>
      <c r="I42" s="7">
        <f t="shared" si="2"/>
        <v>38.151412831410809</v>
      </c>
      <c r="J42" s="7">
        <f ca="1">LOOKUP($I42,Model!$A$4:$A$104,Model!$E$4:$E$104)+($I42-INT($I42))*LOOKUP($I42,Model!$A$4:$A$104,Model!$D$4:$D$104)</f>
        <v>30.553850261192096</v>
      </c>
      <c r="L42" s="5"/>
      <c r="M42" s="5"/>
    </row>
    <row r="43" spans="1:13" x14ac:dyDescent="0.25">
      <c r="A43">
        <v>41</v>
      </c>
      <c r="B43">
        <f>'Age data'!O49</f>
        <v>1.7099999999999999E-3</v>
      </c>
      <c r="C43">
        <f t="shared" si="0"/>
        <v>0.99829000000000001</v>
      </c>
      <c r="D43">
        <f t="shared" si="3"/>
        <v>0.95662463928288333</v>
      </c>
      <c r="E43">
        <f t="shared" si="1"/>
        <v>0.9558067252162965</v>
      </c>
      <c r="F43">
        <f>SUM(E43:E$102)</f>
        <v>35.601653640489666</v>
      </c>
      <c r="G43">
        <f t="shared" si="4"/>
        <v>37.21590703243627</v>
      </c>
      <c r="I43" s="7">
        <f t="shared" si="2"/>
        <v>37.21590703243627</v>
      </c>
      <c r="J43" s="7">
        <f ca="1">LOOKUP($I43,Model!$A$4:$A$104,Model!$E$4:$E$104)+($I43-INT($I43))*LOOKUP($I43,Model!$A$4:$A$104,Model!$D$4:$D$104)</f>
        <v>30.105236929742556</v>
      </c>
      <c r="L43" s="5"/>
      <c r="M43" s="5"/>
    </row>
    <row r="44" spans="1:13" x14ac:dyDescent="0.25">
      <c r="A44">
        <v>42</v>
      </c>
      <c r="B44">
        <f>'Age data'!O50</f>
        <v>1.7099999999999999E-3</v>
      </c>
      <c r="C44">
        <f t="shared" si="0"/>
        <v>0.99829000000000001</v>
      </c>
      <c r="D44">
        <f t="shared" si="3"/>
        <v>0.95498881114970957</v>
      </c>
      <c r="E44">
        <f t="shared" si="1"/>
        <v>0.95417229571617657</v>
      </c>
      <c r="F44">
        <f>SUM(E44:E$102)</f>
        <v>34.64584691527336</v>
      </c>
      <c r="G44">
        <f t="shared" si="4"/>
        <v>36.27879877834723</v>
      </c>
      <c r="I44" s="7">
        <f t="shared" si="2"/>
        <v>36.27879877834723</v>
      </c>
      <c r="J44" s="7">
        <f ca="1">LOOKUP($I44,Model!$A$4:$A$104,Model!$E$4:$E$104)+($I44-INT($I44))*LOOKUP($I44,Model!$A$4:$A$104,Model!$D$4:$D$104)</f>
        <v>29.643452328625475</v>
      </c>
      <c r="L44" s="5"/>
      <c r="M44" s="5"/>
    </row>
    <row r="45" spans="1:13" x14ac:dyDescent="0.25">
      <c r="A45">
        <v>43</v>
      </c>
      <c r="B45">
        <f>'Age data'!O51</f>
        <v>1.7099999999999999E-3</v>
      </c>
      <c r="C45">
        <f t="shared" si="0"/>
        <v>0.99829000000000001</v>
      </c>
      <c r="D45">
        <f t="shared" si="3"/>
        <v>0.95335578028264356</v>
      </c>
      <c r="E45">
        <f t="shared" si="1"/>
        <v>0.95254066109050184</v>
      </c>
      <c r="F45">
        <f>SUM(E45:E$102)</f>
        <v>33.691674619557183</v>
      </c>
      <c r="G45">
        <f t="shared" si="4"/>
        <v>35.340085324251703</v>
      </c>
      <c r="I45" s="7">
        <f t="shared" si="2"/>
        <v>35.340085324251703</v>
      </c>
      <c r="J45" s="7">
        <f ca="1">LOOKUP($I45,Model!$A$4:$A$104,Model!$E$4:$E$104)+($I45-INT($I45))*LOOKUP($I45,Model!$A$4:$A$104,Model!$D$4:$D$104)</f>
        <v>29.168084820944316</v>
      </c>
      <c r="L45" s="5"/>
      <c r="M45" s="5"/>
    </row>
    <row r="46" spans="1:13" x14ac:dyDescent="0.25">
      <c r="A46">
        <v>44</v>
      </c>
      <c r="B46">
        <f>'Age data'!O52</f>
        <v>1.7099999999999999E-3</v>
      </c>
      <c r="C46">
        <f t="shared" si="0"/>
        <v>0.99829000000000001</v>
      </c>
      <c r="D46">
        <f t="shared" si="3"/>
        <v>0.95172554189836023</v>
      </c>
      <c r="E46">
        <f t="shared" si="1"/>
        <v>0.9509118165600372</v>
      </c>
      <c r="F46">
        <f>SUM(E46:E$102)</f>
        <v>32.739133958466674</v>
      </c>
      <c r="G46">
        <f t="shared" si="4"/>
        <v>34.399763920555849</v>
      </c>
      <c r="I46" s="7">
        <f t="shared" si="2"/>
        <v>34.399763920555849</v>
      </c>
      <c r="J46" s="7">
        <f ca="1">LOOKUP($I46,Model!$A$4:$A$104,Model!$E$4:$E$104)+($I46-INT($I46))*LOOKUP($I46,Model!$A$4:$A$104,Model!$D$4:$D$104)</f>
        <v>28.678709155273783</v>
      </c>
      <c r="L46" s="5"/>
      <c r="M46" s="5"/>
    </row>
    <row r="47" spans="1:13" x14ac:dyDescent="0.25">
      <c r="A47">
        <v>45</v>
      </c>
      <c r="B47">
        <f>'Age data'!O53</f>
        <v>2.6700000000000001E-3</v>
      </c>
      <c r="C47">
        <f t="shared" si="0"/>
        <v>0.99733000000000005</v>
      </c>
      <c r="D47">
        <f t="shared" si="3"/>
        <v>0.95009809122171407</v>
      </c>
      <c r="E47">
        <f t="shared" si="1"/>
        <v>0.94882971026993312</v>
      </c>
      <c r="F47">
        <f>SUM(E47:E$102)</f>
        <v>31.788222141906626</v>
      </c>
      <c r="G47">
        <f t="shared" si="4"/>
        <v>33.457831812955988</v>
      </c>
      <c r="I47" s="7">
        <f t="shared" si="2"/>
        <v>33.457831812955988</v>
      </c>
      <c r="J47" s="7">
        <f ca="1">LOOKUP($I47,Model!$A$4:$A$104,Model!$E$4:$E$104)+($I47-INT($I47))*LOOKUP($I47,Model!$A$4:$A$104,Model!$D$4:$D$104)</f>
        <v>28.174885995601581</v>
      </c>
      <c r="L47" s="5"/>
      <c r="M47" s="5"/>
    </row>
    <row r="48" spans="1:13" x14ac:dyDescent="0.25">
      <c r="A48">
        <v>46</v>
      </c>
      <c r="B48">
        <f>'Age data'!O54</f>
        <v>2.6700000000000001E-3</v>
      </c>
      <c r="C48">
        <f t="shared" si="0"/>
        <v>0.99733000000000005</v>
      </c>
      <c r="D48">
        <f t="shared" si="3"/>
        <v>0.94756132931815218</v>
      </c>
      <c r="E48">
        <f t="shared" si="1"/>
        <v>0.94629633494351251</v>
      </c>
      <c r="F48">
        <f>SUM(E48:E$102)</f>
        <v>30.839392431636693</v>
      </c>
      <c r="G48">
        <f t="shared" si="4"/>
        <v>32.546064805987974</v>
      </c>
      <c r="I48" s="7">
        <f t="shared" si="2"/>
        <v>32.546064805987974</v>
      </c>
      <c r="J48" s="7">
        <f ca="1">LOOKUP($I48,Model!$A$4:$A$104,Model!$E$4:$E$104)+($I48-INT($I48))*LOOKUP($I48,Model!$A$4:$A$104,Model!$D$4:$D$104)</f>
        <v>27.67387954553325</v>
      </c>
      <c r="L48" s="5"/>
      <c r="M48" s="5"/>
    </row>
    <row r="49" spans="1:13" x14ac:dyDescent="0.25">
      <c r="A49">
        <v>47</v>
      </c>
      <c r="B49">
        <f>'Age data'!O55</f>
        <v>2.6700000000000001E-3</v>
      </c>
      <c r="C49">
        <f t="shared" si="0"/>
        <v>0.99733000000000005</v>
      </c>
      <c r="D49">
        <f t="shared" si="3"/>
        <v>0.94503134056887272</v>
      </c>
      <c r="E49">
        <f t="shared" si="1"/>
        <v>0.94376972372921331</v>
      </c>
      <c r="F49">
        <f>SUM(E49:E$102)</f>
        <v>29.893096096693174</v>
      </c>
      <c r="G49">
        <f t="shared" si="4"/>
        <v>31.631856863814352</v>
      </c>
      <c r="I49" s="7">
        <f t="shared" si="2"/>
        <v>31.631856863814352</v>
      </c>
      <c r="J49" s="7">
        <f ca="1">LOOKUP($I49,Model!$A$4:$A$104,Model!$E$4:$E$104)+($I49-INT($I49))*LOOKUP($I49,Model!$A$4:$A$104,Model!$D$4:$D$104)</f>
        <v>27.158079632787985</v>
      </c>
      <c r="L49" s="5"/>
      <c r="M49" s="5"/>
    </row>
    <row r="50" spans="1:13" x14ac:dyDescent="0.25">
      <c r="A50">
        <v>48</v>
      </c>
      <c r="B50">
        <f>'Age data'!O56</f>
        <v>2.6700000000000001E-3</v>
      </c>
      <c r="C50">
        <f t="shared" si="0"/>
        <v>0.99733000000000005</v>
      </c>
      <c r="D50">
        <f t="shared" si="3"/>
        <v>0.94250810688955389</v>
      </c>
      <c r="E50">
        <f t="shared" si="1"/>
        <v>0.94124985856685628</v>
      </c>
      <c r="F50">
        <f>SUM(E50:E$102)</f>
        <v>28.949326372963963</v>
      </c>
      <c r="G50">
        <f t="shared" si="4"/>
        <v>30.715201451690366</v>
      </c>
      <c r="I50" s="7">
        <f t="shared" si="2"/>
        <v>30.715201451690366</v>
      </c>
      <c r="J50" s="7">
        <f ca="1">LOOKUP($I50,Model!$A$4:$A$104,Model!$E$4:$E$104)+($I50-INT($I50))*LOOKUP($I50,Model!$A$4:$A$104,Model!$D$4:$D$104)</f>
        <v>26.627004051958558</v>
      </c>
      <c r="L50" s="5"/>
      <c r="M50" s="5"/>
    </row>
    <row r="51" spans="1:13" x14ac:dyDescent="0.25">
      <c r="A51">
        <v>49</v>
      </c>
      <c r="B51">
        <f>'Age data'!O57</f>
        <v>2.6700000000000001E-3</v>
      </c>
      <c r="C51">
        <f t="shared" si="0"/>
        <v>0.99733000000000005</v>
      </c>
      <c r="D51">
        <f t="shared" si="3"/>
        <v>0.93999161024415878</v>
      </c>
      <c r="E51">
        <f t="shared" si="1"/>
        <v>0.93873672144448284</v>
      </c>
      <c r="F51">
        <f>SUM(E51:E$102)</f>
        <v>28.008076514397107</v>
      </c>
      <c r="G51">
        <f t="shared" si="4"/>
        <v>29.796092017376761</v>
      </c>
      <c r="I51" s="7">
        <f t="shared" si="2"/>
        <v>29.796092017376761</v>
      </c>
      <c r="J51" s="7">
        <f ca="1">LOOKUP($I51,Model!$A$4:$A$104,Model!$E$4:$E$104)+($I51-INT($I51))*LOOKUP($I51,Model!$A$4:$A$104,Model!$D$4:$D$104)</f>
        <v>26.080153538120502</v>
      </c>
      <c r="L51" s="5"/>
      <c r="M51" s="5"/>
    </row>
    <row r="52" spans="1:13" x14ac:dyDescent="0.25">
      <c r="A52">
        <v>50</v>
      </c>
      <c r="B52">
        <f>'Age data'!O58</f>
        <v>4.1200000000000004E-3</v>
      </c>
      <c r="C52">
        <f t="shared" si="0"/>
        <v>0.99587999999999999</v>
      </c>
      <c r="D52">
        <f t="shared" si="3"/>
        <v>0.93748183264480689</v>
      </c>
      <c r="E52">
        <f t="shared" si="1"/>
        <v>0.93555062006955858</v>
      </c>
      <c r="F52">
        <f>SUM(E52:E$102)</f>
        <v>27.069339792952629</v>
      </c>
      <c r="G52">
        <f t="shared" si="4"/>
        <v>28.874521991092983</v>
      </c>
      <c r="I52" s="7">
        <f t="shared" si="2"/>
        <v>28.874521991092983</v>
      </c>
      <c r="J52" s="7">
        <f ca="1">LOOKUP($I52,Model!$A$4:$A$104,Model!$E$4:$E$104)+($I52-INT($I52))*LOOKUP($I52,Model!$A$4:$A$104,Model!$D$4:$D$104)</f>
        <v>25.517011131520174</v>
      </c>
      <c r="L52" s="5"/>
      <c r="M52" s="5"/>
    </row>
    <row r="53" spans="1:13" x14ac:dyDescent="0.25">
      <c r="A53">
        <v>51</v>
      </c>
      <c r="B53">
        <f>'Age data'!O59</f>
        <v>4.1200000000000004E-3</v>
      </c>
      <c r="C53">
        <f t="shared" si="0"/>
        <v>0.99587999999999999</v>
      </c>
      <c r="D53">
        <f t="shared" si="3"/>
        <v>0.93361940749431027</v>
      </c>
      <c r="E53">
        <f t="shared" si="1"/>
        <v>0.93169615151487206</v>
      </c>
      <c r="F53">
        <f>SUM(E53:E$102)</f>
        <v>26.133789172883066</v>
      </c>
      <c r="G53">
        <f t="shared" si="4"/>
        <v>27.991908654750553</v>
      </c>
      <c r="I53" s="7">
        <f t="shared" si="2"/>
        <v>27.991908654750553</v>
      </c>
      <c r="J53" s="7">
        <f ca="1">LOOKUP($I53,Model!$A$4:$A$104,Model!$E$4:$E$104)+($I53-INT($I53))*LOOKUP($I53,Model!$A$4:$A$104,Model!$D$4:$D$104)</f>
        <v>24.963769306680529</v>
      </c>
      <c r="L53" s="5"/>
      <c r="M53" s="5"/>
    </row>
    <row r="54" spans="1:13" x14ac:dyDescent="0.25">
      <c r="A54">
        <v>52</v>
      </c>
      <c r="B54">
        <f>'Age data'!O60</f>
        <v>4.1200000000000004E-3</v>
      </c>
      <c r="C54">
        <f t="shared" si="0"/>
        <v>0.99587999999999999</v>
      </c>
      <c r="D54">
        <f t="shared" si="3"/>
        <v>0.92977289553543374</v>
      </c>
      <c r="E54">
        <f t="shared" si="1"/>
        <v>0.92785756337063074</v>
      </c>
      <c r="F54">
        <f>SUM(E54:E$102)</f>
        <v>25.202093021368196</v>
      </c>
      <c r="G54">
        <f t="shared" si="4"/>
        <v>27.105643907650073</v>
      </c>
      <c r="I54" s="7">
        <f t="shared" si="2"/>
        <v>27.105643907650073</v>
      </c>
      <c r="J54" s="7">
        <f ca="1">LOOKUP($I54,Model!$A$4:$A$104,Model!$E$4:$E$104)+($I54-INT($I54))*LOOKUP($I54,Model!$A$4:$A$104,Model!$D$4:$D$104)</f>
        <v>24.391927582394327</v>
      </c>
      <c r="L54" s="5"/>
      <c r="M54" s="5"/>
    </row>
    <row r="55" spans="1:13" x14ac:dyDescent="0.25">
      <c r="A55">
        <v>53</v>
      </c>
      <c r="B55">
        <f>'Age data'!O61</f>
        <v>4.1200000000000004E-3</v>
      </c>
      <c r="C55">
        <f t="shared" si="0"/>
        <v>0.99587999999999999</v>
      </c>
      <c r="D55">
        <f t="shared" si="3"/>
        <v>0.92594223120582775</v>
      </c>
      <c r="E55">
        <f t="shared" si="1"/>
        <v>0.92403479020954371</v>
      </c>
      <c r="F55">
        <f>SUM(E55:E$102)</f>
        <v>24.274235457997566</v>
      </c>
      <c r="G55">
        <f t="shared" si="4"/>
        <v>26.21571264374229</v>
      </c>
      <c r="I55" s="7">
        <f t="shared" si="2"/>
        <v>26.21571264374229</v>
      </c>
      <c r="J55" s="7">
        <f ca="1">LOOKUP($I55,Model!$A$4:$A$104,Model!$E$4:$E$104)+($I55-INT($I55))*LOOKUP($I55,Model!$A$4:$A$104,Model!$D$4:$D$104)</f>
        <v>23.802720479887395</v>
      </c>
      <c r="L55" s="5"/>
      <c r="M55" s="5"/>
    </row>
    <row r="56" spans="1:13" x14ac:dyDescent="0.25">
      <c r="A56">
        <v>54</v>
      </c>
      <c r="B56">
        <f>'Age data'!O62</f>
        <v>4.1200000000000004E-3</v>
      </c>
      <c r="C56">
        <f t="shared" si="0"/>
        <v>0.99587999999999999</v>
      </c>
      <c r="D56">
        <f t="shared" si="3"/>
        <v>0.92212734921325967</v>
      </c>
      <c r="E56">
        <f t="shared" si="1"/>
        <v>0.9202277668738803</v>
      </c>
      <c r="F56">
        <f>SUM(E56:E$102)</f>
        <v>23.35020066778802</v>
      </c>
      <c r="G56">
        <f t="shared" si="4"/>
        <v>25.322099694483562</v>
      </c>
      <c r="I56" s="7">
        <f t="shared" si="2"/>
        <v>25.322099694483562</v>
      </c>
      <c r="J56" s="7">
        <f ca="1">LOOKUP($I56,Model!$A$4:$A$104,Model!$E$4:$E$104)+($I56-INT($I56))*LOOKUP($I56,Model!$A$4:$A$104,Model!$D$4:$D$104)</f>
        <v>23.195697716678897</v>
      </c>
      <c r="L56" s="5"/>
      <c r="M56" s="5"/>
    </row>
    <row r="57" spans="1:13" x14ac:dyDescent="0.25">
      <c r="A57">
        <v>55</v>
      </c>
      <c r="B57">
        <f>'Age data'!O63</f>
        <v>6.3899999999999998E-3</v>
      </c>
      <c r="C57">
        <f t="shared" si="0"/>
        <v>0.99360999999999999</v>
      </c>
      <c r="D57">
        <f t="shared" si="3"/>
        <v>0.91832818453450105</v>
      </c>
      <c r="E57">
        <f t="shared" si="1"/>
        <v>0.91539412598491332</v>
      </c>
      <c r="F57">
        <f>SUM(E57:E$102)</f>
        <v>22.429972900914134</v>
      </c>
      <c r="G57">
        <f t="shared" si="4"/>
        <v>24.424789828577293</v>
      </c>
      <c r="I57" s="7">
        <f t="shared" si="2"/>
        <v>24.424789828577293</v>
      </c>
      <c r="J57" s="7">
        <f ca="1">LOOKUP($I57,Model!$A$4:$A$104,Model!$E$4:$E$104)+($I57-INT($I57))*LOOKUP($I57,Model!$A$4:$A$104,Model!$D$4:$D$104)</f>
        <v>22.57023543883782</v>
      </c>
      <c r="L57" s="5"/>
      <c r="M57" s="5"/>
    </row>
    <row r="58" spans="1:13" x14ac:dyDescent="0.25">
      <c r="A58">
        <v>56</v>
      </c>
      <c r="B58">
        <f>'Age data'!O64</f>
        <v>6.3899999999999998E-3</v>
      </c>
      <c r="C58">
        <f t="shared" si="0"/>
        <v>0.99360999999999999</v>
      </c>
      <c r="D58">
        <f t="shared" si="3"/>
        <v>0.91246006743532559</v>
      </c>
      <c r="E58">
        <f t="shared" si="1"/>
        <v>0.90954475751986974</v>
      </c>
      <c r="F58">
        <f>SUM(E58:E$102)</f>
        <v>21.514578774929223</v>
      </c>
      <c r="G58">
        <f t="shared" si="4"/>
        <v>23.578652417525284</v>
      </c>
      <c r="I58" s="7">
        <f t="shared" si="2"/>
        <v>23.578652417525284</v>
      </c>
      <c r="J58" s="7">
        <f ca="1">LOOKUP($I58,Model!$A$4:$A$104,Model!$E$4:$E$104)+($I58-INT($I58))*LOOKUP($I58,Model!$A$4:$A$104,Model!$D$4:$D$104)</f>
        <v>21.96548773822115</v>
      </c>
      <c r="L58" s="5"/>
      <c r="M58" s="5"/>
    </row>
    <row r="59" spans="1:13" x14ac:dyDescent="0.25">
      <c r="A59">
        <v>57</v>
      </c>
      <c r="B59">
        <f>'Age data'!O65</f>
        <v>6.3899999999999998E-3</v>
      </c>
      <c r="C59">
        <f t="shared" si="0"/>
        <v>0.99360999999999999</v>
      </c>
      <c r="D59">
        <f t="shared" si="3"/>
        <v>0.90662944760441389</v>
      </c>
      <c r="E59">
        <f t="shared" si="1"/>
        <v>0.90373276651931778</v>
      </c>
      <c r="F59">
        <f>SUM(E59:E$102)</f>
        <v>20.605034017409356</v>
      </c>
      <c r="G59">
        <f t="shared" si="4"/>
        <v>22.727073416657728</v>
      </c>
      <c r="I59" s="7">
        <f t="shared" si="2"/>
        <v>22.727073416657728</v>
      </c>
      <c r="J59" s="7">
        <f ca="1">LOOKUP($I59,Model!$A$4:$A$104,Model!$E$4:$E$104)+($I59-INT($I59))*LOOKUP($I59,Model!$A$4:$A$104,Model!$D$4:$D$104)</f>
        <v>21.342058862811626</v>
      </c>
      <c r="L59" s="5"/>
      <c r="M59" s="5"/>
    </row>
    <row r="60" spans="1:13" x14ac:dyDescent="0.25">
      <c r="A60">
        <v>58</v>
      </c>
      <c r="B60">
        <f>'Age data'!O66</f>
        <v>6.3899999999999998E-3</v>
      </c>
      <c r="C60">
        <f t="shared" si="0"/>
        <v>0.99360999999999999</v>
      </c>
      <c r="D60">
        <f t="shared" si="3"/>
        <v>0.90083608543422167</v>
      </c>
      <c r="E60">
        <f t="shared" si="1"/>
        <v>0.89795791414125925</v>
      </c>
      <c r="F60">
        <f>SUM(E60:E$102)</f>
        <v>19.701301250890037</v>
      </c>
      <c r="G60">
        <f t="shared" si="4"/>
        <v>21.870017830595231</v>
      </c>
      <c r="I60" s="7">
        <f t="shared" si="2"/>
        <v>21.870017830595231</v>
      </c>
      <c r="J60" s="7">
        <f ca="1">LOOKUP($I60,Model!$A$4:$A$104,Model!$E$4:$E$104)+($I60-INT($I60))*LOOKUP($I60,Model!$A$4:$A$104,Model!$D$4:$D$104)</f>
        <v>20.699225337216841</v>
      </c>
      <c r="L60" s="5"/>
      <c r="M60" s="5"/>
    </row>
    <row r="61" spans="1:13" x14ac:dyDescent="0.25">
      <c r="A61">
        <v>59</v>
      </c>
      <c r="B61">
        <f>'Age data'!O67</f>
        <v>6.3899999999999998E-3</v>
      </c>
      <c r="C61">
        <f t="shared" si="0"/>
        <v>0.99360999999999999</v>
      </c>
      <c r="D61">
        <f t="shared" si="3"/>
        <v>0.89507974284829694</v>
      </c>
      <c r="E61">
        <f t="shared" si="1"/>
        <v>0.89221996306989659</v>
      </c>
      <c r="F61">
        <f>SUM(E61:E$102)</f>
        <v>18.803343336748778</v>
      </c>
      <c r="G61">
        <f t="shared" si="4"/>
        <v>21.007450438899802</v>
      </c>
      <c r="I61" s="7">
        <f t="shared" si="2"/>
        <v>21.007450438899802</v>
      </c>
      <c r="J61" s="7">
        <f ca="1">LOOKUP($I61,Model!$A$4:$A$104,Model!$E$4:$E$104)+($I61-INT($I61))*LOOKUP($I61,Model!$A$4:$A$104,Model!$D$4:$D$104)</f>
        <v>20.036062080694467</v>
      </c>
      <c r="L61" s="5"/>
      <c r="M61" s="5"/>
    </row>
    <row r="62" spans="1:13" x14ac:dyDescent="0.25">
      <c r="A62">
        <v>60</v>
      </c>
      <c r="B62">
        <f>'Age data'!O68</f>
        <v>1.0410000000000001E-2</v>
      </c>
      <c r="C62">
        <f t="shared" si="0"/>
        <v>0.98958999999999997</v>
      </c>
      <c r="D62">
        <f t="shared" si="3"/>
        <v>0.88936018329149635</v>
      </c>
      <c r="E62">
        <f t="shared" si="1"/>
        <v>0.88473106353746411</v>
      </c>
      <c r="F62">
        <f>SUM(E62:E$102)</f>
        <v>17.91112337367888</v>
      </c>
      <c r="G62">
        <f t="shared" si="4"/>
        <v>20.13933579462747</v>
      </c>
      <c r="I62" s="7">
        <f t="shared" si="2"/>
        <v>20.13933579462747</v>
      </c>
      <c r="J62" s="7">
        <f ca="1">LOOKUP($I62,Model!$A$4:$A$104,Model!$E$4:$E$104)+($I62-INT($I62))*LOOKUP($I62,Model!$A$4:$A$104,Model!$D$4:$D$104)</f>
        <v>19.349020484736002</v>
      </c>
      <c r="L62" s="5"/>
      <c r="M62" s="5"/>
    </row>
    <row r="63" spans="1:13" x14ac:dyDescent="0.25">
      <c r="A63">
        <v>61</v>
      </c>
      <c r="B63">
        <f>'Age data'!O69</f>
        <v>1.0410000000000001E-2</v>
      </c>
      <c r="C63">
        <f t="shared" si="0"/>
        <v>0.98958999999999997</v>
      </c>
      <c r="D63">
        <f t="shared" si="3"/>
        <v>0.88010194378343187</v>
      </c>
      <c r="E63">
        <f t="shared" si="1"/>
        <v>0.87552101316603914</v>
      </c>
      <c r="F63">
        <f>SUM(E63:E$102)</f>
        <v>17.026392310141421</v>
      </c>
      <c r="G63">
        <f t="shared" si="4"/>
        <v>19.345931946187285</v>
      </c>
      <c r="I63" s="7">
        <f t="shared" si="2"/>
        <v>19.345931946187285</v>
      </c>
      <c r="J63" s="7">
        <f ca="1">LOOKUP($I63,Model!$A$4:$A$104,Model!$E$4:$E$104)+($I63-INT($I63))*LOOKUP($I63,Model!$A$4:$A$104,Model!$D$4:$D$104)</f>
        <v>18.705603972265472</v>
      </c>
      <c r="L63" s="5"/>
      <c r="M63" s="5"/>
    </row>
    <row r="64" spans="1:13" x14ac:dyDescent="0.25">
      <c r="A64">
        <v>62</v>
      </c>
      <c r="B64">
        <f>'Age data'!O70</f>
        <v>1.0410000000000001E-2</v>
      </c>
      <c r="C64">
        <f t="shared" si="0"/>
        <v>0.98958999999999997</v>
      </c>
      <c r="D64">
        <f t="shared" si="3"/>
        <v>0.8709400825486463</v>
      </c>
      <c r="E64">
        <f t="shared" si="1"/>
        <v>0.86640683941898056</v>
      </c>
      <c r="F64">
        <f>SUM(E64:E$102)</f>
        <v>16.150871296975382</v>
      </c>
      <c r="G64">
        <f t="shared" si="4"/>
        <v>18.544181879553438</v>
      </c>
      <c r="I64" s="7">
        <f t="shared" si="2"/>
        <v>18.544181879553438</v>
      </c>
      <c r="J64" s="7">
        <f ca="1">LOOKUP($I64,Model!$A$4:$A$104,Model!$E$4:$E$104)+($I64-INT($I64))*LOOKUP($I64,Model!$A$4:$A$104,Model!$D$4:$D$104)</f>
        <v>18.041102780047122</v>
      </c>
      <c r="L64" s="5"/>
      <c r="M64" s="5"/>
    </row>
    <row r="65" spans="1:13" x14ac:dyDescent="0.25">
      <c r="A65">
        <v>63</v>
      </c>
      <c r="B65">
        <f>'Age data'!O71</f>
        <v>1.0410000000000001E-2</v>
      </c>
      <c r="C65">
        <f t="shared" si="0"/>
        <v>0.98958999999999997</v>
      </c>
      <c r="D65">
        <f t="shared" si="3"/>
        <v>0.86187359628931481</v>
      </c>
      <c r="E65">
        <f t="shared" si="1"/>
        <v>0.85738754422062891</v>
      </c>
      <c r="F65">
        <f>SUM(E65:E$102)</f>
        <v>15.284464457556407</v>
      </c>
      <c r="G65">
        <f t="shared" si="4"/>
        <v>17.733997796616219</v>
      </c>
      <c r="I65" s="7">
        <f t="shared" si="2"/>
        <v>17.733997796616219</v>
      </c>
      <c r="J65" s="7">
        <f ca="1">LOOKUP($I65,Model!$A$4:$A$104,Model!$E$4:$E$104)+($I65-INT($I65))*LOOKUP($I65,Model!$A$4:$A$104,Model!$D$4:$D$104)</f>
        <v>17.354548777568272</v>
      </c>
      <c r="L65" s="5"/>
      <c r="M65" s="5"/>
    </row>
    <row r="66" spans="1:13" x14ac:dyDescent="0.25">
      <c r="A66">
        <v>64</v>
      </c>
      <c r="B66">
        <f>'Age data'!O72</f>
        <v>1.0410000000000001E-2</v>
      </c>
      <c r="C66">
        <f t="shared" si="0"/>
        <v>0.98958999999999997</v>
      </c>
      <c r="D66">
        <f t="shared" si="3"/>
        <v>0.852901492151943</v>
      </c>
      <c r="E66">
        <f t="shared" si="1"/>
        <v>0.84846213988529207</v>
      </c>
      <c r="F66">
        <f>SUM(E66:E$102)</f>
        <v>14.427076913335778</v>
      </c>
      <c r="G66">
        <f t="shared" si="4"/>
        <v>16.915290975672978</v>
      </c>
      <c r="I66" s="7">
        <f t="shared" si="2"/>
        <v>16.915290975672978</v>
      </c>
      <c r="J66" s="7">
        <f ca="1">LOOKUP($I66,Model!$A$4:$A$104,Model!$E$4:$E$104)+($I66-INT($I66))*LOOKUP($I66,Model!$A$4:$A$104,Model!$D$4:$D$104)</f>
        <v>16.644923492959773</v>
      </c>
      <c r="L66" s="5"/>
      <c r="M66" s="5"/>
    </row>
    <row r="67" spans="1:13" x14ac:dyDescent="0.25">
      <c r="A67">
        <v>65</v>
      </c>
      <c r="B67">
        <f>'Age data'!O73</f>
        <v>1.7749999999999998E-2</v>
      </c>
      <c r="C67">
        <f t="shared" ref="C67:C102" si="5">1-B67</f>
        <v>0.98224999999999996</v>
      </c>
      <c r="D67">
        <f t="shared" si="3"/>
        <v>0.84402278761864125</v>
      </c>
      <c r="E67">
        <f t="shared" ref="E67:E101" si="6">(D67+D68)/2</f>
        <v>0.83653208537852586</v>
      </c>
      <c r="F67">
        <f>SUM(E67:E$102)</f>
        <v>13.578614773450488</v>
      </c>
      <c r="G67">
        <f t="shared" si="4"/>
        <v>16.087971761712407</v>
      </c>
      <c r="I67" s="7">
        <f t="shared" ref="I67:I102" si="7">G67</f>
        <v>16.087971761712407</v>
      </c>
      <c r="J67" s="7">
        <f ca="1">LOOKUP($I67,Model!$A$4:$A$104,Model!$E$4:$E$104)+($I67-INT($I67))*LOOKUP($I67,Model!$A$4:$A$104,Model!$D$4:$D$104)</f>
        <v>15.908835486618113</v>
      </c>
      <c r="L67" s="5"/>
      <c r="M67" s="5"/>
    </row>
    <row r="68" spans="1:13" x14ac:dyDescent="0.25">
      <c r="A68">
        <v>66</v>
      </c>
      <c r="B68">
        <f>'Age data'!O74</f>
        <v>1.7749999999999998E-2</v>
      </c>
      <c r="C68">
        <f t="shared" si="5"/>
        <v>0.98224999999999996</v>
      </c>
      <c r="D68">
        <f t="shared" ref="D68:D102" si="8">D67*C67</f>
        <v>0.82904138313841036</v>
      </c>
      <c r="E68">
        <f t="shared" si="6"/>
        <v>0.82168364086305701</v>
      </c>
      <c r="F68">
        <f>SUM(E68:E$102)</f>
        <v>12.742082688071962</v>
      </c>
      <c r="G68">
        <f t="shared" si="4"/>
        <v>15.369658194667759</v>
      </c>
      <c r="I68" s="7">
        <f t="shared" si="7"/>
        <v>15.369658194667759</v>
      </c>
      <c r="J68" s="7">
        <f ca="1">LOOKUP($I68,Model!$A$4:$A$104,Model!$E$4:$E$104)+($I68-INT($I68))*LOOKUP($I68,Model!$A$4:$A$104,Model!$D$4:$D$104)</f>
        <v>15.253109077383678</v>
      </c>
      <c r="L68" s="5"/>
      <c r="M68" s="5"/>
    </row>
    <row r="69" spans="1:13" x14ac:dyDescent="0.25">
      <c r="A69">
        <v>67</v>
      </c>
      <c r="B69">
        <f>'Age data'!O75</f>
        <v>1.7749999999999998E-2</v>
      </c>
      <c r="C69">
        <f t="shared" si="5"/>
        <v>0.98224999999999996</v>
      </c>
      <c r="D69">
        <f t="shared" si="8"/>
        <v>0.81432589858770354</v>
      </c>
      <c r="E69">
        <f t="shared" si="6"/>
        <v>0.80709875623773764</v>
      </c>
      <c r="F69">
        <f>SUM(E69:E$102)</f>
        <v>11.920399047208903</v>
      </c>
      <c r="G69">
        <f t="shared" si="4"/>
        <v>14.63836415848079</v>
      </c>
      <c r="I69" s="7">
        <f t="shared" si="7"/>
        <v>14.63836415848079</v>
      </c>
      <c r="J69" s="7">
        <f ca="1">LOOKUP($I69,Model!$A$4:$A$104,Model!$E$4:$E$104)+($I69-INT($I69))*LOOKUP($I69,Model!$A$4:$A$104,Model!$D$4:$D$104)</f>
        <v>14.573351338071925</v>
      </c>
      <c r="L69" s="5"/>
      <c r="M69" s="5"/>
    </row>
    <row r="70" spans="1:13" x14ac:dyDescent="0.25">
      <c r="A70">
        <v>68</v>
      </c>
      <c r="B70">
        <f>'Age data'!O76</f>
        <v>1.7749999999999998E-2</v>
      </c>
      <c r="C70">
        <f t="shared" si="5"/>
        <v>0.98224999999999996</v>
      </c>
      <c r="D70">
        <f t="shared" si="8"/>
        <v>0.79987161388777173</v>
      </c>
      <c r="E70">
        <f t="shared" si="6"/>
        <v>0.79277275331451769</v>
      </c>
      <c r="F70">
        <f>SUM(E70:E$102)</f>
        <v>11.113300290971166</v>
      </c>
      <c r="G70">
        <f t="shared" ref="G70:G102" si="9">F70/D70</f>
        <v>13.893855086261942</v>
      </c>
      <c r="I70" s="7">
        <f t="shared" si="7"/>
        <v>13.893855086261942</v>
      </c>
      <c r="J70" s="7">
        <f ca="1">LOOKUP($I70,Model!$A$4:$A$104,Model!$E$4:$E$104)+($I70-INT($I70))*LOOKUP($I70,Model!$A$4:$A$104,Model!$D$4:$D$104)</f>
        <v>13.868123021778723</v>
      </c>
      <c r="L70" s="5"/>
      <c r="M70" s="5"/>
    </row>
    <row r="71" spans="1:13" x14ac:dyDescent="0.25">
      <c r="A71">
        <v>69</v>
      </c>
      <c r="B71">
        <f>'Age data'!O77</f>
        <v>1.7749999999999998E-2</v>
      </c>
      <c r="C71">
        <f t="shared" si="5"/>
        <v>0.98224999999999996</v>
      </c>
      <c r="D71">
        <f t="shared" si="8"/>
        <v>0.78567389274126376</v>
      </c>
      <c r="E71">
        <f t="shared" si="6"/>
        <v>0.77870103694318504</v>
      </c>
      <c r="F71">
        <f>SUM(E71:E$102)</f>
        <v>10.320527537656648</v>
      </c>
      <c r="G71">
        <f t="shared" si="9"/>
        <v>13.135892172320634</v>
      </c>
      <c r="I71" s="7">
        <f t="shared" si="7"/>
        <v>13.135892172320634</v>
      </c>
      <c r="J71" s="7">
        <f ca="1">LOOKUP($I71,Model!$A$4:$A$104,Model!$E$4:$E$104)+($I71-INT($I71))*LOOKUP($I71,Model!$A$4:$A$104,Model!$D$4:$D$104)</f>
        <v>13.131980144303272</v>
      </c>
      <c r="L71" s="5"/>
      <c r="M71" s="5"/>
    </row>
    <row r="72" spans="1:13" x14ac:dyDescent="0.25">
      <c r="A72">
        <v>70</v>
      </c>
      <c r="B72">
        <f>'Age data'!O78</f>
        <v>3.1829999999999997E-2</v>
      </c>
      <c r="C72">
        <f t="shared" si="5"/>
        <v>0.96816999999999998</v>
      </c>
      <c r="D72">
        <f t="shared" si="8"/>
        <v>0.77172818114510633</v>
      </c>
      <c r="E72">
        <f t="shared" si="6"/>
        <v>0.75944612714218196</v>
      </c>
      <c r="F72">
        <f>SUM(E72:E$102)</f>
        <v>9.5418265007134622</v>
      </c>
      <c r="G72">
        <f t="shared" si="9"/>
        <v>12.364232295566946</v>
      </c>
      <c r="I72" s="7">
        <f t="shared" si="7"/>
        <v>12.364232295566946</v>
      </c>
      <c r="J72" s="7">
        <f>LOOKUP($I72,Model!$A$4:$A$104,Model!$E$4:$E$104)+($I72-INT($I72))*LOOKUP($I72,Model!$A$4:$A$104,Model!$D$4:$D$104)</f>
        <v>12.364232295566946</v>
      </c>
      <c r="L72" s="5"/>
      <c r="M72" s="5"/>
    </row>
    <row r="73" spans="1:13" x14ac:dyDescent="0.25">
      <c r="A73">
        <v>71</v>
      </c>
      <c r="B73">
        <f>'Age data'!O79</f>
        <v>3.1829999999999997E-2</v>
      </c>
      <c r="C73">
        <f t="shared" si="5"/>
        <v>0.96816999999999998</v>
      </c>
      <c r="D73">
        <f t="shared" si="8"/>
        <v>0.74716407313925759</v>
      </c>
      <c r="E73">
        <f t="shared" si="6"/>
        <v>0.7352729569152463</v>
      </c>
      <c r="F73">
        <f>SUM(E73:E$102)</f>
        <v>8.7823803735712804</v>
      </c>
      <c r="G73">
        <f t="shared" si="9"/>
        <v>11.754286226145148</v>
      </c>
      <c r="I73" s="7">
        <f t="shared" si="7"/>
        <v>11.754286226145148</v>
      </c>
      <c r="J73" s="7">
        <f>LOOKUP($I73,Model!$A$4:$A$104,Model!$E$4:$E$104)+($I73-INT($I73))*LOOKUP($I73,Model!$A$4:$A$104,Model!$D$4:$D$104)</f>
        <v>11.754286226145148</v>
      </c>
      <c r="L73" s="5"/>
      <c r="M73" s="5"/>
    </row>
    <row r="74" spans="1:13" x14ac:dyDescent="0.25">
      <c r="A74">
        <v>72</v>
      </c>
      <c r="B74">
        <f>'Age data'!O80</f>
        <v>3.1829999999999997E-2</v>
      </c>
      <c r="C74">
        <f t="shared" si="5"/>
        <v>0.96816999999999998</v>
      </c>
      <c r="D74">
        <f t="shared" si="8"/>
        <v>0.72338184069123501</v>
      </c>
      <c r="E74">
        <f t="shared" si="6"/>
        <v>0.711869218696634</v>
      </c>
      <c r="F74">
        <f>SUM(E74:E$102)</f>
        <v>8.0471074166560328</v>
      </c>
      <c r="G74">
        <f t="shared" si="9"/>
        <v>11.124287290605105</v>
      </c>
      <c r="I74" s="7">
        <f t="shared" si="7"/>
        <v>11.124287290605105</v>
      </c>
      <c r="J74" s="7">
        <f>LOOKUP($I74,Model!$A$4:$A$104,Model!$E$4:$E$104)+($I74-INT($I74))*LOOKUP($I74,Model!$A$4:$A$104,Model!$D$4:$D$104)</f>
        <v>11.124287290605105</v>
      </c>
      <c r="L74" s="5"/>
      <c r="M74" s="5"/>
    </row>
    <row r="75" spans="1:13" x14ac:dyDescent="0.25">
      <c r="A75">
        <v>73</v>
      </c>
      <c r="B75">
        <f>'Age data'!O81</f>
        <v>3.1829999999999997E-2</v>
      </c>
      <c r="C75">
        <f t="shared" si="5"/>
        <v>0.96816999999999998</v>
      </c>
      <c r="D75">
        <f t="shared" si="8"/>
        <v>0.70035659670203299</v>
      </c>
      <c r="E75">
        <f t="shared" si="6"/>
        <v>0.68921042146552014</v>
      </c>
      <c r="F75">
        <f>SUM(E75:E$102)</f>
        <v>7.3352381979593977</v>
      </c>
      <c r="G75">
        <f t="shared" si="9"/>
        <v>10.47357622174319</v>
      </c>
      <c r="I75" s="7">
        <f t="shared" si="7"/>
        <v>10.47357622174319</v>
      </c>
      <c r="J75" s="7">
        <f>LOOKUP($I75,Model!$A$4:$A$104,Model!$E$4:$E$104)+($I75-INT($I75))*LOOKUP($I75,Model!$A$4:$A$104,Model!$D$4:$D$104)</f>
        <v>10.47357622174319</v>
      </c>
      <c r="L75" s="5"/>
      <c r="M75" s="5"/>
    </row>
    <row r="76" spans="1:13" x14ac:dyDescent="0.25">
      <c r="A76">
        <v>74</v>
      </c>
      <c r="B76">
        <f>'Age data'!O82</f>
        <v>3.1829999999999997E-2</v>
      </c>
      <c r="C76">
        <f t="shared" si="5"/>
        <v>0.96816999999999998</v>
      </c>
      <c r="D76">
        <f t="shared" si="8"/>
        <v>0.67806424622900729</v>
      </c>
      <c r="E76">
        <f t="shared" si="6"/>
        <v>0.66727285375027257</v>
      </c>
      <c r="F76">
        <f>SUM(E76:E$102)</f>
        <v>6.6460277764938782</v>
      </c>
      <c r="G76">
        <f t="shared" si="9"/>
        <v>9.8014720779854674</v>
      </c>
      <c r="I76" s="7">
        <f t="shared" si="7"/>
        <v>9.8014720779854674</v>
      </c>
      <c r="J76" s="7">
        <f>LOOKUP($I76,Model!$A$4:$A$104,Model!$E$4:$E$104)+($I76-INT($I76))*LOOKUP($I76,Model!$A$4:$A$104,Model!$D$4:$D$104)</f>
        <v>9.8014720779854674</v>
      </c>
      <c r="L76" s="5"/>
      <c r="M76" s="5"/>
    </row>
    <row r="77" spans="1:13" x14ac:dyDescent="0.25">
      <c r="A77">
        <v>75</v>
      </c>
      <c r="B77">
        <f>'Age data'!O83</f>
        <v>5.7529999999999998E-2</v>
      </c>
      <c r="C77">
        <f t="shared" si="5"/>
        <v>0.94247000000000003</v>
      </c>
      <c r="D77">
        <f t="shared" si="8"/>
        <v>0.65648146127153795</v>
      </c>
      <c r="E77">
        <f t="shared" si="6"/>
        <v>0.63759777203806212</v>
      </c>
      <c r="F77">
        <f>SUM(E77:E$102)</f>
        <v>5.9787549227436054</v>
      </c>
      <c r="G77">
        <f t="shared" si="9"/>
        <v>9.1072715308111878</v>
      </c>
      <c r="I77" s="7">
        <f t="shared" si="7"/>
        <v>9.1072715308111878</v>
      </c>
      <c r="J77" s="7">
        <f>LOOKUP($I77,Model!$A$4:$A$104,Model!$E$4:$E$104)+($I77-INT($I77))*LOOKUP($I77,Model!$A$4:$A$104,Model!$D$4:$D$104)</f>
        <v>9.1072715308111878</v>
      </c>
      <c r="L77" s="5"/>
      <c r="M77" s="5"/>
    </row>
    <row r="78" spans="1:13" x14ac:dyDescent="0.25">
      <c r="A78">
        <v>76</v>
      </c>
      <c r="B78">
        <f>'Age data'!O84</f>
        <v>5.7529999999999998E-2</v>
      </c>
      <c r="C78">
        <f t="shared" si="5"/>
        <v>0.94247000000000003</v>
      </c>
      <c r="D78">
        <f t="shared" si="8"/>
        <v>0.6187140828045864</v>
      </c>
      <c r="E78">
        <f t="shared" si="6"/>
        <v>0.60091677221271245</v>
      </c>
      <c r="F78">
        <f>SUM(E78:E$102)</f>
        <v>5.3411571507055422</v>
      </c>
      <c r="G78">
        <f t="shared" si="9"/>
        <v>8.632674282270191</v>
      </c>
      <c r="I78" s="7">
        <f t="shared" si="7"/>
        <v>8.632674282270191</v>
      </c>
      <c r="J78" s="7">
        <f>LOOKUP($I78,Model!$A$4:$A$104,Model!$E$4:$E$104)+($I78-INT($I78))*LOOKUP($I78,Model!$A$4:$A$104,Model!$D$4:$D$104)</f>
        <v>8.632674282270191</v>
      </c>
      <c r="L78" s="5"/>
      <c r="M78" s="5"/>
    </row>
    <row r="79" spans="1:13" x14ac:dyDescent="0.25">
      <c r="A79">
        <v>77</v>
      </c>
      <c r="B79">
        <f>'Age data'!O85</f>
        <v>5.7529999999999998E-2</v>
      </c>
      <c r="C79">
        <f t="shared" si="5"/>
        <v>0.94247000000000003</v>
      </c>
      <c r="D79">
        <f t="shared" si="8"/>
        <v>0.58311946162083861</v>
      </c>
      <c r="E79">
        <f t="shared" si="6"/>
        <v>0.56634603030731512</v>
      </c>
      <c r="F79">
        <f>SUM(E79:E$102)</f>
        <v>4.7402403784928309</v>
      </c>
      <c r="G79">
        <f t="shared" si="9"/>
        <v>8.12910679625897</v>
      </c>
      <c r="I79" s="7">
        <f t="shared" si="7"/>
        <v>8.12910679625897</v>
      </c>
      <c r="J79" s="7">
        <f>LOOKUP($I79,Model!$A$4:$A$104,Model!$E$4:$E$104)+($I79-INT($I79))*LOOKUP($I79,Model!$A$4:$A$104,Model!$D$4:$D$104)</f>
        <v>8.12910679625897</v>
      </c>
      <c r="L79" s="5"/>
      <c r="M79" s="5"/>
    </row>
    <row r="80" spans="1:13" x14ac:dyDescent="0.25">
      <c r="A80">
        <v>78</v>
      </c>
      <c r="B80">
        <f>'Age data'!O86</f>
        <v>5.7529999999999998E-2</v>
      </c>
      <c r="C80">
        <f t="shared" si="5"/>
        <v>0.94247000000000003</v>
      </c>
      <c r="D80">
        <f t="shared" si="8"/>
        <v>0.54957259899379174</v>
      </c>
      <c r="E80">
        <f t="shared" si="6"/>
        <v>0.53376414318373533</v>
      </c>
      <c r="F80">
        <f>SUM(E80:E$102)</f>
        <v>4.1738943481855149</v>
      </c>
      <c r="G80">
        <f t="shared" si="9"/>
        <v>7.5948006793414846</v>
      </c>
      <c r="I80" s="7">
        <f t="shared" si="7"/>
        <v>7.5948006793414846</v>
      </c>
      <c r="J80" s="7">
        <f>LOOKUP($I80,Model!$A$4:$A$104,Model!$E$4:$E$104)+($I80-INT($I80))*LOOKUP($I80,Model!$A$4:$A$104,Model!$D$4:$D$104)</f>
        <v>7.5948006793414846</v>
      </c>
      <c r="L80" s="5"/>
      <c r="M80" s="5"/>
    </row>
    <row r="81" spans="1:13" x14ac:dyDescent="0.25">
      <c r="A81">
        <v>79</v>
      </c>
      <c r="B81">
        <f>'Age data'!O87</f>
        <v>5.7529999999999998E-2</v>
      </c>
      <c r="C81">
        <f t="shared" si="5"/>
        <v>0.94247000000000003</v>
      </c>
      <c r="D81">
        <f t="shared" si="8"/>
        <v>0.51795568737367892</v>
      </c>
      <c r="E81">
        <f t="shared" si="6"/>
        <v>0.50305669202637504</v>
      </c>
      <c r="F81">
        <f>SUM(E81:E$102)</f>
        <v>3.6401302050017801</v>
      </c>
      <c r="G81">
        <f t="shared" si="9"/>
        <v>7.0278795922856805</v>
      </c>
      <c r="I81" s="7">
        <f t="shared" si="7"/>
        <v>7.0278795922856805</v>
      </c>
      <c r="J81" s="7">
        <f>LOOKUP($I81,Model!$A$4:$A$104,Model!$E$4:$E$104)+($I81-INT($I81))*LOOKUP($I81,Model!$A$4:$A$104,Model!$D$4:$D$104)</f>
        <v>7.0278795922856805</v>
      </c>
      <c r="L81" s="5"/>
      <c r="M81" s="5"/>
    </row>
    <row r="82" spans="1:13" x14ac:dyDescent="0.25">
      <c r="A82">
        <v>80</v>
      </c>
      <c r="B82">
        <f>'Age data'!O88</f>
        <v>0.10249</v>
      </c>
      <c r="C82">
        <f t="shared" si="5"/>
        <v>0.89751000000000003</v>
      </c>
      <c r="D82">
        <f t="shared" si="8"/>
        <v>0.48815769667907116</v>
      </c>
      <c r="E82">
        <f t="shared" si="6"/>
        <v>0.46314205551275217</v>
      </c>
      <c r="F82">
        <f>SUM(E82:E$102)</f>
        <v>3.1370735129754044</v>
      </c>
      <c r="G82">
        <f t="shared" si="9"/>
        <v>6.4263526608652581</v>
      </c>
      <c r="I82" s="7">
        <f t="shared" si="7"/>
        <v>6.4263526608652581</v>
      </c>
      <c r="J82" s="7">
        <f>LOOKUP($I82,Model!$A$4:$A$104,Model!$E$4:$E$104)+($I82-INT($I82))*LOOKUP($I82,Model!$A$4:$A$104,Model!$D$4:$D$104)</f>
        <v>6.4263526608652581</v>
      </c>
      <c r="L82" s="5"/>
      <c r="M82" s="5"/>
    </row>
    <row r="83" spans="1:13" x14ac:dyDescent="0.25">
      <c r="A83">
        <v>81</v>
      </c>
      <c r="B83">
        <f>'Age data'!O89</f>
        <v>0.10249</v>
      </c>
      <c r="C83">
        <f t="shared" si="5"/>
        <v>0.89751000000000003</v>
      </c>
      <c r="D83">
        <f t="shared" si="8"/>
        <v>0.43812641434643318</v>
      </c>
      <c r="E83">
        <f t="shared" si="6"/>
        <v>0.41567462624325024</v>
      </c>
      <c r="F83">
        <f>SUM(E83:E$102)</f>
        <v>2.6739314574626523</v>
      </c>
      <c r="G83">
        <f t="shared" si="9"/>
        <v>6.1031048800183374</v>
      </c>
      <c r="I83" s="7">
        <f t="shared" si="7"/>
        <v>6.1031048800183374</v>
      </c>
      <c r="J83" s="7">
        <f>LOOKUP($I83,Model!$A$4:$A$104,Model!$E$4:$E$104)+($I83-INT($I83))*LOOKUP($I83,Model!$A$4:$A$104,Model!$D$4:$D$104)</f>
        <v>6.1031048800183374</v>
      </c>
      <c r="L83" s="5"/>
      <c r="M83" s="5"/>
    </row>
    <row r="84" spans="1:13" x14ac:dyDescent="0.25">
      <c r="A84">
        <v>82</v>
      </c>
      <c r="B84">
        <f>'Age data'!O90</f>
        <v>0.10249</v>
      </c>
      <c r="C84">
        <f t="shared" si="5"/>
        <v>0.89751000000000003</v>
      </c>
      <c r="D84">
        <f t="shared" si="8"/>
        <v>0.39322283814006725</v>
      </c>
      <c r="E84">
        <f t="shared" si="6"/>
        <v>0.37307213379957949</v>
      </c>
      <c r="F84">
        <f>SUM(E84:E$102)</f>
        <v>2.2582568312194025</v>
      </c>
      <c r="G84">
        <f t="shared" si="9"/>
        <v>5.7429442346250603</v>
      </c>
      <c r="I84" s="7">
        <f t="shared" si="7"/>
        <v>5.7429442346250603</v>
      </c>
      <c r="J84" s="7">
        <f>LOOKUP($I84,Model!$A$4:$A$104,Model!$E$4:$E$104)+($I84-INT($I84))*LOOKUP($I84,Model!$A$4:$A$104,Model!$D$4:$D$104)</f>
        <v>5.7429442346250603</v>
      </c>
      <c r="L84" s="5"/>
      <c r="M84" s="5"/>
    </row>
    <row r="85" spans="1:13" x14ac:dyDescent="0.25">
      <c r="A85">
        <v>83</v>
      </c>
      <c r="B85">
        <f>'Age data'!O91</f>
        <v>0.10249</v>
      </c>
      <c r="C85">
        <f t="shared" si="5"/>
        <v>0.89751000000000003</v>
      </c>
      <c r="D85">
        <f t="shared" si="8"/>
        <v>0.35292142945909177</v>
      </c>
      <c r="E85">
        <f t="shared" si="6"/>
        <v>0.33483597080646066</v>
      </c>
      <c r="F85">
        <f>SUM(E85:E$102)</f>
        <v>1.8851846974198228</v>
      </c>
      <c r="G85">
        <f t="shared" si="9"/>
        <v>5.3416555075988672</v>
      </c>
      <c r="I85" s="7">
        <f t="shared" si="7"/>
        <v>5.3416555075988672</v>
      </c>
      <c r="J85" s="7">
        <f>LOOKUP($I85,Model!$A$4:$A$104,Model!$E$4:$E$104)+($I85-INT($I85))*LOOKUP($I85,Model!$A$4:$A$104,Model!$D$4:$D$104)</f>
        <v>5.3416555075988672</v>
      </c>
      <c r="L85" s="5"/>
      <c r="M85" s="5"/>
    </row>
    <row r="86" spans="1:13" x14ac:dyDescent="0.25">
      <c r="A86">
        <v>84</v>
      </c>
      <c r="B86">
        <f>'Age data'!O92</f>
        <v>0.10249</v>
      </c>
      <c r="C86">
        <f t="shared" si="5"/>
        <v>0.89751000000000003</v>
      </c>
      <c r="D86">
        <f t="shared" si="8"/>
        <v>0.31675051215382949</v>
      </c>
      <c r="E86">
        <f t="shared" si="6"/>
        <v>0.30051863215850649</v>
      </c>
      <c r="F86">
        <f>SUM(E86:E$102)</f>
        <v>1.5503487266133622</v>
      </c>
      <c r="G86">
        <f t="shared" si="9"/>
        <v>4.894542130559957</v>
      </c>
      <c r="I86" s="7">
        <f t="shared" si="7"/>
        <v>4.894542130559957</v>
      </c>
      <c r="J86" s="7">
        <f>LOOKUP($I86,Model!$A$4:$A$104,Model!$E$4:$E$104)+($I86-INT($I86))*LOOKUP($I86,Model!$A$4:$A$104,Model!$D$4:$D$104)</f>
        <v>4.894542130559957</v>
      </c>
      <c r="L86" s="5"/>
      <c r="M86" s="5"/>
    </row>
    <row r="87" spans="1:13" x14ac:dyDescent="0.25">
      <c r="A87">
        <v>85</v>
      </c>
      <c r="B87">
        <f>'Age data'!O93</f>
        <v>0.17150000000000001</v>
      </c>
      <c r="C87">
        <f t="shared" si="5"/>
        <v>0.82850000000000001</v>
      </c>
      <c r="D87">
        <f t="shared" si="8"/>
        <v>0.2842867521631835</v>
      </c>
      <c r="E87">
        <f t="shared" si="6"/>
        <v>0.25990916316519053</v>
      </c>
      <c r="F87">
        <f>SUM(E87:E$102)</f>
        <v>1.2498300944548555</v>
      </c>
      <c r="G87">
        <f t="shared" si="9"/>
        <v>4.3963712165434998</v>
      </c>
      <c r="I87" s="7">
        <f t="shared" si="7"/>
        <v>4.3963712165434998</v>
      </c>
      <c r="J87" s="7">
        <f>LOOKUP($I87,Model!$A$4:$A$104,Model!$E$4:$E$104)+($I87-INT($I87))*LOOKUP($I87,Model!$A$4:$A$104,Model!$D$4:$D$104)</f>
        <v>4.3963712165434998</v>
      </c>
      <c r="L87" s="5"/>
      <c r="M87" s="5"/>
    </row>
    <row r="88" spans="1:13" x14ac:dyDescent="0.25">
      <c r="A88">
        <v>86</v>
      </c>
      <c r="B88">
        <f>'Age data'!O94</f>
        <v>0.17150000000000001</v>
      </c>
      <c r="C88">
        <f t="shared" si="5"/>
        <v>0.82850000000000001</v>
      </c>
      <c r="D88">
        <f t="shared" si="8"/>
        <v>0.23553157416719753</v>
      </c>
      <c r="E88">
        <f t="shared" si="6"/>
        <v>0.21533474168236033</v>
      </c>
      <c r="F88">
        <f>SUM(E88:E$102)</f>
        <v>0.98992093128966507</v>
      </c>
      <c r="G88">
        <f t="shared" si="9"/>
        <v>4.2029224098292097</v>
      </c>
      <c r="I88" s="7">
        <f t="shared" si="7"/>
        <v>4.2029224098292097</v>
      </c>
      <c r="J88" s="7">
        <f>LOOKUP($I88,Model!$A$4:$A$104,Model!$E$4:$E$104)+($I88-INT($I88))*LOOKUP($I88,Model!$A$4:$A$104,Model!$D$4:$D$104)</f>
        <v>4.2029224098292097</v>
      </c>
      <c r="L88" s="5"/>
      <c r="M88" s="5"/>
    </row>
    <row r="89" spans="1:13" x14ac:dyDescent="0.25">
      <c r="A89">
        <v>87</v>
      </c>
      <c r="B89">
        <f>'Age data'!O95</f>
        <v>0.17150000000000001</v>
      </c>
      <c r="C89">
        <f t="shared" si="5"/>
        <v>0.82850000000000001</v>
      </c>
      <c r="D89">
        <f t="shared" si="8"/>
        <v>0.19513790919752316</v>
      </c>
      <c r="E89">
        <f t="shared" si="6"/>
        <v>0.17840483348383557</v>
      </c>
      <c r="F89">
        <f>SUM(E89:E$102)</f>
        <v>0.77458618960730474</v>
      </c>
      <c r="G89">
        <f t="shared" si="9"/>
        <v>3.9694295833786475</v>
      </c>
      <c r="I89" s="7">
        <f t="shared" si="7"/>
        <v>3.9694295833786475</v>
      </c>
      <c r="J89" s="7">
        <f>LOOKUP($I89,Model!$A$4:$A$104,Model!$E$4:$E$104)+($I89-INT($I89))*LOOKUP($I89,Model!$A$4:$A$104,Model!$D$4:$D$104)</f>
        <v>3.9694295833786475</v>
      </c>
      <c r="L89" s="5"/>
      <c r="M89" s="5"/>
    </row>
    <row r="90" spans="1:13" x14ac:dyDescent="0.25">
      <c r="A90">
        <v>88</v>
      </c>
      <c r="B90">
        <f>'Age data'!O96</f>
        <v>0.17150000000000001</v>
      </c>
      <c r="C90">
        <f t="shared" si="5"/>
        <v>0.82850000000000001</v>
      </c>
      <c r="D90">
        <f t="shared" si="8"/>
        <v>0.16167175777014794</v>
      </c>
      <c r="E90">
        <f t="shared" si="6"/>
        <v>0.14780840454135774</v>
      </c>
      <c r="F90">
        <f>SUM(E90:E$102)</f>
        <v>0.59618135612346923</v>
      </c>
      <c r="G90">
        <f t="shared" si="9"/>
        <v>3.6876036009398283</v>
      </c>
      <c r="I90" s="7">
        <f t="shared" si="7"/>
        <v>3.6876036009398283</v>
      </c>
      <c r="J90" s="7">
        <f>LOOKUP($I90,Model!$A$4:$A$104,Model!$E$4:$E$104)+($I90-INT($I90))*LOOKUP($I90,Model!$A$4:$A$104,Model!$D$4:$D$104)</f>
        <v>3.6876036009398283</v>
      </c>
      <c r="L90" s="5"/>
      <c r="M90" s="5"/>
    </row>
    <row r="91" spans="1:13" x14ac:dyDescent="0.25">
      <c r="A91">
        <v>89</v>
      </c>
      <c r="B91">
        <f>'Age data'!O97</f>
        <v>0.17150000000000001</v>
      </c>
      <c r="C91">
        <f t="shared" si="5"/>
        <v>0.82850000000000001</v>
      </c>
      <c r="D91">
        <f t="shared" si="8"/>
        <v>0.13394505131256756</v>
      </c>
      <c r="E91">
        <f t="shared" si="6"/>
        <v>0.1224592631625149</v>
      </c>
      <c r="F91">
        <f>SUM(E91:E$102)</f>
        <v>0.44837295158211138</v>
      </c>
      <c r="G91">
        <f t="shared" si="9"/>
        <v>3.3474394700541072</v>
      </c>
      <c r="I91" s="7">
        <f t="shared" si="7"/>
        <v>3.3474394700541072</v>
      </c>
      <c r="J91" s="7">
        <f>LOOKUP($I91,Model!$A$4:$A$104,Model!$E$4:$E$104)+($I91-INT($I91))*LOOKUP($I91,Model!$A$4:$A$104,Model!$D$4:$D$104)</f>
        <v>3.3474394700541072</v>
      </c>
      <c r="L91" s="5"/>
      <c r="M91" s="5"/>
    </row>
    <row r="92" spans="1:13" x14ac:dyDescent="0.25">
      <c r="A92">
        <v>90</v>
      </c>
      <c r="B92">
        <f>'Age data'!O98</f>
        <v>0.26949000000000001</v>
      </c>
      <c r="C92">
        <f t="shared" si="5"/>
        <v>0.73050999999999999</v>
      </c>
      <c r="D92">
        <f t="shared" si="8"/>
        <v>0.11097347501246223</v>
      </c>
      <c r="E92">
        <f t="shared" si="6"/>
        <v>9.6020354121908014E-2</v>
      </c>
      <c r="F92">
        <f>SUM(E92:E$102)</f>
        <v>0.32591368841959656</v>
      </c>
      <c r="G92">
        <f t="shared" si="9"/>
        <v>2.9368611587858875</v>
      </c>
      <c r="I92" s="7">
        <f t="shared" si="7"/>
        <v>2.9368611587858875</v>
      </c>
      <c r="J92" s="7">
        <f>LOOKUP($I92,Model!$A$4:$A$104,Model!$E$4:$E$104)+($I92-INT($I92))*LOOKUP($I92,Model!$A$4:$A$104,Model!$D$4:$D$104)</f>
        <v>2.9368611587858875</v>
      </c>
      <c r="L92" s="5"/>
      <c r="M92" s="5"/>
    </row>
    <row r="93" spans="1:13" x14ac:dyDescent="0.25">
      <c r="A93">
        <v>91</v>
      </c>
      <c r="B93">
        <f>'Age data'!O99</f>
        <v>0.26949000000000001</v>
      </c>
      <c r="C93">
        <f t="shared" si="5"/>
        <v>0.73050999999999999</v>
      </c>
      <c r="D93">
        <f t="shared" si="8"/>
        <v>8.1067233231353786E-2</v>
      </c>
      <c r="E93">
        <f t="shared" si="6"/>
        <v>7.0143828889595028E-2</v>
      </c>
      <c r="F93">
        <f>SUM(E93:E$102)</f>
        <v>0.22989333429768855</v>
      </c>
      <c r="G93">
        <f t="shared" si="9"/>
        <v>2.8358354557581515</v>
      </c>
      <c r="I93" s="7">
        <f t="shared" si="7"/>
        <v>2.8358354557581515</v>
      </c>
      <c r="J93" s="7">
        <f>LOOKUP($I93,Model!$A$4:$A$104,Model!$E$4:$E$104)+($I93-INT($I93))*LOOKUP($I93,Model!$A$4:$A$104,Model!$D$4:$D$104)</f>
        <v>2.8358354557581515</v>
      </c>
      <c r="L93" s="5"/>
      <c r="M93" s="5"/>
    </row>
    <row r="94" spans="1:13" x14ac:dyDescent="0.25">
      <c r="A94">
        <v>92</v>
      </c>
      <c r="B94">
        <f>'Age data'!O100</f>
        <v>0.26949000000000001</v>
      </c>
      <c r="C94">
        <f t="shared" si="5"/>
        <v>0.73050999999999999</v>
      </c>
      <c r="D94">
        <f t="shared" si="8"/>
        <v>5.9220424547836256E-2</v>
      </c>
      <c r="E94">
        <f t="shared" si="6"/>
        <v>5.1240768442138061E-2</v>
      </c>
      <c r="F94">
        <f>SUM(E94:E$102)</f>
        <v>0.15974950540809349</v>
      </c>
      <c r="G94">
        <f t="shared" si="9"/>
        <v>2.6975406986326691</v>
      </c>
      <c r="I94" s="7">
        <f t="shared" si="7"/>
        <v>2.6975406986326691</v>
      </c>
      <c r="J94" s="7">
        <f>LOOKUP($I94,Model!$A$4:$A$104,Model!$E$4:$E$104)+($I94-INT($I94))*LOOKUP($I94,Model!$A$4:$A$104,Model!$D$4:$D$104)</f>
        <v>2.6975406986326691</v>
      </c>
      <c r="L94" s="5"/>
      <c r="M94" s="5"/>
    </row>
    <row r="95" spans="1:13" x14ac:dyDescent="0.25">
      <c r="A95">
        <v>93</v>
      </c>
      <c r="B95">
        <f>'Age data'!O101</f>
        <v>0.26949000000000001</v>
      </c>
      <c r="C95">
        <f t="shared" si="5"/>
        <v>0.73050999999999999</v>
      </c>
      <c r="D95">
        <f t="shared" si="8"/>
        <v>4.3261112336439866E-2</v>
      </c>
      <c r="E95">
        <f t="shared" si="6"/>
        <v>3.7431893754666282E-2</v>
      </c>
      <c r="F95">
        <f>SUM(E95:E$102)</f>
        <v>0.10850873696595544</v>
      </c>
      <c r="G95">
        <f t="shared" si="9"/>
        <v>2.5082280853549839</v>
      </c>
      <c r="I95" s="7">
        <f t="shared" si="7"/>
        <v>2.5082280853549839</v>
      </c>
      <c r="J95" s="7">
        <f>LOOKUP($I95,Model!$A$4:$A$104,Model!$E$4:$E$104)+($I95-INT($I95))*LOOKUP($I95,Model!$A$4:$A$104,Model!$D$4:$D$104)</f>
        <v>2.5082280853549839</v>
      </c>
      <c r="L95" s="5"/>
      <c r="M95" s="5"/>
    </row>
    <row r="96" spans="1:13" x14ac:dyDescent="0.25">
      <c r="A96">
        <v>94</v>
      </c>
      <c r="B96">
        <f>'Age data'!O102</f>
        <v>0.26949000000000001</v>
      </c>
      <c r="C96">
        <f t="shared" si="5"/>
        <v>0.73050999999999999</v>
      </c>
      <c r="D96">
        <f t="shared" si="8"/>
        <v>3.160267517289269E-2</v>
      </c>
      <c r="E96">
        <f t="shared" si="6"/>
        <v>2.7344372706721264E-2</v>
      </c>
      <c r="F96">
        <f>SUM(E96:E$102)</f>
        <v>7.1076843211289154E-2</v>
      </c>
      <c r="G96">
        <f t="shared" si="9"/>
        <v>2.2490767893047097</v>
      </c>
      <c r="I96" s="7">
        <f t="shared" si="7"/>
        <v>2.2490767893047097</v>
      </c>
      <c r="J96" s="7">
        <f>LOOKUP($I96,Model!$A$4:$A$104,Model!$E$4:$E$104)+($I96-INT($I96))*LOOKUP($I96,Model!$A$4:$A$104,Model!$D$4:$D$104)</f>
        <v>2.2490767893047097</v>
      </c>
      <c r="L96" s="5"/>
      <c r="M96" s="5"/>
    </row>
    <row r="97" spans="1:13" x14ac:dyDescent="0.25">
      <c r="A97">
        <v>95</v>
      </c>
      <c r="B97">
        <f>'Age data'!O103</f>
        <v>0.39772000000000002</v>
      </c>
      <c r="C97">
        <f t="shared" si="5"/>
        <v>0.60227999999999993</v>
      </c>
      <c r="D97">
        <f t="shared" si="8"/>
        <v>2.3086070240549837E-2</v>
      </c>
      <c r="E97">
        <f t="shared" si="6"/>
        <v>1.8495174312514094E-2</v>
      </c>
      <c r="F97">
        <f>SUM(E97:E$102)</f>
        <v>4.3732470504567883E-2</v>
      </c>
      <c r="G97">
        <f t="shared" si="9"/>
        <v>1.8943228556826186</v>
      </c>
      <c r="I97" s="7">
        <f t="shared" si="7"/>
        <v>1.8943228556826186</v>
      </c>
      <c r="J97" s="7">
        <f>LOOKUP($I97,Model!$A$4:$A$104,Model!$E$4:$E$104)+($I97-INT($I97))*LOOKUP($I97,Model!$A$4:$A$104,Model!$D$4:$D$104)</f>
        <v>1.8943228556826186</v>
      </c>
      <c r="L97" s="5"/>
      <c r="M97" s="5"/>
    </row>
    <row r="98" spans="1:13" x14ac:dyDescent="0.25">
      <c r="A98">
        <v>96</v>
      </c>
      <c r="B98">
        <f>'Age data'!O104</f>
        <v>0.39772000000000002</v>
      </c>
      <c r="C98">
        <f t="shared" si="5"/>
        <v>0.60227999999999993</v>
      </c>
      <c r="D98">
        <f t="shared" si="8"/>
        <v>1.3904278384478354E-2</v>
      </c>
      <c r="E98">
        <f t="shared" si="6"/>
        <v>1.113927358494099E-2</v>
      </c>
      <c r="F98">
        <f>SUM(E98:E$102)</f>
        <v>2.5237296192053796E-2</v>
      </c>
      <c r="G98">
        <f t="shared" si="9"/>
        <v>1.8150741443890201</v>
      </c>
      <c r="I98" s="7">
        <f t="shared" si="7"/>
        <v>1.8150741443890201</v>
      </c>
      <c r="J98" s="7">
        <f>LOOKUP($I98,Model!$A$4:$A$104,Model!$E$4:$E$104)+($I98-INT($I98))*LOOKUP($I98,Model!$A$4:$A$104,Model!$D$4:$D$104)</f>
        <v>1.8150741443890201</v>
      </c>
      <c r="L98" s="5"/>
      <c r="M98" s="5"/>
    </row>
    <row r="99" spans="1:13" x14ac:dyDescent="0.25">
      <c r="A99">
        <v>97</v>
      </c>
      <c r="B99">
        <f>'Age data'!O105</f>
        <v>0.39772000000000002</v>
      </c>
      <c r="C99">
        <f t="shared" si="5"/>
        <v>0.60227999999999993</v>
      </c>
      <c r="D99">
        <f t="shared" si="8"/>
        <v>8.374268785403623E-3</v>
      </c>
      <c r="E99">
        <f t="shared" si="6"/>
        <v>6.7089616947382576E-3</v>
      </c>
      <c r="F99">
        <f>SUM(E99:E$102)</f>
        <v>1.4098022607112804E-2</v>
      </c>
      <c r="G99">
        <f t="shared" si="9"/>
        <v>1.6834929673723515</v>
      </c>
      <c r="I99" s="7">
        <f t="shared" si="7"/>
        <v>1.6834929673723515</v>
      </c>
      <c r="J99" s="7">
        <f>LOOKUP($I99,Model!$A$4:$A$104,Model!$E$4:$E$104)+($I99-INT($I99))*LOOKUP($I99,Model!$A$4:$A$104,Model!$D$4:$D$104)</f>
        <v>1.6834929673723515</v>
      </c>
      <c r="L99" s="5"/>
      <c r="M99" s="5"/>
    </row>
    <row r="100" spans="1:13" x14ac:dyDescent="0.25">
      <c r="A100">
        <v>98</v>
      </c>
      <c r="B100">
        <f>'Age data'!O106</f>
        <v>0.39772000000000002</v>
      </c>
      <c r="C100">
        <f t="shared" si="5"/>
        <v>0.60227999999999993</v>
      </c>
      <c r="D100">
        <f t="shared" si="8"/>
        <v>5.0436546040728931E-3</v>
      </c>
      <c r="E100">
        <f t="shared" si="6"/>
        <v>4.0406734495069575E-3</v>
      </c>
      <c r="F100">
        <f>SUM(E100:E$102)</f>
        <v>7.3890609123745468E-3</v>
      </c>
      <c r="G100">
        <f t="shared" si="9"/>
        <v>1.4650211983999999</v>
      </c>
      <c r="I100" s="7">
        <f t="shared" si="7"/>
        <v>1.4650211983999999</v>
      </c>
      <c r="J100" s="7">
        <f>LOOKUP($I100,Model!$A$4:$A$104,Model!$E$4:$E$104)+($I100-INT($I100))*LOOKUP($I100,Model!$A$4:$A$104,Model!$D$4:$D$104)</f>
        <v>1.4650211983999999</v>
      </c>
      <c r="L100" s="5"/>
      <c r="M100" s="5"/>
    </row>
    <row r="101" spans="1:13" x14ac:dyDescent="0.25">
      <c r="A101">
        <v>99</v>
      </c>
      <c r="B101">
        <f>'Age data'!O107</f>
        <v>0.39772000000000002</v>
      </c>
      <c r="C101">
        <f t="shared" si="5"/>
        <v>0.60227999999999993</v>
      </c>
      <c r="D101">
        <f t="shared" si="8"/>
        <v>3.0376922949410215E-3</v>
      </c>
      <c r="E101">
        <f t="shared" si="6"/>
        <v>2.4336168051690499E-3</v>
      </c>
      <c r="F101">
        <f>SUM(E101:E$102)</f>
        <v>3.3483874628675893E-3</v>
      </c>
      <c r="G101">
        <f t="shared" si="9"/>
        <v>1.1022799999999999</v>
      </c>
      <c r="I101" s="7">
        <f t="shared" si="7"/>
        <v>1.1022799999999999</v>
      </c>
      <c r="J101" s="7">
        <f>LOOKUP($I101,Model!$A$4:$A$104,Model!$E$4:$E$104)+($I101-INT($I101))*LOOKUP($I101,Model!$A$4:$A$104,Model!$D$4:$D$104)</f>
        <v>1.1022799999999999</v>
      </c>
      <c r="L101" s="5"/>
      <c r="M101" s="5"/>
    </row>
    <row r="102" spans="1:13" x14ac:dyDescent="0.25">
      <c r="A102">
        <v>100</v>
      </c>
      <c r="B102">
        <f>'Age data'!O108</f>
        <v>1</v>
      </c>
      <c r="C102">
        <f t="shared" si="5"/>
        <v>0</v>
      </c>
      <c r="D102">
        <f t="shared" si="8"/>
        <v>1.8295413153970783E-3</v>
      </c>
      <c r="E102">
        <f>D102/2</f>
        <v>9.1477065769853916E-4</v>
      </c>
      <c r="F102">
        <f>SUM(E102:E$102)</f>
        <v>9.1477065769853916E-4</v>
      </c>
      <c r="G102">
        <f t="shared" si="9"/>
        <v>0.5</v>
      </c>
      <c r="I102" s="7">
        <f t="shared" si="7"/>
        <v>0.5</v>
      </c>
      <c r="J102" s="7">
        <f>LOOKUP($I102,Model!$A$4:$A$104,Model!$E$4:$E$104)+($I102-INT($I102))*LOOKUP($I102,Model!$A$4:$A$104,Model!$D$4:$D$104)</f>
        <v>0.5</v>
      </c>
      <c r="M102" s="5"/>
    </row>
  </sheetData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8ACD0-B294-40A8-ACD5-0308ECCA1BED}">
  <sheetPr codeName="Sheet11">
    <tabColor theme="5"/>
  </sheetPr>
  <dimension ref="E16:U42"/>
  <sheetViews>
    <sheetView showGridLines="0" topLeftCell="C19" zoomScaleNormal="100" workbookViewId="0"/>
  </sheetViews>
  <sheetFormatPr defaultRowHeight="15" x14ac:dyDescent="0.25"/>
  <cols>
    <col min="1" max="1" width="1.85546875" customWidth="1"/>
    <col min="2" max="2" width="3.140625" customWidth="1"/>
    <col min="3" max="3" width="3.28515625" customWidth="1"/>
    <col min="4" max="4" width="4.7109375" customWidth="1"/>
    <col min="5" max="5" width="55.140625" bestFit="1" customWidth="1"/>
    <col min="6" max="6" width="11.140625" bestFit="1" customWidth="1"/>
    <col min="7" max="7" width="18" customWidth="1"/>
    <col min="8" max="8" width="14.28515625" bestFit="1" customWidth="1"/>
    <col min="9" max="9" width="3.7109375" hidden="1" customWidth="1"/>
    <col min="10" max="10" width="8.85546875" bestFit="1" customWidth="1"/>
    <col min="11" max="11" width="12.42578125" bestFit="1" customWidth="1"/>
    <col min="12" max="12" width="5.28515625" hidden="1" customWidth="1"/>
    <col min="13" max="13" width="11.140625" bestFit="1" customWidth="1"/>
    <col min="14" max="14" width="11.42578125" bestFit="1" customWidth="1"/>
    <col min="15" max="15" width="14.28515625" bestFit="1" customWidth="1"/>
    <col min="17" max="17" width="8.42578125" customWidth="1"/>
    <col min="18" max="18" width="55.140625" bestFit="1" customWidth="1"/>
    <col min="19" max="19" width="11.140625" bestFit="1" customWidth="1"/>
    <col min="20" max="20" width="11.42578125" bestFit="1" customWidth="1"/>
  </cols>
  <sheetData>
    <row r="16" spans="14:15" ht="15.75" thickBot="1" x14ac:dyDescent="0.3">
      <c r="N16" s="112" t="s">
        <v>576</v>
      </c>
      <c r="O16" s="120">
        <f ca="1">Output!D23</f>
        <v>3615.7446895788808</v>
      </c>
    </row>
    <row r="21" spans="5:21" x14ac:dyDescent="0.25">
      <c r="E21" s="106" t="s">
        <v>0</v>
      </c>
      <c r="F21" s="51" t="s">
        <v>522</v>
      </c>
      <c r="G21" s="51" t="s">
        <v>582</v>
      </c>
      <c r="H21" s="51" t="s">
        <v>523</v>
      </c>
      <c r="I21" s="51"/>
      <c r="J21" s="51" t="s">
        <v>524</v>
      </c>
      <c r="K21" s="51" t="s">
        <v>525</v>
      </c>
      <c r="L21" s="51"/>
      <c r="M21" s="51" t="s">
        <v>526</v>
      </c>
      <c r="N21" s="51" t="s">
        <v>527</v>
      </c>
      <c r="O21" s="51" t="s">
        <v>583</v>
      </c>
      <c r="R21" s="106"/>
      <c r="S21" s="51"/>
      <c r="T21" s="51"/>
      <c r="U21" s="51"/>
    </row>
    <row r="22" spans="5:21" x14ac:dyDescent="0.25">
      <c r="E22" s="105" t="s">
        <v>528</v>
      </c>
      <c r="F22" s="107">
        <f>IF(Customisation!F12="",Customisation!E12,Customisation!F12)</f>
        <v>1</v>
      </c>
      <c r="G22" s="132">
        <v>0.4</v>
      </c>
      <c r="H22" s="107">
        <f t="shared" ref="H22:H28" si="0">F22*(1-G22)</f>
        <v>0.6</v>
      </c>
      <c r="I22" s="107"/>
      <c r="J22" s="132">
        <v>0</v>
      </c>
      <c r="K22" s="107">
        <f>IF(L22&lt;1,L22,1)</f>
        <v>1</v>
      </c>
      <c r="L22">
        <f>F22*(1+J22)</f>
        <v>1</v>
      </c>
      <c r="M22" s="108">
        <v>5311.1727587566693</v>
      </c>
      <c r="N22" s="108">
        <v>3159.6439552059132</v>
      </c>
      <c r="O22" s="108">
        <f t="shared" ref="O22:O30" si="1">ABS(M22-N22)</f>
        <v>2151.528803550756</v>
      </c>
      <c r="R22" s="105"/>
      <c r="S22" s="105"/>
      <c r="T22" s="105"/>
      <c r="U22" s="105"/>
    </row>
    <row r="23" spans="5:21" x14ac:dyDescent="0.25">
      <c r="E23" s="117" t="s">
        <v>529</v>
      </c>
      <c r="F23" s="120">
        <f>IF(Customisation!F14="",Customisation!E14,Customisation!F14)</f>
        <v>40.44</v>
      </c>
      <c r="G23" s="132">
        <v>0.2</v>
      </c>
      <c r="H23" s="120">
        <f t="shared" si="0"/>
        <v>32.351999999999997</v>
      </c>
      <c r="I23" s="111"/>
      <c r="J23" s="132">
        <v>0.2</v>
      </c>
      <c r="K23" s="120">
        <f t="shared" ref="K23:K28" si="2">F23*(1+J23)</f>
        <v>48.527999999999999</v>
      </c>
      <c r="M23" s="108">
        <v>2688.8223923509745</v>
      </c>
      <c r="N23" s="108">
        <v>3630.4655180608511</v>
      </c>
      <c r="O23" s="108">
        <f t="shared" si="1"/>
        <v>941.64312570987659</v>
      </c>
      <c r="R23" s="105"/>
      <c r="S23" s="105"/>
      <c r="T23" s="105"/>
      <c r="U23" s="105"/>
    </row>
    <row r="24" spans="5:21" x14ac:dyDescent="0.25">
      <c r="E24" s="105" t="s">
        <v>530</v>
      </c>
      <c r="F24" s="120">
        <f>IF(Customisation!F15="",Customisation!E15,Customisation!F15)</f>
        <v>15</v>
      </c>
      <c r="G24" s="132">
        <v>0.2</v>
      </c>
      <c r="H24" s="120">
        <f>F24*(1-G24)</f>
        <v>12</v>
      </c>
      <c r="I24" s="111"/>
      <c r="J24" s="132">
        <v>0.2</v>
      </c>
      <c r="K24" s="120">
        <f t="shared" si="2"/>
        <v>18</v>
      </c>
      <c r="M24" s="108">
        <v>2985.0068769956242</v>
      </c>
      <c r="N24" s="108">
        <v>3334.2810334162018</v>
      </c>
      <c r="O24" s="108">
        <f t="shared" si="1"/>
        <v>349.27415642057758</v>
      </c>
      <c r="R24" s="105"/>
      <c r="S24" s="105"/>
      <c r="T24" s="105"/>
      <c r="U24" s="105"/>
    </row>
    <row r="25" spans="5:21" x14ac:dyDescent="0.25">
      <c r="E25" s="105" t="s">
        <v>572</v>
      </c>
      <c r="F25" s="120">
        <f>IF(Customisation!F17="",Customisation!E17,Customisation!F17)</f>
        <v>650.09150220000004</v>
      </c>
      <c r="G25" s="132">
        <v>0.2</v>
      </c>
      <c r="H25" s="120">
        <f t="shared" si="0"/>
        <v>520.07320176000007</v>
      </c>
      <c r="I25" s="111"/>
      <c r="J25" s="132">
        <v>0.2</v>
      </c>
      <c r="K25" s="120">
        <f t="shared" si="2"/>
        <v>780.10980264</v>
      </c>
      <c r="M25" s="108">
        <v>3173.1738052299575</v>
      </c>
      <c r="N25" s="108">
        <v>3146.1141051818681</v>
      </c>
      <c r="O25" s="108">
        <f t="shared" si="1"/>
        <v>27.059700048089326</v>
      </c>
      <c r="R25" s="105"/>
      <c r="S25" s="105"/>
      <c r="T25" s="105"/>
      <c r="U25" s="105"/>
    </row>
    <row r="26" spans="5:21" x14ac:dyDescent="0.25">
      <c r="E26" s="105" t="s">
        <v>571</v>
      </c>
      <c r="F26" s="126">
        <f>IF(Customisation!F18="",Customisation!E18,Customisation!F18)</f>
        <v>0.08</v>
      </c>
      <c r="G26" s="132">
        <v>0.1</v>
      </c>
      <c r="H26" s="109">
        <f t="shared" si="0"/>
        <v>7.2000000000000008E-2</v>
      </c>
      <c r="I26" s="109"/>
      <c r="J26" s="132">
        <v>0.1</v>
      </c>
      <c r="K26" s="109">
        <f t="shared" si="2"/>
        <v>8.8000000000000009E-2</v>
      </c>
      <c r="M26" s="108">
        <v>3162.2765155051666</v>
      </c>
      <c r="N26" s="108">
        <v>3157.0157744155572</v>
      </c>
      <c r="O26" s="108">
        <f t="shared" si="1"/>
        <v>5.2607410896093825</v>
      </c>
      <c r="R26" s="105"/>
      <c r="S26" s="105"/>
      <c r="T26" s="105"/>
      <c r="U26" s="105"/>
    </row>
    <row r="27" spans="5:21" x14ac:dyDescent="0.25">
      <c r="E27" s="117" t="s">
        <v>531</v>
      </c>
      <c r="F27" s="126">
        <f>IF(Customisation!F19="",Customisation!E19,Customisation!F19)</f>
        <v>0.11</v>
      </c>
      <c r="G27" s="132">
        <v>0.1</v>
      </c>
      <c r="H27" s="109">
        <f t="shared" si="0"/>
        <v>9.9000000000000005E-2</v>
      </c>
      <c r="I27" s="109"/>
      <c r="J27" s="132">
        <v>0.1</v>
      </c>
      <c r="K27" s="109">
        <f t="shared" si="2"/>
        <v>0.12100000000000001</v>
      </c>
      <c r="M27" s="108">
        <v>3167.412562588981</v>
      </c>
      <c r="N27" s="108">
        <v>3151.9133621958467</v>
      </c>
      <c r="O27" s="108">
        <f t="shared" si="1"/>
        <v>15.499200393134288</v>
      </c>
      <c r="R27" s="105"/>
      <c r="S27" s="105"/>
      <c r="T27" s="105"/>
      <c r="U27" s="105"/>
    </row>
    <row r="28" spans="5:21" x14ac:dyDescent="0.25">
      <c r="E28" s="105" t="s">
        <v>532</v>
      </c>
      <c r="F28" s="126">
        <f>IF(Customisation!F20="",Customisation!E20,Customisation!F20)</f>
        <v>0.78</v>
      </c>
      <c r="G28" s="132">
        <v>0.1</v>
      </c>
      <c r="H28" s="109">
        <f t="shared" si="0"/>
        <v>0.70200000000000007</v>
      </c>
      <c r="I28" s="109"/>
      <c r="J28" s="132">
        <v>0.1</v>
      </c>
      <c r="K28" s="109">
        <f t="shared" si="2"/>
        <v>0.8580000000000001</v>
      </c>
      <c r="M28" s="108">
        <v>3170.2255733700881</v>
      </c>
      <c r="N28" s="108">
        <v>3149.1327409588757</v>
      </c>
      <c r="O28" s="108">
        <f t="shared" si="1"/>
        <v>21.092832411212385</v>
      </c>
      <c r="R28" s="117"/>
      <c r="S28" s="105"/>
      <c r="T28" s="105"/>
      <c r="U28" s="105"/>
    </row>
    <row r="29" spans="5:21" x14ac:dyDescent="0.25">
      <c r="E29" s="117" t="s">
        <v>4</v>
      </c>
      <c r="F29" s="107">
        <f>IF(Customisation!F21="",Customisation!E21,Customisation!F21)</f>
        <v>0.03</v>
      </c>
      <c r="G29" s="132">
        <v>0.02</v>
      </c>
      <c r="H29" s="107">
        <f>F29-G29</f>
        <v>9.9999999999999985E-3</v>
      </c>
      <c r="I29" s="107"/>
      <c r="J29" s="132">
        <v>0.02</v>
      </c>
      <c r="K29" s="107">
        <f>F29+J29</f>
        <v>0.05</v>
      </c>
      <c r="M29" s="108">
        <v>1371.7632010042071</v>
      </c>
      <c r="N29" s="108">
        <v>6468.4562687627595</v>
      </c>
      <c r="O29" s="108">
        <f t="shared" si="1"/>
        <v>5096.6930677585524</v>
      </c>
      <c r="R29" s="105"/>
      <c r="S29" s="105"/>
      <c r="T29" s="105"/>
      <c r="U29" s="105"/>
    </row>
    <row r="30" spans="5:21" x14ac:dyDescent="0.25">
      <c r="E30" s="105" t="s">
        <v>533</v>
      </c>
      <c r="F30" s="107">
        <f>IF(Customisation!F22="",Customisation!E22,Customisation!F22)</f>
        <v>0.68420000000000003</v>
      </c>
      <c r="G30" s="132">
        <v>0.1</v>
      </c>
      <c r="H30" s="107">
        <f>F30*(1-G30)</f>
        <v>0.61577999999999999</v>
      </c>
      <c r="I30" s="110"/>
      <c r="J30" s="132">
        <v>0.1</v>
      </c>
      <c r="K30" s="107">
        <f>IF(L30&lt;1,L30,1)</f>
        <v>0.75262000000000007</v>
      </c>
      <c r="L30" s="109">
        <f>F30*(1+J30)</f>
        <v>0.75262000000000007</v>
      </c>
      <c r="M30" s="108">
        <v>3518.2320891310401</v>
      </c>
      <c r="N30" s="108">
        <v>2866.2536638126262</v>
      </c>
      <c r="O30" s="108">
        <f t="shared" si="1"/>
        <v>651.97842531841388</v>
      </c>
      <c r="R30" s="105"/>
      <c r="S30" s="105"/>
      <c r="T30" s="105"/>
      <c r="U30" s="105"/>
    </row>
    <row r="31" spans="5:21" x14ac:dyDescent="0.25">
      <c r="R31" s="117"/>
    </row>
    <row r="33" spans="5:8" x14ac:dyDescent="0.25">
      <c r="E33" s="106" t="s">
        <v>0</v>
      </c>
      <c r="F33" s="51" t="s">
        <v>526</v>
      </c>
      <c r="G33" s="51" t="s">
        <v>527</v>
      </c>
      <c r="H33" s="51" t="s">
        <v>583</v>
      </c>
    </row>
    <row r="34" spans="5:8" x14ac:dyDescent="0.25">
      <c r="E34" s="117" t="s">
        <v>4</v>
      </c>
      <c r="F34" s="108">
        <v>1371.7632010042071</v>
      </c>
      <c r="G34" s="108">
        <v>6468.4562687627595</v>
      </c>
      <c r="H34" s="108">
        <v>5096.6930677585524</v>
      </c>
    </row>
    <row r="35" spans="5:8" x14ac:dyDescent="0.25">
      <c r="E35" s="105" t="s">
        <v>528</v>
      </c>
      <c r="F35" s="108">
        <v>5311.1727587566693</v>
      </c>
      <c r="G35" s="108">
        <v>3159.6439552059132</v>
      </c>
      <c r="H35" s="108">
        <v>2151.528803550756</v>
      </c>
    </row>
    <row r="36" spans="5:8" x14ac:dyDescent="0.25">
      <c r="E36" s="117" t="s">
        <v>529</v>
      </c>
      <c r="F36" s="108">
        <v>2688.8223923509745</v>
      </c>
      <c r="G36" s="108">
        <v>3630.4655180608511</v>
      </c>
      <c r="H36" s="108">
        <v>941.64312570987659</v>
      </c>
    </row>
    <row r="37" spans="5:8" x14ac:dyDescent="0.25">
      <c r="E37" s="105" t="s">
        <v>533</v>
      </c>
      <c r="F37" s="108">
        <v>3518.2320891310401</v>
      </c>
      <c r="G37" s="108">
        <v>2866.2536638126262</v>
      </c>
      <c r="H37" s="108">
        <v>651.97842531841388</v>
      </c>
    </row>
    <row r="38" spans="5:8" x14ac:dyDescent="0.25">
      <c r="E38" s="105" t="s">
        <v>530</v>
      </c>
      <c r="F38" s="108">
        <v>2985.0068769956242</v>
      </c>
      <c r="G38" s="108">
        <v>3334.2810334162018</v>
      </c>
      <c r="H38" s="108">
        <v>349.27415642057758</v>
      </c>
    </row>
    <row r="39" spans="5:8" x14ac:dyDescent="0.25">
      <c r="E39" s="105" t="s">
        <v>572</v>
      </c>
      <c r="F39" s="108">
        <v>3173.1738052299575</v>
      </c>
      <c r="G39" s="108">
        <v>3146.1141051818681</v>
      </c>
      <c r="H39" s="108">
        <v>27.059700048089326</v>
      </c>
    </row>
    <row r="40" spans="5:8" x14ac:dyDescent="0.25">
      <c r="E40" s="105" t="s">
        <v>532</v>
      </c>
      <c r="F40" s="108">
        <v>3170.2255733700881</v>
      </c>
      <c r="G40" s="108">
        <v>3149.1327409588757</v>
      </c>
      <c r="H40" s="108">
        <v>21.092832411212385</v>
      </c>
    </row>
    <row r="41" spans="5:8" x14ac:dyDescent="0.25">
      <c r="E41" s="117" t="s">
        <v>531</v>
      </c>
      <c r="F41" s="108">
        <v>3167.412562588981</v>
      </c>
      <c r="G41" s="108">
        <v>3151.9133621958467</v>
      </c>
      <c r="H41" s="108">
        <v>15.499200393134288</v>
      </c>
    </row>
    <row r="42" spans="5:8" x14ac:dyDescent="0.25">
      <c r="E42" s="105" t="s">
        <v>571</v>
      </c>
      <c r="F42" s="108">
        <v>3162.2765155051666</v>
      </c>
      <c r="G42" s="108">
        <v>3157.0157744155572</v>
      </c>
      <c r="H42" s="108">
        <v>5.2607410896093825</v>
      </c>
    </row>
  </sheetData>
  <sortState xmlns:xlrd2="http://schemas.microsoft.com/office/spreadsheetml/2017/richdata2" ref="E34:H42">
    <sortCondition descending="1" ref="H34:H42"/>
  </sortState>
  <phoneticPr fontId="19" type="noConversion"/>
  <pageMargins left="0.7" right="0.7" top="0.75" bottom="0.75" header="0.3" footer="0.3"/>
  <pageSetup paperSize="9" orientation="portrait" r:id="rId1"/>
  <ignoredErrors>
    <ignoredError sqref="H2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DSA">
                <anchor moveWithCells="1" sizeWithCells="1">
                  <from>
                    <xdr:col>15</xdr:col>
                    <xdr:colOff>0</xdr:colOff>
                    <xdr:row>18</xdr:row>
                    <xdr:rowOff>0</xdr:rowOff>
                  </from>
                  <to>
                    <xdr:col>16</xdr:col>
                    <xdr:colOff>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B9C64-EBF4-41A3-B4F0-01CE046C6B44}">
  <sheetPr codeName="Sheet13">
    <tabColor theme="5" tint="0.39997558519241921"/>
  </sheetPr>
  <dimension ref="A15:AF1040"/>
  <sheetViews>
    <sheetView showGridLines="0" topLeftCell="A10" zoomScale="85" zoomScaleNormal="85" workbookViewId="0"/>
  </sheetViews>
  <sheetFormatPr defaultRowHeight="15" x14ac:dyDescent="0.25"/>
  <cols>
    <col min="1" max="1" width="51.5703125" customWidth="1"/>
    <col min="2" max="2" width="14.28515625" customWidth="1"/>
    <col min="3" max="3" width="24.85546875" bestFit="1" customWidth="1"/>
    <col min="4" max="5" width="23.85546875" bestFit="1" customWidth="1"/>
    <col min="6" max="6" width="12.5703125" bestFit="1" customWidth="1"/>
    <col min="7" max="7" width="14" customWidth="1"/>
    <col min="8" max="8" width="9.5703125" customWidth="1"/>
    <col min="9" max="9" width="23.85546875" bestFit="1" customWidth="1"/>
    <col min="10" max="10" width="18.5703125" customWidth="1"/>
    <col min="11" max="11" width="15" customWidth="1"/>
    <col min="12" max="12" width="17.42578125" customWidth="1"/>
    <col min="14" max="14" width="0" hidden="1" customWidth="1"/>
    <col min="18" max="18" width="20.85546875" bestFit="1" customWidth="1"/>
    <col min="19" max="19" width="20.42578125" bestFit="1" customWidth="1"/>
    <col min="20" max="20" width="46.42578125" bestFit="1" customWidth="1"/>
    <col min="24" max="24" width="15.7109375" bestFit="1" customWidth="1"/>
    <col min="25" max="25" width="16.5703125" bestFit="1" customWidth="1"/>
    <col min="31" max="31" width="22.5703125" bestFit="1" customWidth="1"/>
    <col min="32" max="32" width="21.7109375" bestFit="1" customWidth="1"/>
  </cols>
  <sheetData>
    <row r="15" spans="1:13" x14ac:dyDescent="0.25">
      <c r="A15" s="105"/>
      <c r="B15" s="114"/>
      <c r="G15" s="115" t="s">
        <v>550</v>
      </c>
    </row>
    <row r="16" spans="1:13" x14ac:dyDescent="0.25">
      <c r="B16" s="115" t="s">
        <v>547</v>
      </c>
      <c r="G16" s="133" t="s">
        <v>535</v>
      </c>
      <c r="I16" t="s">
        <v>568</v>
      </c>
      <c r="J16" s="134">
        <v>16334.355909999955</v>
      </c>
      <c r="K16" s="134">
        <f>Output!D25</f>
        <v>5444.7853033333186</v>
      </c>
      <c r="L16" s="134">
        <f>Output!D25*2</f>
        <v>10889.570606666637</v>
      </c>
      <c r="M16" s="134">
        <f>Output!D25*3</f>
        <v>16334.355909999955</v>
      </c>
    </row>
    <row r="17" spans="1:14" x14ac:dyDescent="0.25">
      <c r="B17" s="114" t="s">
        <v>548</v>
      </c>
      <c r="D17" t="s">
        <v>549</v>
      </c>
      <c r="E17" s="132" t="s">
        <v>590</v>
      </c>
      <c r="G17" s="133" t="s">
        <v>536</v>
      </c>
    </row>
    <row r="18" spans="1:14" x14ac:dyDescent="0.25">
      <c r="B18" s="109"/>
    </row>
    <row r="20" spans="1:14" x14ac:dyDescent="0.25">
      <c r="A20" s="44" t="s">
        <v>0</v>
      </c>
      <c r="B20" s="51" t="s">
        <v>534</v>
      </c>
      <c r="C20" s="51" t="s">
        <v>535</v>
      </c>
      <c r="D20" s="51" t="s">
        <v>536</v>
      </c>
      <c r="E20" s="51" t="s">
        <v>537</v>
      </c>
      <c r="F20" s="152" t="s">
        <v>580</v>
      </c>
      <c r="G20" s="51" t="s">
        <v>538</v>
      </c>
      <c r="H20" s="51"/>
      <c r="I20" s="51" t="s">
        <v>539</v>
      </c>
      <c r="J20" s="51"/>
      <c r="K20" s="51" t="s">
        <v>540</v>
      </c>
      <c r="L20" s="51" t="s">
        <v>541</v>
      </c>
      <c r="M20" s="51" t="s">
        <v>396</v>
      </c>
      <c r="N20" s="2"/>
    </row>
    <row r="21" spans="1:14" s="121" customFormat="1" x14ac:dyDescent="0.25">
      <c r="A21" s="117" t="s">
        <v>36</v>
      </c>
      <c r="B21" s="136">
        <f ca="1">IF(modeltype=$G$16,C21,D21)</f>
        <v>0.77737569596110645</v>
      </c>
      <c r="C21" s="135">
        <f>IF(Customisation!F12="",Customisation!E12,Customisation!F12)</f>
        <v>1</v>
      </c>
      <c r="D21" s="136">
        <f ca="1">IF(RAND()&lt;=N21,1,_xlfn.BETA.INV(E21,H21,J21))</f>
        <v>0.77737569596110645</v>
      </c>
      <c r="E21" s="123">
        <f t="shared" ref="E21:E29" ca="1" si="0">RAND()</f>
        <v>5.648097185424783E-2</v>
      </c>
      <c r="F21" s="121" t="s">
        <v>544</v>
      </c>
      <c r="G21" s="121" t="s">
        <v>577</v>
      </c>
      <c r="H21" s="122">
        <f>K21*L21</f>
        <v>17.324999999999996</v>
      </c>
      <c r="I21" s="121" t="s">
        <v>546</v>
      </c>
      <c r="J21" s="122">
        <f>K21-H21</f>
        <v>1.9250000000000007</v>
      </c>
      <c r="K21" s="122">
        <f>L21*(1-L21)/M21^2-1</f>
        <v>19.249999999999996</v>
      </c>
      <c r="L21" s="137">
        <v>0.9</v>
      </c>
      <c r="M21" s="124">
        <f>(USA!K22-USA!H22)/6</f>
        <v>6.6666666666666666E-2</v>
      </c>
      <c r="N21" s="121">
        <v>0.5</v>
      </c>
    </row>
    <row r="22" spans="1:14" x14ac:dyDescent="0.25">
      <c r="A22" s="105" t="s">
        <v>529</v>
      </c>
      <c r="B22" s="125">
        <f ca="1">IF(modeltype=$G$16,C22,D22)</f>
        <v>37.57742833839314</v>
      </c>
      <c r="C22" s="166">
        <f>IF(Customisation!F14="",Customisation!E14,Customisation!F14)</f>
        <v>40.44</v>
      </c>
      <c r="D22" s="125">
        <f ca="1">_xlfn.GAMMA.INV(E22,H22,J22)</f>
        <v>37.57742833839314</v>
      </c>
      <c r="E22" s="116">
        <f t="shared" ca="1" si="0"/>
        <v>0.14330960288798344</v>
      </c>
      <c r="F22" t="s">
        <v>542</v>
      </c>
      <c r="G22" t="s">
        <v>545</v>
      </c>
      <c r="H22" s="118">
        <f>(L22/M22)^2</f>
        <v>224.99999999999994</v>
      </c>
      <c r="I22" t="s">
        <v>546</v>
      </c>
      <c r="J22" s="109">
        <f>M22^2/L22</f>
        <v>0.17973333333333338</v>
      </c>
      <c r="K22" s="109">
        <f>H22+J22</f>
        <v>225.17973333333327</v>
      </c>
      <c r="L22" s="113">
        <f t="shared" ref="L22:L29" si="1">C22</f>
        <v>40.44</v>
      </c>
      <c r="M22" s="119">
        <f>(USA!K23-USA!H23)/6</f>
        <v>2.6960000000000002</v>
      </c>
    </row>
    <row r="23" spans="1:14" x14ac:dyDescent="0.25">
      <c r="A23" s="105" t="s">
        <v>43</v>
      </c>
      <c r="B23" s="125">
        <f t="shared" ref="B23:B29" ca="1" si="2">IF(modeltype=$G$16,C23,D23)</f>
        <v>13.342731875385002</v>
      </c>
      <c r="C23" s="166">
        <f>IF(Customisation!F15="",Customisation!E15,Customisation!F15)</f>
        <v>15</v>
      </c>
      <c r="D23" s="125">
        <f t="shared" ref="D23:D24" ca="1" si="3">_xlfn.GAMMA.INV(E23,H23,J23)</f>
        <v>13.342731875385002</v>
      </c>
      <c r="E23" s="116">
        <f t="shared" ca="1" si="0"/>
        <v>4.4553294051513093E-2</v>
      </c>
      <c r="F23" t="s">
        <v>542</v>
      </c>
      <c r="G23" t="s">
        <v>545</v>
      </c>
      <c r="H23" s="118">
        <f t="shared" ref="H23:H24" si="4">(L23/M23)^2</f>
        <v>225</v>
      </c>
      <c r="I23" t="s">
        <v>546</v>
      </c>
      <c r="J23" s="109">
        <f t="shared" ref="J23:J24" si="5">M23^2/L23</f>
        <v>6.6666666666666666E-2</v>
      </c>
      <c r="K23" s="109">
        <f t="shared" ref="K23:K24" si="6">H23+J23</f>
        <v>225.06666666666666</v>
      </c>
      <c r="L23" s="113">
        <f t="shared" si="1"/>
        <v>15</v>
      </c>
      <c r="M23" s="119">
        <f>(USA!K24-USA!H24)/6</f>
        <v>1</v>
      </c>
    </row>
    <row r="24" spans="1:14" x14ac:dyDescent="0.25">
      <c r="A24" s="105" t="s">
        <v>3</v>
      </c>
      <c r="B24" s="125">
        <f t="shared" ca="1" si="2"/>
        <v>692.73392238669464</v>
      </c>
      <c r="C24" s="167">
        <f>IF(Customisation!F17="",Customisation!E17,Customisation!F17)</f>
        <v>650.09150220000004</v>
      </c>
      <c r="D24" s="125">
        <f t="shared" ca="1" si="3"/>
        <v>692.73392238669464</v>
      </c>
      <c r="E24" s="116">
        <f t="shared" ca="1" si="0"/>
        <v>0.83776093416116226</v>
      </c>
      <c r="F24" t="s">
        <v>542</v>
      </c>
      <c r="G24" t="s">
        <v>545</v>
      </c>
      <c r="H24" s="118">
        <f t="shared" si="4"/>
        <v>225.00000000000011</v>
      </c>
      <c r="I24" t="s">
        <v>546</v>
      </c>
      <c r="J24" s="109">
        <f t="shared" si="5"/>
        <v>2.8892955653333319</v>
      </c>
      <c r="K24" s="109">
        <f t="shared" si="6"/>
        <v>227.88929556533344</v>
      </c>
      <c r="L24" s="113">
        <f t="shared" si="1"/>
        <v>650.09150220000004</v>
      </c>
      <c r="M24" s="119">
        <f>(USA!K25-USA!H25)/6</f>
        <v>43.33943347999999</v>
      </c>
    </row>
    <row r="25" spans="1:14" x14ac:dyDescent="0.25">
      <c r="A25" s="105" t="s">
        <v>511</v>
      </c>
      <c r="B25" s="109">
        <f t="shared" ca="1" si="2"/>
        <v>7.8714178749755753E-2</v>
      </c>
      <c r="C25">
        <f>IF(Customisation!F18="",Customisation!E18,Customisation!F18)</f>
        <v>0.08</v>
      </c>
      <c r="D25" s="109">
        <f ca="1">_xlfn.BETA.INV(E25,H25,J25)</f>
        <v>7.8714178749755753E-2</v>
      </c>
      <c r="E25" s="116">
        <f t="shared" ca="1" si="0"/>
        <v>0.31761751624361467</v>
      </c>
      <c r="F25" t="s">
        <v>544</v>
      </c>
      <c r="G25" t="s">
        <v>545</v>
      </c>
      <c r="H25">
        <f>K25*L25</f>
        <v>827.92000000000007</v>
      </c>
      <c r="I25" t="s">
        <v>546</v>
      </c>
      <c r="J25" s="109">
        <f>K25-H25</f>
        <v>9521.08</v>
      </c>
      <c r="K25" s="109">
        <f>L25*(1-L25)/M25^2-1</f>
        <v>10349</v>
      </c>
      <c r="L25">
        <f t="shared" si="1"/>
        <v>0.08</v>
      </c>
      <c r="M25" s="119">
        <f>(USA!K26-USA!H26)/6</f>
        <v>2.6666666666666666E-3</v>
      </c>
    </row>
    <row r="26" spans="1:14" x14ac:dyDescent="0.25">
      <c r="A26" s="105" t="s">
        <v>512</v>
      </c>
      <c r="B26" s="109">
        <f t="shared" ca="1" si="2"/>
        <v>0.1104024515996137</v>
      </c>
      <c r="C26">
        <f>IF(Customisation!F19="",Customisation!E19,Customisation!F19)</f>
        <v>0.11</v>
      </c>
      <c r="D26" s="109">
        <f t="shared" ref="D26:D27" ca="1" si="7">_xlfn.BETA.INV(E26,H26,J26)</f>
        <v>0.1104024515996137</v>
      </c>
      <c r="E26" s="116">
        <f t="shared" ca="1" si="0"/>
        <v>0.54750788870809219</v>
      </c>
      <c r="F26" t="s">
        <v>544</v>
      </c>
      <c r="G26" t="s">
        <v>545</v>
      </c>
      <c r="H26">
        <f t="shared" ref="H26:H27" si="8">K26*L26</f>
        <v>800.88999999999965</v>
      </c>
      <c r="I26" t="s">
        <v>546</v>
      </c>
      <c r="J26" s="109">
        <f t="shared" ref="J26:J27" si="9">K26-H26</f>
        <v>6479.9281818181789</v>
      </c>
      <c r="K26" s="109">
        <f t="shared" ref="K26:K27" si="10">L26*(1-L26)/M26^2-1</f>
        <v>7280.8181818181783</v>
      </c>
      <c r="L26">
        <f t="shared" si="1"/>
        <v>0.11</v>
      </c>
      <c r="M26" s="119">
        <f>(USA!K27-USA!H27)/6</f>
        <v>3.6666666666666675E-3</v>
      </c>
    </row>
    <row r="27" spans="1:14" x14ac:dyDescent="0.25">
      <c r="A27" s="105" t="s">
        <v>513</v>
      </c>
      <c r="B27" s="109">
        <f t="shared" ca="1" si="2"/>
        <v>0.73878224949396265</v>
      </c>
      <c r="C27">
        <f>IF(Customisation!F20="",Customisation!E20,Customisation!F20)</f>
        <v>0.78</v>
      </c>
      <c r="D27" s="109">
        <f t="shared" ca="1" si="7"/>
        <v>0.73878224949396265</v>
      </c>
      <c r="E27" s="116">
        <f t="shared" ca="1" si="0"/>
        <v>6.1025705593981905E-2</v>
      </c>
      <c r="F27" t="s">
        <v>544</v>
      </c>
      <c r="G27" t="s">
        <v>545</v>
      </c>
      <c r="H27">
        <f t="shared" si="8"/>
        <v>197.21999999999989</v>
      </c>
      <c r="I27" t="s">
        <v>546</v>
      </c>
      <c r="J27" s="109">
        <f t="shared" si="9"/>
        <v>55.626153846153812</v>
      </c>
      <c r="K27" s="109">
        <f t="shared" si="10"/>
        <v>252.8461538461537</v>
      </c>
      <c r="L27">
        <f t="shared" si="1"/>
        <v>0.78</v>
      </c>
      <c r="M27" s="119">
        <f>(USA!K28-USA!H28)/6</f>
        <v>2.6000000000000006E-2</v>
      </c>
    </row>
    <row r="28" spans="1:14" x14ac:dyDescent="0.25">
      <c r="A28" s="105" t="s">
        <v>4</v>
      </c>
      <c r="B28" s="107">
        <f t="shared" ca="1" si="2"/>
        <v>2.9641034551180057E-2</v>
      </c>
      <c r="C28" s="107">
        <f>IF(Customisation!F21="",Customisation!E21,Customisation!F21)</f>
        <v>0.03</v>
      </c>
      <c r="D28" s="107">
        <f ca="1">_xlfn.BETA.INV(E28,H28,J28)</f>
        <v>2.9641034551180057E-2</v>
      </c>
      <c r="E28" s="116">
        <f t="shared" ca="1" si="0"/>
        <v>0.50718426563979402</v>
      </c>
      <c r="F28" t="s">
        <v>543</v>
      </c>
      <c r="G28" t="s">
        <v>545</v>
      </c>
      <c r="H28">
        <f>K28*L28</f>
        <v>19.61249999999999</v>
      </c>
      <c r="I28" t="s">
        <v>546</v>
      </c>
      <c r="J28" s="109">
        <f>K28-H28</f>
        <v>634.1374999999997</v>
      </c>
      <c r="K28" s="109">
        <f>L28*(1-L28)/M28^2-1</f>
        <v>653.74999999999966</v>
      </c>
      <c r="L28" s="107">
        <f t="shared" si="1"/>
        <v>0.03</v>
      </c>
      <c r="M28" s="119">
        <f>(USA!K29-USA!H29)/6</f>
        <v>6.666666666666668E-3</v>
      </c>
    </row>
    <row r="29" spans="1:14" x14ac:dyDescent="0.25">
      <c r="A29" s="105" t="s">
        <v>487</v>
      </c>
      <c r="B29" s="110">
        <f t="shared" ca="1" si="2"/>
        <v>0.69909792167730767</v>
      </c>
      <c r="C29" s="110">
        <f>IF(Customisation!F22="",Customisation!E22,Customisation!F22)</f>
        <v>0.68420000000000003</v>
      </c>
      <c r="D29" s="110">
        <f ca="1">_xlfn.BETA.INV(E29,H29,J29)</f>
        <v>0.69909792167730767</v>
      </c>
      <c r="E29" s="116">
        <f t="shared" ca="1" si="0"/>
        <v>0.74047618652139291</v>
      </c>
      <c r="F29" t="s">
        <v>543</v>
      </c>
      <c r="G29" t="s">
        <v>545</v>
      </c>
      <c r="H29">
        <f>K29*L29</f>
        <v>283.53579999999965</v>
      </c>
      <c r="I29" t="s">
        <v>546</v>
      </c>
      <c r="J29" s="109">
        <f>K29-H29</f>
        <v>130.86905238234419</v>
      </c>
      <c r="K29" s="109">
        <f>L29*(1-L29)/M29^2-1</f>
        <v>414.40485238234385</v>
      </c>
      <c r="L29" s="110">
        <f t="shared" si="1"/>
        <v>0.68420000000000003</v>
      </c>
      <c r="M29" s="119">
        <f>(USA!K30-USA!H30)/6</f>
        <v>2.280666666666668E-2</v>
      </c>
    </row>
    <row r="32" spans="1:14" x14ac:dyDescent="0.25">
      <c r="E32" s="51"/>
      <c r="F32" s="51"/>
      <c r="G32" s="2"/>
    </row>
    <row r="34" spans="1:32" ht="15.75" x14ac:dyDescent="0.25">
      <c r="A34" s="168" t="s">
        <v>551</v>
      </c>
      <c r="B34" s="169">
        <v>1000</v>
      </c>
      <c r="E34" s="123"/>
      <c r="F34" s="124"/>
      <c r="R34" s="138" t="s">
        <v>557</v>
      </c>
      <c r="S34" s="138" t="s">
        <v>586</v>
      </c>
      <c r="T34" s="138" t="s">
        <v>558</v>
      </c>
    </row>
    <row r="35" spans="1:32" x14ac:dyDescent="0.25">
      <c r="E35" s="116"/>
      <c r="F35" s="119"/>
      <c r="R35" s="141">
        <f>J37-L37</f>
        <v>303683831.65047014</v>
      </c>
      <c r="S35" s="142">
        <f>K37-M37</f>
        <v>95176.969608396917</v>
      </c>
      <c r="T35" s="141">
        <f>R35/S35</f>
        <v>3190.7281026068504</v>
      </c>
    </row>
    <row r="36" spans="1:32" ht="15.75" x14ac:dyDescent="0.25">
      <c r="C36" s="138" t="s">
        <v>554</v>
      </c>
      <c r="D36" s="138" t="s">
        <v>584</v>
      </c>
      <c r="E36" s="138" t="s">
        <v>556</v>
      </c>
      <c r="F36" s="138" t="s">
        <v>585</v>
      </c>
      <c r="J36" s="143" t="s">
        <v>554</v>
      </c>
      <c r="K36" s="143" t="s">
        <v>584</v>
      </c>
      <c r="L36" s="143" t="s">
        <v>556</v>
      </c>
      <c r="M36" s="143" t="s">
        <v>585</v>
      </c>
      <c r="AC36" s="143" t="s">
        <v>564</v>
      </c>
      <c r="AD36" s="143" t="s">
        <v>566</v>
      </c>
      <c r="AE36" s="143" t="s">
        <v>565</v>
      </c>
      <c r="AF36" s="143" t="s">
        <v>567</v>
      </c>
    </row>
    <row r="37" spans="1:32" ht="15.75" x14ac:dyDescent="0.25">
      <c r="C37" s="141">
        <f ca="1">Output!D10+Output!D8*Model!Z3</f>
        <v>287970910.6376335</v>
      </c>
      <c r="D37" s="142">
        <f ca="1">Output!D16+Output!D17</f>
        <v>77173.106112387817</v>
      </c>
      <c r="E37" s="141">
        <f ca="1">Model!P3*Output!D8</f>
        <v>8932662.0334598068</v>
      </c>
      <c r="F37" s="142">
        <v>0</v>
      </c>
      <c r="J37" s="141">
        <f>AVERAGE(J41:J1040)</f>
        <v>312076802.46114528</v>
      </c>
      <c r="K37" s="145">
        <f>AVERAGE(K41:K1040)</f>
        <v>95176.969608396917</v>
      </c>
      <c r="L37" s="141">
        <f>AVERAGE(L41:L1040)</f>
        <v>8392970.8106751181</v>
      </c>
      <c r="M37" s="145">
        <f>AVERAGE(M41:M1040)</f>
        <v>0</v>
      </c>
      <c r="S37" s="143" t="s">
        <v>574</v>
      </c>
      <c r="T37" s="143" t="s">
        <v>575</v>
      </c>
      <c r="AC37" s="144">
        <f>S38</f>
        <v>1</v>
      </c>
      <c r="AD37" s="144">
        <f>T38</f>
        <v>0</v>
      </c>
      <c r="AE37" s="141">
        <f>K37*threshold-J37</f>
        <v>1242577693.5576591</v>
      </c>
      <c r="AF37" s="141">
        <f>M37*threshold-L37</f>
        <v>-8392970.8106751181</v>
      </c>
    </row>
    <row r="38" spans="1:32" x14ac:dyDescent="0.25">
      <c r="E38" s="116"/>
      <c r="F38" s="119"/>
      <c r="S38" s="146">
        <f>COUNTIF(T41:T1040,"=TxPost-vaccination")/1000</f>
        <v>1</v>
      </c>
      <c r="T38" s="146">
        <f>COUNTIF(T41:T1040,"=TxPre-vaccination")/1000</f>
        <v>0</v>
      </c>
    </row>
    <row r="39" spans="1:32" x14ac:dyDescent="0.25">
      <c r="E39" s="116"/>
      <c r="F39" s="119"/>
    </row>
    <row r="40" spans="1:32" ht="24.95" customHeight="1" x14ac:dyDescent="0.25">
      <c r="B40" s="153" t="s">
        <v>552</v>
      </c>
      <c r="C40" s="154" t="s">
        <v>560</v>
      </c>
      <c r="D40" s="154" t="s">
        <v>587</v>
      </c>
      <c r="E40" s="154" t="s">
        <v>561</v>
      </c>
      <c r="F40" s="154" t="s">
        <v>588</v>
      </c>
      <c r="I40" s="153" t="s">
        <v>552</v>
      </c>
      <c r="J40" s="64"/>
      <c r="K40" s="64"/>
      <c r="L40" s="64"/>
      <c r="M40" s="64"/>
      <c r="Q40" s="153" t="s">
        <v>552</v>
      </c>
      <c r="R40" s="155" t="s">
        <v>565</v>
      </c>
      <c r="S40" s="155" t="s">
        <v>567</v>
      </c>
      <c r="T40" s="156" t="s">
        <v>559</v>
      </c>
      <c r="W40" s="153" t="s">
        <v>552</v>
      </c>
      <c r="X40" s="157" t="s">
        <v>563</v>
      </c>
      <c r="Y40" s="157" t="s">
        <v>589</v>
      </c>
      <c r="AB40" s="158" t="s">
        <v>562</v>
      </c>
      <c r="AC40" s="158" t="s">
        <v>564</v>
      </c>
      <c r="AD40" s="158" t="s">
        <v>566</v>
      </c>
      <c r="AE40" s="158" t="s">
        <v>565</v>
      </c>
      <c r="AF40" s="158" t="s">
        <v>567</v>
      </c>
    </row>
    <row r="41" spans="1:32" x14ac:dyDescent="0.25">
      <c r="B41" s="159">
        <v>1</v>
      </c>
      <c r="C41" s="164">
        <v>298063693.54248077</v>
      </c>
      <c r="D41" s="159">
        <v>135875.61967821579</v>
      </c>
      <c r="E41" s="164">
        <v>10944470.787246821</v>
      </c>
      <c r="F41" s="159">
        <v>0</v>
      </c>
      <c r="I41" s="159">
        <v>1</v>
      </c>
      <c r="J41" s="164">
        <v>298063693.54248077</v>
      </c>
      <c r="K41" s="159">
        <v>135875.61967821579</v>
      </c>
      <c r="L41" s="164">
        <v>10944470.787246821</v>
      </c>
      <c r="M41" s="159">
        <v>0</v>
      </c>
      <c r="Q41" s="139">
        <v>1</v>
      </c>
      <c r="R41" s="164">
        <f t="shared" ref="R41:R104" si="11">K41*threshold-J41</f>
        <v>1921377037.7732894</v>
      </c>
      <c r="S41" s="164">
        <f t="shared" ref="S41:S104" si="12">M41*threshold-L41</f>
        <v>-10944470.787246821</v>
      </c>
      <c r="T41" s="159" t="str">
        <f>IF(R41&gt;S41,"TxPost-vaccination",IF(S41&gt;R41,"TxPre-vaccination","either"))</f>
        <v>TxPost-vaccination</v>
      </c>
      <c r="W41" s="139">
        <v>1</v>
      </c>
      <c r="X41" s="164">
        <f>J41-L41</f>
        <v>287119222.75523394</v>
      </c>
      <c r="Y41" s="159">
        <f>K41-M41</f>
        <v>135875.61967821579</v>
      </c>
      <c r="AB41" s="160">
        <v>0</v>
      </c>
      <c r="AC41" s="161">
        <v>0</v>
      </c>
      <c r="AD41" s="161">
        <v>1</v>
      </c>
      <c r="AE41" s="164">
        <v>-312076802.46114528</v>
      </c>
      <c r="AF41" s="164">
        <v>-8392970.8106751181</v>
      </c>
    </row>
    <row r="42" spans="1:32" x14ac:dyDescent="0.25">
      <c r="B42" s="159">
        <v>2</v>
      </c>
      <c r="C42" s="164">
        <v>313839437.57754195</v>
      </c>
      <c r="D42" s="159">
        <v>60386.568159491952</v>
      </c>
      <c r="E42" s="164">
        <v>6068990.2464507418</v>
      </c>
      <c r="F42" s="159">
        <v>0</v>
      </c>
      <c r="I42" s="159">
        <v>2</v>
      </c>
      <c r="J42" s="164">
        <v>313839437.57754195</v>
      </c>
      <c r="K42" s="159">
        <v>60386.568159491952</v>
      </c>
      <c r="L42" s="164">
        <v>6068990.2464507418</v>
      </c>
      <c r="M42" s="159">
        <v>0</v>
      </c>
      <c r="Q42" s="139">
        <v>2</v>
      </c>
      <c r="R42" s="164">
        <f t="shared" si="11"/>
        <v>672536258.92307055</v>
      </c>
      <c r="S42" s="164">
        <f t="shared" si="12"/>
        <v>-6068990.2464507418</v>
      </c>
      <c r="T42" s="159" t="str">
        <f t="shared" ref="T42:T105" si="13">IF(R42&gt;S42,"TxPost-vaccination",IF(S42&gt;R42,"TxPre-vaccination","either"))</f>
        <v>TxPost-vaccination</v>
      </c>
      <c r="W42" s="139">
        <v>2</v>
      </c>
      <c r="X42" s="164">
        <f t="shared" ref="X42:Y105" si="14">J42-L42</f>
        <v>307770447.33109123</v>
      </c>
      <c r="Y42" s="159">
        <f t="shared" si="14"/>
        <v>60386.568159491952</v>
      </c>
      <c r="AB42" s="160">
        <v>1000</v>
      </c>
      <c r="AC42" s="161">
        <v>0</v>
      </c>
      <c r="AD42" s="161">
        <v>1</v>
      </c>
      <c r="AE42" s="164">
        <v>-216899832.85274836</v>
      </c>
      <c r="AF42" s="164">
        <v>-8392970.8106751181</v>
      </c>
    </row>
    <row r="43" spans="1:32" x14ac:dyDescent="0.25">
      <c r="B43" s="159">
        <v>3</v>
      </c>
      <c r="C43" s="164">
        <v>294526049.38824165</v>
      </c>
      <c r="D43" s="159">
        <v>116105.97027230784</v>
      </c>
      <c r="E43" s="164">
        <v>10305807.779485956</v>
      </c>
      <c r="F43" s="159">
        <v>0</v>
      </c>
      <c r="I43" s="159">
        <v>3</v>
      </c>
      <c r="J43" s="164">
        <v>294526049.38824165</v>
      </c>
      <c r="K43" s="159">
        <v>116105.97027230784</v>
      </c>
      <c r="L43" s="164">
        <v>10305807.779485956</v>
      </c>
      <c r="M43" s="159">
        <v>0</v>
      </c>
      <c r="Q43" s="139">
        <v>3</v>
      </c>
      <c r="R43" s="164">
        <f t="shared" si="11"/>
        <v>1601990192.3155088</v>
      </c>
      <c r="S43" s="164">
        <f t="shared" si="12"/>
        <v>-10305807.779485956</v>
      </c>
      <c r="T43" s="159" t="str">
        <f t="shared" si="13"/>
        <v>TxPost-vaccination</v>
      </c>
      <c r="W43" s="139">
        <v>3</v>
      </c>
      <c r="X43" s="164">
        <f t="shared" si="14"/>
        <v>284220241.60875571</v>
      </c>
      <c r="Y43" s="159">
        <f t="shared" si="14"/>
        <v>116105.97027230784</v>
      </c>
      <c r="AB43" s="160">
        <v>2000</v>
      </c>
      <c r="AC43" s="161">
        <v>2.7E-2</v>
      </c>
      <c r="AD43" s="161">
        <v>0.97299999999999998</v>
      </c>
      <c r="AE43" s="164">
        <v>-121722863.24435145</v>
      </c>
      <c r="AF43" s="164">
        <v>-8392970.8106751181</v>
      </c>
    </row>
    <row r="44" spans="1:32" x14ac:dyDescent="0.25">
      <c r="B44" s="159">
        <v>4</v>
      </c>
      <c r="C44" s="164">
        <v>318967976.63776892</v>
      </c>
      <c r="D44" s="159">
        <v>85191.86534868303</v>
      </c>
      <c r="E44" s="164">
        <v>7240372.0957208332</v>
      </c>
      <c r="F44" s="159">
        <v>0</v>
      </c>
      <c r="I44" s="159">
        <v>4</v>
      </c>
      <c r="J44" s="164">
        <v>318967976.63776892</v>
      </c>
      <c r="K44" s="159">
        <v>85191.86534868303</v>
      </c>
      <c r="L44" s="164">
        <v>7240372.0957208332</v>
      </c>
      <c r="M44" s="159">
        <v>0</v>
      </c>
      <c r="Q44" s="139">
        <v>4</v>
      </c>
      <c r="R44" s="164">
        <f t="shared" si="11"/>
        <v>1072586272.6044121</v>
      </c>
      <c r="S44" s="164">
        <f t="shared" si="12"/>
        <v>-7240372.0957208332</v>
      </c>
      <c r="T44" s="159" t="str">
        <f t="shared" si="13"/>
        <v>TxPost-vaccination</v>
      </c>
      <c r="W44" s="139">
        <v>4</v>
      </c>
      <c r="X44" s="164">
        <f t="shared" si="14"/>
        <v>311727604.5420481</v>
      </c>
      <c r="Y44" s="159">
        <f t="shared" si="14"/>
        <v>85191.86534868303</v>
      </c>
      <c r="AB44" s="160">
        <v>3000</v>
      </c>
      <c r="AC44" s="161">
        <v>0.39500000000000002</v>
      </c>
      <c r="AD44" s="161">
        <v>0.60499999999999998</v>
      </c>
      <c r="AE44" s="164">
        <v>-26545893.635954559</v>
      </c>
      <c r="AF44" s="164">
        <v>-8392970.8106751181</v>
      </c>
    </row>
    <row r="45" spans="1:32" x14ac:dyDescent="0.25">
      <c r="B45" s="159">
        <v>5</v>
      </c>
      <c r="C45" s="164">
        <v>323635594.95424145</v>
      </c>
      <c r="D45" s="159">
        <v>70848.841074847514</v>
      </c>
      <c r="E45" s="164">
        <v>7619247.2765979348</v>
      </c>
      <c r="F45" s="159">
        <v>0</v>
      </c>
      <c r="I45" s="159">
        <v>5</v>
      </c>
      <c r="J45" s="164">
        <v>323635594.95424145</v>
      </c>
      <c r="K45" s="159">
        <v>70848.841074847514</v>
      </c>
      <c r="L45" s="164">
        <v>7619247.2765979348</v>
      </c>
      <c r="M45" s="159">
        <v>0</v>
      </c>
      <c r="Q45" s="139">
        <v>5</v>
      </c>
      <c r="R45" s="164">
        <f t="shared" si="11"/>
        <v>833634590.97334146</v>
      </c>
      <c r="S45" s="164">
        <f t="shared" si="12"/>
        <v>-7619247.2765979348</v>
      </c>
      <c r="T45" s="159" t="str">
        <f t="shared" si="13"/>
        <v>TxPost-vaccination</v>
      </c>
      <c r="W45" s="139">
        <v>5</v>
      </c>
      <c r="X45" s="164">
        <f t="shared" si="14"/>
        <v>316016347.67764354</v>
      </c>
      <c r="Y45" s="159">
        <f t="shared" si="14"/>
        <v>70848.841074847514</v>
      </c>
      <c r="AB45" s="160">
        <v>4000</v>
      </c>
      <c r="AC45" s="161">
        <v>0.75600000000000001</v>
      </c>
      <c r="AD45" s="161">
        <v>0.24399999999999999</v>
      </c>
      <c r="AE45" s="164">
        <v>68631075.972442389</v>
      </c>
      <c r="AF45" s="164">
        <v>-8392970.8106751181</v>
      </c>
    </row>
    <row r="46" spans="1:32" x14ac:dyDescent="0.25">
      <c r="B46" s="159">
        <v>6</v>
      </c>
      <c r="C46" s="164">
        <v>310111302.67898846</v>
      </c>
      <c r="D46" s="159">
        <v>110445.20491203951</v>
      </c>
      <c r="E46" s="164">
        <v>10692993.285818692</v>
      </c>
      <c r="F46" s="159">
        <v>0</v>
      </c>
      <c r="I46" s="159">
        <v>6</v>
      </c>
      <c r="J46" s="164">
        <v>310111302.67898846</v>
      </c>
      <c r="K46" s="159">
        <v>110445.20491203951</v>
      </c>
      <c r="L46" s="164">
        <v>10692993.285818692</v>
      </c>
      <c r="M46" s="159">
        <v>0</v>
      </c>
      <c r="Q46" s="139">
        <v>6</v>
      </c>
      <c r="R46" s="164">
        <f t="shared" si="11"/>
        <v>1493939982.9071403</v>
      </c>
      <c r="S46" s="164">
        <f t="shared" si="12"/>
        <v>-10692993.285818692</v>
      </c>
      <c r="T46" s="159" t="str">
        <f t="shared" si="13"/>
        <v>TxPost-vaccination</v>
      </c>
      <c r="W46" s="139">
        <v>6</v>
      </c>
      <c r="X46" s="164">
        <f t="shared" si="14"/>
        <v>299418309.39316976</v>
      </c>
      <c r="Y46" s="159">
        <f t="shared" si="14"/>
        <v>110445.20491203951</v>
      </c>
      <c r="AB46" s="160">
        <v>5000</v>
      </c>
      <c r="AC46" s="161">
        <v>0.91300000000000003</v>
      </c>
      <c r="AD46" s="161">
        <v>8.6999999999999994E-2</v>
      </c>
      <c r="AE46" s="164">
        <v>163808045.58083928</v>
      </c>
      <c r="AF46" s="164">
        <v>-8392970.8106751181</v>
      </c>
    </row>
    <row r="47" spans="1:32" x14ac:dyDescent="0.25">
      <c r="B47" s="159">
        <v>7</v>
      </c>
      <c r="C47" s="164">
        <v>293443703.49328923</v>
      </c>
      <c r="D47" s="159">
        <v>82544.863386146739</v>
      </c>
      <c r="E47" s="164">
        <v>7079571.41657269</v>
      </c>
      <c r="F47" s="159">
        <v>0</v>
      </c>
      <c r="I47" s="159">
        <v>7</v>
      </c>
      <c r="J47" s="164">
        <v>293443703.49328923</v>
      </c>
      <c r="K47" s="159">
        <v>82544.863386146739</v>
      </c>
      <c r="L47" s="164">
        <v>7079571.41657269</v>
      </c>
      <c r="M47" s="159">
        <v>0</v>
      </c>
      <c r="Q47" s="139">
        <v>7</v>
      </c>
      <c r="R47" s="164">
        <f t="shared" si="11"/>
        <v>1054873473.5983555</v>
      </c>
      <c r="S47" s="164">
        <f t="shared" si="12"/>
        <v>-7079571.41657269</v>
      </c>
      <c r="T47" s="159" t="str">
        <f t="shared" si="13"/>
        <v>TxPost-vaccination</v>
      </c>
      <c r="W47" s="139">
        <v>7</v>
      </c>
      <c r="X47" s="164">
        <f t="shared" si="14"/>
        <v>286364132.07671654</v>
      </c>
      <c r="Y47" s="159">
        <f t="shared" si="14"/>
        <v>82544.863386146739</v>
      </c>
      <c r="AB47" s="160">
        <v>6000</v>
      </c>
      <c r="AC47" s="161">
        <v>0.98599999999999999</v>
      </c>
      <c r="AD47" s="161">
        <v>1.4E-2</v>
      </c>
      <c r="AE47" s="164">
        <v>258985015.18923616</v>
      </c>
      <c r="AF47" s="164">
        <v>-8392970.8106751181</v>
      </c>
    </row>
    <row r="48" spans="1:32" x14ac:dyDescent="0.25">
      <c r="B48" s="159">
        <v>8</v>
      </c>
      <c r="C48" s="164">
        <v>300242665.12920088</v>
      </c>
      <c r="D48" s="159">
        <v>106265.5088327932</v>
      </c>
      <c r="E48" s="164">
        <v>9587245.5698948596</v>
      </c>
      <c r="F48" s="159">
        <v>0</v>
      </c>
      <c r="I48" s="159">
        <v>8</v>
      </c>
      <c r="J48" s="164">
        <v>300242665.12920088</v>
      </c>
      <c r="K48" s="159">
        <v>106265.5088327932</v>
      </c>
      <c r="L48" s="164">
        <v>9587245.5698948596</v>
      </c>
      <c r="M48" s="159">
        <v>0</v>
      </c>
      <c r="Q48" s="139">
        <v>8</v>
      </c>
      <c r="R48" s="164">
        <f t="shared" si="11"/>
        <v>1435535977.1028872</v>
      </c>
      <c r="S48" s="164">
        <f t="shared" si="12"/>
        <v>-9587245.5698948596</v>
      </c>
      <c r="T48" s="159" t="str">
        <f t="shared" si="13"/>
        <v>TxPost-vaccination</v>
      </c>
      <c r="W48" s="139">
        <v>8</v>
      </c>
      <c r="X48" s="164">
        <f t="shared" si="14"/>
        <v>290655419.55930603</v>
      </c>
      <c r="Y48" s="159">
        <f t="shared" si="14"/>
        <v>106265.5088327932</v>
      </c>
      <c r="AB48" s="160">
        <v>7000</v>
      </c>
      <c r="AC48" s="161">
        <v>0.996</v>
      </c>
      <c r="AD48" s="161">
        <v>4.0000000000000001E-3</v>
      </c>
      <c r="AE48" s="164">
        <v>354161984.79763317</v>
      </c>
      <c r="AF48" s="164">
        <v>-8392970.8106751181</v>
      </c>
    </row>
    <row r="49" spans="2:32" x14ac:dyDescent="0.25">
      <c r="B49" s="159">
        <v>9</v>
      </c>
      <c r="C49" s="164">
        <v>326068917.05391198</v>
      </c>
      <c r="D49" s="159">
        <v>68479.925596646746</v>
      </c>
      <c r="E49" s="164">
        <v>6862854.9369361512</v>
      </c>
      <c r="F49" s="159">
        <v>0</v>
      </c>
      <c r="I49" s="159">
        <v>9</v>
      </c>
      <c r="J49" s="164">
        <v>326068917.05391198</v>
      </c>
      <c r="K49" s="159">
        <v>68479.925596646746</v>
      </c>
      <c r="L49" s="164">
        <v>6862854.9369361512</v>
      </c>
      <c r="M49" s="159">
        <v>0</v>
      </c>
      <c r="Q49" s="139">
        <v>9</v>
      </c>
      <c r="R49" s="164">
        <f t="shared" si="11"/>
        <v>792506560.33203197</v>
      </c>
      <c r="S49" s="164">
        <f t="shared" si="12"/>
        <v>-6862854.9369361512</v>
      </c>
      <c r="T49" s="159" t="str">
        <f t="shared" si="13"/>
        <v>TxPost-vaccination</v>
      </c>
      <c r="W49" s="139">
        <v>9</v>
      </c>
      <c r="X49" s="164">
        <f t="shared" si="14"/>
        <v>319206062.11697584</v>
      </c>
      <c r="Y49" s="159">
        <f t="shared" si="14"/>
        <v>68479.925596646746</v>
      </c>
      <c r="AB49" s="160">
        <v>8000</v>
      </c>
      <c r="AC49" s="161">
        <v>0.999</v>
      </c>
      <c r="AD49" s="161">
        <v>1E-3</v>
      </c>
      <c r="AE49" s="164">
        <v>449338954.40603006</v>
      </c>
      <c r="AF49" s="164">
        <v>-8392970.8106751181</v>
      </c>
    </row>
    <row r="50" spans="2:32" x14ac:dyDescent="0.25">
      <c r="B50" s="159">
        <v>10</v>
      </c>
      <c r="C50" s="164">
        <v>325952725.82857597</v>
      </c>
      <c r="D50" s="159">
        <v>66461.216054275355</v>
      </c>
      <c r="E50" s="164">
        <v>6049680.2976222318</v>
      </c>
      <c r="F50" s="159">
        <v>0</v>
      </c>
      <c r="I50" s="159">
        <v>10</v>
      </c>
      <c r="J50" s="164">
        <v>325952725.82857597</v>
      </c>
      <c r="K50" s="159">
        <v>66461.216054275355</v>
      </c>
      <c r="L50" s="164">
        <v>6049680.2976222318</v>
      </c>
      <c r="M50" s="159">
        <v>0</v>
      </c>
      <c r="Q50" s="139">
        <v>10</v>
      </c>
      <c r="R50" s="164">
        <f t="shared" si="11"/>
        <v>759648431.41336048</v>
      </c>
      <c r="S50" s="164">
        <f t="shared" si="12"/>
        <v>-6049680.2976222318</v>
      </c>
      <c r="T50" s="159" t="str">
        <f t="shared" si="13"/>
        <v>TxPost-vaccination</v>
      </c>
      <c r="W50" s="139">
        <v>10</v>
      </c>
      <c r="X50" s="164">
        <f t="shared" si="14"/>
        <v>319903045.53095376</v>
      </c>
      <c r="Y50" s="159">
        <f t="shared" si="14"/>
        <v>66461.216054275355</v>
      </c>
      <c r="AB50" s="160">
        <v>9000</v>
      </c>
      <c r="AC50" s="161">
        <v>0.999</v>
      </c>
      <c r="AD50" s="161">
        <v>1E-3</v>
      </c>
      <c r="AE50" s="164">
        <v>544515924.01442695</v>
      </c>
      <c r="AF50" s="164">
        <v>-8392970.8106751181</v>
      </c>
    </row>
    <row r="51" spans="2:32" x14ac:dyDescent="0.25">
      <c r="B51" s="159">
        <v>11</v>
      </c>
      <c r="C51" s="164">
        <v>303106721.59052581</v>
      </c>
      <c r="D51" s="159">
        <v>82698.500042162836</v>
      </c>
      <c r="E51" s="164">
        <v>8027016.2011953974</v>
      </c>
      <c r="F51" s="159">
        <v>0</v>
      </c>
      <c r="I51" s="159">
        <v>11</v>
      </c>
      <c r="J51" s="164">
        <v>303106721.59052581</v>
      </c>
      <c r="K51" s="159">
        <v>82698.500042162836</v>
      </c>
      <c r="L51" s="164">
        <v>8027016.2011953974</v>
      </c>
      <c r="M51" s="159">
        <v>0</v>
      </c>
      <c r="Q51" s="139">
        <v>11</v>
      </c>
      <c r="R51" s="164">
        <f t="shared" si="11"/>
        <v>1047720011.3213081</v>
      </c>
      <c r="S51" s="164">
        <f t="shared" si="12"/>
        <v>-8027016.2011953974</v>
      </c>
      <c r="T51" s="159" t="str">
        <f t="shared" si="13"/>
        <v>TxPost-vaccination</v>
      </c>
      <c r="W51" s="139">
        <v>11</v>
      </c>
      <c r="X51" s="164">
        <f t="shared" si="14"/>
        <v>295079705.38933039</v>
      </c>
      <c r="Y51" s="159">
        <f t="shared" si="14"/>
        <v>82698.500042162836</v>
      </c>
      <c r="AB51" s="160">
        <v>10000</v>
      </c>
      <c r="AC51" s="161">
        <v>1</v>
      </c>
      <c r="AD51" s="161">
        <v>0</v>
      </c>
      <c r="AE51" s="164">
        <v>639692893.62282383</v>
      </c>
      <c r="AF51" s="164">
        <v>-8392970.8106751181</v>
      </c>
    </row>
    <row r="52" spans="2:32" x14ac:dyDescent="0.25">
      <c r="B52" s="159">
        <v>12</v>
      </c>
      <c r="C52" s="164">
        <v>322187704.79456317</v>
      </c>
      <c r="D52" s="159">
        <v>111358.90011369577</v>
      </c>
      <c r="E52" s="164">
        <v>11451169.726179766</v>
      </c>
      <c r="F52" s="159">
        <v>0</v>
      </c>
      <c r="I52" s="159">
        <v>12</v>
      </c>
      <c r="J52" s="164">
        <v>322187704.79456317</v>
      </c>
      <c r="K52" s="159">
        <v>111358.90011369577</v>
      </c>
      <c r="L52" s="164">
        <v>11451169.726179766</v>
      </c>
      <c r="M52" s="159">
        <v>0</v>
      </c>
      <c r="Q52" s="139">
        <v>12</v>
      </c>
      <c r="R52" s="164">
        <f t="shared" si="11"/>
        <v>1496788203.4086781</v>
      </c>
      <c r="S52" s="164">
        <f t="shared" si="12"/>
        <v>-11451169.726179766</v>
      </c>
      <c r="T52" s="159" t="str">
        <f t="shared" si="13"/>
        <v>TxPost-vaccination</v>
      </c>
      <c r="W52" s="139">
        <v>12</v>
      </c>
      <c r="X52" s="164">
        <f t="shared" si="14"/>
        <v>310736535.0683834</v>
      </c>
      <c r="Y52" s="159">
        <f t="shared" si="14"/>
        <v>111358.90011369577</v>
      </c>
      <c r="AB52" s="160">
        <v>11000</v>
      </c>
      <c r="AC52" s="161">
        <v>1</v>
      </c>
      <c r="AD52" s="161">
        <v>0</v>
      </c>
      <c r="AE52" s="164">
        <v>734869863.23122084</v>
      </c>
      <c r="AF52" s="164">
        <v>-8392970.8106751181</v>
      </c>
    </row>
    <row r="53" spans="2:32" x14ac:dyDescent="0.25">
      <c r="B53" s="159">
        <v>13</v>
      </c>
      <c r="C53" s="164">
        <v>302696591.23054045</v>
      </c>
      <c r="D53" s="159">
        <v>132600.31720813992</v>
      </c>
      <c r="E53" s="164">
        <v>10659026.642421182</v>
      </c>
      <c r="F53" s="159">
        <v>0</v>
      </c>
      <c r="I53" s="159">
        <v>13</v>
      </c>
      <c r="J53" s="164">
        <v>302696591.23054045</v>
      </c>
      <c r="K53" s="159">
        <v>132600.31720813992</v>
      </c>
      <c r="L53" s="164">
        <v>10659026.642421182</v>
      </c>
      <c r="M53" s="159">
        <v>0</v>
      </c>
      <c r="Q53" s="139">
        <v>13</v>
      </c>
      <c r="R53" s="164">
        <f t="shared" si="11"/>
        <v>1863244183.8261087</v>
      </c>
      <c r="S53" s="164">
        <f t="shared" si="12"/>
        <v>-10659026.642421182</v>
      </c>
      <c r="T53" s="159" t="str">
        <f t="shared" si="13"/>
        <v>TxPost-vaccination</v>
      </c>
      <c r="W53" s="139">
        <v>13</v>
      </c>
      <c r="X53" s="164">
        <f t="shared" si="14"/>
        <v>292037564.58811927</v>
      </c>
      <c r="Y53" s="159">
        <f t="shared" si="14"/>
        <v>132600.31720813992</v>
      </c>
      <c r="AB53" s="160">
        <v>12000</v>
      </c>
      <c r="AC53" s="161">
        <v>1</v>
      </c>
      <c r="AD53" s="161">
        <v>0</v>
      </c>
      <c r="AE53" s="164">
        <v>830046832.83961761</v>
      </c>
      <c r="AF53" s="164">
        <v>-8392970.8106751181</v>
      </c>
    </row>
    <row r="54" spans="2:32" x14ac:dyDescent="0.25">
      <c r="B54" s="159">
        <v>14</v>
      </c>
      <c r="C54" s="164">
        <v>311161233.78595883</v>
      </c>
      <c r="D54" s="159">
        <v>73449.509815697034</v>
      </c>
      <c r="E54" s="164">
        <v>7079420.6547249015</v>
      </c>
      <c r="F54" s="159">
        <v>0</v>
      </c>
      <c r="I54" s="159">
        <v>14</v>
      </c>
      <c r="J54" s="164">
        <v>311161233.78595883</v>
      </c>
      <c r="K54" s="159">
        <v>73449.509815697034</v>
      </c>
      <c r="L54" s="164">
        <v>7079420.6547249015</v>
      </c>
      <c r="M54" s="159">
        <v>0</v>
      </c>
      <c r="Q54" s="139">
        <v>14</v>
      </c>
      <c r="R54" s="164">
        <f t="shared" si="11"/>
        <v>888589200.95867181</v>
      </c>
      <c r="S54" s="164">
        <f t="shared" si="12"/>
        <v>-7079420.6547249015</v>
      </c>
      <c r="T54" s="159" t="str">
        <f t="shared" si="13"/>
        <v>TxPost-vaccination</v>
      </c>
      <c r="W54" s="139">
        <v>14</v>
      </c>
      <c r="X54" s="164">
        <f t="shared" si="14"/>
        <v>304081813.13123393</v>
      </c>
      <c r="Y54" s="159">
        <f t="shared" si="14"/>
        <v>73449.509815697034</v>
      </c>
      <c r="AB54" s="160">
        <v>13000</v>
      </c>
      <c r="AC54" s="161">
        <v>1</v>
      </c>
      <c r="AD54" s="161">
        <v>0</v>
      </c>
      <c r="AE54" s="164">
        <v>925223802.44801462</v>
      </c>
      <c r="AF54" s="164">
        <v>-8392970.8106751181</v>
      </c>
    </row>
    <row r="55" spans="2:32" x14ac:dyDescent="0.25">
      <c r="B55" s="159">
        <v>15</v>
      </c>
      <c r="C55" s="164">
        <v>313906379.55480289</v>
      </c>
      <c r="D55" s="159">
        <v>143522.35320554694</v>
      </c>
      <c r="E55" s="164">
        <v>12439418.053037148</v>
      </c>
      <c r="F55" s="159">
        <v>0</v>
      </c>
      <c r="I55" s="159">
        <v>15</v>
      </c>
      <c r="J55" s="164">
        <v>313906379.55480289</v>
      </c>
      <c r="K55" s="159">
        <v>143522.35320554694</v>
      </c>
      <c r="L55" s="164">
        <v>12439418.053037148</v>
      </c>
      <c r="M55" s="159">
        <v>0</v>
      </c>
      <c r="Q55" s="139">
        <v>15</v>
      </c>
      <c r="R55" s="164">
        <f t="shared" si="11"/>
        <v>2030438818.7453237</v>
      </c>
      <c r="S55" s="164">
        <f t="shared" si="12"/>
        <v>-12439418.053037148</v>
      </c>
      <c r="T55" s="159" t="str">
        <f t="shared" si="13"/>
        <v>TxPost-vaccination</v>
      </c>
      <c r="W55" s="139">
        <v>15</v>
      </c>
      <c r="X55" s="164">
        <f t="shared" si="14"/>
        <v>301466961.50176573</v>
      </c>
      <c r="Y55" s="159">
        <f t="shared" si="14"/>
        <v>143522.35320554694</v>
      </c>
      <c r="AB55" s="160">
        <v>14000</v>
      </c>
      <c r="AC55" s="161">
        <v>1</v>
      </c>
      <c r="AD55" s="161">
        <v>0</v>
      </c>
      <c r="AE55" s="164">
        <v>1020400772.0564116</v>
      </c>
      <c r="AF55" s="164">
        <v>-8392970.8106751181</v>
      </c>
    </row>
    <row r="56" spans="2:32" x14ac:dyDescent="0.25">
      <c r="B56" s="159">
        <v>16</v>
      </c>
      <c r="C56" s="164">
        <v>315728629.65652269</v>
      </c>
      <c r="D56" s="159">
        <v>116477.60448477026</v>
      </c>
      <c r="E56" s="164">
        <v>11151630.540699564</v>
      </c>
      <c r="F56" s="159">
        <v>0</v>
      </c>
      <c r="I56" s="159">
        <v>16</v>
      </c>
      <c r="J56" s="164">
        <v>315728629.65652269</v>
      </c>
      <c r="K56" s="159">
        <v>116477.60448477026</v>
      </c>
      <c r="L56" s="164">
        <v>11151630.540699564</v>
      </c>
      <c r="M56" s="159">
        <v>0</v>
      </c>
      <c r="Q56" s="139">
        <v>16</v>
      </c>
      <c r="R56" s="164">
        <f t="shared" si="11"/>
        <v>1586858017.5419216</v>
      </c>
      <c r="S56" s="164">
        <f t="shared" si="12"/>
        <v>-11151630.540699564</v>
      </c>
      <c r="T56" s="159" t="str">
        <f t="shared" si="13"/>
        <v>TxPost-vaccination</v>
      </c>
      <c r="W56" s="139">
        <v>16</v>
      </c>
      <c r="X56" s="164">
        <f t="shared" si="14"/>
        <v>304576999.11582315</v>
      </c>
      <c r="Y56" s="159">
        <f t="shared" si="14"/>
        <v>116477.60448477026</v>
      </c>
      <c r="AB56" s="160">
        <v>15000</v>
      </c>
      <c r="AC56" s="161">
        <v>1</v>
      </c>
      <c r="AD56" s="161">
        <v>0</v>
      </c>
      <c r="AE56" s="164">
        <v>1115577741.6648083</v>
      </c>
      <c r="AF56" s="164">
        <v>-8392970.8106751181</v>
      </c>
    </row>
    <row r="57" spans="2:32" x14ac:dyDescent="0.25">
      <c r="B57" s="159">
        <v>17</v>
      </c>
      <c r="C57" s="164">
        <v>294046669.03991556</v>
      </c>
      <c r="D57" s="159">
        <v>109902.38425402538</v>
      </c>
      <c r="E57" s="164">
        <v>9297459.9476422407</v>
      </c>
      <c r="F57" s="159">
        <v>0</v>
      </c>
      <c r="I57" s="159">
        <v>17</v>
      </c>
      <c r="J57" s="164">
        <v>294046669.03991556</v>
      </c>
      <c r="K57" s="159">
        <v>109902.38425402538</v>
      </c>
      <c r="L57" s="164">
        <v>9297459.9476422407</v>
      </c>
      <c r="M57" s="159">
        <v>0</v>
      </c>
      <c r="Q57" s="139">
        <v>17</v>
      </c>
      <c r="R57" s="164">
        <f t="shared" si="11"/>
        <v>1501137990.7229099</v>
      </c>
      <c r="S57" s="164">
        <f t="shared" si="12"/>
        <v>-9297459.9476422407</v>
      </c>
      <c r="T57" s="159" t="str">
        <f t="shared" si="13"/>
        <v>TxPost-vaccination</v>
      </c>
      <c r="W57" s="139">
        <v>17</v>
      </c>
      <c r="X57" s="164">
        <f t="shared" si="14"/>
        <v>284749209.09227329</v>
      </c>
      <c r="Y57" s="159">
        <f t="shared" si="14"/>
        <v>109902.38425402538</v>
      </c>
      <c r="AB57" s="160">
        <v>16000</v>
      </c>
      <c r="AC57" s="161">
        <v>1</v>
      </c>
      <c r="AD57" s="161">
        <v>0</v>
      </c>
      <c r="AE57" s="164">
        <v>1210754711.2732053</v>
      </c>
      <c r="AF57" s="164">
        <v>-8392970.8106751181</v>
      </c>
    </row>
    <row r="58" spans="2:32" x14ac:dyDescent="0.25">
      <c r="B58" s="159">
        <v>18</v>
      </c>
      <c r="C58" s="164">
        <v>337279614.92077655</v>
      </c>
      <c r="D58" s="159">
        <v>62376.566794372833</v>
      </c>
      <c r="E58" s="164">
        <v>6073485.1849487321</v>
      </c>
      <c r="F58" s="159">
        <v>0</v>
      </c>
      <c r="I58" s="159">
        <v>18</v>
      </c>
      <c r="J58" s="164">
        <v>337279614.92077655</v>
      </c>
      <c r="K58" s="159">
        <v>62376.566794372833</v>
      </c>
      <c r="L58" s="164">
        <v>6073485.1849487321</v>
      </c>
      <c r="M58" s="159">
        <v>0</v>
      </c>
      <c r="Q58" s="139">
        <v>18</v>
      </c>
      <c r="R58" s="164">
        <f t="shared" si="11"/>
        <v>681601427.54239416</v>
      </c>
      <c r="S58" s="164">
        <f t="shared" si="12"/>
        <v>-6073485.1849487321</v>
      </c>
      <c r="T58" s="159" t="str">
        <f t="shared" si="13"/>
        <v>TxPost-vaccination</v>
      </c>
      <c r="W58" s="139">
        <v>18</v>
      </c>
      <c r="X58" s="164">
        <f t="shared" si="14"/>
        <v>331206129.7358278</v>
      </c>
      <c r="Y58" s="159">
        <f t="shared" si="14"/>
        <v>62376.566794372833</v>
      </c>
      <c r="AB58" s="160">
        <v>17000</v>
      </c>
      <c r="AC58" s="161">
        <v>1</v>
      </c>
      <c r="AD58" s="161">
        <v>0</v>
      </c>
      <c r="AE58" s="164">
        <v>1305931680.8816023</v>
      </c>
      <c r="AF58" s="164">
        <v>-8392970.8106751181</v>
      </c>
    </row>
    <row r="59" spans="2:32" x14ac:dyDescent="0.25">
      <c r="B59" s="159">
        <v>19</v>
      </c>
      <c r="C59" s="164">
        <v>306027178.3259027</v>
      </c>
      <c r="D59" s="159">
        <v>141369.1780583316</v>
      </c>
      <c r="E59" s="164">
        <v>9539726.6004184969</v>
      </c>
      <c r="F59" s="159">
        <v>0</v>
      </c>
      <c r="I59" s="159">
        <v>19</v>
      </c>
      <c r="J59" s="164">
        <v>306027178.3259027</v>
      </c>
      <c r="K59" s="159">
        <v>141369.1780583316</v>
      </c>
      <c r="L59" s="164">
        <v>9539726.6004184969</v>
      </c>
      <c r="M59" s="159">
        <v>0</v>
      </c>
      <c r="Q59" s="139">
        <v>19</v>
      </c>
      <c r="R59" s="164">
        <f t="shared" si="11"/>
        <v>2003147290.7830422</v>
      </c>
      <c r="S59" s="164">
        <f t="shared" si="12"/>
        <v>-9539726.6004184969</v>
      </c>
      <c r="T59" s="159" t="str">
        <f t="shared" si="13"/>
        <v>TxPost-vaccination</v>
      </c>
      <c r="W59" s="139">
        <v>19</v>
      </c>
      <c r="X59" s="164">
        <f t="shared" si="14"/>
        <v>296487451.72548419</v>
      </c>
      <c r="Y59" s="159">
        <f t="shared" si="14"/>
        <v>141369.1780583316</v>
      </c>
      <c r="AB59" s="160">
        <v>18000</v>
      </c>
      <c r="AC59" s="161">
        <v>1</v>
      </c>
      <c r="AD59" s="161">
        <v>0</v>
      </c>
      <c r="AE59" s="164">
        <v>1401108650.4899993</v>
      </c>
      <c r="AF59" s="164">
        <v>-8392970.8106751181</v>
      </c>
    </row>
    <row r="60" spans="2:32" x14ac:dyDescent="0.25">
      <c r="B60" s="159">
        <v>20</v>
      </c>
      <c r="C60" s="164">
        <v>256730316.23271745</v>
      </c>
      <c r="D60" s="159">
        <v>114561.5621742355</v>
      </c>
      <c r="E60" s="164">
        <v>10937498.03800752</v>
      </c>
      <c r="F60" s="159">
        <v>0</v>
      </c>
      <c r="I60" s="159">
        <v>20</v>
      </c>
      <c r="J60" s="164">
        <v>256730316.23271745</v>
      </c>
      <c r="K60" s="159">
        <v>114561.5621742355</v>
      </c>
      <c r="L60" s="164">
        <v>10937498.03800752</v>
      </c>
      <c r="M60" s="159">
        <v>0</v>
      </c>
      <c r="Q60" s="139">
        <v>20</v>
      </c>
      <c r="R60" s="164">
        <f t="shared" si="11"/>
        <v>1614559013.9268334</v>
      </c>
      <c r="S60" s="164">
        <f t="shared" si="12"/>
        <v>-10937498.03800752</v>
      </c>
      <c r="T60" s="159" t="str">
        <f t="shared" si="13"/>
        <v>TxPost-vaccination</v>
      </c>
      <c r="W60" s="139">
        <v>20</v>
      </c>
      <c r="X60" s="164">
        <f t="shared" si="14"/>
        <v>245792818.19470993</v>
      </c>
      <c r="Y60" s="159">
        <f t="shared" si="14"/>
        <v>114561.5621742355</v>
      </c>
      <c r="AB60" s="160">
        <v>19000</v>
      </c>
      <c r="AC60" s="161">
        <v>1</v>
      </c>
      <c r="AD60" s="161">
        <v>0</v>
      </c>
      <c r="AE60" s="164">
        <v>1496285620.0983963</v>
      </c>
      <c r="AF60" s="164">
        <v>-8392970.8106751181</v>
      </c>
    </row>
    <row r="61" spans="2:32" x14ac:dyDescent="0.25">
      <c r="B61" s="159">
        <v>21</v>
      </c>
      <c r="C61" s="164">
        <v>338253163.99021655</v>
      </c>
      <c r="D61" s="159">
        <v>97717.920363841375</v>
      </c>
      <c r="E61" s="164">
        <v>9125708.4412888549</v>
      </c>
      <c r="F61" s="159">
        <v>0</v>
      </c>
      <c r="I61" s="159">
        <v>21</v>
      </c>
      <c r="J61" s="164">
        <v>338253163.99021655</v>
      </c>
      <c r="K61" s="159">
        <v>97717.920363841375</v>
      </c>
      <c r="L61" s="164">
        <v>9125708.4412888549</v>
      </c>
      <c r="M61" s="159">
        <v>0</v>
      </c>
      <c r="Q61" s="139">
        <v>21</v>
      </c>
      <c r="R61" s="164">
        <f t="shared" si="11"/>
        <v>1257906126.0178008</v>
      </c>
      <c r="S61" s="164">
        <f t="shared" si="12"/>
        <v>-9125708.4412888549</v>
      </c>
      <c r="T61" s="159" t="str">
        <f t="shared" si="13"/>
        <v>TxPost-vaccination</v>
      </c>
      <c r="W61" s="139">
        <v>21</v>
      </c>
      <c r="X61" s="164">
        <f t="shared" si="14"/>
        <v>329127455.54892772</v>
      </c>
      <c r="Y61" s="159">
        <f t="shared" si="14"/>
        <v>97717.920363841375</v>
      </c>
      <c r="AB61" s="160">
        <v>20000</v>
      </c>
      <c r="AC61" s="161">
        <v>1</v>
      </c>
      <c r="AD61" s="161">
        <v>0</v>
      </c>
      <c r="AE61" s="164">
        <v>1591462589.7067928</v>
      </c>
      <c r="AF61" s="164">
        <v>-8392970.8106751181</v>
      </c>
    </row>
    <row r="62" spans="2:32" x14ac:dyDescent="0.25">
      <c r="B62" s="159">
        <v>22</v>
      </c>
      <c r="C62" s="164">
        <v>301701364.8610391</v>
      </c>
      <c r="D62" s="159">
        <v>129394.47586410464</v>
      </c>
      <c r="E62" s="164">
        <v>9902934.3438530248</v>
      </c>
      <c r="F62" s="159">
        <v>0</v>
      </c>
      <c r="I62" s="159">
        <v>22</v>
      </c>
      <c r="J62" s="164">
        <v>301701364.8610391</v>
      </c>
      <c r="K62" s="159">
        <v>129394.47586410464</v>
      </c>
      <c r="L62" s="164">
        <v>9902934.3438530248</v>
      </c>
      <c r="M62" s="159">
        <v>0</v>
      </c>
      <c r="Q62" s="139">
        <v>22</v>
      </c>
      <c r="R62" s="164">
        <f t="shared" si="11"/>
        <v>1811874056.6911449</v>
      </c>
      <c r="S62" s="164">
        <f t="shared" si="12"/>
        <v>-9902934.3438530248</v>
      </c>
      <c r="T62" s="159" t="str">
        <f t="shared" si="13"/>
        <v>TxPost-vaccination</v>
      </c>
      <c r="W62" s="139">
        <v>22</v>
      </c>
      <c r="X62" s="164">
        <f t="shared" si="14"/>
        <v>291798430.51718611</v>
      </c>
      <c r="Y62" s="159">
        <f t="shared" si="14"/>
        <v>129394.47586410464</v>
      </c>
      <c r="AB62" s="160">
        <v>21000</v>
      </c>
      <c r="AC62" s="161">
        <v>1</v>
      </c>
      <c r="AD62" s="161">
        <v>0</v>
      </c>
      <c r="AE62" s="164">
        <v>1686639559.3151898</v>
      </c>
      <c r="AF62" s="164">
        <v>-8392970.8106751181</v>
      </c>
    </row>
    <row r="63" spans="2:32" x14ac:dyDescent="0.25">
      <c r="B63" s="159">
        <v>23</v>
      </c>
      <c r="C63" s="164">
        <v>329206655.36451161</v>
      </c>
      <c r="D63" s="159">
        <v>112980.8244159371</v>
      </c>
      <c r="E63" s="164">
        <v>8264374.0132823577</v>
      </c>
      <c r="F63" s="159">
        <v>0</v>
      </c>
      <c r="I63" s="159">
        <v>23</v>
      </c>
      <c r="J63" s="164">
        <v>329206655.36451161</v>
      </c>
      <c r="K63" s="159">
        <v>112980.8244159371</v>
      </c>
      <c r="L63" s="164">
        <v>8264374.0132823577</v>
      </c>
      <c r="M63" s="159">
        <v>0</v>
      </c>
      <c r="Q63" s="139">
        <v>23</v>
      </c>
      <c r="R63" s="164">
        <f t="shared" si="11"/>
        <v>1516262341.6506176</v>
      </c>
      <c r="S63" s="164">
        <f t="shared" si="12"/>
        <v>-8264374.0132823577</v>
      </c>
      <c r="T63" s="159" t="str">
        <f t="shared" si="13"/>
        <v>TxPost-vaccination</v>
      </c>
      <c r="W63" s="139">
        <v>23</v>
      </c>
      <c r="X63" s="164">
        <f t="shared" si="14"/>
        <v>320942281.35122925</v>
      </c>
      <c r="Y63" s="159">
        <f t="shared" si="14"/>
        <v>112980.8244159371</v>
      </c>
      <c r="AB63" s="160">
        <v>22000</v>
      </c>
      <c r="AC63" s="161">
        <v>1</v>
      </c>
      <c r="AD63" s="161">
        <v>0</v>
      </c>
      <c r="AE63" s="164">
        <v>1781816528.9235868</v>
      </c>
      <c r="AF63" s="164">
        <v>-8392970.8106751181</v>
      </c>
    </row>
    <row r="64" spans="2:32" x14ac:dyDescent="0.25">
      <c r="B64" s="159">
        <v>24</v>
      </c>
      <c r="C64" s="164">
        <v>298520986.58459777</v>
      </c>
      <c r="D64" s="159">
        <v>111658.81642447093</v>
      </c>
      <c r="E64" s="164">
        <v>8537450.9522791412</v>
      </c>
      <c r="F64" s="159">
        <v>0</v>
      </c>
      <c r="I64" s="159">
        <v>24</v>
      </c>
      <c r="J64" s="164">
        <v>298520986.58459777</v>
      </c>
      <c r="K64" s="159">
        <v>111658.81642447093</v>
      </c>
      <c r="L64" s="164">
        <v>8537450.9522791412</v>
      </c>
      <c r="M64" s="159">
        <v>0</v>
      </c>
      <c r="Q64" s="139">
        <v>24</v>
      </c>
      <c r="R64" s="164">
        <f t="shared" si="11"/>
        <v>1525353861.3820591</v>
      </c>
      <c r="S64" s="164">
        <f t="shared" si="12"/>
        <v>-8537450.9522791412</v>
      </c>
      <c r="T64" s="159" t="str">
        <f t="shared" si="13"/>
        <v>TxPost-vaccination</v>
      </c>
      <c r="W64" s="139">
        <v>24</v>
      </c>
      <c r="X64" s="164">
        <f t="shared" si="14"/>
        <v>289983535.63231862</v>
      </c>
      <c r="Y64" s="159">
        <f t="shared" si="14"/>
        <v>111658.81642447093</v>
      </c>
      <c r="AB64" s="160">
        <v>23000</v>
      </c>
      <c r="AC64" s="161">
        <v>1</v>
      </c>
      <c r="AD64" s="161">
        <v>0</v>
      </c>
      <c r="AE64" s="164">
        <v>1876993498.5319839</v>
      </c>
      <c r="AF64" s="164">
        <v>-8392970.8106751181</v>
      </c>
    </row>
    <row r="65" spans="2:32" x14ac:dyDescent="0.25">
      <c r="B65" s="159">
        <v>25</v>
      </c>
      <c r="C65" s="164">
        <v>321274992.60713273</v>
      </c>
      <c r="D65" s="159">
        <v>101314.1316315601</v>
      </c>
      <c r="E65" s="164">
        <v>7834910.3923302935</v>
      </c>
      <c r="F65" s="159">
        <v>0</v>
      </c>
      <c r="I65" s="159">
        <v>25</v>
      </c>
      <c r="J65" s="164">
        <v>321274992.60713273</v>
      </c>
      <c r="K65" s="159">
        <v>101314.1316315601</v>
      </c>
      <c r="L65" s="164">
        <v>7834910.3923302935</v>
      </c>
      <c r="M65" s="159">
        <v>0</v>
      </c>
      <c r="Q65" s="139">
        <v>25</v>
      </c>
      <c r="R65" s="164">
        <f t="shared" si="11"/>
        <v>1333626092.1753545</v>
      </c>
      <c r="S65" s="164">
        <f t="shared" si="12"/>
        <v>-7834910.3923302935</v>
      </c>
      <c r="T65" s="159" t="str">
        <f t="shared" si="13"/>
        <v>TxPost-vaccination</v>
      </c>
      <c r="W65" s="139">
        <v>25</v>
      </c>
      <c r="X65" s="164">
        <f t="shared" si="14"/>
        <v>313440082.21480244</v>
      </c>
      <c r="Y65" s="159">
        <f t="shared" si="14"/>
        <v>101314.1316315601</v>
      </c>
      <c r="AB65" s="160">
        <v>24000</v>
      </c>
      <c r="AC65" s="161">
        <v>1</v>
      </c>
      <c r="AD65" s="161">
        <v>0</v>
      </c>
      <c r="AE65" s="164">
        <v>1972170468.1403804</v>
      </c>
      <c r="AF65" s="164">
        <v>-8392970.8106751181</v>
      </c>
    </row>
    <row r="66" spans="2:32" x14ac:dyDescent="0.25">
      <c r="B66" s="159">
        <v>26</v>
      </c>
      <c r="C66" s="164">
        <v>318592444.70918363</v>
      </c>
      <c r="D66" s="159">
        <v>104026.08749389251</v>
      </c>
      <c r="E66" s="164">
        <v>8389709.3658281472</v>
      </c>
      <c r="F66" s="159">
        <v>0</v>
      </c>
      <c r="I66" s="159">
        <v>26</v>
      </c>
      <c r="J66" s="164">
        <v>318592444.70918363</v>
      </c>
      <c r="K66" s="159">
        <v>104026.08749389251</v>
      </c>
      <c r="L66" s="164">
        <v>8389709.3658281472</v>
      </c>
      <c r="M66" s="159">
        <v>0</v>
      </c>
      <c r="Q66" s="139">
        <v>26</v>
      </c>
      <c r="R66" s="164">
        <f t="shared" si="11"/>
        <v>1380606692.3408518</v>
      </c>
      <c r="S66" s="164">
        <f t="shared" si="12"/>
        <v>-8389709.3658281472</v>
      </c>
      <c r="T66" s="159" t="str">
        <f t="shared" si="13"/>
        <v>TxPost-vaccination</v>
      </c>
      <c r="W66" s="139">
        <v>26</v>
      </c>
      <c r="X66" s="164">
        <f t="shared" si="14"/>
        <v>310202735.34335548</v>
      </c>
      <c r="Y66" s="159">
        <f t="shared" si="14"/>
        <v>104026.08749389251</v>
      </c>
      <c r="AB66" s="160">
        <v>25000</v>
      </c>
      <c r="AC66" s="161">
        <v>1</v>
      </c>
      <c r="AD66" s="161">
        <v>0</v>
      </c>
      <c r="AE66" s="164">
        <v>2067347437.7487774</v>
      </c>
      <c r="AF66" s="164">
        <v>-8392970.8106751181</v>
      </c>
    </row>
    <row r="67" spans="2:32" x14ac:dyDescent="0.25">
      <c r="B67" s="159">
        <v>27</v>
      </c>
      <c r="C67" s="164">
        <v>331036051.90701455</v>
      </c>
      <c r="D67" s="159">
        <v>69427.849139550672</v>
      </c>
      <c r="E67" s="164">
        <v>8865074.9312997703</v>
      </c>
      <c r="F67" s="159">
        <v>0</v>
      </c>
      <c r="I67" s="159">
        <v>27</v>
      </c>
      <c r="J67" s="164">
        <v>331036051.90701455</v>
      </c>
      <c r="K67" s="159">
        <v>69427.849139550672</v>
      </c>
      <c r="L67" s="164">
        <v>8865074.9312997703</v>
      </c>
      <c r="M67" s="159">
        <v>0</v>
      </c>
      <c r="Q67" s="139">
        <v>27</v>
      </c>
      <c r="R67" s="164">
        <f t="shared" si="11"/>
        <v>803023146.00419021</v>
      </c>
      <c r="S67" s="164">
        <f t="shared" si="12"/>
        <v>-8865074.9312997703</v>
      </c>
      <c r="T67" s="159" t="str">
        <f t="shared" si="13"/>
        <v>TxPost-vaccination</v>
      </c>
      <c r="W67" s="139">
        <v>27</v>
      </c>
      <c r="X67" s="164">
        <f t="shared" si="14"/>
        <v>322170976.9757148</v>
      </c>
      <c r="Y67" s="159">
        <f t="shared" si="14"/>
        <v>69427.849139550672</v>
      </c>
      <c r="AB67" s="160">
        <v>26000</v>
      </c>
      <c r="AC67" s="161">
        <v>1</v>
      </c>
      <c r="AD67" s="161">
        <v>0</v>
      </c>
      <c r="AE67" s="164">
        <v>2162524407.3571744</v>
      </c>
      <c r="AF67" s="164">
        <v>-8392970.8106751181</v>
      </c>
    </row>
    <row r="68" spans="2:32" x14ac:dyDescent="0.25">
      <c r="B68" s="159">
        <v>28</v>
      </c>
      <c r="C68" s="164">
        <v>302739203.3059845</v>
      </c>
      <c r="D68" s="159">
        <v>115529.1478345951</v>
      </c>
      <c r="E68" s="164">
        <v>9885825.1688889097</v>
      </c>
      <c r="F68" s="159">
        <v>0</v>
      </c>
      <c r="I68" s="159">
        <v>28</v>
      </c>
      <c r="J68" s="164">
        <v>302739203.3059845</v>
      </c>
      <c r="K68" s="159">
        <v>115529.1478345951</v>
      </c>
      <c r="L68" s="164">
        <v>9885825.1688889097</v>
      </c>
      <c r="M68" s="159">
        <v>0</v>
      </c>
      <c r="Q68" s="139">
        <v>28</v>
      </c>
      <c r="R68" s="164">
        <f t="shared" si="11"/>
        <v>1584355015.4032924</v>
      </c>
      <c r="S68" s="164">
        <f t="shared" si="12"/>
        <v>-9885825.1688889097</v>
      </c>
      <c r="T68" s="159" t="str">
        <f t="shared" si="13"/>
        <v>TxPost-vaccination</v>
      </c>
      <c r="W68" s="139">
        <v>28</v>
      </c>
      <c r="X68" s="164">
        <f t="shared" si="14"/>
        <v>292853378.13709557</v>
      </c>
      <c r="Y68" s="159">
        <f t="shared" si="14"/>
        <v>115529.1478345951</v>
      </c>
      <c r="AB68" s="160">
        <v>27000</v>
      </c>
      <c r="AC68" s="161">
        <v>1</v>
      </c>
      <c r="AD68" s="161">
        <v>0</v>
      </c>
      <c r="AE68" s="164">
        <v>2257701376.9655714</v>
      </c>
      <c r="AF68" s="164">
        <v>-8392970.8106751181</v>
      </c>
    </row>
    <row r="69" spans="2:32" x14ac:dyDescent="0.25">
      <c r="B69" s="159">
        <v>29</v>
      </c>
      <c r="C69" s="164">
        <v>330915192.29749829</v>
      </c>
      <c r="D69" s="159">
        <v>111440.6267856833</v>
      </c>
      <c r="E69" s="164">
        <v>10382320.16125685</v>
      </c>
      <c r="F69" s="159">
        <v>0</v>
      </c>
      <c r="I69" s="159">
        <v>29</v>
      </c>
      <c r="J69" s="164">
        <v>330915192.29749829</v>
      </c>
      <c r="K69" s="159">
        <v>111440.6267856833</v>
      </c>
      <c r="L69" s="164">
        <v>10382320.16125685</v>
      </c>
      <c r="M69" s="159">
        <v>0</v>
      </c>
      <c r="Q69" s="139">
        <v>29</v>
      </c>
      <c r="R69" s="164">
        <f t="shared" si="11"/>
        <v>1489395668.4533269</v>
      </c>
      <c r="S69" s="164">
        <f t="shared" si="12"/>
        <v>-10382320.16125685</v>
      </c>
      <c r="T69" s="159" t="str">
        <f t="shared" si="13"/>
        <v>TxPost-vaccination</v>
      </c>
      <c r="W69" s="139">
        <v>29</v>
      </c>
      <c r="X69" s="164">
        <f t="shared" si="14"/>
        <v>320532872.13624144</v>
      </c>
      <c r="Y69" s="159">
        <f t="shared" si="14"/>
        <v>111440.6267856833</v>
      </c>
      <c r="AB69" s="160">
        <v>28000</v>
      </c>
      <c r="AC69" s="161">
        <v>1</v>
      </c>
      <c r="AD69" s="161">
        <v>0</v>
      </c>
      <c r="AE69" s="164">
        <v>2352878346.5739684</v>
      </c>
      <c r="AF69" s="164">
        <v>-8392970.8106751181</v>
      </c>
    </row>
    <row r="70" spans="2:32" x14ac:dyDescent="0.25">
      <c r="B70" s="159">
        <v>30</v>
      </c>
      <c r="C70" s="164">
        <v>325411905.0507313</v>
      </c>
      <c r="D70" s="159">
        <v>147399.7276879159</v>
      </c>
      <c r="E70" s="164">
        <v>11747915.594404422</v>
      </c>
      <c r="F70" s="159">
        <v>0</v>
      </c>
      <c r="I70" s="159">
        <v>30</v>
      </c>
      <c r="J70" s="164">
        <v>325411905.0507313</v>
      </c>
      <c r="K70" s="159">
        <v>147399.7276879159</v>
      </c>
      <c r="L70" s="164">
        <v>11747915.594404422</v>
      </c>
      <c r="M70" s="159">
        <v>0</v>
      </c>
      <c r="Q70" s="139">
        <v>30</v>
      </c>
      <c r="R70" s="164">
        <f t="shared" si="11"/>
        <v>2082267708.0407619</v>
      </c>
      <c r="S70" s="164">
        <f t="shared" si="12"/>
        <v>-11747915.594404422</v>
      </c>
      <c r="T70" s="159" t="str">
        <f t="shared" si="13"/>
        <v>TxPost-vaccination</v>
      </c>
      <c r="W70" s="139">
        <v>30</v>
      </c>
      <c r="X70" s="164">
        <f t="shared" si="14"/>
        <v>313663989.4563269</v>
      </c>
      <c r="Y70" s="159">
        <f t="shared" si="14"/>
        <v>147399.7276879159</v>
      </c>
      <c r="AB70" s="160">
        <v>29000</v>
      </c>
      <c r="AC70" s="161">
        <v>1</v>
      </c>
      <c r="AD70" s="161">
        <v>0</v>
      </c>
      <c r="AE70" s="164">
        <v>2448055316.1823654</v>
      </c>
      <c r="AF70" s="164">
        <v>-8392970.8106751181</v>
      </c>
    </row>
    <row r="71" spans="2:32" x14ac:dyDescent="0.25">
      <c r="B71" s="159">
        <v>31</v>
      </c>
      <c r="C71" s="164">
        <v>304727971.41167176</v>
      </c>
      <c r="D71" s="159">
        <v>96487.654758736971</v>
      </c>
      <c r="E71" s="164">
        <v>8613798.364869738</v>
      </c>
      <c r="F71" s="159">
        <v>0</v>
      </c>
      <c r="I71" s="159">
        <v>31</v>
      </c>
      <c r="J71" s="164">
        <v>304727971.41167176</v>
      </c>
      <c r="K71" s="159">
        <v>96487.654758736971</v>
      </c>
      <c r="L71" s="164">
        <v>8613798.364869738</v>
      </c>
      <c r="M71" s="159">
        <v>0</v>
      </c>
      <c r="Q71" s="139">
        <v>31</v>
      </c>
      <c r="R71" s="164">
        <f t="shared" si="11"/>
        <v>1271335722.3387389</v>
      </c>
      <c r="S71" s="164">
        <f t="shared" si="12"/>
        <v>-8613798.364869738</v>
      </c>
      <c r="T71" s="159" t="str">
        <f t="shared" si="13"/>
        <v>TxPost-vaccination</v>
      </c>
      <c r="W71" s="139">
        <v>31</v>
      </c>
      <c r="X71" s="164">
        <f t="shared" si="14"/>
        <v>296114173.04680204</v>
      </c>
      <c r="Y71" s="159">
        <f t="shared" si="14"/>
        <v>96487.654758736971</v>
      </c>
      <c r="AB71" s="160">
        <v>30000</v>
      </c>
      <c r="AC71" s="161">
        <v>1</v>
      </c>
      <c r="AD71" s="161">
        <v>0</v>
      </c>
      <c r="AE71" s="164">
        <v>2543232285.7907619</v>
      </c>
      <c r="AF71" s="164">
        <v>-8392970.8106751181</v>
      </c>
    </row>
    <row r="72" spans="2:32" x14ac:dyDescent="0.25">
      <c r="B72" s="159">
        <v>32</v>
      </c>
      <c r="C72" s="164">
        <v>323766747.48751497</v>
      </c>
      <c r="D72" s="159">
        <v>58357.587728316823</v>
      </c>
      <c r="E72" s="164">
        <v>7296274.893551643</v>
      </c>
      <c r="F72" s="159">
        <v>0</v>
      </c>
      <c r="I72" s="159">
        <v>32</v>
      </c>
      <c r="J72" s="164">
        <v>323766747.48751497</v>
      </c>
      <c r="K72" s="159">
        <v>58357.587728316823</v>
      </c>
      <c r="L72" s="164">
        <v>7296274.893551643</v>
      </c>
      <c r="M72" s="159">
        <v>0</v>
      </c>
      <c r="Q72" s="139">
        <v>32</v>
      </c>
      <c r="R72" s="164">
        <f t="shared" si="11"/>
        <v>629466860.51585782</v>
      </c>
      <c r="S72" s="164">
        <f t="shared" si="12"/>
        <v>-7296274.893551643</v>
      </c>
      <c r="T72" s="159" t="str">
        <f t="shared" si="13"/>
        <v>TxPost-vaccination</v>
      </c>
      <c r="W72" s="139">
        <v>32</v>
      </c>
      <c r="X72" s="164">
        <f t="shared" si="14"/>
        <v>316470472.59396333</v>
      </c>
      <c r="Y72" s="159">
        <f t="shared" si="14"/>
        <v>58357.587728316823</v>
      </c>
      <c r="AB72" s="160">
        <v>31000</v>
      </c>
      <c r="AC72" s="161">
        <v>1</v>
      </c>
      <c r="AD72" s="161">
        <v>0</v>
      </c>
      <c r="AE72" s="164">
        <v>2638409255.399159</v>
      </c>
      <c r="AF72" s="164">
        <v>-8392970.8106751181</v>
      </c>
    </row>
    <row r="73" spans="2:32" x14ac:dyDescent="0.25">
      <c r="B73" s="159">
        <v>33</v>
      </c>
      <c r="C73" s="164">
        <v>293668361.04806483</v>
      </c>
      <c r="D73" s="159">
        <v>148385.83904352537</v>
      </c>
      <c r="E73" s="164">
        <v>11963110.913504189</v>
      </c>
      <c r="F73" s="159">
        <v>0</v>
      </c>
      <c r="I73" s="159">
        <v>33</v>
      </c>
      <c r="J73" s="164">
        <v>293668361.04806483</v>
      </c>
      <c r="K73" s="159">
        <v>148385.83904352537</v>
      </c>
      <c r="L73" s="164">
        <v>11963110.913504189</v>
      </c>
      <c r="M73" s="159">
        <v>0</v>
      </c>
      <c r="Q73" s="139">
        <v>33</v>
      </c>
      <c r="R73" s="164">
        <f t="shared" si="11"/>
        <v>2130118745.8928461</v>
      </c>
      <c r="S73" s="164">
        <f t="shared" si="12"/>
        <v>-11963110.913504189</v>
      </c>
      <c r="T73" s="159" t="str">
        <f t="shared" si="13"/>
        <v>TxPost-vaccination</v>
      </c>
      <c r="W73" s="139">
        <v>33</v>
      </c>
      <c r="X73" s="164">
        <f t="shared" si="14"/>
        <v>281705250.13456064</v>
      </c>
      <c r="Y73" s="159">
        <f t="shared" si="14"/>
        <v>148385.83904352537</v>
      </c>
      <c r="AB73" s="160">
        <v>32000</v>
      </c>
      <c r="AC73" s="161">
        <v>1</v>
      </c>
      <c r="AD73" s="161">
        <v>0</v>
      </c>
      <c r="AE73" s="164">
        <v>2733586225.007556</v>
      </c>
      <c r="AF73" s="164">
        <v>-8392970.8106751181</v>
      </c>
    </row>
    <row r="74" spans="2:32" x14ac:dyDescent="0.25">
      <c r="B74" s="159">
        <v>34</v>
      </c>
      <c r="C74" s="164">
        <v>305761048.52555674</v>
      </c>
      <c r="D74" s="159">
        <v>102556.31644600582</v>
      </c>
      <c r="E74" s="164">
        <v>9673768.8443976231</v>
      </c>
      <c r="F74" s="159">
        <v>0</v>
      </c>
      <c r="I74" s="159">
        <v>34</v>
      </c>
      <c r="J74" s="164">
        <v>305761048.52555674</v>
      </c>
      <c r="K74" s="159">
        <v>102556.31644600582</v>
      </c>
      <c r="L74" s="164">
        <v>9673768.8443976231</v>
      </c>
      <c r="M74" s="159">
        <v>0</v>
      </c>
      <c r="Q74" s="139">
        <v>34</v>
      </c>
      <c r="R74" s="164">
        <f t="shared" si="11"/>
        <v>1369430325.1220839</v>
      </c>
      <c r="S74" s="164">
        <f t="shared" si="12"/>
        <v>-9673768.8443976231</v>
      </c>
      <c r="T74" s="159" t="str">
        <f t="shared" si="13"/>
        <v>TxPost-vaccination</v>
      </c>
      <c r="W74" s="139">
        <v>34</v>
      </c>
      <c r="X74" s="164">
        <f t="shared" si="14"/>
        <v>296087279.68115914</v>
      </c>
      <c r="Y74" s="159">
        <f t="shared" si="14"/>
        <v>102556.31644600582</v>
      </c>
      <c r="AB74" s="160">
        <v>33000</v>
      </c>
      <c r="AC74" s="161">
        <v>1</v>
      </c>
      <c r="AD74" s="161">
        <v>0</v>
      </c>
      <c r="AE74" s="164">
        <v>2828763194.615953</v>
      </c>
      <c r="AF74" s="164">
        <v>-8392970.8106751181</v>
      </c>
    </row>
    <row r="75" spans="2:32" x14ac:dyDescent="0.25">
      <c r="B75" s="159">
        <v>35</v>
      </c>
      <c r="C75" s="164">
        <v>312530431.12560314</v>
      </c>
      <c r="D75" s="159">
        <v>104688.705470639</v>
      </c>
      <c r="E75" s="164">
        <v>9599066.8791006617</v>
      </c>
      <c r="F75" s="159">
        <v>0</v>
      </c>
      <c r="I75" s="159">
        <v>35</v>
      </c>
      <c r="J75" s="164">
        <v>312530431.12560314</v>
      </c>
      <c r="K75" s="159">
        <v>104688.705470639</v>
      </c>
      <c r="L75" s="164">
        <v>9599066.8791006617</v>
      </c>
      <c r="M75" s="159">
        <v>0</v>
      </c>
      <c r="Q75" s="139">
        <v>35</v>
      </c>
      <c r="R75" s="164">
        <f t="shared" si="11"/>
        <v>1397492143.7889736</v>
      </c>
      <c r="S75" s="164">
        <f t="shared" si="12"/>
        <v>-9599066.8791006617</v>
      </c>
      <c r="T75" s="159" t="str">
        <f t="shared" si="13"/>
        <v>TxPost-vaccination</v>
      </c>
      <c r="W75" s="139">
        <v>35</v>
      </c>
      <c r="X75" s="164">
        <f t="shared" si="14"/>
        <v>302931364.24650246</v>
      </c>
      <c r="Y75" s="159">
        <f t="shared" si="14"/>
        <v>104688.705470639</v>
      </c>
      <c r="AB75" s="160">
        <v>34000</v>
      </c>
      <c r="AC75" s="161">
        <v>1</v>
      </c>
      <c r="AD75" s="161">
        <v>0</v>
      </c>
      <c r="AE75" s="164">
        <v>2923940164.22435</v>
      </c>
      <c r="AF75" s="164">
        <v>-8392970.8106751181</v>
      </c>
    </row>
    <row r="76" spans="2:32" x14ac:dyDescent="0.25">
      <c r="B76" s="159">
        <v>36</v>
      </c>
      <c r="C76" s="164">
        <v>329241897.06839252</v>
      </c>
      <c r="D76" s="159">
        <v>133509.00109365539</v>
      </c>
      <c r="E76" s="164">
        <v>11051088.537531616</v>
      </c>
      <c r="F76" s="159">
        <v>0</v>
      </c>
      <c r="I76" s="159">
        <v>36</v>
      </c>
      <c r="J76" s="164">
        <v>329241897.06839252</v>
      </c>
      <c r="K76" s="159">
        <v>133509.00109365539</v>
      </c>
      <c r="L76" s="164">
        <v>11051088.537531616</v>
      </c>
      <c r="M76" s="159">
        <v>0</v>
      </c>
      <c r="Q76" s="139">
        <v>36</v>
      </c>
      <c r="R76" s="164">
        <f t="shared" si="11"/>
        <v>1851541643.983948</v>
      </c>
      <c r="S76" s="164">
        <f t="shared" si="12"/>
        <v>-11051088.537531616</v>
      </c>
      <c r="T76" s="159" t="str">
        <f t="shared" si="13"/>
        <v>TxPost-vaccination</v>
      </c>
      <c r="W76" s="139">
        <v>36</v>
      </c>
      <c r="X76" s="164">
        <f t="shared" si="14"/>
        <v>318190808.5308609</v>
      </c>
      <c r="Y76" s="159">
        <f t="shared" si="14"/>
        <v>133509.00109365539</v>
      </c>
      <c r="AB76" s="160">
        <v>35000</v>
      </c>
      <c r="AC76" s="161">
        <v>1</v>
      </c>
      <c r="AD76" s="161">
        <v>0</v>
      </c>
      <c r="AE76" s="164">
        <v>3019117133.8327465</v>
      </c>
      <c r="AF76" s="164">
        <v>-8392970.8106751181</v>
      </c>
    </row>
    <row r="77" spans="2:32" x14ac:dyDescent="0.25">
      <c r="B77" s="159">
        <v>37</v>
      </c>
      <c r="C77" s="164">
        <v>324840742.35879582</v>
      </c>
      <c r="D77" s="159">
        <v>66576.188281310882</v>
      </c>
      <c r="E77" s="164">
        <v>6368549.8752852101</v>
      </c>
      <c r="F77" s="159">
        <v>0</v>
      </c>
      <c r="I77" s="159">
        <v>37</v>
      </c>
      <c r="J77" s="164">
        <v>324840742.35879582</v>
      </c>
      <c r="K77" s="159">
        <v>66576.188281310882</v>
      </c>
      <c r="L77" s="164">
        <v>6368549.8752852101</v>
      </c>
      <c r="M77" s="159">
        <v>0</v>
      </c>
      <c r="Q77" s="139">
        <v>37</v>
      </c>
      <c r="R77" s="164">
        <f t="shared" si="11"/>
        <v>762638412.15930414</v>
      </c>
      <c r="S77" s="164">
        <f t="shared" si="12"/>
        <v>-6368549.8752852101</v>
      </c>
      <c r="T77" s="159" t="str">
        <f t="shared" si="13"/>
        <v>TxPost-vaccination</v>
      </c>
      <c r="W77" s="139">
        <v>37</v>
      </c>
      <c r="X77" s="164">
        <f t="shared" si="14"/>
        <v>318472192.48351061</v>
      </c>
      <c r="Y77" s="159">
        <f t="shared" si="14"/>
        <v>66576.188281310882</v>
      </c>
      <c r="AB77" s="160">
        <v>36000</v>
      </c>
      <c r="AC77" s="161">
        <v>1</v>
      </c>
      <c r="AD77" s="161">
        <v>0</v>
      </c>
      <c r="AE77" s="164">
        <v>3114294103.4411435</v>
      </c>
      <c r="AF77" s="164">
        <v>-8392970.8106751181</v>
      </c>
    </row>
    <row r="78" spans="2:32" x14ac:dyDescent="0.25">
      <c r="B78" s="159">
        <v>38</v>
      </c>
      <c r="C78" s="164">
        <v>332901688.84153509</v>
      </c>
      <c r="D78" s="159">
        <v>118588.49653374447</v>
      </c>
      <c r="E78" s="164">
        <v>10594518.447697831</v>
      </c>
      <c r="F78" s="159">
        <v>0</v>
      </c>
      <c r="I78" s="159">
        <v>38</v>
      </c>
      <c r="J78" s="164">
        <v>332901688.84153509</v>
      </c>
      <c r="K78" s="159">
        <v>118588.49653374447</v>
      </c>
      <c r="L78" s="164">
        <v>10594518.447697831</v>
      </c>
      <c r="M78" s="159">
        <v>0</v>
      </c>
      <c r="Q78" s="139">
        <v>38</v>
      </c>
      <c r="R78" s="164">
        <f t="shared" si="11"/>
        <v>1604165020.3724432</v>
      </c>
      <c r="S78" s="164">
        <f t="shared" si="12"/>
        <v>-10594518.447697831</v>
      </c>
      <c r="T78" s="159" t="str">
        <f t="shared" si="13"/>
        <v>TxPost-vaccination</v>
      </c>
      <c r="W78" s="139">
        <v>38</v>
      </c>
      <c r="X78" s="164">
        <f t="shared" si="14"/>
        <v>322307170.39383727</v>
      </c>
      <c r="Y78" s="159">
        <f t="shared" si="14"/>
        <v>118588.49653374447</v>
      </c>
      <c r="AB78" s="160">
        <v>37000</v>
      </c>
      <c r="AC78" s="161">
        <v>1</v>
      </c>
      <c r="AD78" s="161">
        <v>0</v>
      </c>
      <c r="AE78" s="164">
        <v>3209471073.0495405</v>
      </c>
      <c r="AF78" s="164">
        <v>-8392970.8106751181</v>
      </c>
    </row>
    <row r="79" spans="2:32" x14ac:dyDescent="0.25">
      <c r="B79" s="159">
        <v>39</v>
      </c>
      <c r="C79" s="164">
        <v>318612993.75458586</v>
      </c>
      <c r="D79" s="159">
        <v>68456.369616676486</v>
      </c>
      <c r="E79" s="164">
        <v>6410383.4788821023</v>
      </c>
      <c r="F79" s="159">
        <v>0</v>
      </c>
      <c r="I79" s="159">
        <v>39</v>
      </c>
      <c r="J79" s="164">
        <v>318612993.75458586</v>
      </c>
      <c r="K79" s="159">
        <v>68456.369616676486</v>
      </c>
      <c r="L79" s="164">
        <v>6410383.4788821023</v>
      </c>
      <c r="M79" s="159">
        <v>0</v>
      </c>
      <c r="Q79" s="139">
        <v>39</v>
      </c>
      <c r="R79" s="164">
        <f t="shared" si="11"/>
        <v>799577711.87071502</v>
      </c>
      <c r="S79" s="164">
        <f t="shared" si="12"/>
        <v>-6410383.4788821023</v>
      </c>
      <c r="T79" s="159" t="str">
        <f t="shared" si="13"/>
        <v>TxPost-vaccination</v>
      </c>
      <c r="W79" s="139">
        <v>39</v>
      </c>
      <c r="X79" s="164">
        <f t="shared" si="14"/>
        <v>312202610.27570379</v>
      </c>
      <c r="Y79" s="159">
        <f t="shared" si="14"/>
        <v>68456.369616676486</v>
      </c>
      <c r="AB79" s="160">
        <v>38000</v>
      </c>
      <c r="AC79" s="161">
        <v>1</v>
      </c>
      <c r="AD79" s="161">
        <v>0</v>
      </c>
      <c r="AE79" s="164">
        <v>3304648042.6579375</v>
      </c>
      <c r="AF79" s="164">
        <v>-8392970.8106751181</v>
      </c>
    </row>
    <row r="80" spans="2:32" x14ac:dyDescent="0.25">
      <c r="B80" s="159">
        <v>40</v>
      </c>
      <c r="C80" s="164">
        <v>293274489.11704546</v>
      </c>
      <c r="D80" s="159">
        <v>107162.73584246747</v>
      </c>
      <c r="E80" s="164">
        <v>9033951.1618801244</v>
      </c>
      <c r="F80" s="159">
        <v>0</v>
      </c>
      <c r="I80" s="159">
        <v>40</v>
      </c>
      <c r="J80" s="164">
        <v>293274489.11704546</v>
      </c>
      <c r="K80" s="159">
        <v>107162.73584246747</v>
      </c>
      <c r="L80" s="164">
        <v>9033951.1618801244</v>
      </c>
      <c r="M80" s="159">
        <v>0</v>
      </c>
      <c r="Q80" s="139">
        <v>40</v>
      </c>
      <c r="R80" s="164">
        <f t="shared" si="11"/>
        <v>1457159778.4231272</v>
      </c>
      <c r="S80" s="164">
        <f t="shared" si="12"/>
        <v>-9033951.1618801244</v>
      </c>
      <c r="T80" s="159" t="str">
        <f t="shared" si="13"/>
        <v>TxPost-vaccination</v>
      </c>
      <c r="W80" s="139">
        <v>40</v>
      </c>
      <c r="X80" s="164">
        <f t="shared" si="14"/>
        <v>284240537.95516533</v>
      </c>
      <c r="Y80" s="159">
        <f t="shared" si="14"/>
        <v>107162.73584246747</v>
      </c>
      <c r="AB80" s="160">
        <v>39000</v>
      </c>
      <c r="AC80" s="161">
        <v>1</v>
      </c>
      <c r="AD80" s="161">
        <v>0</v>
      </c>
      <c r="AE80" s="164">
        <v>3399825012.2663345</v>
      </c>
      <c r="AF80" s="164">
        <v>-8392970.8106751181</v>
      </c>
    </row>
    <row r="81" spans="2:32" x14ac:dyDescent="0.25">
      <c r="B81" s="159">
        <v>41</v>
      </c>
      <c r="C81" s="164">
        <v>316658811.0206725</v>
      </c>
      <c r="D81" s="159">
        <v>130266.62460925797</v>
      </c>
      <c r="E81" s="164">
        <v>10180799.737298718</v>
      </c>
      <c r="F81" s="159">
        <v>0</v>
      </c>
      <c r="I81" s="159">
        <v>41</v>
      </c>
      <c r="J81" s="164">
        <v>316658811.0206725</v>
      </c>
      <c r="K81" s="159">
        <v>130266.62460925797</v>
      </c>
      <c r="L81" s="164">
        <v>10180799.737298718</v>
      </c>
      <c r="M81" s="159">
        <v>0</v>
      </c>
      <c r="Q81" s="139">
        <v>41</v>
      </c>
      <c r="R81" s="164">
        <f t="shared" si="11"/>
        <v>1811162598.5413058</v>
      </c>
      <c r="S81" s="164">
        <f t="shared" si="12"/>
        <v>-10180799.737298718</v>
      </c>
      <c r="T81" s="159" t="str">
        <f t="shared" si="13"/>
        <v>TxPost-vaccination</v>
      </c>
      <c r="W81" s="139">
        <v>41</v>
      </c>
      <c r="X81" s="164">
        <f t="shared" si="14"/>
        <v>306478011.28337377</v>
      </c>
      <c r="Y81" s="159">
        <f t="shared" si="14"/>
        <v>130266.62460925797</v>
      </c>
      <c r="AB81" s="160">
        <v>40000</v>
      </c>
      <c r="AC81" s="161">
        <v>1</v>
      </c>
      <c r="AD81" s="161">
        <v>0</v>
      </c>
      <c r="AE81" s="164">
        <v>3495001981.8747311</v>
      </c>
      <c r="AF81" s="164">
        <v>-8392970.8106751181</v>
      </c>
    </row>
    <row r="82" spans="2:32" x14ac:dyDescent="0.25">
      <c r="B82" s="159">
        <v>42</v>
      </c>
      <c r="C82" s="164">
        <v>295415048.8352915</v>
      </c>
      <c r="D82" s="159">
        <v>98768.670234951278</v>
      </c>
      <c r="E82" s="164">
        <v>8330532.2098201737</v>
      </c>
      <c r="F82" s="159">
        <v>0</v>
      </c>
      <c r="I82" s="159">
        <v>42</v>
      </c>
      <c r="J82" s="164">
        <v>295415048.8352915</v>
      </c>
      <c r="K82" s="159">
        <v>98768.670234951278</v>
      </c>
      <c r="L82" s="164">
        <v>8330532.2098201737</v>
      </c>
      <c r="M82" s="159">
        <v>0</v>
      </c>
      <c r="Q82" s="139">
        <v>42</v>
      </c>
      <c r="R82" s="164">
        <f t="shared" si="11"/>
        <v>1317907563.5398216</v>
      </c>
      <c r="S82" s="164">
        <f t="shared" si="12"/>
        <v>-8330532.2098201737</v>
      </c>
      <c r="T82" s="159" t="str">
        <f t="shared" si="13"/>
        <v>TxPost-vaccination</v>
      </c>
      <c r="W82" s="139">
        <v>42</v>
      </c>
      <c r="X82" s="164">
        <f t="shared" si="14"/>
        <v>287084516.62547135</v>
      </c>
      <c r="Y82" s="159">
        <f t="shared" si="14"/>
        <v>98768.670234951278</v>
      </c>
      <c r="AB82" s="160">
        <v>41000</v>
      </c>
      <c r="AC82" s="161">
        <v>1</v>
      </c>
      <c r="AD82" s="161">
        <v>0</v>
      </c>
      <c r="AE82" s="164">
        <v>3590178951.4831281</v>
      </c>
      <c r="AF82" s="164">
        <v>-8392970.8106751181</v>
      </c>
    </row>
    <row r="83" spans="2:32" x14ac:dyDescent="0.25">
      <c r="B83" s="159">
        <v>43</v>
      </c>
      <c r="C83" s="164">
        <v>315925726.59667587</v>
      </c>
      <c r="D83" s="159">
        <v>80414.609954331128</v>
      </c>
      <c r="E83" s="164">
        <v>7450801.5267761787</v>
      </c>
      <c r="F83" s="159">
        <v>0</v>
      </c>
      <c r="I83" s="159">
        <v>43</v>
      </c>
      <c r="J83" s="164">
        <v>315925726.59667587</v>
      </c>
      <c r="K83" s="159">
        <v>80414.609954331128</v>
      </c>
      <c r="L83" s="164">
        <v>7450801.5267761787</v>
      </c>
      <c r="M83" s="159">
        <v>0</v>
      </c>
      <c r="Q83" s="139">
        <v>43</v>
      </c>
      <c r="R83" s="164">
        <f t="shared" si="11"/>
        <v>997595132.76119399</v>
      </c>
      <c r="S83" s="164">
        <f t="shared" si="12"/>
        <v>-7450801.5267761787</v>
      </c>
      <c r="T83" s="159" t="str">
        <f t="shared" si="13"/>
        <v>TxPost-vaccination</v>
      </c>
      <c r="W83" s="139">
        <v>43</v>
      </c>
      <c r="X83" s="164">
        <f t="shared" si="14"/>
        <v>308474925.06989968</v>
      </c>
      <c r="Y83" s="159">
        <f t="shared" si="14"/>
        <v>80414.609954331128</v>
      </c>
      <c r="AB83" s="160">
        <v>42000</v>
      </c>
      <c r="AC83" s="161">
        <v>1</v>
      </c>
      <c r="AD83" s="161">
        <v>0</v>
      </c>
      <c r="AE83" s="164">
        <v>3685355921.0915251</v>
      </c>
      <c r="AF83" s="164">
        <v>-8392970.8106751181</v>
      </c>
    </row>
    <row r="84" spans="2:32" x14ac:dyDescent="0.25">
      <c r="B84" s="159">
        <v>44</v>
      </c>
      <c r="C84" s="164">
        <v>340046815.31955147</v>
      </c>
      <c r="D84" s="159">
        <v>130167.65480015878</v>
      </c>
      <c r="E84" s="164">
        <v>9777150.3344898913</v>
      </c>
      <c r="F84" s="159">
        <v>0</v>
      </c>
      <c r="I84" s="159">
        <v>44</v>
      </c>
      <c r="J84" s="164">
        <v>340046815.31955147</v>
      </c>
      <c r="K84" s="159">
        <v>130167.65480015878</v>
      </c>
      <c r="L84" s="164">
        <v>9777150.3344898913</v>
      </c>
      <c r="M84" s="159">
        <v>0</v>
      </c>
      <c r="Q84" s="139">
        <v>44</v>
      </c>
      <c r="R84" s="164">
        <f t="shared" si="11"/>
        <v>1786157986.156256</v>
      </c>
      <c r="S84" s="164">
        <f t="shared" si="12"/>
        <v>-9777150.3344898913</v>
      </c>
      <c r="T84" s="159" t="str">
        <f t="shared" si="13"/>
        <v>TxPost-vaccination</v>
      </c>
      <c r="W84" s="139">
        <v>44</v>
      </c>
      <c r="X84" s="164">
        <f t="shared" si="14"/>
        <v>330269664.98506159</v>
      </c>
      <c r="Y84" s="159">
        <f t="shared" si="14"/>
        <v>130167.65480015878</v>
      </c>
      <c r="AB84" s="160">
        <v>43000</v>
      </c>
      <c r="AC84" s="161">
        <v>1</v>
      </c>
      <c r="AD84" s="161">
        <v>0</v>
      </c>
      <c r="AE84" s="164">
        <v>3780532890.6999221</v>
      </c>
      <c r="AF84" s="164">
        <v>-8392970.8106751181</v>
      </c>
    </row>
    <row r="85" spans="2:32" x14ac:dyDescent="0.25">
      <c r="B85" s="159">
        <v>45</v>
      </c>
      <c r="C85" s="164">
        <v>313282499.47046465</v>
      </c>
      <c r="D85" s="159">
        <v>78994.952564401305</v>
      </c>
      <c r="E85" s="164">
        <v>6702103.6432585428</v>
      </c>
      <c r="F85" s="159">
        <v>0</v>
      </c>
      <c r="I85" s="159">
        <v>45</v>
      </c>
      <c r="J85" s="164">
        <v>313282499.47046465</v>
      </c>
      <c r="K85" s="159">
        <v>78994.952564401305</v>
      </c>
      <c r="L85" s="164">
        <v>6702103.6432585428</v>
      </c>
      <c r="M85" s="159">
        <v>0</v>
      </c>
      <c r="Q85" s="139">
        <v>45</v>
      </c>
      <c r="R85" s="164">
        <f t="shared" si="11"/>
        <v>977049170.81002975</v>
      </c>
      <c r="S85" s="164">
        <f t="shared" si="12"/>
        <v>-6702103.6432585428</v>
      </c>
      <c r="T85" s="159" t="str">
        <f t="shared" si="13"/>
        <v>TxPost-vaccination</v>
      </c>
      <c r="W85" s="139">
        <v>45</v>
      </c>
      <c r="X85" s="164">
        <f t="shared" si="14"/>
        <v>306580395.82720608</v>
      </c>
      <c r="Y85" s="159">
        <f t="shared" si="14"/>
        <v>78994.952564401305</v>
      </c>
      <c r="AB85" s="160">
        <v>44000</v>
      </c>
      <c r="AC85" s="161">
        <v>1</v>
      </c>
      <c r="AD85" s="161">
        <v>0</v>
      </c>
      <c r="AE85" s="164">
        <v>3875709860.3083191</v>
      </c>
      <c r="AF85" s="164">
        <v>-8392970.8106751181</v>
      </c>
    </row>
    <row r="86" spans="2:32" x14ac:dyDescent="0.25">
      <c r="B86" s="159">
        <v>46</v>
      </c>
      <c r="C86" s="164">
        <v>323736303.51492858</v>
      </c>
      <c r="D86" s="159">
        <v>109637.32474523729</v>
      </c>
      <c r="E86" s="164">
        <v>9465803.6584994569</v>
      </c>
      <c r="F86" s="159">
        <v>0</v>
      </c>
      <c r="I86" s="159">
        <v>46</v>
      </c>
      <c r="J86" s="164">
        <v>323736303.51492858</v>
      </c>
      <c r="K86" s="159">
        <v>109637.32474523729</v>
      </c>
      <c r="L86" s="164">
        <v>9465803.6584994569</v>
      </c>
      <c r="M86" s="159">
        <v>0</v>
      </c>
      <c r="Q86" s="139">
        <v>46</v>
      </c>
      <c r="R86" s="164">
        <f t="shared" si="11"/>
        <v>1467118779.8940225</v>
      </c>
      <c r="S86" s="164">
        <f t="shared" si="12"/>
        <v>-9465803.6584994569</v>
      </c>
      <c r="T86" s="159" t="str">
        <f t="shared" si="13"/>
        <v>TxPost-vaccination</v>
      </c>
      <c r="W86" s="139">
        <v>46</v>
      </c>
      <c r="X86" s="164">
        <f t="shared" si="14"/>
        <v>314270499.8564291</v>
      </c>
      <c r="Y86" s="159">
        <f t="shared" si="14"/>
        <v>109637.32474523729</v>
      </c>
      <c r="AB86" s="160">
        <v>45000</v>
      </c>
      <c r="AC86" s="161">
        <v>1</v>
      </c>
      <c r="AD86" s="161">
        <v>0</v>
      </c>
      <c r="AE86" s="164">
        <v>3970886829.9167161</v>
      </c>
      <c r="AF86" s="164">
        <v>-8392970.8106751181</v>
      </c>
    </row>
    <row r="87" spans="2:32" x14ac:dyDescent="0.25">
      <c r="B87" s="159">
        <v>47</v>
      </c>
      <c r="C87" s="164">
        <v>353313517.56235939</v>
      </c>
      <c r="D87" s="159">
        <v>91804.30696712702</v>
      </c>
      <c r="E87" s="164">
        <v>7925807.2031555418</v>
      </c>
      <c r="F87" s="159">
        <v>0</v>
      </c>
      <c r="I87" s="159">
        <v>47</v>
      </c>
      <c r="J87" s="164">
        <v>353313517.56235939</v>
      </c>
      <c r="K87" s="159">
        <v>91804.30696712702</v>
      </c>
      <c r="L87" s="164">
        <v>7925807.2031555418</v>
      </c>
      <c r="M87" s="159">
        <v>0</v>
      </c>
      <c r="Q87" s="139">
        <v>47</v>
      </c>
      <c r="R87" s="164">
        <f t="shared" si="11"/>
        <v>1146250706.509582</v>
      </c>
      <c r="S87" s="164">
        <f t="shared" si="12"/>
        <v>-7925807.2031555418</v>
      </c>
      <c r="T87" s="159" t="str">
        <f t="shared" si="13"/>
        <v>TxPost-vaccination</v>
      </c>
      <c r="W87" s="139">
        <v>47</v>
      </c>
      <c r="X87" s="164">
        <f t="shared" si="14"/>
        <v>345387710.35920388</v>
      </c>
      <c r="Y87" s="159">
        <f t="shared" si="14"/>
        <v>91804.30696712702</v>
      </c>
      <c r="AB87" s="160">
        <v>46000</v>
      </c>
      <c r="AC87" s="161">
        <v>1</v>
      </c>
      <c r="AD87" s="161">
        <v>0</v>
      </c>
      <c r="AE87" s="164">
        <v>4066063799.5251131</v>
      </c>
      <c r="AF87" s="164">
        <v>-8392970.8106751181</v>
      </c>
    </row>
    <row r="88" spans="2:32" x14ac:dyDescent="0.25">
      <c r="B88" s="159">
        <v>48</v>
      </c>
      <c r="C88" s="164">
        <v>330569400.07424933</v>
      </c>
      <c r="D88" s="159">
        <v>77331.621888058158</v>
      </c>
      <c r="E88" s="164">
        <v>7812025.3586952109</v>
      </c>
      <c r="F88" s="159">
        <v>0</v>
      </c>
      <c r="I88" s="159">
        <v>48</v>
      </c>
      <c r="J88" s="164">
        <v>330569400.07424933</v>
      </c>
      <c r="K88" s="159">
        <v>77331.621888058158</v>
      </c>
      <c r="L88" s="164">
        <v>7812025.3586952109</v>
      </c>
      <c r="M88" s="159">
        <v>0</v>
      </c>
      <c r="Q88" s="139">
        <v>48</v>
      </c>
      <c r="R88" s="164">
        <f t="shared" si="11"/>
        <v>932592834.94283533</v>
      </c>
      <c r="S88" s="164">
        <f t="shared" si="12"/>
        <v>-7812025.3586952109</v>
      </c>
      <c r="T88" s="159" t="str">
        <f t="shared" si="13"/>
        <v>TxPost-vaccination</v>
      </c>
      <c r="W88" s="139">
        <v>48</v>
      </c>
      <c r="X88" s="164">
        <f t="shared" si="14"/>
        <v>322757374.71555412</v>
      </c>
      <c r="Y88" s="159">
        <f t="shared" si="14"/>
        <v>77331.621888058158</v>
      </c>
      <c r="AB88" s="160">
        <v>47000</v>
      </c>
      <c r="AC88" s="161">
        <v>1</v>
      </c>
      <c r="AD88" s="161">
        <v>0</v>
      </c>
      <c r="AE88" s="164">
        <v>4161240769.1335096</v>
      </c>
      <c r="AF88" s="164">
        <v>-8392970.8106751181</v>
      </c>
    </row>
    <row r="89" spans="2:32" x14ac:dyDescent="0.25">
      <c r="B89" s="159">
        <v>49</v>
      </c>
      <c r="C89" s="164">
        <v>332381763.95066565</v>
      </c>
      <c r="D89" s="159">
        <v>113504.40947752081</v>
      </c>
      <c r="E89" s="164">
        <v>9217160.8547833506</v>
      </c>
      <c r="F89" s="159">
        <v>0</v>
      </c>
      <c r="I89" s="159">
        <v>49</v>
      </c>
      <c r="J89" s="164">
        <v>332381763.95066565</v>
      </c>
      <c r="K89" s="159">
        <v>113504.40947752081</v>
      </c>
      <c r="L89" s="164">
        <v>9217160.8547833506</v>
      </c>
      <c r="M89" s="159">
        <v>0</v>
      </c>
      <c r="Q89" s="139">
        <v>49</v>
      </c>
      <c r="R89" s="164">
        <f t="shared" si="11"/>
        <v>1521639657.8095312</v>
      </c>
      <c r="S89" s="164">
        <f t="shared" si="12"/>
        <v>-9217160.8547833506</v>
      </c>
      <c r="T89" s="159" t="str">
        <f t="shared" si="13"/>
        <v>TxPost-vaccination</v>
      </c>
      <c r="W89" s="139">
        <v>49</v>
      </c>
      <c r="X89" s="164">
        <f t="shared" si="14"/>
        <v>323164603.0958823</v>
      </c>
      <c r="Y89" s="159">
        <f t="shared" si="14"/>
        <v>113504.40947752081</v>
      </c>
      <c r="AB89" s="160">
        <v>48000</v>
      </c>
      <c r="AC89" s="161">
        <v>1</v>
      </c>
      <c r="AD89" s="161">
        <v>0</v>
      </c>
      <c r="AE89" s="164">
        <v>4256417738.7419062</v>
      </c>
      <c r="AF89" s="164">
        <v>-8392970.8106751181</v>
      </c>
    </row>
    <row r="90" spans="2:32" x14ac:dyDescent="0.25">
      <c r="B90" s="159">
        <v>50</v>
      </c>
      <c r="C90" s="164">
        <v>310037997.56035441</v>
      </c>
      <c r="D90" s="159">
        <v>131289.56655136857</v>
      </c>
      <c r="E90" s="164">
        <v>9405513.1934544202</v>
      </c>
      <c r="F90" s="159">
        <v>0</v>
      </c>
      <c r="I90" s="159">
        <v>50</v>
      </c>
      <c r="J90" s="164">
        <v>310037997.56035441</v>
      </c>
      <c r="K90" s="159">
        <v>131289.56655136857</v>
      </c>
      <c r="L90" s="164">
        <v>9405513.1934544202</v>
      </c>
      <c r="M90" s="159">
        <v>0</v>
      </c>
      <c r="Q90" s="139">
        <v>50</v>
      </c>
      <c r="R90" s="164">
        <f t="shared" si="11"/>
        <v>1834492509.759325</v>
      </c>
      <c r="S90" s="164">
        <f t="shared" si="12"/>
        <v>-9405513.1934544202</v>
      </c>
      <c r="T90" s="159" t="str">
        <f t="shared" si="13"/>
        <v>TxPost-vaccination</v>
      </c>
      <c r="W90" s="139">
        <v>50</v>
      </c>
      <c r="X90" s="164">
        <f t="shared" si="14"/>
        <v>300632484.36689997</v>
      </c>
      <c r="Y90" s="159">
        <f t="shared" si="14"/>
        <v>131289.56655136857</v>
      </c>
      <c r="AB90" s="160">
        <v>49000</v>
      </c>
      <c r="AC90" s="161">
        <v>1</v>
      </c>
      <c r="AD90" s="161">
        <v>0</v>
      </c>
      <c r="AE90" s="164">
        <v>4351594708.3503036</v>
      </c>
      <c r="AF90" s="164">
        <v>-8392970.8106751181</v>
      </c>
    </row>
    <row r="91" spans="2:32" x14ac:dyDescent="0.25">
      <c r="B91" s="159">
        <v>51</v>
      </c>
      <c r="C91" s="164">
        <v>306247580.62405598</v>
      </c>
      <c r="D91" s="159">
        <v>88031.257347947321</v>
      </c>
      <c r="E91" s="164">
        <v>8581049.2444955986</v>
      </c>
      <c r="F91" s="159">
        <v>0</v>
      </c>
      <c r="I91" s="159">
        <v>51</v>
      </c>
      <c r="J91" s="164">
        <v>306247580.62405598</v>
      </c>
      <c r="K91" s="159">
        <v>88031.257347947321</v>
      </c>
      <c r="L91" s="164">
        <v>8581049.2444955986</v>
      </c>
      <c r="M91" s="159">
        <v>0</v>
      </c>
      <c r="Q91" s="139">
        <v>51</v>
      </c>
      <c r="R91" s="164">
        <f t="shared" si="11"/>
        <v>1131686308.1021142</v>
      </c>
      <c r="S91" s="164">
        <f t="shared" si="12"/>
        <v>-8581049.2444955986</v>
      </c>
      <c r="T91" s="159" t="str">
        <f t="shared" si="13"/>
        <v>TxPost-vaccination</v>
      </c>
      <c r="W91" s="139">
        <v>51</v>
      </c>
      <c r="X91" s="164">
        <f t="shared" si="14"/>
        <v>297666531.37956041</v>
      </c>
      <c r="Y91" s="159">
        <f t="shared" si="14"/>
        <v>88031.257347947321</v>
      </c>
      <c r="AB91" s="160">
        <v>50000</v>
      </c>
      <c r="AC91" s="161">
        <v>1</v>
      </c>
      <c r="AD91" s="161">
        <v>0</v>
      </c>
      <c r="AE91" s="164">
        <v>4446771677.9587002</v>
      </c>
      <c r="AF91" s="164">
        <v>-8392970.8106751181</v>
      </c>
    </row>
    <row r="92" spans="2:32" x14ac:dyDescent="0.25">
      <c r="B92" s="159">
        <v>52</v>
      </c>
      <c r="C92" s="164">
        <v>320428327.49013287</v>
      </c>
      <c r="D92" s="159">
        <v>112143.9035483349</v>
      </c>
      <c r="E92" s="164">
        <v>8920717.7770108096</v>
      </c>
      <c r="F92" s="159">
        <v>0</v>
      </c>
      <c r="I92" s="159">
        <v>52</v>
      </c>
      <c r="J92" s="164">
        <v>320428327.49013287</v>
      </c>
      <c r="K92" s="159">
        <v>112143.9035483349</v>
      </c>
      <c r="L92" s="164">
        <v>8920717.7770108096</v>
      </c>
      <c r="M92" s="159">
        <v>0</v>
      </c>
      <c r="Q92" s="139">
        <v>52</v>
      </c>
      <c r="R92" s="164">
        <f t="shared" si="11"/>
        <v>1511370106.2050762</v>
      </c>
      <c r="S92" s="164">
        <f t="shared" si="12"/>
        <v>-8920717.7770108096</v>
      </c>
      <c r="T92" s="159" t="str">
        <f t="shared" si="13"/>
        <v>TxPost-vaccination</v>
      </c>
      <c r="W92" s="139">
        <v>52</v>
      </c>
      <c r="X92" s="164">
        <f t="shared" si="14"/>
        <v>311507609.71312207</v>
      </c>
      <c r="Y92" s="159">
        <f t="shared" si="14"/>
        <v>112143.9035483349</v>
      </c>
      <c r="AB92" s="160">
        <v>51000</v>
      </c>
      <c r="AC92" s="161">
        <v>1</v>
      </c>
      <c r="AD92" s="161">
        <v>0</v>
      </c>
      <c r="AE92" s="164">
        <v>4541948647.5670977</v>
      </c>
      <c r="AF92" s="164">
        <v>-8392970.8106751181</v>
      </c>
    </row>
    <row r="93" spans="2:32" x14ac:dyDescent="0.25">
      <c r="B93" s="159">
        <v>53</v>
      </c>
      <c r="C93" s="164">
        <v>314713909.87006783</v>
      </c>
      <c r="D93" s="159">
        <v>132989.82700301486</v>
      </c>
      <c r="E93" s="164">
        <v>11254848.754077503</v>
      </c>
      <c r="F93" s="159">
        <v>0</v>
      </c>
      <c r="I93" s="159">
        <v>53</v>
      </c>
      <c r="J93" s="164">
        <v>314713909.87006783</v>
      </c>
      <c r="K93" s="159">
        <v>132989.82700301486</v>
      </c>
      <c r="L93" s="164">
        <v>11254848.754077503</v>
      </c>
      <c r="M93" s="159">
        <v>0</v>
      </c>
      <c r="Q93" s="139">
        <v>53</v>
      </c>
      <c r="R93" s="164">
        <f t="shared" si="11"/>
        <v>1857589256.8064992</v>
      </c>
      <c r="S93" s="164">
        <f t="shared" si="12"/>
        <v>-11254848.754077503</v>
      </c>
      <c r="T93" s="159" t="str">
        <f t="shared" si="13"/>
        <v>TxPost-vaccination</v>
      </c>
      <c r="W93" s="139">
        <v>53</v>
      </c>
      <c r="X93" s="164">
        <f t="shared" si="14"/>
        <v>303459061.11599034</v>
      </c>
      <c r="Y93" s="159">
        <f t="shared" si="14"/>
        <v>132989.82700301486</v>
      </c>
      <c r="AB93" s="160">
        <v>52000</v>
      </c>
      <c r="AC93" s="161">
        <v>1</v>
      </c>
      <c r="AD93" s="161">
        <v>0</v>
      </c>
      <c r="AE93" s="164">
        <v>4637125617.1754942</v>
      </c>
      <c r="AF93" s="164">
        <v>-8392970.8106751181</v>
      </c>
    </row>
    <row r="94" spans="2:32" x14ac:dyDescent="0.25">
      <c r="B94" s="159">
        <v>54</v>
      </c>
      <c r="C94" s="164">
        <v>319257731.41988975</v>
      </c>
      <c r="D94" s="159">
        <v>79050.493067983727</v>
      </c>
      <c r="E94" s="164">
        <v>6979446.8030718416</v>
      </c>
      <c r="F94" s="159">
        <v>0</v>
      </c>
      <c r="I94" s="159">
        <v>54</v>
      </c>
      <c r="J94" s="164">
        <v>319257731.41988975</v>
      </c>
      <c r="K94" s="159">
        <v>79050.493067983727</v>
      </c>
      <c r="L94" s="164">
        <v>6979446.8030718416</v>
      </c>
      <c r="M94" s="159">
        <v>0</v>
      </c>
      <c r="Q94" s="139">
        <v>54</v>
      </c>
      <c r="R94" s="164">
        <f t="shared" si="11"/>
        <v>971981157.21354079</v>
      </c>
      <c r="S94" s="164">
        <f t="shared" si="12"/>
        <v>-6979446.8030718416</v>
      </c>
      <c r="T94" s="159" t="str">
        <f t="shared" si="13"/>
        <v>TxPost-vaccination</v>
      </c>
      <c r="W94" s="139">
        <v>54</v>
      </c>
      <c r="X94" s="164">
        <f t="shared" si="14"/>
        <v>312278284.61681789</v>
      </c>
      <c r="Y94" s="159">
        <f t="shared" si="14"/>
        <v>79050.493067983727</v>
      </c>
      <c r="AB94" s="160">
        <v>53000</v>
      </c>
      <c r="AC94" s="161">
        <v>1</v>
      </c>
      <c r="AD94" s="161">
        <v>0</v>
      </c>
      <c r="AE94" s="164">
        <v>4732302586.7838917</v>
      </c>
      <c r="AF94" s="164">
        <v>-8392970.8106751181</v>
      </c>
    </row>
    <row r="95" spans="2:32" x14ac:dyDescent="0.25">
      <c r="B95" s="159">
        <v>55</v>
      </c>
      <c r="C95" s="164">
        <v>294500501.93866605</v>
      </c>
      <c r="D95" s="159">
        <v>74839.035966603769</v>
      </c>
      <c r="E95" s="164">
        <v>6574601.4140126277</v>
      </c>
      <c r="F95" s="159">
        <v>0</v>
      </c>
      <c r="I95" s="159">
        <v>55</v>
      </c>
      <c r="J95" s="164">
        <v>294500501.93866605</v>
      </c>
      <c r="K95" s="159">
        <v>74839.035966603769</v>
      </c>
      <c r="L95" s="164">
        <v>6574601.4140126277</v>
      </c>
      <c r="M95" s="159">
        <v>0</v>
      </c>
      <c r="Q95" s="139">
        <v>55</v>
      </c>
      <c r="R95" s="164">
        <f t="shared" si="11"/>
        <v>927946947.50112724</v>
      </c>
      <c r="S95" s="164">
        <f t="shared" si="12"/>
        <v>-6574601.4140126277</v>
      </c>
      <c r="T95" s="159" t="str">
        <f t="shared" si="13"/>
        <v>TxPost-vaccination</v>
      </c>
      <c r="W95" s="139">
        <v>55</v>
      </c>
      <c r="X95" s="164">
        <f t="shared" si="14"/>
        <v>287925900.52465343</v>
      </c>
      <c r="Y95" s="159">
        <f t="shared" si="14"/>
        <v>74839.035966603769</v>
      </c>
      <c r="AB95" s="160">
        <v>54000</v>
      </c>
      <c r="AC95" s="161">
        <v>1</v>
      </c>
      <c r="AD95" s="161">
        <v>0</v>
      </c>
      <c r="AE95" s="164">
        <v>4827479556.3922882</v>
      </c>
      <c r="AF95" s="164">
        <v>-8392970.8106751181</v>
      </c>
    </row>
    <row r="96" spans="2:32" x14ac:dyDescent="0.25">
      <c r="B96" s="159">
        <v>56</v>
      </c>
      <c r="C96" s="164">
        <v>325638310.44460517</v>
      </c>
      <c r="D96" s="159">
        <v>117863.94565938353</v>
      </c>
      <c r="E96" s="164">
        <v>8449473.5624279752</v>
      </c>
      <c r="F96" s="159">
        <v>0</v>
      </c>
      <c r="I96" s="159">
        <v>56</v>
      </c>
      <c r="J96" s="164">
        <v>325638310.44460517</v>
      </c>
      <c r="K96" s="159">
        <v>117863.94565938353</v>
      </c>
      <c r="L96" s="164">
        <v>8449473.5624279752</v>
      </c>
      <c r="M96" s="159">
        <v>0</v>
      </c>
      <c r="Q96" s="139">
        <v>56</v>
      </c>
      <c r="R96" s="164">
        <f t="shared" si="11"/>
        <v>1599593326.9126599</v>
      </c>
      <c r="S96" s="164">
        <f t="shared" si="12"/>
        <v>-8449473.5624279752</v>
      </c>
      <c r="T96" s="159" t="str">
        <f t="shared" si="13"/>
        <v>TxPost-vaccination</v>
      </c>
      <c r="W96" s="139">
        <v>56</v>
      </c>
      <c r="X96" s="164">
        <f t="shared" si="14"/>
        <v>317188836.88217717</v>
      </c>
      <c r="Y96" s="159">
        <f t="shared" si="14"/>
        <v>117863.94565938353</v>
      </c>
      <c r="AB96" s="160">
        <v>55000</v>
      </c>
      <c r="AC96" s="161">
        <v>1</v>
      </c>
      <c r="AD96" s="161">
        <v>0</v>
      </c>
      <c r="AE96" s="164">
        <v>4922656526.0006847</v>
      </c>
      <c r="AF96" s="164">
        <v>-8392970.8106751181</v>
      </c>
    </row>
    <row r="97" spans="2:32" x14ac:dyDescent="0.25">
      <c r="B97" s="159">
        <v>57</v>
      </c>
      <c r="C97" s="164">
        <v>300885850.03055817</v>
      </c>
      <c r="D97" s="159">
        <v>78565.966767040023</v>
      </c>
      <c r="E97" s="164">
        <v>7496372.437549293</v>
      </c>
      <c r="F97" s="159">
        <v>0</v>
      </c>
      <c r="I97" s="159">
        <v>57</v>
      </c>
      <c r="J97" s="164">
        <v>300885850.03055817</v>
      </c>
      <c r="K97" s="159">
        <v>78565.966767040023</v>
      </c>
      <c r="L97" s="164">
        <v>7496372.437549293</v>
      </c>
      <c r="M97" s="159">
        <v>0</v>
      </c>
      <c r="Q97" s="139">
        <v>57</v>
      </c>
      <c r="R97" s="164">
        <f t="shared" si="11"/>
        <v>982438613.55550218</v>
      </c>
      <c r="S97" s="164">
        <f t="shared" si="12"/>
        <v>-7496372.437549293</v>
      </c>
      <c r="T97" s="159" t="str">
        <f t="shared" si="13"/>
        <v>TxPost-vaccination</v>
      </c>
      <c r="W97" s="139">
        <v>57</v>
      </c>
      <c r="X97" s="164">
        <f t="shared" si="14"/>
        <v>293389477.59300888</v>
      </c>
      <c r="Y97" s="159">
        <f t="shared" si="14"/>
        <v>78565.966767040023</v>
      </c>
      <c r="AB97" s="160">
        <v>56000</v>
      </c>
      <c r="AC97" s="161">
        <v>1</v>
      </c>
      <c r="AD97" s="161">
        <v>0</v>
      </c>
      <c r="AE97" s="164">
        <v>5017833495.6090822</v>
      </c>
      <c r="AF97" s="164">
        <v>-8392970.8106751181</v>
      </c>
    </row>
    <row r="98" spans="2:32" x14ac:dyDescent="0.25">
      <c r="B98" s="159">
        <v>58</v>
      </c>
      <c r="C98" s="164">
        <v>328132884.52718145</v>
      </c>
      <c r="D98" s="159">
        <v>54782.872581050106</v>
      </c>
      <c r="E98" s="164">
        <v>6638451.6437382773</v>
      </c>
      <c r="F98" s="159">
        <v>0</v>
      </c>
      <c r="I98" s="159">
        <v>58</v>
      </c>
      <c r="J98" s="164">
        <v>328132884.52718145</v>
      </c>
      <c r="K98" s="159">
        <v>54782.872581050106</v>
      </c>
      <c r="L98" s="164">
        <v>6638451.6437382773</v>
      </c>
      <c r="M98" s="159">
        <v>0</v>
      </c>
      <c r="Q98" s="139">
        <v>58</v>
      </c>
      <c r="R98" s="164">
        <f t="shared" si="11"/>
        <v>566710053.98386884</v>
      </c>
      <c r="S98" s="164">
        <f t="shared" si="12"/>
        <v>-6638451.6437382773</v>
      </c>
      <c r="T98" s="159" t="str">
        <f t="shared" si="13"/>
        <v>TxPost-vaccination</v>
      </c>
      <c r="W98" s="139">
        <v>58</v>
      </c>
      <c r="X98" s="164">
        <f t="shared" si="14"/>
        <v>321494432.88344318</v>
      </c>
      <c r="Y98" s="159">
        <f t="shared" si="14"/>
        <v>54782.872581050106</v>
      </c>
      <c r="AB98" s="160">
        <v>57000</v>
      </c>
      <c r="AC98" s="161">
        <v>1</v>
      </c>
      <c r="AD98" s="161">
        <v>0</v>
      </c>
      <c r="AE98" s="164">
        <v>5113010465.2174788</v>
      </c>
      <c r="AF98" s="164">
        <v>-8392970.8106751181</v>
      </c>
    </row>
    <row r="99" spans="2:32" x14ac:dyDescent="0.25">
      <c r="B99" s="159">
        <v>59</v>
      </c>
      <c r="C99" s="164">
        <v>312663993.03974587</v>
      </c>
      <c r="D99" s="159">
        <v>63896.810703329611</v>
      </c>
      <c r="E99" s="164">
        <v>5929684.4338216325</v>
      </c>
      <c r="F99" s="159">
        <v>0</v>
      </c>
      <c r="I99" s="159">
        <v>59</v>
      </c>
      <c r="J99" s="164">
        <v>312663993.03974587</v>
      </c>
      <c r="K99" s="159">
        <v>63896.810703329611</v>
      </c>
      <c r="L99" s="164">
        <v>5929684.4338216325</v>
      </c>
      <c r="M99" s="159">
        <v>0</v>
      </c>
      <c r="Q99" s="139">
        <v>59</v>
      </c>
      <c r="R99" s="164">
        <f t="shared" si="11"/>
        <v>731049254.50233459</v>
      </c>
      <c r="S99" s="164">
        <f t="shared" si="12"/>
        <v>-5929684.4338216325</v>
      </c>
      <c r="T99" s="159" t="str">
        <f t="shared" si="13"/>
        <v>TxPost-vaccination</v>
      </c>
      <c r="W99" s="139">
        <v>59</v>
      </c>
      <c r="X99" s="164">
        <f t="shared" si="14"/>
        <v>306734308.60592425</v>
      </c>
      <c r="Y99" s="159">
        <f t="shared" si="14"/>
        <v>63896.810703329611</v>
      </c>
      <c r="AB99" s="160">
        <v>58000</v>
      </c>
      <c r="AC99" s="161">
        <v>1</v>
      </c>
      <c r="AD99" s="161">
        <v>0</v>
      </c>
      <c r="AE99" s="164">
        <v>5208187434.8258762</v>
      </c>
      <c r="AF99" s="164">
        <v>-8392970.8106751181</v>
      </c>
    </row>
    <row r="100" spans="2:32" x14ac:dyDescent="0.25">
      <c r="B100" s="159">
        <v>60</v>
      </c>
      <c r="C100" s="164">
        <v>309036169.27384132</v>
      </c>
      <c r="D100" s="159">
        <v>70439.408467512505</v>
      </c>
      <c r="E100" s="164">
        <v>7697064.2842256455</v>
      </c>
      <c r="F100" s="159">
        <v>0</v>
      </c>
      <c r="I100" s="159">
        <v>60</v>
      </c>
      <c r="J100" s="164">
        <v>309036169.27384132</v>
      </c>
      <c r="K100" s="159">
        <v>70439.408467512505</v>
      </c>
      <c r="L100" s="164">
        <v>7697064.2842256455</v>
      </c>
      <c r="M100" s="159">
        <v>0</v>
      </c>
      <c r="Q100" s="139">
        <v>60</v>
      </c>
      <c r="R100" s="164">
        <f t="shared" si="11"/>
        <v>841546198.72437239</v>
      </c>
      <c r="S100" s="164">
        <f t="shared" si="12"/>
        <v>-7697064.2842256455</v>
      </c>
      <c r="T100" s="159" t="str">
        <f t="shared" si="13"/>
        <v>TxPost-vaccination</v>
      </c>
      <c r="W100" s="139">
        <v>60</v>
      </c>
      <c r="X100" s="164">
        <f t="shared" si="14"/>
        <v>301339104.98961568</v>
      </c>
      <c r="Y100" s="159">
        <f t="shared" si="14"/>
        <v>70439.408467512505</v>
      </c>
      <c r="AB100" s="160">
        <v>59000</v>
      </c>
      <c r="AC100" s="161">
        <v>1</v>
      </c>
      <c r="AD100" s="161">
        <v>0</v>
      </c>
      <c r="AE100" s="164">
        <v>5303364404.4342728</v>
      </c>
      <c r="AF100" s="164">
        <v>-8392970.8106751181</v>
      </c>
    </row>
    <row r="101" spans="2:32" x14ac:dyDescent="0.25">
      <c r="B101" s="159">
        <v>61</v>
      </c>
      <c r="C101" s="164">
        <v>315356205.8275944</v>
      </c>
      <c r="D101" s="159">
        <v>87896.682122246886</v>
      </c>
      <c r="E101" s="164">
        <v>8235758.765287118</v>
      </c>
      <c r="F101" s="159">
        <v>0</v>
      </c>
      <c r="I101" s="159">
        <v>61</v>
      </c>
      <c r="J101" s="164">
        <v>315356205.8275944</v>
      </c>
      <c r="K101" s="159">
        <v>87896.682122246886</v>
      </c>
      <c r="L101" s="164">
        <v>8235758.765287118</v>
      </c>
      <c r="M101" s="159">
        <v>0</v>
      </c>
      <c r="Q101" s="139">
        <v>61</v>
      </c>
      <c r="R101" s="164">
        <f t="shared" si="11"/>
        <v>1120379483.2653165</v>
      </c>
      <c r="S101" s="164">
        <f t="shared" si="12"/>
        <v>-8235758.765287118</v>
      </c>
      <c r="T101" s="159" t="str">
        <f t="shared" si="13"/>
        <v>TxPost-vaccination</v>
      </c>
      <c r="W101" s="139">
        <v>61</v>
      </c>
      <c r="X101" s="164">
        <f t="shared" si="14"/>
        <v>307120447.0623073</v>
      </c>
      <c r="Y101" s="159">
        <f t="shared" si="14"/>
        <v>87896.682122246886</v>
      </c>
      <c r="AB101" s="160">
        <v>60000</v>
      </c>
      <c r="AC101" s="161">
        <v>1</v>
      </c>
      <c r="AD101" s="161">
        <v>0</v>
      </c>
      <c r="AE101" s="164">
        <v>5398541374.0426693</v>
      </c>
      <c r="AF101" s="164">
        <v>-8392970.8106751181</v>
      </c>
    </row>
    <row r="102" spans="2:32" x14ac:dyDescent="0.25">
      <c r="B102" s="159">
        <v>62</v>
      </c>
      <c r="C102" s="164">
        <v>325462329.13888615</v>
      </c>
      <c r="D102" s="159">
        <v>100003.77732990588</v>
      </c>
      <c r="E102" s="164">
        <v>8333426.0381459063</v>
      </c>
      <c r="F102" s="159">
        <v>0</v>
      </c>
      <c r="I102" s="159">
        <v>62</v>
      </c>
      <c r="J102" s="164">
        <v>325462329.13888615</v>
      </c>
      <c r="K102" s="159">
        <v>100003.77732990588</v>
      </c>
      <c r="L102" s="164">
        <v>8333426.0381459063</v>
      </c>
      <c r="M102" s="159">
        <v>0</v>
      </c>
      <c r="Q102" s="139">
        <v>62</v>
      </c>
      <c r="R102" s="164">
        <f t="shared" si="11"/>
        <v>1308034962.1121814</v>
      </c>
      <c r="S102" s="164">
        <f t="shared" si="12"/>
        <v>-8333426.0381459063</v>
      </c>
      <c r="T102" s="159" t="str">
        <f t="shared" si="13"/>
        <v>TxPost-vaccination</v>
      </c>
      <c r="W102" s="139">
        <v>62</v>
      </c>
      <c r="X102" s="164">
        <f t="shared" si="14"/>
        <v>317128903.10074025</v>
      </c>
      <c r="Y102" s="159">
        <f t="shared" si="14"/>
        <v>100003.77732990588</v>
      </c>
      <c r="AB102" s="160">
        <v>61000</v>
      </c>
      <c r="AC102" s="161">
        <v>1</v>
      </c>
      <c r="AD102" s="161">
        <v>0</v>
      </c>
      <c r="AE102" s="164">
        <v>5493718343.6510668</v>
      </c>
      <c r="AF102" s="164">
        <v>-8392970.8106751181</v>
      </c>
    </row>
    <row r="103" spans="2:32" x14ac:dyDescent="0.25">
      <c r="B103" s="159">
        <v>63</v>
      </c>
      <c r="C103" s="164">
        <v>314503194.38012433</v>
      </c>
      <c r="D103" s="159">
        <v>97063.885292940366</v>
      </c>
      <c r="E103" s="164">
        <v>9533989.5264975559</v>
      </c>
      <c r="F103" s="159">
        <v>0</v>
      </c>
      <c r="I103" s="159">
        <v>63</v>
      </c>
      <c r="J103" s="164">
        <v>314503194.38012433</v>
      </c>
      <c r="K103" s="159">
        <v>97063.885292940366</v>
      </c>
      <c r="L103" s="164">
        <v>9533989.5264975559</v>
      </c>
      <c r="M103" s="159">
        <v>0</v>
      </c>
      <c r="Q103" s="139">
        <v>63</v>
      </c>
      <c r="R103" s="164">
        <f t="shared" si="11"/>
        <v>1270972854.0021739</v>
      </c>
      <c r="S103" s="164">
        <f t="shared" si="12"/>
        <v>-9533989.5264975559</v>
      </c>
      <c r="T103" s="159" t="str">
        <f t="shared" si="13"/>
        <v>TxPost-vaccination</v>
      </c>
      <c r="W103" s="139">
        <v>63</v>
      </c>
      <c r="X103" s="164">
        <f t="shared" si="14"/>
        <v>304969204.85362679</v>
      </c>
      <c r="Y103" s="159">
        <f t="shared" si="14"/>
        <v>97063.885292940366</v>
      </c>
      <c r="AB103" s="160">
        <v>62000</v>
      </c>
      <c r="AC103" s="161">
        <v>1</v>
      </c>
      <c r="AD103" s="161">
        <v>0</v>
      </c>
      <c r="AE103" s="164">
        <v>5588895313.2594633</v>
      </c>
      <c r="AF103" s="164">
        <v>-8392970.8106751181</v>
      </c>
    </row>
    <row r="104" spans="2:32" x14ac:dyDescent="0.25">
      <c r="B104" s="159">
        <v>64</v>
      </c>
      <c r="C104" s="164">
        <v>325501184.81659365</v>
      </c>
      <c r="D104" s="159">
        <v>85382.794121018596</v>
      </c>
      <c r="E104" s="164">
        <v>7824218.2451890148</v>
      </c>
      <c r="F104" s="159">
        <v>0</v>
      </c>
      <c r="I104" s="159">
        <v>64</v>
      </c>
      <c r="J104" s="164">
        <v>325501184.81659365</v>
      </c>
      <c r="K104" s="159">
        <v>85382.794121018596</v>
      </c>
      <c r="L104" s="164">
        <v>7824218.2451890148</v>
      </c>
      <c r="M104" s="159">
        <v>0</v>
      </c>
      <c r="Q104" s="139">
        <v>64</v>
      </c>
      <c r="R104" s="164">
        <f t="shared" si="11"/>
        <v>1069171762.9463758</v>
      </c>
      <c r="S104" s="164">
        <f t="shared" si="12"/>
        <v>-7824218.2451890148</v>
      </c>
      <c r="T104" s="159" t="str">
        <f t="shared" si="13"/>
        <v>TxPost-vaccination</v>
      </c>
      <c r="W104" s="139">
        <v>64</v>
      </c>
      <c r="X104" s="164">
        <f t="shared" si="14"/>
        <v>317676966.57140464</v>
      </c>
      <c r="Y104" s="159">
        <f t="shared" si="14"/>
        <v>85382.794121018596</v>
      </c>
      <c r="AB104" s="160">
        <v>63000</v>
      </c>
      <c r="AC104" s="161">
        <v>1</v>
      </c>
      <c r="AD104" s="161">
        <v>0</v>
      </c>
      <c r="AE104" s="164">
        <v>5684072282.8678608</v>
      </c>
      <c r="AF104" s="164">
        <v>-8392970.8106751181</v>
      </c>
    </row>
    <row r="105" spans="2:32" x14ac:dyDescent="0.25">
      <c r="B105" s="159">
        <v>65</v>
      </c>
      <c r="C105" s="164">
        <v>315849711.44511962</v>
      </c>
      <c r="D105" s="159">
        <v>178782.55072232781</v>
      </c>
      <c r="E105" s="164">
        <v>12239401.913486324</v>
      </c>
      <c r="F105" s="159">
        <v>0</v>
      </c>
      <c r="I105" s="159">
        <v>65</v>
      </c>
      <c r="J105" s="164">
        <v>315849711.44511962</v>
      </c>
      <c r="K105" s="159">
        <v>178782.55072232781</v>
      </c>
      <c r="L105" s="164">
        <v>12239401.913486324</v>
      </c>
      <c r="M105" s="159">
        <v>0</v>
      </c>
      <c r="Q105" s="139">
        <v>65</v>
      </c>
      <c r="R105" s="164">
        <f t="shared" ref="R105:R168" si="15">K105*threshold-J105</f>
        <v>2604448102.5510025</v>
      </c>
      <c r="S105" s="164">
        <f t="shared" ref="S105:S168" si="16">M105*threshold-L105</f>
        <v>-12239401.913486324</v>
      </c>
      <c r="T105" s="159" t="str">
        <f t="shared" si="13"/>
        <v>TxPost-vaccination</v>
      </c>
      <c r="W105" s="139">
        <v>65</v>
      </c>
      <c r="X105" s="164">
        <f t="shared" si="14"/>
        <v>303610309.53163332</v>
      </c>
      <c r="Y105" s="159">
        <f t="shared" si="14"/>
        <v>178782.55072232781</v>
      </c>
      <c r="AB105" s="160">
        <v>64000</v>
      </c>
      <c r="AC105" s="161">
        <v>1</v>
      </c>
      <c r="AD105" s="161">
        <v>0</v>
      </c>
      <c r="AE105" s="164">
        <v>5779249252.4762573</v>
      </c>
      <c r="AF105" s="164">
        <v>-8392970.8106751181</v>
      </c>
    </row>
    <row r="106" spans="2:32" x14ac:dyDescent="0.25">
      <c r="B106" s="159">
        <v>66</v>
      </c>
      <c r="C106" s="164">
        <v>304311848.19648051</v>
      </c>
      <c r="D106" s="159">
        <v>89822.213351620303</v>
      </c>
      <c r="E106" s="164">
        <v>7862727.7813194487</v>
      </c>
      <c r="F106" s="159">
        <v>0</v>
      </c>
      <c r="I106" s="159">
        <v>66</v>
      </c>
      <c r="J106" s="164">
        <v>304311848.19648051</v>
      </c>
      <c r="K106" s="159">
        <v>89822.213351620303</v>
      </c>
      <c r="L106" s="164">
        <v>7862727.7813194487</v>
      </c>
      <c r="M106" s="159">
        <v>0</v>
      </c>
      <c r="Q106" s="139">
        <v>66</v>
      </c>
      <c r="R106" s="164">
        <f t="shared" si="15"/>
        <v>1162876153.3128355</v>
      </c>
      <c r="S106" s="164">
        <f t="shared" si="16"/>
        <v>-7862727.7813194487</v>
      </c>
      <c r="T106" s="159" t="str">
        <f t="shared" ref="T106:T169" si="17">IF(R106&gt;S106,"TxPost-vaccination",IF(S106&gt;R106,"TxPre-vaccination","either"))</f>
        <v>TxPost-vaccination</v>
      </c>
      <c r="W106" s="139">
        <v>66</v>
      </c>
      <c r="X106" s="164">
        <f t="shared" ref="X106:Y169" si="18">J106-L106</f>
        <v>296449120.41516107</v>
      </c>
      <c r="Y106" s="159">
        <f t="shared" si="18"/>
        <v>89822.213351620303</v>
      </c>
      <c r="AB106" s="160">
        <v>65000</v>
      </c>
      <c r="AC106" s="161">
        <v>1</v>
      </c>
      <c r="AD106" s="161">
        <v>0</v>
      </c>
      <c r="AE106" s="164">
        <v>5874426222.0846539</v>
      </c>
      <c r="AF106" s="164">
        <v>-8392970.8106751181</v>
      </c>
    </row>
    <row r="107" spans="2:32" x14ac:dyDescent="0.25">
      <c r="B107" s="159">
        <v>67</v>
      </c>
      <c r="C107" s="164">
        <v>313863654.24915278</v>
      </c>
      <c r="D107" s="159">
        <v>97409.640564445173</v>
      </c>
      <c r="E107" s="164">
        <v>7926831.0275120623</v>
      </c>
      <c r="F107" s="159">
        <v>0</v>
      </c>
      <c r="I107" s="159">
        <v>67</v>
      </c>
      <c r="J107" s="164">
        <v>313863654.24915278</v>
      </c>
      <c r="K107" s="159">
        <v>97409.640564445173</v>
      </c>
      <c r="L107" s="164">
        <v>7926831.0275120623</v>
      </c>
      <c r="M107" s="159">
        <v>0</v>
      </c>
      <c r="Q107" s="139">
        <v>67</v>
      </c>
      <c r="R107" s="164">
        <f t="shared" si="15"/>
        <v>1277260083.7956634</v>
      </c>
      <c r="S107" s="164">
        <f t="shared" si="16"/>
        <v>-7926831.0275120623</v>
      </c>
      <c r="T107" s="159" t="str">
        <f t="shared" si="17"/>
        <v>TxPost-vaccination</v>
      </c>
      <c r="W107" s="139">
        <v>67</v>
      </c>
      <c r="X107" s="164">
        <f t="shared" si="18"/>
        <v>305936823.22164071</v>
      </c>
      <c r="Y107" s="159">
        <f t="shared" si="18"/>
        <v>97409.640564445173</v>
      </c>
      <c r="AB107" s="160">
        <v>66000</v>
      </c>
      <c r="AC107" s="161">
        <v>1</v>
      </c>
      <c r="AD107" s="161">
        <v>0</v>
      </c>
      <c r="AE107" s="164">
        <v>5969603191.6930513</v>
      </c>
      <c r="AF107" s="164">
        <v>-8392970.8106751181</v>
      </c>
    </row>
    <row r="108" spans="2:32" x14ac:dyDescent="0.25">
      <c r="B108" s="159">
        <v>68</v>
      </c>
      <c r="C108" s="164">
        <v>316806667.23593432</v>
      </c>
      <c r="D108" s="159">
        <v>89471.246937049116</v>
      </c>
      <c r="E108" s="164">
        <v>8866770.3695725724</v>
      </c>
      <c r="F108" s="159">
        <v>0</v>
      </c>
      <c r="I108" s="159">
        <v>68</v>
      </c>
      <c r="J108" s="164">
        <v>316806667.23593432</v>
      </c>
      <c r="K108" s="159">
        <v>89471.246937049116</v>
      </c>
      <c r="L108" s="164">
        <v>8866770.3695725724</v>
      </c>
      <c r="M108" s="159">
        <v>0</v>
      </c>
      <c r="Q108" s="139">
        <v>68</v>
      </c>
      <c r="R108" s="164">
        <f t="shared" si="15"/>
        <v>1144648523.9453194</v>
      </c>
      <c r="S108" s="164">
        <f t="shared" si="16"/>
        <v>-8866770.3695725724</v>
      </c>
      <c r="T108" s="159" t="str">
        <f t="shared" si="17"/>
        <v>TxPost-vaccination</v>
      </c>
      <c r="W108" s="139">
        <v>68</v>
      </c>
      <c r="X108" s="164">
        <f t="shared" si="18"/>
        <v>307939896.86636174</v>
      </c>
      <c r="Y108" s="159">
        <f t="shared" si="18"/>
        <v>89471.246937049116</v>
      </c>
      <c r="AB108" s="160">
        <v>67000</v>
      </c>
      <c r="AC108" s="161">
        <v>1</v>
      </c>
      <c r="AD108" s="161">
        <v>0</v>
      </c>
      <c r="AE108" s="164">
        <v>6064780161.3014479</v>
      </c>
      <c r="AF108" s="164">
        <v>-8392970.8106751181</v>
      </c>
    </row>
    <row r="109" spans="2:32" x14ac:dyDescent="0.25">
      <c r="B109" s="159">
        <v>69</v>
      </c>
      <c r="C109" s="164">
        <v>311150745.99300849</v>
      </c>
      <c r="D109" s="159">
        <v>58852.246310725408</v>
      </c>
      <c r="E109" s="164">
        <v>6776852.5898814416</v>
      </c>
      <c r="F109" s="159">
        <v>0</v>
      </c>
      <c r="I109" s="159">
        <v>69</v>
      </c>
      <c r="J109" s="164">
        <v>311150745.99300849</v>
      </c>
      <c r="K109" s="159">
        <v>58852.246310725408</v>
      </c>
      <c r="L109" s="164">
        <v>6776852.5898814416</v>
      </c>
      <c r="M109" s="159">
        <v>0</v>
      </c>
      <c r="Q109" s="139">
        <v>69</v>
      </c>
      <c r="R109" s="164">
        <f t="shared" si="15"/>
        <v>650162791.34936213</v>
      </c>
      <c r="S109" s="164">
        <f t="shared" si="16"/>
        <v>-6776852.5898814416</v>
      </c>
      <c r="T109" s="159" t="str">
        <f t="shared" si="17"/>
        <v>TxPost-vaccination</v>
      </c>
      <c r="W109" s="139">
        <v>69</v>
      </c>
      <c r="X109" s="164">
        <f t="shared" si="18"/>
        <v>304373893.40312707</v>
      </c>
      <c r="Y109" s="159">
        <f t="shared" si="18"/>
        <v>58852.246310725408</v>
      </c>
      <c r="AB109" s="160">
        <v>68000</v>
      </c>
      <c r="AC109" s="161">
        <v>1</v>
      </c>
      <c r="AD109" s="161">
        <v>0</v>
      </c>
      <c r="AE109" s="164">
        <v>6159957130.9098454</v>
      </c>
      <c r="AF109" s="164">
        <v>-8392970.8106751181</v>
      </c>
    </row>
    <row r="110" spans="2:32" x14ac:dyDescent="0.25">
      <c r="B110" s="159">
        <v>70</v>
      </c>
      <c r="C110" s="164">
        <v>337474628.42362446</v>
      </c>
      <c r="D110" s="159">
        <v>95305.765452571519</v>
      </c>
      <c r="E110" s="164">
        <v>9741680.0033026114</v>
      </c>
      <c r="F110" s="159">
        <v>0</v>
      </c>
      <c r="I110" s="159">
        <v>70</v>
      </c>
      <c r="J110" s="164">
        <v>337474628.42362446</v>
      </c>
      <c r="K110" s="159">
        <v>95305.765452571519</v>
      </c>
      <c r="L110" s="164">
        <v>9741680.0033026114</v>
      </c>
      <c r="M110" s="159">
        <v>0</v>
      </c>
      <c r="Q110" s="139">
        <v>70</v>
      </c>
      <c r="R110" s="164">
        <f t="shared" si="15"/>
        <v>1219283664.7536566</v>
      </c>
      <c r="S110" s="164">
        <f t="shared" si="16"/>
        <v>-9741680.0033026114</v>
      </c>
      <c r="T110" s="159" t="str">
        <f t="shared" si="17"/>
        <v>TxPost-vaccination</v>
      </c>
      <c r="W110" s="139">
        <v>70</v>
      </c>
      <c r="X110" s="164">
        <f t="shared" si="18"/>
        <v>327732948.42032182</v>
      </c>
      <c r="Y110" s="159">
        <f t="shared" si="18"/>
        <v>95305.765452571519</v>
      </c>
      <c r="AB110" s="160">
        <v>69000</v>
      </c>
      <c r="AC110" s="161">
        <v>1</v>
      </c>
      <c r="AD110" s="161">
        <v>0</v>
      </c>
      <c r="AE110" s="164">
        <v>6255134100.5182419</v>
      </c>
      <c r="AF110" s="164">
        <v>-8392970.8106751181</v>
      </c>
    </row>
    <row r="111" spans="2:32" x14ac:dyDescent="0.25">
      <c r="B111" s="159">
        <v>71</v>
      </c>
      <c r="C111" s="164">
        <v>286958418.19692457</v>
      </c>
      <c r="D111" s="159">
        <v>62418.435463979789</v>
      </c>
      <c r="E111" s="164">
        <v>6394233.9631483797</v>
      </c>
      <c r="F111" s="159">
        <v>0</v>
      </c>
      <c r="I111" s="159">
        <v>71</v>
      </c>
      <c r="J111" s="164">
        <v>286958418.19692457</v>
      </c>
      <c r="K111" s="159">
        <v>62418.435463979789</v>
      </c>
      <c r="L111" s="164">
        <v>6394233.9631483797</v>
      </c>
      <c r="M111" s="159">
        <v>0</v>
      </c>
      <c r="Q111" s="139">
        <v>71</v>
      </c>
      <c r="R111" s="164">
        <f t="shared" si="15"/>
        <v>732606522.01708448</v>
      </c>
      <c r="S111" s="164">
        <f t="shared" si="16"/>
        <v>-6394233.9631483797</v>
      </c>
      <c r="T111" s="159" t="str">
        <f t="shared" si="17"/>
        <v>TxPost-vaccination</v>
      </c>
      <c r="W111" s="139">
        <v>71</v>
      </c>
      <c r="X111" s="164">
        <f t="shared" si="18"/>
        <v>280564184.23377621</v>
      </c>
      <c r="Y111" s="159">
        <f t="shared" si="18"/>
        <v>62418.435463979789</v>
      </c>
      <c r="AB111" s="160">
        <v>70000</v>
      </c>
      <c r="AC111" s="161">
        <v>1</v>
      </c>
      <c r="AD111" s="161">
        <v>0</v>
      </c>
      <c r="AE111" s="164">
        <v>6350311070.1266384</v>
      </c>
      <c r="AF111" s="164">
        <v>-8392970.8106751181</v>
      </c>
    </row>
    <row r="112" spans="2:32" x14ac:dyDescent="0.25">
      <c r="B112" s="159">
        <v>72</v>
      </c>
      <c r="C112" s="164">
        <v>312503556.6549055</v>
      </c>
      <c r="D112" s="159">
        <v>61001.629095105513</v>
      </c>
      <c r="E112" s="164">
        <v>5781967.5858531799</v>
      </c>
      <c r="F112" s="159">
        <v>0</v>
      </c>
      <c r="I112" s="159">
        <v>72</v>
      </c>
      <c r="J112" s="164">
        <v>312503556.6549055</v>
      </c>
      <c r="K112" s="159">
        <v>61001.629095105513</v>
      </c>
      <c r="L112" s="164">
        <v>5781967.5858531799</v>
      </c>
      <c r="M112" s="159">
        <v>0</v>
      </c>
      <c r="Q112" s="139">
        <v>72</v>
      </c>
      <c r="R112" s="164">
        <f t="shared" si="15"/>
        <v>683918764.07435632</v>
      </c>
      <c r="S112" s="164">
        <f t="shared" si="16"/>
        <v>-5781967.5858531799</v>
      </c>
      <c r="T112" s="159" t="str">
        <f t="shared" si="17"/>
        <v>TxPost-vaccination</v>
      </c>
      <c r="W112" s="139">
        <v>72</v>
      </c>
      <c r="X112" s="164">
        <f t="shared" si="18"/>
        <v>306721589.06905234</v>
      </c>
      <c r="Y112" s="159">
        <f t="shared" si="18"/>
        <v>61001.629095105513</v>
      </c>
      <c r="AB112" s="160">
        <v>71000</v>
      </c>
      <c r="AC112" s="161">
        <v>1</v>
      </c>
      <c r="AD112" s="161">
        <v>0</v>
      </c>
      <c r="AE112" s="164">
        <v>6445488039.7350359</v>
      </c>
      <c r="AF112" s="164">
        <v>-8392970.8106751181</v>
      </c>
    </row>
    <row r="113" spans="2:32" x14ac:dyDescent="0.25">
      <c r="B113" s="159">
        <v>73</v>
      </c>
      <c r="C113" s="164">
        <v>302843662.33192056</v>
      </c>
      <c r="D113" s="159">
        <v>78475.344496087157</v>
      </c>
      <c r="E113" s="164">
        <v>8186653.2135702232</v>
      </c>
      <c r="F113" s="159">
        <v>0</v>
      </c>
      <c r="I113" s="159">
        <v>73</v>
      </c>
      <c r="J113" s="164">
        <v>302843662.33192056</v>
      </c>
      <c r="K113" s="159">
        <v>78475.344496087157</v>
      </c>
      <c r="L113" s="164">
        <v>8186653.2135702232</v>
      </c>
      <c r="M113" s="159">
        <v>0</v>
      </c>
      <c r="Q113" s="139">
        <v>73</v>
      </c>
      <c r="R113" s="164">
        <f t="shared" si="15"/>
        <v>979000544.82702303</v>
      </c>
      <c r="S113" s="164">
        <f t="shared" si="16"/>
        <v>-8186653.2135702232</v>
      </c>
      <c r="T113" s="159" t="str">
        <f t="shared" si="17"/>
        <v>TxPost-vaccination</v>
      </c>
      <c r="W113" s="139">
        <v>73</v>
      </c>
      <c r="X113" s="164">
        <f t="shared" si="18"/>
        <v>294657009.11835033</v>
      </c>
      <c r="Y113" s="159">
        <f t="shared" si="18"/>
        <v>78475.344496087157</v>
      </c>
      <c r="AB113" s="160">
        <v>72000</v>
      </c>
      <c r="AC113" s="161">
        <v>1</v>
      </c>
      <c r="AD113" s="161">
        <v>0</v>
      </c>
      <c r="AE113" s="164">
        <v>6540665009.3434324</v>
      </c>
      <c r="AF113" s="164">
        <v>-8392970.8106751181</v>
      </c>
    </row>
    <row r="114" spans="2:32" x14ac:dyDescent="0.25">
      <c r="B114" s="159">
        <v>74</v>
      </c>
      <c r="C114" s="164">
        <v>335620502.68799019</v>
      </c>
      <c r="D114" s="159">
        <v>94374.493402483742</v>
      </c>
      <c r="E114" s="164">
        <v>9695569.6477399562</v>
      </c>
      <c r="F114" s="159">
        <v>0</v>
      </c>
      <c r="I114" s="159">
        <v>74</v>
      </c>
      <c r="J114" s="164">
        <v>335620502.68799019</v>
      </c>
      <c r="K114" s="159">
        <v>94374.493402483742</v>
      </c>
      <c r="L114" s="164">
        <v>9695569.6477399562</v>
      </c>
      <c r="M114" s="159">
        <v>0</v>
      </c>
      <c r="Q114" s="139">
        <v>74</v>
      </c>
      <c r="R114" s="164">
        <f t="shared" si="15"/>
        <v>1205926061.3741219</v>
      </c>
      <c r="S114" s="164">
        <f t="shared" si="16"/>
        <v>-9695569.6477399562</v>
      </c>
      <c r="T114" s="159" t="str">
        <f t="shared" si="17"/>
        <v>TxPost-vaccination</v>
      </c>
      <c r="W114" s="139">
        <v>74</v>
      </c>
      <c r="X114" s="164">
        <f t="shared" si="18"/>
        <v>325924933.04025024</v>
      </c>
      <c r="Y114" s="159">
        <f t="shared" si="18"/>
        <v>94374.493402483742</v>
      </c>
      <c r="AB114" s="160">
        <v>73000</v>
      </c>
      <c r="AC114" s="161">
        <v>1</v>
      </c>
      <c r="AD114" s="161">
        <v>0</v>
      </c>
      <c r="AE114" s="164">
        <v>6635841978.9518299</v>
      </c>
      <c r="AF114" s="164">
        <v>-8392970.8106751181</v>
      </c>
    </row>
    <row r="115" spans="2:32" x14ac:dyDescent="0.25">
      <c r="B115" s="159">
        <v>75</v>
      </c>
      <c r="C115" s="164">
        <v>298205570.617872</v>
      </c>
      <c r="D115" s="159">
        <v>115060.02072034583</v>
      </c>
      <c r="E115" s="164">
        <v>8698406.3112590257</v>
      </c>
      <c r="F115" s="159">
        <v>0</v>
      </c>
      <c r="I115" s="159">
        <v>75</v>
      </c>
      <c r="J115" s="164">
        <v>298205570.617872</v>
      </c>
      <c r="K115" s="159">
        <v>115060.02072034583</v>
      </c>
      <c r="L115" s="164">
        <v>8698406.3112590257</v>
      </c>
      <c r="M115" s="159">
        <v>0</v>
      </c>
      <c r="Q115" s="139">
        <v>75</v>
      </c>
      <c r="R115" s="164">
        <f t="shared" si="15"/>
        <v>1581225758.8402262</v>
      </c>
      <c r="S115" s="164">
        <f t="shared" si="16"/>
        <v>-8698406.3112590257</v>
      </c>
      <c r="T115" s="159" t="str">
        <f t="shared" si="17"/>
        <v>TxPost-vaccination</v>
      </c>
      <c r="W115" s="139">
        <v>75</v>
      </c>
      <c r="X115" s="164">
        <f t="shared" si="18"/>
        <v>289507164.30661297</v>
      </c>
      <c r="Y115" s="159">
        <f t="shared" si="18"/>
        <v>115060.02072034583</v>
      </c>
      <c r="AB115" s="160">
        <v>74000</v>
      </c>
      <c r="AC115" s="161">
        <v>1</v>
      </c>
      <c r="AD115" s="161">
        <v>0</v>
      </c>
      <c r="AE115" s="164">
        <v>6731018948.5602264</v>
      </c>
      <c r="AF115" s="164">
        <v>-8392970.8106751181</v>
      </c>
    </row>
    <row r="116" spans="2:32" x14ac:dyDescent="0.25">
      <c r="B116" s="159">
        <v>76</v>
      </c>
      <c r="C116" s="164">
        <v>298912216.68003929</v>
      </c>
      <c r="D116" s="159">
        <v>98594.71881364983</v>
      </c>
      <c r="E116" s="164">
        <v>7987794.9757195013</v>
      </c>
      <c r="F116" s="159">
        <v>0</v>
      </c>
      <c r="I116" s="159">
        <v>76</v>
      </c>
      <c r="J116" s="164">
        <v>298912216.68003929</v>
      </c>
      <c r="K116" s="159">
        <v>98594.71881364983</v>
      </c>
      <c r="L116" s="164">
        <v>7987794.9757195013</v>
      </c>
      <c r="M116" s="159">
        <v>0</v>
      </c>
      <c r="Q116" s="139">
        <v>76</v>
      </c>
      <c r="R116" s="164">
        <f t="shared" si="15"/>
        <v>1311569011.2684855</v>
      </c>
      <c r="S116" s="164">
        <f t="shared" si="16"/>
        <v>-7987794.9757195013</v>
      </c>
      <c r="T116" s="159" t="str">
        <f t="shared" si="17"/>
        <v>TxPost-vaccination</v>
      </c>
      <c r="W116" s="139">
        <v>76</v>
      </c>
      <c r="X116" s="164">
        <f t="shared" si="18"/>
        <v>290924421.70431978</v>
      </c>
      <c r="Y116" s="159">
        <f t="shared" si="18"/>
        <v>98594.71881364983</v>
      </c>
      <c r="AB116" s="160">
        <v>75000</v>
      </c>
      <c r="AC116" s="161">
        <v>1</v>
      </c>
      <c r="AD116" s="161">
        <v>0</v>
      </c>
      <c r="AE116" s="164">
        <v>6826195918.168623</v>
      </c>
      <c r="AF116" s="164">
        <v>-8392970.8106751181</v>
      </c>
    </row>
    <row r="117" spans="2:32" x14ac:dyDescent="0.25">
      <c r="B117" s="159">
        <v>77</v>
      </c>
      <c r="C117" s="164">
        <v>303507856.32452571</v>
      </c>
      <c r="D117" s="159">
        <v>50071.420448733013</v>
      </c>
      <c r="E117" s="164">
        <v>6473923.0659890138</v>
      </c>
      <c r="F117" s="159">
        <v>0</v>
      </c>
      <c r="I117" s="159">
        <v>77</v>
      </c>
      <c r="J117" s="164">
        <v>303507856.32452571</v>
      </c>
      <c r="K117" s="159">
        <v>50071.420448733013</v>
      </c>
      <c r="L117" s="164">
        <v>6473923.0659890138</v>
      </c>
      <c r="M117" s="159">
        <v>0</v>
      </c>
      <c r="Q117" s="139">
        <v>77</v>
      </c>
      <c r="R117" s="164">
        <f t="shared" si="15"/>
        <v>514376546.20432901</v>
      </c>
      <c r="S117" s="164">
        <f t="shared" si="16"/>
        <v>-6473923.0659890138</v>
      </c>
      <c r="T117" s="159" t="str">
        <f t="shared" si="17"/>
        <v>TxPost-vaccination</v>
      </c>
      <c r="W117" s="139">
        <v>77</v>
      </c>
      <c r="X117" s="164">
        <f t="shared" si="18"/>
        <v>297033933.2585367</v>
      </c>
      <c r="Y117" s="159">
        <f t="shared" si="18"/>
        <v>50071.420448733013</v>
      </c>
      <c r="AB117" s="160">
        <v>76000</v>
      </c>
      <c r="AC117" s="161">
        <v>1</v>
      </c>
      <c r="AD117" s="161">
        <v>0</v>
      </c>
      <c r="AE117" s="164">
        <v>6921372887.7770205</v>
      </c>
      <c r="AF117" s="164">
        <v>-8392970.8106751181</v>
      </c>
    </row>
    <row r="118" spans="2:32" x14ac:dyDescent="0.25">
      <c r="B118" s="159">
        <v>78</v>
      </c>
      <c r="C118" s="164">
        <v>321571514.64529014</v>
      </c>
      <c r="D118" s="159">
        <v>83645.607513715528</v>
      </c>
      <c r="E118" s="164">
        <v>7574981.8278611861</v>
      </c>
      <c r="F118" s="159">
        <v>0</v>
      </c>
      <c r="I118" s="159">
        <v>78</v>
      </c>
      <c r="J118" s="164">
        <v>321571514.64529014</v>
      </c>
      <c r="K118" s="159">
        <v>83645.607513715528</v>
      </c>
      <c r="L118" s="164">
        <v>7574981.8278611861</v>
      </c>
      <c r="M118" s="159">
        <v>0</v>
      </c>
      <c r="Q118" s="139">
        <v>78</v>
      </c>
      <c r="R118" s="164">
        <f t="shared" si="15"/>
        <v>1044725608.7919056</v>
      </c>
      <c r="S118" s="164">
        <f t="shared" si="16"/>
        <v>-7574981.8278611861</v>
      </c>
      <c r="T118" s="159" t="str">
        <f t="shared" si="17"/>
        <v>TxPost-vaccination</v>
      </c>
      <c r="W118" s="139">
        <v>78</v>
      </c>
      <c r="X118" s="164">
        <f t="shared" si="18"/>
        <v>313996532.81742895</v>
      </c>
      <c r="Y118" s="159">
        <f t="shared" si="18"/>
        <v>83645.607513715528</v>
      </c>
      <c r="AB118" s="160">
        <v>77000</v>
      </c>
      <c r="AC118" s="161">
        <v>1</v>
      </c>
      <c r="AD118" s="161">
        <v>0</v>
      </c>
      <c r="AE118" s="164">
        <v>7016549857.385417</v>
      </c>
      <c r="AF118" s="164">
        <v>-8392970.8106751181</v>
      </c>
    </row>
    <row r="119" spans="2:32" x14ac:dyDescent="0.25">
      <c r="B119" s="159">
        <v>79</v>
      </c>
      <c r="C119" s="164">
        <v>322553974.85184646</v>
      </c>
      <c r="D119" s="159">
        <v>128601.02409544596</v>
      </c>
      <c r="E119" s="164">
        <v>11783371.667738382</v>
      </c>
      <c r="F119" s="159">
        <v>0</v>
      </c>
      <c r="I119" s="159">
        <v>79</v>
      </c>
      <c r="J119" s="164">
        <v>322553974.85184646</v>
      </c>
      <c r="K119" s="159">
        <v>128601.02409544596</v>
      </c>
      <c r="L119" s="164">
        <v>11783371.667738382</v>
      </c>
      <c r="M119" s="159">
        <v>0</v>
      </c>
      <c r="Q119" s="139">
        <v>79</v>
      </c>
      <c r="R119" s="164">
        <f t="shared" si="15"/>
        <v>1778060923.1136479</v>
      </c>
      <c r="S119" s="164">
        <f t="shared" si="16"/>
        <v>-11783371.667738382</v>
      </c>
      <c r="T119" s="159" t="str">
        <f t="shared" si="17"/>
        <v>TxPost-vaccination</v>
      </c>
      <c r="W119" s="139">
        <v>79</v>
      </c>
      <c r="X119" s="164">
        <f t="shared" si="18"/>
        <v>310770603.18410808</v>
      </c>
      <c r="Y119" s="159">
        <f t="shared" si="18"/>
        <v>128601.02409544596</v>
      </c>
      <c r="AB119" s="160">
        <v>78000</v>
      </c>
      <c r="AC119" s="161">
        <v>1</v>
      </c>
      <c r="AD119" s="161">
        <v>0</v>
      </c>
      <c r="AE119" s="164">
        <v>7111726826.9938145</v>
      </c>
      <c r="AF119" s="164">
        <v>-8392970.8106751181</v>
      </c>
    </row>
    <row r="120" spans="2:32" x14ac:dyDescent="0.25">
      <c r="B120" s="159">
        <v>80</v>
      </c>
      <c r="C120" s="164">
        <v>292852825.15501851</v>
      </c>
      <c r="D120" s="159">
        <v>93231.919054480997</v>
      </c>
      <c r="E120" s="164">
        <v>7348451.0610504271</v>
      </c>
      <c r="F120" s="159">
        <v>0</v>
      </c>
      <c r="I120" s="159">
        <v>80</v>
      </c>
      <c r="J120" s="164">
        <v>292852825.15501851</v>
      </c>
      <c r="K120" s="159">
        <v>93231.919054480997</v>
      </c>
      <c r="L120" s="164">
        <v>7348451.0610504271</v>
      </c>
      <c r="M120" s="159">
        <v>0</v>
      </c>
      <c r="Q120" s="139">
        <v>80</v>
      </c>
      <c r="R120" s="164">
        <f t="shared" si="15"/>
        <v>1230030522.8531804</v>
      </c>
      <c r="S120" s="164">
        <f t="shared" si="16"/>
        <v>-7348451.0610504271</v>
      </c>
      <c r="T120" s="159" t="str">
        <f t="shared" si="17"/>
        <v>TxPost-vaccination</v>
      </c>
      <c r="W120" s="139">
        <v>80</v>
      </c>
      <c r="X120" s="164">
        <f t="shared" si="18"/>
        <v>285504374.09396809</v>
      </c>
      <c r="Y120" s="159">
        <f t="shared" si="18"/>
        <v>93231.919054480997</v>
      </c>
      <c r="AB120" s="160">
        <v>79000</v>
      </c>
      <c r="AC120" s="161">
        <v>1</v>
      </c>
      <c r="AD120" s="161">
        <v>0</v>
      </c>
      <c r="AE120" s="164">
        <v>7206903796.602211</v>
      </c>
      <c r="AF120" s="164">
        <v>-8392970.8106751181</v>
      </c>
    </row>
    <row r="121" spans="2:32" x14ac:dyDescent="0.25">
      <c r="B121" s="159">
        <v>81</v>
      </c>
      <c r="C121" s="164">
        <v>308907102.47908819</v>
      </c>
      <c r="D121" s="159">
        <v>69091.404347862102</v>
      </c>
      <c r="E121" s="164">
        <v>6043872.9734012708</v>
      </c>
      <c r="F121" s="159">
        <v>0</v>
      </c>
      <c r="I121" s="159">
        <v>81</v>
      </c>
      <c r="J121" s="164">
        <v>308907102.47908819</v>
      </c>
      <c r="K121" s="159">
        <v>69091.404347862102</v>
      </c>
      <c r="L121" s="164">
        <v>6043872.9734012708</v>
      </c>
      <c r="M121" s="159">
        <v>0</v>
      </c>
      <c r="Q121" s="139">
        <v>81</v>
      </c>
      <c r="R121" s="164">
        <f t="shared" si="15"/>
        <v>819656486.46060979</v>
      </c>
      <c r="S121" s="164">
        <f t="shared" si="16"/>
        <v>-6043872.9734012708</v>
      </c>
      <c r="T121" s="159" t="str">
        <f t="shared" si="17"/>
        <v>TxPost-vaccination</v>
      </c>
      <c r="W121" s="139">
        <v>81</v>
      </c>
      <c r="X121" s="164">
        <f t="shared" si="18"/>
        <v>302863229.50568694</v>
      </c>
      <c r="Y121" s="159">
        <f t="shared" si="18"/>
        <v>69091.404347862102</v>
      </c>
      <c r="AB121" s="160">
        <v>80000</v>
      </c>
      <c r="AC121" s="161">
        <v>1</v>
      </c>
      <c r="AD121" s="161">
        <v>0</v>
      </c>
      <c r="AE121" s="164">
        <v>7302080766.2106075</v>
      </c>
      <c r="AF121" s="164">
        <v>-8392970.8106751181</v>
      </c>
    </row>
    <row r="122" spans="2:32" x14ac:dyDescent="0.25">
      <c r="B122" s="159">
        <v>82</v>
      </c>
      <c r="C122" s="164">
        <v>315716098.95770937</v>
      </c>
      <c r="D122" s="159">
        <v>85088.882284333071</v>
      </c>
      <c r="E122" s="164">
        <v>7134052.9235545155</v>
      </c>
      <c r="F122" s="159">
        <v>0</v>
      </c>
      <c r="I122" s="159">
        <v>82</v>
      </c>
      <c r="J122" s="164">
        <v>315716098.95770937</v>
      </c>
      <c r="K122" s="159">
        <v>85088.882284333071</v>
      </c>
      <c r="L122" s="164">
        <v>7134052.9235545155</v>
      </c>
      <c r="M122" s="159">
        <v>0</v>
      </c>
      <c r="Q122" s="139">
        <v>82</v>
      </c>
      <c r="R122" s="164">
        <f t="shared" si="15"/>
        <v>1074155988.258677</v>
      </c>
      <c r="S122" s="164">
        <f t="shared" si="16"/>
        <v>-7134052.9235545155</v>
      </c>
      <c r="T122" s="159" t="str">
        <f t="shared" si="17"/>
        <v>TxPost-vaccination</v>
      </c>
      <c r="W122" s="139">
        <v>82</v>
      </c>
      <c r="X122" s="164">
        <f t="shared" si="18"/>
        <v>308582046.03415483</v>
      </c>
      <c r="Y122" s="159">
        <f t="shared" si="18"/>
        <v>85088.882284333071</v>
      </c>
      <c r="AB122" s="160">
        <v>81000</v>
      </c>
      <c r="AC122" s="161">
        <v>1</v>
      </c>
      <c r="AD122" s="161">
        <v>0</v>
      </c>
      <c r="AE122" s="164">
        <v>7397257735.819005</v>
      </c>
      <c r="AF122" s="164">
        <v>-8392970.8106751181</v>
      </c>
    </row>
    <row r="123" spans="2:32" x14ac:dyDescent="0.25">
      <c r="B123" s="159">
        <v>83</v>
      </c>
      <c r="C123" s="164">
        <v>303588149.45032692</v>
      </c>
      <c r="D123" s="159">
        <v>88276.930272138838</v>
      </c>
      <c r="E123" s="164">
        <v>7699760.335463413</v>
      </c>
      <c r="F123" s="159">
        <v>0</v>
      </c>
      <c r="I123" s="159">
        <v>83</v>
      </c>
      <c r="J123" s="164">
        <v>303588149.45032692</v>
      </c>
      <c r="K123" s="159">
        <v>88276.930272138838</v>
      </c>
      <c r="L123" s="164">
        <v>7699760.335463413</v>
      </c>
      <c r="M123" s="159">
        <v>0</v>
      </c>
      <c r="Q123" s="139">
        <v>83</v>
      </c>
      <c r="R123" s="164">
        <f t="shared" si="15"/>
        <v>1138358648.2570381</v>
      </c>
      <c r="S123" s="164">
        <f t="shared" si="16"/>
        <v>-7699760.335463413</v>
      </c>
      <c r="T123" s="159" t="str">
        <f t="shared" si="17"/>
        <v>TxPost-vaccination</v>
      </c>
      <c r="W123" s="139">
        <v>83</v>
      </c>
      <c r="X123" s="164">
        <f t="shared" si="18"/>
        <v>295888389.11486351</v>
      </c>
      <c r="Y123" s="159">
        <f t="shared" si="18"/>
        <v>88276.930272138838</v>
      </c>
      <c r="AB123" s="160">
        <v>82000</v>
      </c>
      <c r="AC123" s="161">
        <v>1</v>
      </c>
      <c r="AD123" s="161">
        <v>0</v>
      </c>
      <c r="AE123" s="164">
        <v>7492434705.4274015</v>
      </c>
      <c r="AF123" s="164">
        <v>-8392970.8106751181</v>
      </c>
    </row>
    <row r="124" spans="2:32" x14ac:dyDescent="0.25">
      <c r="B124" s="159">
        <v>84</v>
      </c>
      <c r="C124" s="164">
        <v>317334198.81263876</v>
      </c>
      <c r="D124" s="159">
        <v>88743.177844142498</v>
      </c>
      <c r="E124" s="164">
        <v>7533100.17869992</v>
      </c>
      <c r="F124" s="159">
        <v>0</v>
      </c>
      <c r="I124" s="159">
        <v>84</v>
      </c>
      <c r="J124" s="164">
        <v>317334198.81263876</v>
      </c>
      <c r="K124" s="159">
        <v>88743.177844142498</v>
      </c>
      <c r="L124" s="164">
        <v>7533100.17869992</v>
      </c>
      <c r="M124" s="159">
        <v>0</v>
      </c>
      <c r="Q124" s="139">
        <v>84</v>
      </c>
      <c r="R124" s="164">
        <f t="shared" si="15"/>
        <v>1132228452.6780074</v>
      </c>
      <c r="S124" s="164">
        <f t="shared" si="16"/>
        <v>-7533100.17869992</v>
      </c>
      <c r="T124" s="159" t="str">
        <f t="shared" si="17"/>
        <v>TxPost-vaccination</v>
      </c>
      <c r="W124" s="139">
        <v>84</v>
      </c>
      <c r="X124" s="164">
        <f t="shared" si="18"/>
        <v>309801098.63393885</v>
      </c>
      <c r="Y124" s="159">
        <f t="shared" si="18"/>
        <v>88743.177844142498</v>
      </c>
      <c r="AB124" s="160">
        <v>83000</v>
      </c>
      <c r="AC124" s="161">
        <v>1</v>
      </c>
      <c r="AD124" s="161">
        <v>0</v>
      </c>
      <c r="AE124" s="164">
        <v>7587611675.035799</v>
      </c>
      <c r="AF124" s="164">
        <v>-8392970.8106751181</v>
      </c>
    </row>
    <row r="125" spans="2:32" x14ac:dyDescent="0.25">
      <c r="B125" s="159">
        <v>85</v>
      </c>
      <c r="C125" s="164">
        <v>311965789.44577801</v>
      </c>
      <c r="D125" s="159">
        <v>70134.856897894511</v>
      </c>
      <c r="E125" s="164">
        <v>6630439.959352673</v>
      </c>
      <c r="F125" s="159">
        <v>0</v>
      </c>
      <c r="I125" s="159">
        <v>85</v>
      </c>
      <c r="J125" s="164">
        <v>311965789.44577801</v>
      </c>
      <c r="K125" s="159">
        <v>70134.856897894511</v>
      </c>
      <c r="L125" s="164">
        <v>6630439.959352673</v>
      </c>
      <c r="M125" s="159">
        <v>0</v>
      </c>
      <c r="Q125" s="139">
        <v>85</v>
      </c>
      <c r="R125" s="164">
        <f t="shared" si="15"/>
        <v>833641924.8213464</v>
      </c>
      <c r="S125" s="164">
        <f t="shared" si="16"/>
        <v>-6630439.959352673</v>
      </c>
      <c r="T125" s="159" t="str">
        <f t="shared" si="17"/>
        <v>TxPost-vaccination</v>
      </c>
      <c r="W125" s="139">
        <v>85</v>
      </c>
      <c r="X125" s="164">
        <f t="shared" si="18"/>
        <v>305335349.48642534</v>
      </c>
      <c r="Y125" s="159">
        <f t="shared" si="18"/>
        <v>70134.856897894511</v>
      </c>
      <c r="AB125" s="160">
        <v>84000</v>
      </c>
      <c r="AC125" s="161">
        <v>1</v>
      </c>
      <c r="AD125" s="161">
        <v>0</v>
      </c>
      <c r="AE125" s="164">
        <v>7682788644.6441956</v>
      </c>
      <c r="AF125" s="164">
        <v>-8392970.8106751181</v>
      </c>
    </row>
    <row r="126" spans="2:32" x14ac:dyDescent="0.25">
      <c r="B126" s="159">
        <v>86</v>
      </c>
      <c r="C126" s="164">
        <v>308709275.96383917</v>
      </c>
      <c r="D126" s="159">
        <v>72969.087845616508</v>
      </c>
      <c r="E126" s="164">
        <v>7253642.7998153856</v>
      </c>
      <c r="F126" s="159">
        <v>0</v>
      </c>
      <c r="I126" s="159">
        <v>86</v>
      </c>
      <c r="J126" s="164">
        <v>308709275.96383917</v>
      </c>
      <c r="K126" s="159">
        <v>72969.087845616508</v>
      </c>
      <c r="L126" s="164">
        <v>7253642.7998153856</v>
      </c>
      <c r="M126" s="159">
        <v>0</v>
      </c>
      <c r="Q126" s="139">
        <v>86</v>
      </c>
      <c r="R126" s="164">
        <f t="shared" si="15"/>
        <v>883193775.33451259</v>
      </c>
      <c r="S126" s="164">
        <f t="shared" si="16"/>
        <v>-7253642.7998153856</v>
      </c>
      <c r="T126" s="159" t="str">
        <f t="shared" si="17"/>
        <v>TxPost-vaccination</v>
      </c>
      <c r="W126" s="139">
        <v>86</v>
      </c>
      <c r="X126" s="164">
        <f t="shared" si="18"/>
        <v>301455633.16402382</v>
      </c>
      <c r="Y126" s="159">
        <f t="shared" si="18"/>
        <v>72969.087845616508</v>
      </c>
      <c r="AB126" s="160">
        <v>85000</v>
      </c>
      <c r="AC126" s="161">
        <v>1</v>
      </c>
      <c r="AD126" s="161">
        <v>0</v>
      </c>
      <c r="AE126" s="164">
        <v>7777965614.252593</v>
      </c>
      <c r="AF126" s="164">
        <v>-8392970.8106751181</v>
      </c>
    </row>
    <row r="127" spans="2:32" x14ac:dyDescent="0.25">
      <c r="B127" s="159">
        <v>87</v>
      </c>
      <c r="C127" s="164">
        <v>335861564.6884802</v>
      </c>
      <c r="D127" s="159">
        <v>134692.56808491651</v>
      </c>
      <c r="E127" s="164">
        <v>12180295.882938409</v>
      </c>
      <c r="F127" s="159">
        <v>0</v>
      </c>
      <c r="I127" s="159">
        <v>87</v>
      </c>
      <c r="J127" s="164">
        <v>335861564.6884802</v>
      </c>
      <c r="K127" s="159">
        <v>134692.56808491651</v>
      </c>
      <c r="L127" s="164">
        <v>12180295.882938409</v>
      </c>
      <c r="M127" s="159">
        <v>0</v>
      </c>
      <c r="Q127" s="139">
        <v>87</v>
      </c>
      <c r="R127" s="164">
        <f t="shared" si="15"/>
        <v>1864254780.842447</v>
      </c>
      <c r="S127" s="164">
        <f t="shared" si="16"/>
        <v>-12180295.882938409</v>
      </c>
      <c r="T127" s="159" t="str">
        <f t="shared" si="17"/>
        <v>TxPost-vaccination</v>
      </c>
      <c r="W127" s="139">
        <v>87</v>
      </c>
      <c r="X127" s="164">
        <f t="shared" si="18"/>
        <v>323681268.80554181</v>
      </c>
      <c r="Y127" s="159">
        <f t="shared" si="18"/>
        <v>134692.56808491651</v>
      </c>
      <c r="AB127" s="160">
        <v>86000</v>
      </c>
      <c r="AC127" s="161">
        <v>1</v>
      </c>
      <c r="AD127" s="161">
        <v>0</v>
      </c>
      <c r="AE127" s="164">
        <v>7873142583.8609896</v>
      </c>
      <c r="AF127" s="164">
        <v>-8392970.8106751181</v>
      </c>
    </row>
    <row r="128" spans="2:32" x14ac:dyDescent="0.25">
      <c r="B128" s="159">
        <v>88</v>
      </c>
      <c r="C128" s="164">
        <v>326905179.61775905</v>
      </c>
      <c r="D128" s="159">
        <v>83982.195911355782</v>
      </c>
      <c r="E128" s="164">
        <v>7623194.2438777024</v>
      </c>
      <c r="F128" s="159">
        <v>0</v>
      </c>
      <c r="I128" s="159">
        <v>88</v>
      </c>
      <c r="J128" s="164">
        <v>326905179.61775905</v>
      </c>
      <c r="K128" s="159">
        <v>83982.195911355782</v>
      </c>
      <c r="L128" s="164">
        <v>7623194.2438777024</v>
      </c>
      <c r="M128" s="159">
        <v>0</v>
      </c>
      <c r="Q128" s="139">
        <v>88</v>
      </c>
      <c r="R128" s="164">
        <f t="shared" si="15"/>
        <v>1044889898.5016694</v>
      </c>
      <c r="S128" s="164">
        <f t="shared" si="16"/>
        <v>-7623194.2438777024</v>
      </c>
      <c r="T128" s="159" t="str">
        <f t="shared" si="17"/>
        <v>TxPost-vaccination</v>
      </c>
      <c r="W128" s="139">
        <v>88</v>
      </c>
      <c r="X128" s="164">
        <f t="shared" si="18"/>
        <v>319281985.37388134</v>
      </c>
      <c r="Y128" s="159">
        <f t="shared" si="18"/>
        <v>83982.195911355782</v>
      </c>
      <c r="AB128" s="160">
        <v>87000</v>
      </c>
      <c r="AC128" s="161">
        <v>1</v>
      </c>
      <c r="AD128" s="161">
        <v>0</v>
      </c>
      <c r="AE128" s="164">
        <v>7968319553.4693861</v>
      </c>
      <c r="AF128" s="164">
        <v>-8392970.8106751181</v>
      </c>
    </row>
    <row r="129" spans="2:32" x14ac:dyDescent="0.25">
      <c r="B129" s="159">
        <v>89</v>
      </c>
      <c r="C129" s="164">
        <v>315531188.59728563</v>
      </c>
      <c r="D129" s="159">
        <v>99331.718516920999</v>
      </c>
      <c r="E129" s="164">
        <v>7626315.4449328706</v>
      </c>
      <c r="F129" s="159">
        <v>0</v>
      </c>
      <c r="I129" s="159">
        <v>89</v>
      </c>
      <c r="J129" s="164">
        <v>315531188.59728563</v>
      </c>
      <c r="K129" s="159">
        <v>99331.718516920999</v>
      </c>
      <c r="L129" s="164">
        <v>7626315.4449328706</v>
      </c>
      <c r="M129" s="159">
        <v>0</v>
      </c>
      <c r="Q129" s="139">
        <v>89</v>
      </c>
      <c r="R129" s="164">
        <f t="shared" si="15"/>
        <v>1306988454.8100348</v>
      </c>
      <c r="S129" s="164">
        <f t="shared" si="16"/>
        <v>-7626315.4449328706</v>
      </c>
      <c r="T129" s="159" t="str">
        <f t="shared" si="17"/>
        <v>TxPost-vaccination</v>
      </c>
      <c r="W129" s="139">
        <v>89</v>
      </c>
      <c r="X129" s="164">
        <f t="shared" si="18"/>
        <v>307904873.15235275</v>
      </c>
      <c r="Y129" s="159">
        <f t="shared" si="18"/>
        <v>99331.718516920999</v>
      </c>
      <c r="AB129" s="160">
        <v>88000</v>
      </c>
      <c r="AC129" s="161">
        <v>1</v>
      </c>
      <c r="AD129" s="161">
        <v>0</v>
      </c>
      <c r="AE129" s="164">
        <v>8063496523.0777836</v>
      </c>
      <c r="AF129" s="164">
        <v>-8392970.8106751181</v>
      </c>
    </row>
    <row r="130" spans="2:32" x14ac:dyDescent="0.25">
      <c r="B130" s="159">
        <v>90</v>
      </c>
      <c r="C130" s="164">
        <v>330815986.68283933</v>
      </c>
      <c r="D130" s="159">
        <v>102833.43161999522</v>
      </c>
      <c r="E130" s="164">
        <v>9565746.4280961994</v>
      </c>
      <c r="F130" s="159">
        <v>0</v>
      </c>
      <c r="I130" s="159">
        <v>90</v>
      </c>
      <c r="J130" s="164">
        <v>330815986.68283933</v>
      </c>
      <c r="K130" s="159">
        <v>102833.43161999522</v>
      </c>
      <c r="L130" s="164">
        <v>9565746.4280961994</v>
      </c>
      <c r="M130" s="159">
        <v>0</v>
      </c>
      <c r="Q130" s="139">
        <v>90</v>
      </c>
      <c r="R130" s="164">
        <f t="shared" si="15"/>
        <v>1348901884.8448057</v>
      </c>
      <c r="S130" s="164">
        <f t="shared" si="16"/>
        <v>-9565746.4280961994</v>
      </c>
      <c r="T130" s="159" t="str">
        <f t="shared" si="17"/>
        <v>TxPost-vaccination</v>
      </c>
      <c r="W130" s="139">
        <v>90</v>
      </c>
      <c r="X130" s="164">
        <f t="shared" si="18"/>
        <v>321250240.25474316</v>
      </c>
      <c r="Y130" s="159">
        <f t="shared" si="18"/>
        <v>102833.43161999522</v>
      </c>
      <c r="AB130" s="160">
        <v>89000</v>
      </c>
      <c r="AC130" s="161">
        <v>1</v>
      </c>
      <c r="AD130" s="161">
        <v>0</v>
      </c>
      <c r="AE130" s="164">
        <v>8158673492.6861801</v>
      </c>
      <c r="AF130" s="164">
        <v>-8392970.8106751181</v>
      </c>
    </row>
    <row r="131" spans="2:32" x14ac:dyDescent="0.25">
      <c r="B131" s="159">
        <v>91</v>
      </c>
      <c r="C131" s="164">
        <v>298088344.77343011</v>
      </c>
      <c r="D131" s="159">
        <v>84620.157247705851</v>
      </c>
      <c r="E131" s="164">
        <v>8103502.7054603193</v>
      </c>
      <c r="F131" s="159">
        <v>0</v>
      </c>
      <c r="I131" s="159">
        <v>91</v>
      </c>
      <c r="J131" s="164">
        <v>298088344.77343011</v>
      </c>
      <c r="K131" s="159">
        <v>84620.157247705851</v>
      </c>
      <c r="L131" s="164">
        <v>8103502.7054603193</v>
      </c>
      <c r="M131" s="159">
        <v>0</v>
      </c>
      <c r="Q131" s="139">
        <v>91</v>
      </c>
      <c r="R131" s="164">
        <f t="shared" si="15"/>
        <v>1084127420.8707595</v>
      </c>
      <c r="S131" s="164">
        <f t="shared" si="16"/>
        <v>-8103502.7054603193</v>
      </c>
      <c r="T131" s="159" t="str">
        <f t="shared" si="17"/>
        <v>TxPost-vaccination</v>
      </c>
      <c r="W131" s="139">
        <v>91</v>
      </c>
      <c r="X131" s="164">
        <f t="shared" si="18"/>
        <v>289984842.0679698</v>
      </c>
      <c r="Y131" s="159">
        <f t="shared" si="18"/>
        <v>84620.157247705851</v>
      </c>
      <c r="AB131" s="160">
        <v>90000</v>
      </c>
      <c r="AC131" s="161">
        <v>1</v>
      </c>
      <c r="AD131" s="161">
        <v>0</v>
      </c>
      <c r="AE131" s="164">
        <v>8253850462.2945776</v>
      </c>
      <c r="AF131" s="164">
        <v>-8392970.8106751181</v>
      </c>
    </row>
    <row r="132" spans="2:32" x14ac:dyDescent="0.25">
      <c r="B132" s="159">
        <v>92</v>
      </c>
      <c r="C132" s="164">
        <v>290882261.43054241</v>
      </c>
      <c r="D132" s="159">
        <v>97022.93009303177</v>
      </c>
      <c r="E132" s="164">
        <v>7648177.2029695846</v>
      </c>
      <c r="F132" s="159">
        <v>0</v>
      </c>
      <c r="I132" s="159">
        <v>92</v>
      </c>
      <c r="J132" s="164">
        <v>290882261.43054241</v>
      </c>
      <c r="K132" s="159">
        <v>97022.93009303177</v>
      </c>
      <c r="L132" s="164">
        <v>7648177.2029695846</v>
      </c>
      <c r="M132" s="159">
        <v>0</v>
      </c>
      <c r="Q132" s="139">
        <v>92</v>
      </c>
      <c r="R132" s="164">
        <f t="shared" si="15"/>
        <v>1293924810.1400836</v>
      </c>
      <c r="S132" s="164">
        <f t="shared" si="16"/>
        <v>-7648177.2029695846</v>
      </c>
      <c r="T132" s="159" t="str">
        <f t="shared" si="17"/>
        <v>TxPost-vaccination</v>
      </c>
      <c r="W132" s="139">
        <v>92</v>
      </c>
      <c r="X132" s="164">
        <f t="shared" si="18"/>
        <v>283234084.2275728</v>
      </c>
      <c r="Y132" s="159">
        <f t="shared" si="18"/>
        <v>97022.93009303177</v>
      </c>
      <c r="AB132" s="160">
        <v>91000</v>
      </c>
      <c r="AC132" s="161">
        <v>1</v>
      </c>
      <c r="AD132" s="161">
        <v>0</v>
      </c>
      <c r="AE132" s="164">
        <v>8349027431.9029732</v>
      </c>
      <c r="AF132" s="164">
        <v>-8392970.8106751181</v>
      </c>
    </row>
    <row r="133" spans="2:32" x14ac:dyDescent="0.25">
      <c r="B133" s="159">
        <v>93</v>
      </c>
      <c r="C133" s="164">
        <v>324651740.84451693</v>
      </c>
      <c r="D133" s="159">
        <v>67807.281980788859</v>
      </c>
      <c r="E133" s="164">
        <v>8066618.0713829882</v>
      </c>
      <c r="F133" s="159">
        <v>0</v>
      </c>
      <c r="I133" s="159">
        <v>93</v>
      </c>
      <c r="J133" s="164">
        <v>324651740.84451693</v>
      </c>
      <c r="K133" s="159">
        <v>67807.281980788859</v>
      </c>
      <c r="L133" s="164">
        <v>8066618.0713829882</v>
      </c>
      <c r="M133" s="159">
        <v>0</v>
      </c>
      <c r="Q133" s="139">
        <v>93</v>
      </c>
      <c r="R133" s="164">
        <f t="shared" si="15"/>
        <v>782936536.31941485</v>
      </c>
      <c r="S133" s="164">
        <f t="shared" si="16"/>
        <v>-8066618.0713829882</v>
      </c>
      <c r="T133" s="159" t="str">
        <f t="shared" si="17"/>
        <v>TxPost-vaccination</v>
      </c>
      <c r="W133" s="139">
        <v>93</v>
      </c>
      <c r="X133" s="164">
        <f t="shared" si="18"/>
        <v>316585122.77313393</v>
      </c>
      <c r="Y133" s="159">
        <f t="shared" si="18"/>
        <v>67807.281980788859</v>
      </c>
      <c r="AB133" s="160">
        <v>92000</v>
      </c>
      <c r="AC133" s="161">
        <v>1</v>
      </c>
      <c r="AD133" s="161">
        <v>0</v>
      </c>
      <c r="AE133" s="164">
        <v>8444204401.5113716</v>
      </c>
      <c r="AF133" s="164">
        <v>-8392970.8106751181</v>
      </c>
    </row>
    <row r="134" spans="2:32" x14ac:dyDescent="0.25">
      <c r="B134" s="159">
        <v>94</v>
      </c>
      <c r="C134" s="164">
        <v>299071940.09227163</v>
      </c>
      <c r="D134" s="159">
        <v>106078.6010673401</v>
      </c>
      <c r="E134" s="164">
        <v>10453250.661463022</v>
      </c>
      <c r="F134" s="159">
        <v>0</v>
      </c>
      <c r="I134" s="159">
        <v>94</v>
      </c>
      <c r="J134" s="164">
        <v>299071940.09227163</v>
      </c>
      <c r="K134" s="159">
        <v>106078.6010673401</v>
      </c>
      <c r="L134" s="164">
        <v>10453250.661463022</v>
      </c>
      <c r="M134" s="159">
        <v>0</v>
      </c>
      <c r="Q134" s="139">
        <v>94</v>
      </c>
      <c r="R134" s="164">
        <f t="shared" si="15"/>
        <v>1433653684.1765628</v>
      </c>
      <c r="S134" s="164">
        <f t="shared" si="16"/>
        <v>-10453250.661463022</v>
      </c>
      <c r="T134" s="159" t="str">
        <f t="shared" si="17"/>
        <v>TxPost-vaccination</v>
      </c>
      <c r="W134" s="139">
        <v>94</v>
      </c>
      <c r="X134" s="164">
        <f t="shared" si="18"/>
        <v>288618689.4308086</v>
      </c>
      <c r="Y134" s="159">
        <f t="shared" si="18"/>
        <v>106078.6010673401</v>
      </c>
      <c r="AB134" s="160">
        <v>93000</v>
      </c>
      <c r="AC134" s="161">
        <v>1</v>
      </c>
      <c r="AD134" s="161">
        <v>0</v>
      </c>
      <c r="AE134" s="164">
        <v>8539381371.1197681</v>
      </c>
      <c r="AF134" s="164">
        <v>-8392970.8106751181</v>
      </c>
    </row>
    <row r="135" spans="2:32" x14ac:dyDescent="0.25">
      <c r="B135" s="159">
        <v>95</v>
      </c>
      <c r="C135" s="164">
        <v>314086902.92616087</v>
      </c>
      <c r="D135" s="159">
        <v>140118.24109980965</v>
      </c>
      <c r="E135" s="164">
        <v>11020771.424333282</v>
      </c>
      <c r="F135" s="159">
        <v>0</v>
      </c>
      <c r="I135" s="159">
        <v>95</v>
      </c>
      <c r="J135" s="164">
        <v>314086902.92616087</v>
      </c>
      <c r="K135" s="159">
        <v>140118.24109980965</v>
      </c>
      <c r="L135" s="164">
        <v>11020771.424333282</v>
      </c>
      <c r="M135" s="159">
        <v>0</v>
      </c>
      <c r="Q135" s="139">
        <v>95</v>
      </c>
      <c r="R135" s="164">
        <f t="shared" si="15"/>
        <v>1974654316.6813135</v>
      </c>
      <c r="S135" s="164">
        <f t="shared" si="16"/>
        <v>-11020771.424333282</v>
      </c>
      <c r="T135" s="159" t="str">
        <f t="shared" si="17"/>
        <v>TxPost-vaccination</v>
      </c>
      <c r="W135" s="139">
        <v>95</v>
      </c>
      <c r="X135" s="164">
        <f t="shared" si="18"/>
        <v>303066131.5018276</v>
      </c>
      <c r="Y135" s="159">
        <f t="shared" si="18"/>
        <v>140118.24109980965</v>
      </c>
      <c r="AB135" s="160">
        <v>94000</v>
      </c>
      <c r="AC135" s="161">
        <v>1</v>
      </c>
      <c r="AD135" s="161">
        <v>0</v>
      </c>
      <c r="AE135" s="164">
        <v>8634558340.7281647</v>
      </c>
      <c r="AF135" s="164">
        <v>-8392970.8106751181</v>
      </c>
    </row>
    <row r="136" spans="2:32" x14ac:dyDescent="0.25">
      <c r="B136" s="159">
        <v>96</v>
      </c>
      <c r="C136" s="164">
        <v>343679689.79855037</v>
      </c>
      <c r="D136" s="159">
        <v>79300.936331870747</v>
      </c>
      <c r="E136" s="164">
        <v>7906633.1680308748</v>
      </c>
      <c r="F136" s="159">
        <v>0</v>
      </c>
      <c r="I136" s="159">
        <v>96</v>
      </c>
      <c r="J136" s="164">
        <v>343679689.79855037</v>
      </c>
      <c r="K136" s="159">
        <v>79300.936331870747</v>
      </c>
      <c r="L136" s="164">
        <v>7906633.1680308748</v>
      </c>
      <c r="M136" s="159">
        <v>0</v>
      </c>
      <c r="Q136" s="139">
        <v>96</v>
      </c>
      <c r="R136" s="164">
        <f t="shared" si="15"/>
        <v>951650028.24247265</v>
      </c>
      <c r="S136" s="164">
        <f t="shared" si="16"/>
        <v>-7906633.1680308748</v>
      </c>
      <c r="T136" s="159" t="str">
        <f t="shared" si="17"/>
        <v>TxPost-vaccination</v>
      </c>
      <c r="W136" s="139">
        <v>96</v>
      </c>
      <c r="X136" s="164">
        <f t="shared" si="18"/>
        <v>335773056.63051951</v>
      </c>
      <c r="Y136" s="159">
        <f t="shared" si="18"/>
        <v>79300.936331870747</v>
      </c>
      <c r="AB136" s="160">
        <v>95000</v>
      </c>
      <c r="AC136" s="161">
        <v>1</v>
      </c>
      <c r="AD136" s="161">
        <v>0</v>
      </c>
      <c r="AE136" s="164">
        <v>8729735310.3365612</v>
      </c>
      <c r="AF136" s="164">
        <v>-8392970.8106751181</v>
      </c>
    </row>
    <row r="137" spans="2:32" x14ac:dyDescent="0.25">
      <c r="B137" s="159">
        <v>97</v>
      </c>
      <c r="C137" s="164">
        <v>348483049.33447659</v>
      </c>
      <c r="D137" s="159">
        <v>89170.848839454004</v>
      </c>
      <c r="E137" s="164">
        <v>7245295.8953323048</v>
      </c>
      <c r="F137" s="159">
        <v>0</v>
      </c>
      <c r="I137" s="159">
        <v>97</v>
      </c>
      <c r="J137" s="164">
        <v>348483049.33447659</v>
      </c>
      <c r="K137" s="159">
        <v>89170.848839454004</v>
      </c>
      <c r="L137" s="164">
        <v>7245295.8953323048</v>
      </c>
      <c r="M137" s="159">
        <v>0</v>
      </c>
      <c r="Q137" s="139">
        <v>97</v>
      </c>
      <c r="R137" s="164">
        <f t="shared" si="15"/>
        <v>1108065332.4059715</v>
      </c>
      <c r="S137" s="164">
        <f t="shared" si="16"/>
        <v>-7245295.8953323048</v>
      </c>
      <c r="T137" s="159" t="str">
        <f t="shared" si="17"/>
        <v>TxPost-vaccination</v>
      </c>
      <c r="W137" s="139">
        <v>97</v>
      </c>
      <c r="X137" s="164">
        <f t="shared" si="18"/>
        <v>341237753.43914431</v>
      </c>
      <c r="Y137" s="159">
        <f t="shared" si="18"/>
        <v>89170.848839454004</v>
      </c>
      <c r="AB137" s="160">
        <v>96000</v>
      </c>
      <c r="AC137" s="161">
        <v>1</v>
      </c>
      <c r="AD137" s="161">
        <v>0</v>
      </c>
      <c r="AE137" s="164">
        <v>8824912279.9449577</v>
      </c>
      <c r="AF137" s="164">
        <v>-8392970.8106751181</v>
      </c>
    </row>
    <row r="138" spans="2:32" x14ac:dyDescent="0.25">
      <c r="B138" s="159">
        <v>98</v>
      </c>
      <c r="C138" s="164">
        <v>303686648.04889631</v>
      </c>
      <c r="D138" s="159">
        <v>80813.423934708044</v>
      </c>
      <c r="E138" s="164">
        <v>8223465.6027854336</v>
      </c>
      <c r="F138" s="159">
        <v>0</v>
      </c>
      <c r="I138" s="159">
        <v>98</v>
      </c>
      <c r="J138" s="164">
        <v>303686648.04889631</v>
      </c>
      <c r="K138" s="159">
        <v>80813.423934708044</v>
      </c>
      <c r="L138" s="164">
        <v>8223465.6027854336</v>
      </c>
      <c r="M138" s="159">
        <v>0</v>
      </c>
      <c r="Q138" s="139">
        <v>98</v>
      </c>
      <c r="R138" s="164">
        <f t="shared" si="15"/>
        <v>1016348580.8063338</v>
      </c>
      <c r="S138" s="164">
        <f t="shared" si="16"/>
        <v>-8223465.6027854336</v>
      </c>
      <c r="T138" s="159" t="str">
        <f t="shared" si="17"/>
        <v>TxPost-vaccination</v>
      </c>
      <c r="W138" s="139">
        <v>98</v>
      </c>
      <c r="X138" s="164">
        <f t="shared" si="18"/>
        <v>295463182.4461109</v>
      </c>
      <c r="Y138" s="159">
        <f t="shared" si="18"/>
        <v>80813.423934708044</v>
      </c>
      <c r="AB138" s="160">
        <v>97000</v>
      </c>
      <c r="AC138" s="161">
        <v>1</v>
      </c>
      <c r="AD138" s="161">
        <v>0</v>
      </c>
      <c r="AE138" s="164">
        <v>8920089249.5533562</v>
      </c>
      <c r="AF138" s="164">
        <v>-8392970.8106751181</v>
      </c>
    </row>
    <row r="139" spans="2:32" x14ac:dyDescent="0.25">
      <c r="B139" s="159">
        <v>99</v>
      </c>
      <c r="C139" s="164">
        <v>323487877.68379378</v>
      </c>
      <c r="D139" s="159">
        <v>78249.237467824845</v>
      </c>
      <c r="E139" s="164">
        <v>7137426.2221420528</v>
      </c>
      <c r="F139" s="159">
        <v>0</v>
      </c>
      <c r="I139" s="159">
        <v>99</v>
      </c>
      <c r="J139" s="164">
        <v>323487877.68379378</v>
      </c>
      <c r="K139" s="159">
        <v>78249.237467824845</v>
      </c>
      <c r="L139" s="164">
        <v>7137426.2221420528</v>
      </c>
      <c r="M139" s="159">
        <v>0</v>
      </c>
      <c r="Q139" s="139">
        <v>99</v>
      </c>
      <c r="R139" s="164">
        <f t="shared" si="15"/>
        <v>954663016.80176091</v>
      </c>
      <c r="S139" s="164">
        <f t="shared" si="16"/>
        <v>-7137426.2221420528</v>
      </c>
      <c r="T139" s="159" t="str">
        <f t="shared" si="17"/>
        <v>TxPost-vaccination</v>
      </c>
      <c r="W139" s="139">
        <v>99</v>
      </c>
      <c r="X139" s="164">
        <f t="shared" si="18"/>
        <v>316350451.46165174</v>
      </c>
      <c r="Y139" s="159">
        <f t="shared" si="18"/>
        <v>78249.237467824845</v>
      </c>
      <c r="AB139" s="160">
        <v>98000</v>
      </c>
      <c r="AC139" s="161">
        <v>1</v>
      </c>
      <c r="AD139" s="161">
        <v>0</v>
      </c>
      <c r="AE139" s="164">
        <v>9015266219.1617527</v>
      </c>
      <c r="AF139" s="164">
        <v>-8392970.8106751181</v>
      </c>
    </row>
    <row r="140" spans="2:32" x14ac:dyDescent="0.25">
      <c r="B140" s="159">
        <v>100</v>
      </c>
      <c r="C140" s="164">
        <v>301817491.2077679</v>
      </c>
      <c r="D140" s="159">
        <v>93457.111663752105</v>
      </c>
      <c r="E140" s="164">
        <v>7893844.7499898467</v>
      </c>
      <c r="F140" s="159">
        <v>0</v>
      </c>
      <c r="I140" s="159">
        <v>100</v>
      </c>
      <c r="J140" s="164">
        <v>301817491.2077679</v>
      </c>
      <c r="K140" s="159">
        <v>93457.111663752105</v>
      </c>
      <c r="L140" s="164">
        <v>7893844.7499898467</v>
      </c>
      <c r="M140" s="159">
        <v>0</v>
      </c>
      <c r="Q140" s="139">
        <v>100</v>
      </c>
      <c r="R140" s="164">
        <f t="shared" si="15"/>
        <v>1224744233.0285668</v>
      </c>
      <c r="S140" s="164">
        <f t="shared" si="16"/>
        <v>-7893844.7499898467</v>
      </c>
      <c r="T140" s="159" t="str">
        <f t="shared" si="17"/>
        <v>TxPost-vaccination</v>
      </c>
      <c r="W140" s="139">
        <v>100</v>
      </c>
      <c r="X140" s="164">
        <f t="shared" si="18"/>
        <v>293923646.45777804</v>
      </c>
      <c r="Y140" s="159">
        <f t="shared" si="18"/>
        <v>93457.111663752105</v>
      </c>
      <c r="AB140" s="160">
        <v>99000</v>
      </c>
      <c r="AC140" s="161">
        <v>1</v>
      </c>
      <c r="AD140" s="161">
        <v>0</v>
      </c>
      <c r="AE140" s="164">
        <v>9110443188.7701492</v>
      </c>
      <c r="AF140" s="164">
        <v>-8392970.8106751181</v>
      </c>
    </row>
    <row r="141" spans="2:32" x14ac:dyDescent="0.25">
      <c r="B141" s="159">
        <v>101</v>
      </c>
      <c r="C141" s="164">
        <v>317244143.14112526</v>
      </c>
      <c r="D141" s="159">
        <v>61886.926802893642</v>
      </c>
      <c r="E141" s="164">
        <v>6139125.5677609686</v>
      </c>
      <c r="F141" s="159">
        <v>0</v>
      </c>
      <c r="I141" s="159">
        <v>101</v>
      </c>
      <c r="J141" s="164">
        <v>317244143.14112526</v>
      </c>
      <c r="K141" s="159">
        <v>61886.926802893642</v>
      </c>
      <c r="L141" s="164">
        <v>6139125.5677609686</v>
      </c>
      <c r="M141" s="159">
        <v>0</v>
      </c>
      <c r="Q141" s="139">
        <v>101</v>
      </c>
      <c r="R141" s="164">
        <f t="shared" si="15"/>
        <v>693638945.43345499</v>
      </c>
      <c r="S141" s="164">
        <f t="shared" si="16"/>
        <v>-6139125.5677609686</v>
      </c>
      <c r="T141" s="159" t="str">
        <f t="shared" si="17"/>
        <v>TxPost-vaccination</v>
      </c>
      <c r="W141" s="139">
        <v>101</v>
      </c>
      <c r="X141" s="164">
        <f t="shared" si="18"/>
        <v>311105017.57336432</v>
      </c>
      <c r="Y141" s="159">
        <f t="shared" si="18"/>
        <v>61886.926802893642</v>
      </c>
      <c r="AB141" s="160">
        <v>100000</v>
      </c>
      <c r="AC141" s="161">
        <v>1</v>
      </c>
      <c r="AD141" s="161">
        <v>0</v>
      </c>
      <c r="AE141" s="164">
        <v>9205620158.3785458</v>
      </c>
      <c r="AF141" s="164">
        <v>-8392970.8106751181</v>
      </c>
    </row>
    <row r="142" spans="2:32" x14ac:dyDescent="0.25">
      <c r="B142" s="159">
        <v>102</v>
      </c>
      <c r="C142" s="164">
        <v>308299746.28154945</v>
      </c>
      <c r="D142" s="159">
        <v>113451.59426447704</v>
      </c>
      <c r="E142" s="164">
        <v>9654944.6454102024</v>
      </c>
      <c r="F142" s="159">
        <v>0</v>
      </c>
      <c r="I142" s="159">
        <v>102</v>
      </c>
      <c r="J142" s="164">
        <v>308299746.28154945</v>
      </c>
      <c r="K142" s="159">
        <v>113451.59426447704</v>
      </c>
      <c r="L142" s="164">
        <v>9654944.6454102024</v>
      </c>
      <c r="M142" s="159">
        <v>0</v>
      </c>
      <c r="Q142" s="139">
        <v>102</v>
      </c>
      <c r="R142" s="164">
        <f t="shared" si="15"/>
        <v>1544858972.991328</v>
      </c>
      <c r="S142" s="164">
        <f t="shared" si="16"/>
        <v>-9654944.6454102024</v>
      </c>
      <c r="T142" s="159" t="str">
        <f t="shared" si="17"/>
        <v>TxPost-vaccination</v>
      </c>
      <c r="W142" s="139">
        <v>102</v>
      </c>
      <c r="X142" s="164">
        <f t="shared" si="18"/>
        <v>298644801.63613927</v>
      </c>
      <c r="Y142" s="159">
        <f t="shared" si="18"/>
        <v>113451.59426447704</v>
      </c>
      <c r="AB142" s="160">
        <v>101000</v>
      </c>
      <c r="AC142" s="161">
        <v>1</v>
      </c>
      <c r="AD142" s="161">
        <v>0</v>
      </c>
      <c r="AE142" s="164">
        <v>9300797127.9869442</v>
      </c>
      <c r="AF142" s="164">
        <v>-8392970.8106751181</v>
      </c>
    </row>
    <row r="143" spans="2:32" x14ac:dyDescent="0.25">
      <c r="B143" s="159">
        <v>103</v>
      </c>
      <c r="C143" s="164">
        <v>293468816.95730478</v>
      </c>
      <c r="D143" s="159">
        <v>107355.80534510243</v>
      </c>
      <c r="E143" s="164">
        <v>8093469.3522276832</v>
      </c>
      <c r="F143" s="159">
        <v>0</v>
      </c>
      <c r="I143" s="159">
        <v>103</v>
      </c>
      <c r="J143" s="164">
        <v>293468816.95730478</v>
      </c>
      <c r="K143" s="159">
        <v>107355.80534510243</v>
      </c>
      <c r="L143" s="164">
        <v>8093469.3522276832</v>
      </c>
      <c r="M143" s="159">
        <v>0</v>
      </c>
      <c r="Q143" s="139">
        <v>103</v>
      </c>
      <c r="R143" s="164">
        <f t="shared" si="15"/>
        <v>1460119116.5542738</v>
      </c>
      <c r="S143" s="164">
        <f t="shared" si="16"/>
        <v>-8093469.3522276832</v>
      </c>
      <c r="T143" s="159" t="str">
        <f t="shared" si="17"/>
        <v>TxPost-vaccination</v>
      </c>
      <c r="W143" s="139">
        <v>103</v>
      </c>
      <c r="X143" s="164">
        <f t="shared" si="18"/>
        <v>285375347.60507709</v>
      </c>
      <c r="Y143" s="159">
        <f t="shared" si="18"/>
        <v>107355.80534510243</v>
      </c>
      <c r="AB143" s="160">
        <v>102000</v>
      </c>
      <c r="AC143" s="161">
        <v>1</v>
      </c>
      <c r="AD143" s="161">
        <v>0</v>
      </c>
      <c r="AE143" s="164">
        <v>9395974097.5953407</v>
      </c>
      <c r="AF143" s="164">
        <v>-8392970.8106751181</v>
      </c>
    </row>
    <row r="144" spans="2:32" x14ac:dyDescent="0.25">
      <c r="B144" s="159">
        <v>104</v>
      </c>
      <c r="C144" s="164">
        <v>329574133.19824618</v>
      </c>
      <c r="D144" s="159">
        <v>87003.387621941831</v>
      </c>
      <c r="E144" s="164">
        <v>7201308.4509680104</v>
      </c>
      <c r="F144" s="159">
        <v>0</v>
      </c>
      <c r="I144" s="159">
        <v>104</v>
      </c>
      <c r="J144" s="164">
        <v>329574133.19824618</v>
      </c>
      <c r="K144" s="159">
        <v>87003.387621941831</v>
      </c>
      <c r="L144" s="164">
        <v>7201308.4509680104</v>
      </c>
      <c r="M144" s="159">
        <v>0</v>
      </c>
      <c r="Q144" s="139">
        <v>104</v>
      </c>
      <c r="R144" s="164">
        <f t="shared" si="15"/>
        <v>1091570165.5942361</v>
      </c>
      <c r="S144" s="164">
        <f t="shared" si="16"/>
        <v>-7201308.4509680104</v>
      </c>
      <c r="T144" s="159" t="str">
        <f t="shared" si="17"/>
        <v>TxPost-vaccination</v>
      </c>
      <c r="W144" s="139">
        <v>104</v>
      </c>
      <c r="X144" s="164">
        <f t="shared" si="18"/>
        <v>322372824.74727815</v>
      </c>
      <c r="Y144" s="159">
        <f t="shared" si="18"/>
        <v>87003.387621941831</v>
      </c>
      <c r="AB144" s="160">
        <v>103000</v>
      </c>
      <c r="AC144" s="161">
        <v>1</v>
      </c>
      <c r="AD144" s="161">
        <v>0</v>
      </c>
      <c r="AE144" s="164">
        <v>9491151067.2037373</v>
      </c>
      <c r="AF144" s="164">
        <v>-8392970.8106751181</v>
      </c>
    </row>
    <row r="145" spans="2:32" x14ac:dyDescent="0.25">
      <c r="B145" s="159">
        <v>105</v>
      </c>
      <c r="C145" s="164">
        <v>298266936.61404479</v>
      </c>
      <c r="D145" s="159">
        <v>128017.77127169567</v>
      </c>
      <c r="E145" s="164">
        <v>9994865.9874922559</v>
      </c>
      <c r="F145" s="159">
        <v>0</v>
      </c>
      <c r="I145" s="159">
        <v>105</v>
      </c>
      <c r="J145" s="164">
        <v>298266936.61404479</v>
      </c>
      <c r="K145" s="159">
        <v>128017.77127169567</v>
      </c>
      <c r="L145" s="164">
        <v>9994865.9874922559</v>
      </c>
      <c r="M145" s="159">
        <v>0</v>
      </c>
      <c r="Q145" s="139">
        <v>105</v>
      </c>
      <c r="R145" s="164">
        <f t="shared" si="15"/>
        <v>1792820902.1427999</v>
      </c>
      <c r="S145" s="164">
        <f t="shared" si="16"/>
        <v>-9994865.9874922559</v>
      </c>
      <c r="T145" s="159" t="str">
        <f t="shared" si="17"/>
        <v>TxPost-vaccination</v>
      </c>
      <c r="W145" s="139">
        <v>105</v>
      </c>
      <c r="X145" s="164">
        <f t="shared" si="18"/>
        <v>288272070.62655252</v>
      </c>
      <c r="Y145" s="159">
        <f t="shared" si="18"/>
        <v>128017.77127169567</v>
      </c>
      <c r="AB145" s="160">
        <v>104000</v>
      </c>
      <c r="AC145" s="161">
        <v>1</v>
      </c>
      <c r="AD145" s="161">
        <v>0</v>
      </c>
      <c r="AE145" s="164">
        <v>9586328036.8121338</v>
      </c>
      <c r="AF145" s="164">
        <v>-8392970.8106751181</v>
      </c>
    </row>
    <row r="146" spans="2:32" x14ac:dyDescent="0.25">
      <c r="B146" s="159">
        <v>106</v>
      </c>
      <c r="C146" s="164">
        <v>293786032.52997333</v>
      </c>
      <c r="D146" s="159">
        <v>53359.116459826684</v>
      </c>
      <c r="E146" s="164">
        <v>5623471.4764127126</v>
      </c>
      <c r="F146" s="159">
        <v>0</v>
      </c>
      <c r="I146" s="159">
        <v>106</v>
      </c>
      <c r="J146" s="164">
        <v>293786032.52997333</v>
      </c>
      <c r="K146" s="159">
        <v>53359.116459826684</v>
      </c>
      <c r="L146" s="164">
        <v>5623471.4764127126</v>
      </c>
      <c r="M146" s="159">
        <v>0</v>
      </c>
      <c r="Q146" s="139">
        <v>106</v>
      </c>
      <c r="R146" s="164">
        <f t="shared" si="15"/>
        <v>577800766.76797247</v>
      </c>
      <c r="S146" s="164">
        <f t="shared" si="16"/>
        <v>-5623471.4764127126</v>
      </c>
      <c r="T146" s="159" t="str">
        <f t="shared" si="17"/>
        <v>TxPost-vaccination</v>
      </c>
      <c r="W146" s="139">
        <v>106</v>
      </c>
      <c r="X146" s="164">
        <f t="shared" si="18"/>
        <v>288162561.05356061</v>
      </c>
      <c r="Y146" s="159">
        <f t="shared" si="18"/>
        <v>53359.116459826684</v>
      </c>
      <c r="AB146" s="160">
        <v>105000</v>
      </c>
      <c r="AC146" s="161">
        <v>1</v>
      </c>
      <c r="AD146" s="161">
        <v>0</v>
      </c>
      <c r="AE146" s="164">
        <v>9681505006.4205303</v>
      </c>
      <c r="AF146" s="164">
        <v>-8392970.8106751181</v>
      </c>
    </row>
    <row r="147" spans="2:32" x14ac:dyDescent="0.25">
      <c r="B147" s="159">
        <v>107</v>
      </c>
      <c r="C147" s="164">
        <v>323090650.5757376</v>
      </c>
      <c r="D147" s="159">
        <v>83572.88222098074</v>
      </c>
      <c r="E147" s="164">
        <v>7872637.0216327338</v>
      </c>
      <c r="F147" s="159">
        <v>0</v>
      </c>
      <c r="I147" s="159">
        <v>107</v>
      </c>
      <c r="J147" s="164">
        <v>323090650.5757376</v>
      </c>
      <c r="K147" s="159">
        <v>83572.88222098074</v>
      </c>
      <c r="L147" s="164">
        <v>7872637.0216327338</v>
      </c>
      <c r="M147" s="159">
        <v>0</v>
      </c>
      <c r="Q147" s="139">
        <v>107</v>
      </c>
      <c r="R147" s="164">
        <f t="shared" si="15"/>
        <v>1042018552.0462693</v>
      </c>
      <c r="S147" s="164">
        <f t="shared" si="16"/>
        <v>-7872637.0216327338</v>
      </c>
      <c r="T147" s="159" t="str">
        <f t="shared" si="17"/>
        <v>TxPost-vaccination</v>
      </c>
      <c r="W147" s="139">
        <v>107</v>
      </c>
      <c r="X147" s="164">
        <f t="shared" si="18"/>
        <v>315218013.55410486</v>
      </c>
      <c r="Y147" s="159">
        <f t="shared" si="18"/>
        <v>83572.88222098074</v>
      </c>
      <c r="AB147" s="160">
        <v>106000</v>
      </c>
      <c r="AC147" s="161">
        <v>1</v>
      </c>
      <c r="AD147" s="161">
        <v>0</v>
      </c>
      <c r="AE147" s="164">
        <v>9776681976.0289288</v>
      </c>
      <c r="AF147" s="164">
        <v>-8392970.8106751181</v>
      </c>
    </row>
    <row r="148" spans="2:32" x14ac:dyDescent="0.25">
      <c r="B148" s="159">
        <v>108</v>
      </c>
      <c r="C148" s="164">
        <v>301360165.21197838</v>
      </c>
      <c r="D148" s="159">
        <v>107667.60960583042</v>
      </c>
      <c r="E148" s="164">
        <v>10679162.913648447</v>
      </c>
      <c r="F148" s="159">
        <v>0</v>
      </c>
      <c r="I148" s="159">
        <v>108</v>
      </c>
      <c r="J148" s="164">
        <v>301360165.21197838</v>
      </c>
      <c r="K148" s="159">
        <v>107667.60960583042</v>
      </c>
      <c r="L148" s="164">
        <v>10679162.913648447</v>
      </c>
      <c r="M148" s="159">
        <v>0</v>
      </c>
      <c r="Q148" s="139">
        <v>108</v>
      </c>
      <c r="R148" s="164">
        <f t="shared" si="15"/>
        <v>1457320890.0685856</v>
      </c>
      <c r="S148" s="164">
        <f t="shared" si="16"/>
        <v>-10679162.913648447</v>
      </c>
      <c r="T148" s="159" t="str">
        <f t="shared" si="17"/>
        <v>TxPost-vaccination</v>
      </c>
      <c r="W148" s="139">
        <v>108</v>
      </c>
      <c r="X148" s="164">
        <f t="shared" si="18"/>
        <v>290681002.29832995</v>
      </c>
      <c r="Y148" s="159">
        <f t="shared" si="18"/>
        <v>107667.60960583042</v>
      </c>
      <c r="AB148" s="160">
        <v>107000</v>
      </c>
      <c r="AC148" s="161">
        <v>1</v>
      </c>
      <c r="AD148" s="161">
        <v>0</v>
      </c>
      <c r="AE148" s="164">
        <v>9871858945.6373253</v>
      </c>
      <c r="AF148" s="164">
        <v>-8392970.8106751181</v>
      </c>
    </row>
    <row r="149" spans="2:32" x14ac:dyDescent="0.25">
      <c r="B149" s="159">
        <v>109</v>
      </c>
      <c r="C149" s="164">
        <v>300088663.62497503</v>
      </c>
      <c r="D149" s="159">
        <v>90512.699218779075</v>
      </c>
      <c r="E149" s="164">
        <v>8578985.7324166242</v>
      </c>
      <c r="F149" s="159">
        <v>0</v>
      </c>
      <c r="I149" s="159">
        <v>109</v>
      </c>
      <c r="J149" s="164">
        <v>300088663.62497503</v>
      </c>
      <c r="K149" s="159">
        <v>90512.699218779075</v>
      </c>
      <c r="L149" s="164">
        <v>8578985.7324166242</v>
      </c>
      <c r="M149" s="159">
        <v>0</v>
      </c>
      <c r="Q149" s="139">
        <v>109</v>
      </c>
      <c r="R149" s="164">
        <f t="shared" si="15"/>
        <v>1178377979.7893374</v>
      </c>
      <c r="S149" s="164">
        <f t="shared" si="16"/>
        <v>-8578985.7324166242</v>
      </c>
      <c r="T149" s="159" t="str">
        <f t="shared" si="17"/>
        <v>TxPost-vaccination</v>
      </c>
      <c r="W149" s="139">
        <v>109</v>
      </c>
      <c r="X149" s="164">
        <f t="shared" si="18"/>
        <v>291509677.8925584</v>
      </c>
      <c r="Y149" s="159">
        <f t="shared" si="18"/>
        <v>90512.699218779075</v>
      </c>
      <c r="AB149" s="160">
        <v>108000</v>
      </c>
      <c r="AC149" s="161">
        <v>1</v>
      </c>
      <c r="AD149" s="161">
        <v>0</v>
      </c>
      <c r="AE149" s="164">
        <v>9967035915.2457218</v>
      </c>
      <c r="AF149" s="164">
        <v>-8392970.8106751181</v>
      </c>
    </row>
    <row r="150" spans="2:32" x14ac:dyDescent="0.25">
      <c r="B150" s="159">
        <v>110</v>
      </c>
      <c r="C150" s="164">
        <v>304979282.35709345</v>
      </c>
      <c r="D150" s="159">
        <v>102298.62139684185</v>
      </c>
      <c r="E150" s="164">
        <v>8466773.6301418543</v>
      </c>
      <c r="F150" s="159">
        <v>0</v>
      </c>
      <c r="I150" s="159">
        <v>110</v>
      </c>
      <c r="J150" s="164">
        <v>304979282.35709345</v>
      </c>
      <c r="K150" s="159">
        <v>102298.62139684185</v>
      </c>
      <c r="L150" s="164">
        <v>8466773.6301418543</v>
      </c>
      <c r="M150" s="159">
        <v>0</v>
      </c>
      <c r="Q150" s="139">
        <v>110</v>
      </c>
      <c r="R150" s="164">
        <f t="shared" si="15"/>
        <v>1366002808.6412578</v>
      </c>
      <c r="S150" s="164">
        <f t="shared" si="16"/>
        <v>-8466773.6301418543</v>
      </c>
      <c r="T150" s="159" t="str">
        <f t="shared" si="17"/>
        <v>TxPost-vaccination</v>
      </c>
      <c r="W150" s="139">
        <v>110</v>
      </c>
      <c r="X150" s="164">
        <f t="shared" si="18"/>
        <v>296512508.7269516</v>
      </c>
      <c r="Y150" s="159">
        <f t="shared" si="18"/>
        <v>102298.62139684185</v>
      </c>
      <c r="AB150" s="160">
        <v>109000</v>
      </c>
      <c r="AC150" s="161">
        <v>1</v>
      </c>
      <c r="AD150" s="161">
        <v>0</v>
      </c>
      <c r="AE150" s="164">
        <v>10062212884.854118</v>
      </c>
      <c r="AF150" s="164">
        <v>-8392970.8106751181</v>
      </c>
    </row>
    <row r="151" spans="2:32" x14ac:dyDescent="0.25">
      <c r="B151" s="159">
        <v>111</v>
      </c>
      <c r="C151" s="164">
        <v>289023787.22299016</v>
      </c>
      <c r="D151" s="159">
        <v>81833.18659107</v>
      </c>
      <c r="E151" s="164">
        <v>8398557.0846689474</v>
      </c>
      <c r="F151" s="159">
        <v>0</v>
      </c>
      <c r="I151" s="159">
        <v>111</v>
      </c>
      <c r="J151" s="164">
        <v>289023787.22299016</v>
      </c>
      <c r="K151" s="159">
        <v>81833.18659107</v>
      </c>
      <c r="L151" s="164">
        <v>8398557.0846689474</v>
      </c>
      <c r="M151" s="159">
        <v>0</v>
      </c>
      <c r="Q151" s="139">
        <v>111</v>
      </c>
      <c r="R151" s="164">
        <f t="shared" si="15"/>
        <v>1047668607.8049833</v>
      </c>
      <c r="S151" s="164">
        <f t="shared" si="16"/>
        <v>-8398557.0846689474</v>
      </c>
      <c r="T151" s="159" t="str">
        <f t="shared" si="17"/>
        <v>TxPost-vaccination</v>
      </c>
      <c r="W151" s="139">
        <v>111</v>
      </c>
      <c r="X151" s="164">
        <f t="shared" si="18"/>
        <v>280625230.13832122</v>
      </c>
      <c r="Y151" s="159">
        <f t="shared" si="18"/>
        <v>81833.18659107</v>
      </c>
      <c r="AB151" s="160">
        <v>110000</v>
      </c>
      <c r="AC151" s="161">
        <v>1</v>
      </c>
      <c r="AD151" s="161">
        <v>0</v>
      </c>
      <c r="AE151" s="164">
        <v>10157389854.462515</v>
      </c>
      <c r="AF151" s="164">
        <v>-8392970.8106751181</v>
      </c>
    </row>
    <row r="152" spans="2:32" x14ac:dyDescent="0.25">
      <c r="B152" s="159">
        <v>112</v>
      </c>
      <c r="C152" s="164">
        <v>299285702.85654271</v>
      </c>
      <c r="D152" s="159">
        <v>70373.714431453205</v>
      </c>
      <c r="E152" s="164">
        <v>6493339.2830389515</v>
      </c>
      <c r="F152" s="159">
        <v>0</v>
      </c>
      <c r="I152" s="159">
        <v>112</v>
      </c>
      <c r="J152" s="164">
        <v>299285702.85654271</v>
      </c>
      <c r="K152" s="159">
        <v>70373.714431453205</v>
      </c>
      <c r="L152" s="164">
        <v>6493339.2830389515</v>
      </c>
      <c r="M152" s="159">
        <v>0</v>
      </c>
      <c r="Q152" s="139">
        <v>112</v>
      </c>
      <c r="R152" s="164">
        <f t="shared" si="15"/>
        <v>850223595.37551415</v>
      </c>
      <c r="S152" s="164">
        <f t="shared" si="16"/>
        <v>-6493339.2830389515</v>
      </c>
      <c r="T152" s="159" t="str">
        <f t="shared" si="17"/>
        <v>TxPost-vaccination</v>
      </c>
      <c r="W152" s="139">
        <v>112</v>
      </c>
      <c r="X152" s="164">
        <f t="shared" si="18"/>
        <v>292792363.57350373</v>
      </c>
      <c r="Y152" s="159">
        <f t="shared" si="18"/>
        <v>70373.714431453205</v>
      </c>
      <c r="AB152" s="160">
        <v>111000</v>
      </c>
      <c r="AC152" s="161">
        <v>1</v>
      </c>
      <c r="AD152" s="161">
        <v>0</v>
      </c>
      <c r="AE152" s="164">
        <v>10252566824.070913</v>
      </c>
      <c r="AF152" s="164">
        <v>-8392970.8106751181</v>
      </c>
    </row>
    <row r="153" spans="2:32" x14ac:dyDescent="0.25">
      <c r="B153" s="159">
        <v>113</v>
      </c>
      <c r="C153" s="164">
        <v>296201168.29969513</v>
      </c>
      <c r="D153" s="159">
        <v>88344.452875072617</v>
      </c>
      <c r="E153" s="164">
        <v>7960258.5246503502</v>
      </c>
      <c r="F153" s="159">
        <v>0</v>
      </c>
      <c r="I153" s="159">
        <v>113</v>
      </c>
      <c r="J153" s="164">
        <v>296201168.29969513</v>
      </c>
      <c r="K153" s="159">
        <v>88344.452875072617</v>
      </c>
      <c r="L153" s="164">
        <v>7960258.5246503502</v>
      </c>
      <c r="M153" s="159">
        <v>0</v>
      </c>
      <c r="Q153" s="139">
        <v>113</v>
      </c>
      <c r="R153" s="164">
        <f t="shared" si="15"/>
        <v>1146848567.6359596</v>
      </c>
      <c r="S153" s="164">
        <f t="shared" si="16"/>
        <v>-7960258.5246503502</v>
      </c>
      <c r="T153" s="159" t="str">
        <f t="shared" si="17"/>
        <v>TxPost-vaccination</v>
      </c>
      <c r="W153" s="139">
        <v>113</v>
      </c>
      <c r="X153" s="164">
        <f t="shared" si="18"/>
        <v>288240909.7750448</v>
      </c>
      <c r="Y153" s="159">
        <f t="shared" si="18"/>
        <v>88344.452875072617</v>
      </c>
      <c r="AB153" s="160">
        <v>112000</v>
      </c>
      <c r="AC153" s="161">
        <v>1</v>
      </c>
      <c r="AD153" s="161">
        <v>0</v>
      </c>
      <c r="AE153" s="164">
        <v>10347743793.67931</v>
      </c>
      <c r="AF153" s="164">
        <v>-8392970.8106751181</v>
      </c>
    </row>
    <row r="154" spans="2:32" x14ac:dyDescent="0.25">
      <c r="B154" s="159">
        <v>114</v>
      </c>
      <c r="C154" s="164">
        <v>320016602.99968022</v>
      </c>
      <c r="D154" s="159">
        <v>67018.960598994148</v>
      </c>
      <c r="E154" s="164">
        <v>6465302.8421195773</v>
      </c>
      <c r="F154" s="159">
        <v>0</v>
      </c>
      <c r="I154" s="159">
        <v>114</v>
      </c>
      <c r="J154" s="164">
        <v>320016602.99968022</v>
      </c>
      <c r="K154" s="159">
        <v>67018.960598994148</v>
      </c>
      <c r="L154" s="164">
        <v>6465302.8421195773</v>
      </c>
      <c r="M154" s="159">
        <v>0</v>
      </c>
      <c r="Q154" s="139">
        <v>114</v>
      </c>
      <c r="R154" s="164">
        <f t="shared" si="15"/>
        <v>774694952.14255381</v>
      </c>
      <c r="S154" s="164">
        <f t="shared" si="16"/>
        <v>-6465302.8421195773</v>
      </c>
      <c r="T154" s="159" t="str">
        <f t="shared" si="17"/>
        <v>TxPost-vaccination</v>
      </c>
      <c r="W154" s="139">
        <v>114</v>
      </c>
      <c r="X154" s="164">
        <f t="shared" si="18"/>
        <v>313551300.15756065</v>
      </c>
      <c r="Y154" s="159">
        <f t="shared" si="18"/>
        <v>67018.960598994148</v>
      </c>
      <c r="AB154" s="160">
        <v>113000</v>
      </c>
      <c r="AC154" s="161">
        <v>1</v>
      </c>
      <c r="AD154" s="161">
        <v>0</v>
      </c>
      <c r="AE154" s="164">
        <v>10442920763.287706</v>
      </c>
      <c r="AF154" s="164">
        <v>-8392970.8106751181</v>
      </c>
    </row>
    <row r="155" spans="2:32" x14ac:dyDescent="0.25">
      <c r="B155" s="159">
        <v>115</v>
      </c>
      <c r="C155" s="164">
        <v>321380143.79678994</v>
      </c>
      <c r="D155" s="159">
        <v>91511.337162721466</v>
      </c>
      <c r="E155" s="164">
        <v>7962360.2425557477</v>
      </c>
      <c r="F155" s="159">
        <v>0</v>
      </c>
      <c r="I155" s="159">
        <v>115</v>
      </c>
      <c r="J155" s="164">
        <v>321380143.79678994</v>
      </c>
      <c r="K155" s="159">
        <v>91511.337162721466</v>
      </c>
      <c r="L155" s="164">
        <v>7962360.2425557477</v>
      </c>
      <c r="M155" s="159">
        <v>0</v>
      </c>
      <c r="Q155" s="139">
        <v>115</v>
      </c>
      <c r="R155" s="164">
        <f t="shared" si="15"/>
        <v>1173398607.2191079</v>
      </c>
      <c r="S155" s="164">
        <f t="shared" si="16"/>
        <v>-7962360.2425557477</v>
      </c>
      <c r="T155" s="159" t="str">
        <f t="shared" si="17"/>
        <v>TxPost-vaccination</v>
      </c>
      <c r="W155" s="139">
        <v>115</v>
      </c>
      <c r="X155" s="164">
        <f t="shared" si="18"/>
        <v>313417783.55423421</v>
      </c>
      <c r="Y155" s="159">
        <f t="shared" si="18"/>
        <v>91511.337162721466</v>
      </c>
      <c r="AB155" s="160">
        <v>114000</v>
      </c>
      <c r="AC155" s="161">
        <v>1</v>
      </c>
      <c r="AD155" s="161">
        <v>0</v>
      </c>
      <c r="AE155" s="164">
        <v>10538097732.896103</v>
      </c>
      <c r="AF155" s="164">
        <v>-8392970.8106751181</v>
      </c>
    </row>
    <row r="156" spans="2:32" x14ac:dyDescent="0.25">
      <c r="B156" s="159">
        <v>116</v>
      </c>
      <c r="C156" s="164">
        <v>291775710.64320505</v>
      </c>
      <c r="D156" s="159">
        <v>64731.045995747532</v>
      </c>
      <c r="E156" s="164">
        <v>6614940.2778745992</v>
      </c>
      <c r="F156" s="159">
        <v>0</v>
      </c>
      <c r="I156" s="159">
        <v>116</v>
      </c>
      <c r="J156" s="164">
        <v>291775710.64320505</v>
      </c>
      <c r="K156" s="159">
        <v>64731.045995747532</v>
      </c>
      <c r="L156" s="164">
        <v>6614940.2778745992</v>
      </c>
      <c r="M156" s="159">
        <v>0</v>
      </c>
      <c r="Q156" s="139">
        <v>116</v>
      </c>
      <c r="R156" s="164">
        <f t="shared" si="15"/>
        <v>765564233.07791257</v>
      </c>
      <c r="S156" s="164">
        <f t="shared" si="16"/>
        <v>-6614940.2778745992</v>
      </c>
      <c r="T156" s="159" t="str">
        <f t="shared" si="17"/>
        <v>TxPost-vaccination</v>
      </c>
      <c r="W156" s="139">
        <v>116</v>
      </c>
      <c r="X156" s="164">
        <f t="shared" si="18"/>
        <v>285160770.36533046</v>
      </c>
      <c r="Y156" s="159">
        <f t="shared" si="18"/>
        <v>64731.045995747532</v>
      </c>
      <c r="AB156" s="160">
        <v>115000</v>
      </c>
      <c r="AC156" s="161">
        <v>1</v>
      </c>
      <c r="AD156" s="161">
        <v>0</v>
      </c>
      <c r="AE156" s="164">
        <v>10633274702.504499</v>
      </c>
      <c r="AF156" s="164">
        <v>-8392970.8106751181</v>
      </c>
    </row>
    <row r="157" spans="2:32" x14ac:dyDescent="0.25">
      <c r="B157" s="159">
        <v>117</v>
      </c>
      <c r="C157" s="164">
        <v>292666957.06868041</v>
      </c>
      <c r="D157" s="159">
        <v>74682.878325059573</v>
      </c>
      <c r="E157" s="164">
        <v>5755373.1528465878</v>
      </c>
      <c r="F157" s="159">
        <v>0</v>
      </c>
      <c r="I157" s="159">
        <v>117</v>
      </c>
      <c r="J157" s="164">
        <v>292666957.06868041</v>
      </c>
      <c r="K157" s="159">
        <v>74682.878325059573</v>
      </c>
      <c r="L157" s="164">
        <v>5755373.1528465878</v>
      </c>
      <c r="M157" s="159">
        <v>0</v>
      </c>
      <c r="Q157" s="139">
        <v>117</v>
      </c>
      <c r="R157" s="164">
        <f t="shared" si="15"/>
        <v>927229757.87606394</v>
      </c>
      <c r="S157" s="164">
        <f t="shared" si="16"/>
        <v>-5755373.1528465878</v>
      </c>
      <c r="T157" s="159" t="str">
        <f t="shared" si="17"/>
        <v>TxPost-vaccination</v>
      </c>
      <c r="W157" s="139">
        <v>117</v>
      </c>
      <c r="X157" s="164">
        <f t="shared" si="18"/>
        <v>286911583.91583383</v>
      </c>
      <c r="Y157" s="159">
        <f t="shared" si="18"/>
        <v>74682.878325059573</v>
      </c>
      <c r="AB157" s="160">
        <v>116000</v>
      </c>
      <c r="AC157" s="161">
        <v>1</v>
      </c>
      <c r="AD157" s="161">
        <v>0</v>
      </c>
      <c r="AE157" s="164">
        <v>10728451672.112898</v>
      </c>
      <c r="AF157" s="164">
        <v>-8392970.8106751181</v>
      </c>
    </row>
    <row r="158" spans="2:32" x14ac:dyDescent="0.25">
      <c r="B158" s="159">
        <v>118</v>
      </c>
      <c r="C158" s="164">
        <v>334805937.71911603</v>
      </c>
      <c r="D158" s="159">
        <v>94850.803555465958</v>
      </c>
      <c r="E158" s="164">
        <v>8614827.8307307195</v>
      </c>
      <c r="F158" s="159">
        <v>0</v>
      </c>
      <c r="I158" s="159">
        <v>118</v>
      </c>
      <c r="J158" s="164">
        <v>334805937.71911603</v>
      </c>
      <c r="K158" s="159">
        <v>94850.803555465958</v>
      </c>
      <c r="L158" s="164">
        <v>8614827.8307307195</v>
      </c>
      <c r="M158" s="159">
        <v>0</v>
      </c>
      <c r="Q158" s="139">
        <v>118</v>
      </c>
      <c r="R158" s="164">
        <f t="shared" si="15"/>
        <v>1214520845.905354</v>
      </c>
      <c r="S158" s="164">
        <f t="shared" si="16"/>
        <v>-8614827.8307307195</v>
      </c>
      <c r="T158" s="159" t="str">
        <f t="shared" si="17"/>
        <v>TxPost-vaccination</v>
      </c>
      <c r="W158" s="139">
        <v>118</v>
      </c>
      <c r="X158" s="164">
        <f t="shared" si="18"/>
        <v>326191109.8883853</v>
      </c>
      <c r="Y158" s="159">
        <f t="shared" si="18"/>
        <v>94850.803555465958</v>
      </c>
      <c r="AB158" s="160">
        <v>117000</v>
      </c>
      <c r="AC158" s="161">
        <v>1</v>
      </c>
      <c r="AD158" s="161">
        <v>0</v>
      </c>
      <c r="AE158" s="164">
        <v>10823628641.721294</v>
      </c>
      <c r="AF158" s="164">
        <v>-8392970.8106751181</v>
      </c>
    </row>
    <row r="159" spans="2:32" x14ac:dyDescent="0.25">
      <c r="B159" s="159">
        <v>119</v>
      </c>
      <c r="C159" s="164">
        <v>287841657.72704571</v>
      </c>
      <c r="D159" s="159">
        <v>114964.00861319629</v>
      </c>
      <c r="E159" s="164">
        <v>8549715.5466635581</v>
      </c>
      <c r="F159" s="159">
        <v>0</v>
      </c>
      <c r="I159" s="159">
        <v>119</v>
      </c>
      <c r="J159" s="164">
        <v>287841657.72704571</v>
      </c>
      <c r="K159" s="159">
        <v>114964.00861319629</v>
      </c>
      <c r="L159" s="164">
        <v>8549715.5466635581</v>
      </c>
      <c r="M159" s="159">
        <v>0</v>
      </c>
      <c r="Q159" s="139">
        <v>119</v>
      </c>
      <c r="R159" s="164">
        <f t="shared" si="15"/>
        <v>1590021375.8012028</v>
      </c>
      <c r="S159" s="164">
        <f t="shared" si="16"/>
        <v>-8549715.5466635581</v>
      </c>
      <c r="T159" s="159" t="str">
        <f t="shared" si="17"/>
        <v>TxPost-vaccination</v>
      </c>
      <c r="W159" s="139">
        <v>119</v>
      </c>
      <c r="X159" s="164">
        <f t="shared" si="18"/>
        <v>279291942.18038213</v>
      </c>
      <c r="Y159" s="159">
        <f t="shared" si="18"/>
        <v>114964.00861319629</v>
      </c>
      <c r="AB159" s="160">
        <v>118000</v>
      </c>
      <c r="AC159" s="161">
        <v>1</v>
      </c>
      <c r="AD159" s="161">
        <v>0</v>
      </c>
      <c r="AE159" s="164">
        <v>10918805611.329691</v>
      </c>
      <c r="AF159" s="164">
        <v>-8392970.8106751181</v>
      </c>
    </row>
    <row r="160" spans="2:32" x14ac:dyDescent="0.25">
      <c r="B160" s="159">
        <v>120</v>
      </c>
      <c r="C160" s="164">
        <v>305880571.76134259</v>
      </c>
      <c r="D160" s="159">
        <v>64003.881323965921</v>
      </c>
      <c r="E160" s="164">
        <v>6979857.203716794</v>
      </c>
      <c r="F160" s="159">
        <v>0</v>
      </c>
      <c r="I160" s="159">
        <v>120</v>
      </c>
      <c r="J160" s="164">
        <v>305880571.76134259</v>
      </c>
      <c r="K160" s="159">
        <v>64003.881323965921</v>
      </c>
      <c r="L160" s="164">
        <v>6979857.203716794</v>
      </c>
      <c r="M160" s="159">
        <v>0</v>
      </c>
      <c r="Q160" s="139">
        <v>120</v>
      </c>
      <c r="R160" s="164">
        <f t="shared" si="15"/>
        <v>739581605.40571594</v>
      </c>
      <c r="S160" s="164">
        <f t="shared" si="16"/>
        <v>-6979857.203716794</v>
      </c>
      <c r="T160" s="159" t="str">
        <f t="shared" si="17"/>
        <v>TxPost-vaccination</v>
      </c>
      <c r="W160" s="139">
        <v>120</v>
      </c>
      <c r="X160" s="164">
        <f t="shared" si="18"/>
        <v>298900714.55762577</v>
      </c>
      <c r="Y160" s="159">
        <f t="shared" si="18"/>
        <v>64003.881323965921</v>
      </c>
      <c r="AB160" s="160">
        <v>119000</v>
      </c>
      <c r="AC160" s="161">
        <v>1</v>
      </c>
      <c r="AD160" s="161">
        <v>0</v>
      </c>
      <c r="AE160" s="164">
        <v>11013982580.938087</v>
      </c>
      <c r="AF160" s="164">
        <v>-8392970.8106751181</v>
      </c>
    </row>
    <row r="161" spans="2:32" x14ac:dyDescent="0.25">
      <c r="B161" s="159">
        <v>121</v>
      </c>
      <c r="C161" s="164">
        <v>323943978.03064752</v>
      </c>
      <c r="D161" s="159">
        <v>101005.18323988664</v>
      </c>
      <c r="E161" s="164">
        <v>10047793.56352113</v>
      </c>
      <c r="F161" s="159">
        <v>0</v>
      </c>
      <c r="I161" s="159">
        <v>121</v>
      </c>
      <c r="J161" s="164">
        <v>323943978.03064752</v>
      </c>
      <c r="K161" s="159">
        <v>101005.18323988664</v>
      </c>
      <c r="L161" s="164">
        <v>10047793.56352113</v>
      </c>
      <c r="M161" s="159">
        <v>0</v>
      </c>
      <c r="Q161" s="139">
        <v>121</v>
      </c>
      <c r="R161" s="164">
        <f t="shared" si="15"/>
        <v>1325910633.7644231</v>
      </c>
      <c r="S161" s="164">
        <f t="shared" si="16"/>
        <v>-10047793.56352113</v>
      </c>
      <c r="T161" s="159" t="str">
        <f t="shared" si="17"/>
        <v>TxPost-vaccination</v>
      </c>
      <c r="W161" s="139">
        <v>121</v>
      </c>
      <c r="X161" s="164">
        <f t="shared" si="18"/>
        <v>313896184.46712637</v>
      </c>
      <c r="Y161" s="159">
        <f t="shared" si="18"/>
        <v>101005.18323988664</v>
      </c>
      <c r="AB161" s="160">
        <v>120000</v>
      </c>
      <c r="AC161" s="161">
        <v>1</v>
      </c>
      <c r="AD161" s="161">
        <v>0</v>
      </c>
      <c r="AE161" s="164">
        <v>11109159550.546484</v>
      </c>
      <c r="AF161" s="164">
        <v>-8392970.8106751181</v>
      </c>
    </row>
    <row r="162" spans="2:32" x14ac:dyDescent="0.25">
      <c r="B162" s="159">
        <v>122</v>
      </c>
      <c r="C162" s="164">
        <v>285206723.98075676</v>
      </c>
      <c r="D162" s="159">
        <v>76291.402397653699</v>
      </c>
      <c r="E162" s="164">
        <v>7527139.5080679161</v>
      </c>
      <c r="F162" s="159">
        <v>0</v>
      </c>
      <c r="I162" s="159">
        <v>122</v>
      </c>
      <c r="J162" s="164">
        <v>285206723.98075676</v>
      </c>
      <c r="K162" s="159">
        <v>76291.402397653699</v>
      </c>
      <c r="L162" s="164">
        <v>7527139.5080679161</v>
      </c>
      <c r="M162" s="159">
        <v>0</v>
      </c>
      <c r="Q162" s="139">
        <v>122</v>
      </c>
      <c r="R162" s="164">
        <f t="shared" si="15"/>
        <v>960964195.65554261</v>
      </c>
      <c r="S162" s="164">
        <f t="shared" si="16"/>
        <v>-7527139.5080679161</v>
      </c>
      <c r="T162" s="159" t="str">
        <f t="shared" si="17"/>
        <v>TxPost-vaccination</v>
      </c>
      <c r="W162" s="139">
        <v>122</v>
      </c>
      <c r="X162" s="164">
        <f t="shared" si="18"/>
        <v>277679584.47268885</v>
      </c>
      <c r="Y162" s="159">
        <f t="shared" si="18"/>
        <v>76291.402397653699</v>
      </c>
      <c r="AB162" s="160">
        <v>121000</v>
      </c>
      <c r="AC162" s="161">
        <v>1</v>
      </c>
      <c r="AD162" s="161">
        <v>0</v>
      </c>
      <c r="AE162" s="164">
        <v>11204336520.154882</v>
      </c>
      <c r="AF162" s="164">
        <v>-8392970.8106751181</v>
      </c>
    </row>
    <row r="163" spans="2:32" x14ac:dyDescent="0.25">
      <c r="B163" s="159">
        <v>123</v>
      </c>
      <c r="C163" s="164">
        <v>315642088.51039606</v>
      </c>
      <c r="D163" s="159">
        <v>104645.47576671708</v>
      </c>
      <c r="E163" s="164">
        <v>9982065.510148121</v>
      </c>
      <c r="F163" s="159">
        <v>0</v>
      </c>
      <c r="I163" s="159">
        <v>123</v>
      </c>
      <c r="J163" s="164">
        <v>315642088.51039606</v>
      </c>
      <c r="K163" s="159">
        <v>104645.47576671708</v>
      </c>
      <c r="L163" s="164">
        <v>9982065.510148121</v>
      </c>
      <c r="M163" s="159">
        <v>0</v>
      </c>
      <c r="Q163" s="139">
        <v>123</v>
      </c>
      <c r="R163" s="164">
        <f t="shared" si="15"/>
        <v>1393674357.0344362</v>
      </c>
      <c r="S163" s="164">
        <f t="shared" si="16"/>
        <v>-9982065.510148121</v>
      </c>
      <c r="T163" s="159" t="str">
        <f t="shared" si="17"/>
        <v>TxPost-vaccination</v>
      </c>
      <c r="W163" s="139">
        <v>123</v>
      </c>
      <c r="X163" s="164">
        <f t="shared" si="18"/>
        <v>305660023.00024796</v>
      </c>
      <c r="Y163" s="159">
        <f t="shared" si="18"/>
        <v>104645.47576671708</v>
      </c>
      <c r="AB163" s="160">
        <v>122000</v>
      </c>
      <c r="AC163" s="161">
        <v>1</v>
      </c>
      <c r="AD163" s="161">
        <v>0</v>
      </c>
      <c r="AE163" s="164">
        <v>11299513489.763279</v>
      </c>
      <c r="AF163" s="164">
        <v>-8392970.8106751181</v>
      </c>
    </row>
    <row r="164" spans="2:32" x14ac:dyDescent="0.25">
      <c r="B164" s="159">
        <v>124</v>
      </c>
      <c r="C164" s="164">
        <v>301493981.6577096</v>
      </c>
      <c r="D164" s="159">
        <v>68353.767611906092</v>
      </c>
      <c r="E164" s="164">
        <v>8907451.917973699</v>
      </c>
      <c r="F164" s="159">
        <v>0</v>
      </c>
      <c r="I164" s="159">
        <v>124</v>
      </c>
      <c r="J164" s="164">
        <v>301493981.6577096</v>
      </c>
      <c r="K164" s="159">
        <v>68353.767611906092</v>
      </c>
      <c r="L164" s="164">
        <v>8907451.917973699</v>
      </c>
      <c r="M164" s="159">
        <v>0</v>
      </c>
      <c r="Q164" s="139">
        <v>124</v>
      </c>
      <c r="R164" s="164">
        <f t="shared" si="15"/>
        <v>815020786.30459213</v>
      </c>
      <c r="S164" s="164">
        <f t="shared" si="16"/>
        <v>-8907451.917973699</v>
      </c>
      <c r="T164" s="159" t="str">
        <f t="shared" si="17"/>
        <v>TxPost-vaccination</v>
      </c>
      <c r="W164" s="139">
        <v>124</v>
      </c>
      <c r="X164" s="164">
        <f t="shared" si="18"/>
        <v>292586529.7397359</v>
      </c>
      <c r="Y164" s="159">
        <f t="shared" si="18"/>
        <v>68353.767611906092</v>
      </c>
      <c r="AB164" s="160">
        <v>123000</v>
      </c>
      <c r="AC164" s="161">
        <v>1</v>
      </c>
      <c r="AD164" s="161">
        <v>0</v>
      </c>
      <c r="AE164" s="164">
        <v>11394690459.371675</v>
      </c>
      <c r="AF164" s="164">
        <v>-8392970.8106751181</v>
      </c>
    </row>
    <row r="165" spans="2:32" x14ac:dyDescent="0.25">
      <c r="B165" s="159">
        <v>125</v>
      </c>
      <c r="C165" s="164">
        <v>306701861.95175862</v>
      </c>
      <c r="D165" s="159">
        <v>88682.364946499307</v>
      </c>
      <c r="E165" s="164">
        <v>6797295.9743566988</v>
      </c>
      <c r="F165" s="159">
        <v>0</v>
      </c>
      <c r="I165" s="159">
        <v>125</v>
      </c>
      <c r="J165" s="164">
        <v>306701861.95175862</v>
      </c>
      <c r="K165" s="159">
        <v>88682.364946499307</v>
      </c>
      <c r="L165" s="164">
        <v>6797295.9743566988</v>
      </c>
      <c r="M165" s="159">
        <v>0</v>
      </c>
      <c r="Q165" s="139">
        <v>125</v>
      </c>
      <c r="R165" s="164">
        <f t="shared" si="15"/>
        <v>1141867450.0248652</v>
      </c>
      <c r="S165" s="164">
        <f t="shared" si="16"/>
        <v>-6797295.9743566988</v>
      </c>
      <c r="T165" s="159" t="str">
        <f t="shared" si="17"/>
        <v>TxPost-vaccination</v>
      </c>
      <c r="W165" s="139">
        <v>125</v>
      </c>
      <c r="X165" s="164">
        <f t="shared" si="18"/>
        <v>299904565.97740191</v>
      </c>
      <c r="Y165" s="159">
        <f t="shared" si="18"/>
        <v>88682.364946499307</v>
      </c>
      <c r="AB165" s="160">
        <v>124000</v>
      </c>
      <c r="AC165" s="161">
        <v>1</v>
      </c>
      <c r="AD165" s="161">
        <v>0</v>
      </c>
      <c r="AE165" s="164">
        <v>11489867428.980072</v>
      </c>
      <c r="AF165" s="164">
        <v>-8392970.8106751181</v>
      </c>
    </row>
    <row r="166" spans="2:32" x14ac:dyDescent="0.25">
      <c r="B166" s="159">
        <v>126</v>
      </c>
      <c r="C166" s="164">
        <v>350347795.57178468</v>
      </c>
      <c r="D166" s="159">
        <v>138377.94296332609</v>
      </c>
      <c r="E166" s="164">
        <v>11050173.921766238</v>
      </c>
      <c r="F166" s="159">
        <v>0</v>
      </c>
      <c r="I166" s="159">
        <v>126</v>
      </c>
      <c r="J166" s="164">
        <v>350347795.57178468</v>
      </c>
      <c r="K166" s="159">
        <v>138377.94296332609</v>
      </c>
      <c r="L166" s="164">
        <v>11050173.921766238</v>
      </c>
      <c r="M166" s="159">
        <v>0</v>
      </c>
      <c r="Q166" s="139">
        <v>126</v>
      </c>
      <c r="R166" s="164">
        <f t="shared" si="15"/>
        <v>1909966774.8848574</v>
      </c>
      <c r="S166" s="164">
        <f t="shared" si="16"/>
        <v>-11050173.921766238</v>
      </c>
      <c r="T166" s="159" t="str">
        <f t="shared" si="17"/>
        <v>TxPost-vaccination</v>
      </c>
      <c r="W166" s="139">
        <v>126</v>
      </c>
      <c r="X166" s="164">
        <f t="shared" si="18"/>
        <v>339297621.65001845</v>
      </c>
      <c r="Y166" s="159">
        <f t="shared" si="18"/>
        <v>138377.94296332609</v>
      </c>
      <c r="AB166" s="160">
        <v>125000</v>
      </c>
      <c r="AC166" s="161">
        <v>1</v>
      </c>
      <c r="AD166" s="161">
        <v>0</v>
      </c>
      <c r="AE166" s="164">
        <v>11585044398.588469</v>
      </c>
      <c r="AF166" s="164">
        <v>-8392970.8106751181</v>
      </c>
    </row>
    <row r="167" spans="2:32" x14ac:dyDescent="0.25">
      <c r="B167" s="159">
        <v>127</v>
      </c>
      <c r="C167" s="164">
        <v>349285769.32715046</v>
      </c>
      <c r="D167" s="159">
        <v>90895.253752571414</v>
      </c>
      <c r="E167" s="164">
        <v>9172432.5521046109</v>
      </c>
      <c r="F167" s="159">
        <v>0</v>
      </c>
      <c r="I167" s="159">
        <v>127</v>
      </c>
      <c r="J167" s="164">
        <v>349285769.32715046</v>
      </c>
      <c r="K167" s="159">
        <v>90895.253752571414</v>
      </c>
      <c r="L167" s="164">
        <v>9172432.5521046109</v>
      </c>
      <c r="M167" s="159">
        <v>0</v>
      </c>
      <c r="Q167" s="139">
        <v>127</v>
      </c>
      <c r="R167" s="164">
        <f t="shared" si="15"/>
        <v>1135429655.9971099</v>
      </c>
      <c r="S167" s="164">
        <f t="shared" si="16"/>
        <v>-9172432.5521046109</v>
      </c>
      <c r="T167" s="159" t="str">
        <f t="shared" si="17"/>
        <v>TxPost-vaccination</v>
      </c>
      <c r="W167" s="139">
        <v>127</v>
      </c>
      <c r="X167" s="164">
        <f t="shared" si="18"/>
        <v>340113336.77504587</v>
      </c>
      <c r="Y167" s="159">
        <f t="shared" si="18"/>
        <v>90895.253752571414</v>
      </c>
      <c r="AB167" s="160">
        <v>126000</v>
      </c>
      <c r="AC167" s="161">
        <v>1</v>
      </c>
      <c r="AD167" s="161">
        <v>0</v>
      </c>
      <c r="AE167" s="164">
        <v>11680221368.196867</v>
      </c>
      <c r="AF167" s="164">
        <v>-8392970.8106751181</v>
      </c>
    </row>
    <row r="168" spans="2:32" x14ac:dyDescent="0.25">
      <c r="B168" s="159">
        <v>128</v>
      </c>
      <c r="C168" s="164">
        <v>309820688.34786779</v>
      </c>
      <c r="D168" s="159">
        <v>70614.958857305901</v>
      </c>
      <c r="E168" s="164">
        <v>7877236.6307798931</v>
      </c>
      <c r="F168" s="159">
        <v>0</v>
      </c>
      <c r="I168" s="159">
        <v>128</v>
      </c>
      <c r="J168" s="164">
        <v>309820688.34786779</v>
      </c>
      <c r="K168" s="159">
        <v>70614.958857305901</v>
      </c>
      <c r="L168" s="164">
        <v>7877236.6307798931</v>
      </c>
      <c r="M168" s="159">
        <v>0</v>
      </c>
      <c r="Q168" s="139">
        <v>128</v>
      </c>
      <c r="R168" s="164">
        <f t="shared" si="15"/>
        <v>843629182.19737053</v>
      </c>
      <c r="S168" s="164">
        <f t="shared" si="16"/>
        <v>-7877236.6307798931</v>
      </c>
      <c r="T168" s="159" t="str">
        <f t="shared" si="17"/>
        <v>TxPost-vaccination</v>
      </c>
      <c r="W168" s="139">
        <v>128</v>
      </c>
      <c r="X168" s="164">
        <f t="shared" si="18"/>
        <v>301943451.71708786</v>
      </c>
      <c r="Y168" s="159">
        <f t="shared" si="18"/>
        <v>70614.958857305901</v>
      </c>
      <c r="AB168" s="160">
        <v>127000</v>
      </c>
      <c r="AC168" s="161">
        <v>1</v>
      </c>
      <c r="AD168" s="161">
        <v>0</v>
      </c>
      <c r="AE168" s="164">
        <v>11775398337.805264</v>
      </c>
      <c r="AF168" s="164">
        <v>-8392970.8106751181</v>
      </c>
    </row>
    <row r="169" spans="2:32" x14ac:dyDescent="0.25">
      <c r="B169" s="159">
        <v>129</v>
      </c>
      <c r="C169" s="164">
        <v>331166365.80078638</v>
      </c>
      <c r="D169" s="159">
        <v>62569.464513040228</v>
      </c>
      <c r="E169" s="164">
        <v>6350044.0939257992</v>
      </c>
      <c r="F169" s="159">
        <v>0</v>
      </c>
      <c r="I169" s="159">
        <v>129</v>
      </c>
      <c r="J169" s="164">
        <v>331166365.80078638</v>
      </c>
      <c r="K169" s="159">
        <v>62569.464513040228</v>
      </c>
      <c r="L169" s="164">
        <v>6350044.0939257992</v>
      </c>
      <c r="M169" s="159">
        <v>0</v>
      </c>
      <c r="Q169" s="139">
        <v>129</v>
      </c>
      <c r="R169" s="164">
        <f t="shared" ref="R169:R232" si="19">K169*threshold-J169</f>
        <v>690865536.65332472</v>
      </c>
      <c r="S169" s="164">
        <f t="shared" ref="S169:S232" si="20">M169*threshold-L169</f>
        <v>-6350044.0939257992</v>
      </c>
      <c r="T169" s="159" t="str">
        <f t="shared" si="17"/>
        <v>TxPost-vaccination</v>
      </c>
      <c r="W169" s="139">
        <v>129</v>
      </c>
      <c r="X169" s="164">
        <f t="shared" si="18"/>
        <v>324816321.7068606</v>
      </c>
      <c r="Y169" s="159">
        <f t="shared" si="18"/>
        <v>62569.464513040228</v>
      </c>
      <c r="AB169" s="160">
        <v>128000</v>
      </c>
      <c r="AC169" s="161">
        <v>1</v>
      </c>
      <c r="AD169" s="161">
        <v>0</v>
      </c>
      <c r="AE169" s="164">
        <v>11870575307.41366</v>
      </c>
      <c r="AF169" s="164">
        <v>-8392970.8106751181</v>
      </c>
    </row>
    <row r="170" spans="2:32" x14ac:dyDescent="0.25">
      <c r="B170" s="159">
        <v>130</v>
      </c>
      <c r="C170" s="164">
        <v>273459854.24599653</v>
      </c>
      <c r="D170" s="159">
        <v>79434.652141451952</v>
      </c>
      <c r="E170" s="164">
        <v>6968900.3436488127</v>
      </c>
      <c r="F170" s="159">
        <v>0</v>
      </c>
      <c r="I170" s="159">
        <v>130</v>
      </c>
      <c r="J170" s="164">
        <v>273459854.24599653</v>
      </c>
      <c r="K170" s="159">
        <v>79434.652141451952</v>
      </c>
      <c r="L170" s="164">
        <v>6968900.3436488127</v>
      </c>
      <c r="M170" s="159">
        <v>0</v>
      </c>
      <c r="Q170" s="139">
        <v>130</v>
      </c>
      <c r="R170" s="164">
        <f t="shared" si="19"/>
        <v>1024054025.4195197</v>
      </c>
      <c r="S170" s="164">
        <f t="shared" si="20"/>
        <v>-6968900.3436488127</v>
      </c>
      <c r="T170" s="159" t="str">
        <f t="shared" ref="T170:T233" si="21">IF(R170&gt;S170,"TxPost-vaccination",IF(S170&gt;R170,"TxPre-vaccination","either"))</f>
        <v>TxPost-vaccination</v>
      </c>
      <c r="W170" s="139">
        <v>130</v>
      </c>
      <c r="X170" s="164">
        <f t="shared" ref="X170:Y233" si="22">J170-L170</f>
        <v>266490953.90234771</v>
      </c>
      <c r="Y170" s="159">
        <f t="shared" si="22"/>
        <v>79434.652141451952</v>
      </c>
      <c r="AB170" s="160">
        <v>129000</v>
      </c>
      <c r="AC170" s="161">
        <v>1</v>
      </c>
      <c r="AD170" s="161">
        <v>0</v>
      </c>
      <c r="AE170" s="164">
        <v>11965752277.022057</v>
      </c>
      <c r="AF170" s="164">
        <v>-8392970.8106751181</v>
      </c>
    </row>
    <row r="171" spans="2:32" x14ac:dyDescent="0.25">
      <c r="B171" s="159">
        <v>131</v>
      </c>
      <c r="C171" s="164">
        <v>310679219.38808692</v>
      </c>
      <c r="D171" s="159">
        <v>74092.57350506958</v>
      </c>
      <c r="E171" s="164">
        <v>5624623.4796599951</v>
      </c>
      <c r="F171" s="159">
        <v>0</v>
      </c>
      <c r="I171" s="159">
        <v>131</v>
      </c>
      <c r="J171" s="164">
        <v>310679219.38808692</v>
      </c>
      <c r="K171" s="159">
        <v>74092.57350506958</v>
      </c>
      <c r="L171" s="164">
        <v>5624623.4796599951</v>
      </c>
      <c r="M171" s="159">
        <v>0</v>
      </c>
      <c r="Q171" s="139">
        <v>131</v>
      </c>
      <c r="R171" s="164">
        <f t="shared" si="19"/>
        <v>899575246.53155243</v>
      </c>
      <c r="S171" s="164">
        <f t="shared" si="20"/>
        <v>-5624623.4796599951</v>
      </c>
      <c r="T171" s="159" t="str">
        <f t="shared" si="21"/>
        <v>TxPost-vaccination</v>
      </c>
      <c r="W171" s="139">
        <v>131</v>
      </c>
      <c r="X171" s="164">
        <f t="shared" si="22"/>
        <v>305054595.90842694</v>
      </c>
      <c r="Y171" s="159">
        <f t="shared" si="22"/>
        <v>74092.57350506958</v>
      </c>
      <c r="AB171" s="160">
        <v>130000</v>
      </c>
      <c r="AC171" s="161">
        <v>1</v>
      </c>
      <c r="AD171" s="161">
        <v>0</v>
      </c>
      <c r="AE171" s="164">
        <v>12060929246.630453</v>
      </c>
      <c r="AF171" s="164">
        <v>-8392970.8106751181</v>
      </c>
    </row>
    <row r="172" spans="2:32" x14ac:dyDescent="0.25">
      <c r="B172" s="159">
        <v>132</v>
      </c>
      <c r="C172" s="164">
        <v>318656711.13727713</v>
      </c>
      <c r="D172" s="159">
        <v>108551.3654915494</v>
      </c>
      <c r="E172" s="164">
        <v>8388053.5751106953</v>
      </c>
      <c r="F172" s="159">
        <v>0</v>
      </c>
      <c r="I172" s="159">
        <v>132</v>
      </c>
      <c r="J172" s="164">
        <v>318656711.13727713</v>
      </c>
      <c r="K172" s="159">
        <v>108551.3654915494</v>
      </c>
      <c r="L172" s="164">
        <v>8388053.5751106953</v>
      </c>
      <c r="M172" s="159">
        <v>0</v>
      </c>
      <c r="Q172" s="139">
        <v>132</v>
      </c>
      <c r="R172" s="164">
        <f t="shared" si="19"/>
        <v>1454459927.3181779</v>
      </c>
      <c r="S172" s="164">
        <f t="shared" si="20"/>
        <v>-8388053.5751106953</v>
      </c>
      <c r="T172" s="159" t="str">
        <f t="shared" si="21"/>
        <v>TxPost-vaccination</v>
      </c>
      <c r="W172" s="139">
        <v>132</v>
      </c>
      <c r="X172" s="164">
        <f t="shared" si="22"/>
        <v>310268657.56216645</v>
      </c>
      <c r="Y172" s="159">
        <f t="shared" si="22"/>
        <v>108551.3654915494</v>
      </c>
      <c r="AB172" s="160">
        <v>131000</v>
      </c>
      <c r="AC172" s="161">
        <v>1</v>
      </c>
      <c r="AD172" s="161">
        <v>0</v>
      </c>
      <c r="AE172" s="164">
        <v>12156106216.238852</v>
      </c>
      <c r="AF172" s="164">
        <v>-8392970.8106751181</v>
      </c>
    </row>
    <row r="173" spans="2:32" x14ac:dyDescent="0.25">
      <c r="B173" s="159">
        <v>133</v>
      </c>
      <c r="C173" s="164">
        <v>289643853.52609491</v>
      </c>
      <c r="D173" s="159">
        <v>78039.111279645076</v>
      </c>
      <c r="E173" s="164">
        <v>9317491.7265291717</v>
      </c>
      <c r="F173" s="159">
        <v>0</v>
      </c>
      <c r="I173" s="159">
        <v>133</v>
      </c>
      <c r="J173" s="164">
        <v>289643853.52609491</v>
      </c>
      <c r="K173" s="159">
        <v>78039.111279645076</v>
      </c>
      <c r="L173" s="164">
        <v>9317491.7265291717</v>
      </c>
      <c r="M173" s="159">
        <v>0</v>
      </c>
      <c r="Q173" s="139">
        <v>133</v>
      </c>
      <c r="R173" s="164">
        <f t="shared" si="19"/>
        <v>985074765.01571965</v>
      </c>
      <c r="S173" s="164">
        <f t="shared" si="20"/>
        <v>-9317491.7265291717</v>
      </c>
      <c r="T173" s="159" t="str">
        <f t="shared" si="21"/>
        <v>TxPost-vaccination</v>
      </c>
      <c r="W173" s="139">
        <v>133</v>
      </c>
      <c r="X173" s="164">
        <f t="shared" si="22"/>
        <v>280326361.79956573</v>
      </c>
      <c r="Y173" s="159">
        <f t="shared" si="22"/>
        <v>78039.111279645076</v>
      </c>
      <c r="AB173" s="160">
        <v>132000</v>
      </c>
      <c r="AC173" s="161">
        <v>1</v>
      </c>
      <c r="AD173" s="161">
        <v>0</v>
      </c>
      <c r="AE173" s="164">
        <v>12251283185.847248</v>
      </c>
      <c r="AF173" s="164">
        <v>-8392970.8106751181</v>
      </c>
    </row>
    <row r="174" spans="2:32" x14ac:dyDescent="0.25">
      <c r="B174" s="159">
        <v>134</v>
      </c>
      <c r="C174" s="164">
        <v>334191781.96589822</v>
      </c>
      <c r="D174" s="159">
        <v>102920.01813433698</v>
      </c>
      <c r="E174" s="164">
        <v>10421300.468146848</v>
      </c>
      <c r="F174" s="159">
        <v>0</v>
      </c>
      <c r="I174" s="159">
        <v>134</v>
      </c>
      <c r="J174" s="164">
        <v>334191781.96589822</v>
      </c>
      <c r="K174" s="159">
        <v>102920.01813433698</v>
      </c>
      <c r="L174" s="164">
        <v>10421300.468146848</v>
      </c>
      <c r="M174" s="159">
        <v>0</v>
      </c>
      <c r="Q174" s="139">
        <v>134</v>
      </c>
      <c r="R174" s="164">
        <f t="shared" si="19"/>
        <v>1346940424.5040114</v>
      </c>
      <c r="S174" s="164">
        <f t="shared" si="20"/>
        <v>-10421300.468146848</v>
      </c>
      <c r="T174" s="159" t="str">
        <f t="shared" si="21"/>
        <v>TxPost-vaccination</v>
      </c>
      <c r="W174" s="139">
        <v>134</v>
      </c>
      <c r="X174" s="164">
        <f t="shared" si="22"/>
        <v>323770481.49775136</v>
      </c>
      <c r="Y174" s="159">
        <f t="shared" si="22"/>
        <v>102920.01813433698</v>
      </c>
      <c r="AB174" s="160">
        <v>133000</v>
      </c>
      <c r="AC174" s="161">
        <v>1</v>
      </c>
      <c r="AD174" s="161">
        <v>0</v>
      </c>
      <c r="AE174" s="164">
        <v>12346460155.455645</v>
      </c>
      <c r="AF174" s="164">
        <v>-8392970.8106751181</v>
      </c>
    </row>
    <row r="175" spans="2:32" x14ac:dyDescent="0.25">
      <c r="B175" s="159">
        <v>135</v>
      </c>
      <c r="C175" s="164">
        <v>315853446.70143551</v>
      </c>
      <c r="D175" s="159">
        <v>119530.2035240017</v>
      </c>
      <c r="E175" s="164">
        <v>10380684.84855032</v>
      </c>
      <c r="F175" s="159">
        <v>0</v>
      </c>
      <c r="I175" s="159">
        <v>135</v>
      </c>
      <c r="J175" s="164">
        <v>315853446.70143551</v>
      </c>
      <c r="K175" s="159">
        <v>119530.2035240017</v>
      </c>
      <c r="L175" s="164">
        <v>10380684.84855032</v>
      </c>
      <c r="M175" s="159">
        <v>0</v>
      </c>
      <c r="Q175" s="139">
        <v>135</v>
      </c>
      <c r="R175" s="164">
        <f t="shared" si="19"/>
        <v>1636595439.6543391</v>
      </c>
      <c r="S175" s="164">
        <f t="shared" si="20"/>
        <v>-10380684.84855032</v>
      </c>
      <c r="T175" s="159" t="str">
        <f t="shared" si="21"/>
        <v>TxPost-vaccination</v>
      </c>
      <c r="W175" s="139">
        <v>135</v>
      </c>
      <c r="X175" s="164">
        <f t="shared" si="22"/>
        <v>305472761.85288519</v>
      </c>
      <c r="Y175" s="159">
        <f t="shared" si="22"/>
        <v>119530.2035240017</v>
      </c>
      <c r="AB175" s="160">
        <v>134000</v>
      </c>
      <c r="AC175" s="161">
        <v>1</v>
      </c>
      <c r="AD175" s="161">
        <v>0</v>
      </c>
      <c r="AE175" s="164">
        <v>12441637125.064041</v>
      </c>
      <c r="AF175" s="164">
        <v>-8392970.8106751181</v>
      </c>
    </row>
    <row r="176" spans="2:32" x14ac:dyDescent="0.25">
      <c r="B176" s="159">
        <v>136</v>
      </c>
      <c r="C176" s="164">
        <v>286946010.59824431</v>
      </c>
      <c r="D176" s="159">
        <v>107779.73463795212</v>
      </c>
      <c r="E176" s="164">
        <v>8813090.3295727819</v>
      </c>
      <c r="F176" s="159">
        <v>0</v>
      </c>
      <c r="I176" s="159">
        <v>136</v>
      </c>
      <c r="J176" s="164">
        <v>286946010.59824431</v>
      </c>
      <c r="K176" s="159">
        <v>107779.73463795212</v>
      </c>
      <c r="L176" s="164">
        <v>8813090.3295727819</v>
      </c>
      <c r="M176" s="159">
        <v>0</v>
      </c>
      <c r="Q176" s="139">
        <v>136</v>
      </c>
      <c r="R176" s="164">
        <f t="shared" si="19"/>
        <v>1473566534.8634157</v>
      </c>
      <c r="S176" s="164">
        <f t="shared" si="20"/>
        <v>-8813090.3295727819</v>
      </c>
      <c r="T176" s="159" t="str">
        <f t="shared" si="21"/>
        <v>TxPost-vaccination</v>
      </c>
      <c r="W176" s="139">
        <v>136</v>
      </c>
      <c r="X176" s="164">
        <f t="shared" si="22"/>
        <v>278132920.26867151</v>
      </c>
      <c r="Y176" s="159">
        <f t="shared" si="22"/>
        <v>107779.73463795212</v>
      </c>
      <c r="AB176" s="160">
        <v>135000</v>
      </c>
      <c r="AC176" s="161">
        <v>1</v>
      </c>
      <c r="AD176" s="161">
        <v>0</v>
      </c>
      <c r="AE176" s="164">
        <v>12536814094.672438</v>
      </c>
      <c r="AF176" s="164">
        <v>-8392970.8106751181</v>
      </c>
    </row>
    <row r="177" spans="2:32" x14ac:dyDescent="0.25">
      <c r="B177" s="159">
        <v>137</v>
      </c>
      <c r="C177" s="164">
        <v>302528982.46141964</v>
      </c>
      <c r="D177" s="159">
        <v>87853.54402197311</v>
      </c>
      <c r="E177" s="164">
        <v>8265624.4554764805</v>
      </c>
      <c r="F177" s="159">
        <v>0</v>
      </c>
      <c r="I177" s="159">
        <v>137</v>
      </c>
      <c r="J177" s="164">
        <v>302528982.46141964</v>
      </c>
      <c r="K177" s="159">
        <v>87853.54402197311</v>
      </c>
      <c r="L177" s="164">
        <v>8265624.4554764805</v>
      </c>
      <c r="M177" s="159">
        <v>0</v>
      </c>
      <c r="Q177" s="139">
        <v>137</v>
      </c>
      <c r="R177" s="164">
        <f t="shared" si="19"/>
        <v>1132502073.5483382</v>
      </c>
      <c r="S177" s="164">
        <f t="shared" si="20"/>
        <v>-8265624.4554764805</v>
      </c>
      <c r="T177" s="159" t="str">
        <f t="shared" si="21"/>
        <v>TxPost-vaccination</v>
      </c>
      <c r="W177" s="139">
        <v>137</v>
      </c>
      <c r="X177" s="164">
        <f t="shared" si="22"/>
        <v>294263358.00594318</v>
      </c>
      <c r="Y177" s="159">
        <f t="shared" si="22"/>
        <v>87853.54402197311</v>
      </c>
      <c r="AB177" s="160">
        <v>136000</v>
      </c>
      <c r="AC177" s="161">
        <v>1</v>
      </c>
      <c r="AD177" s="161">
        <v>0</v>
      </c>
      <c r="AE177" s="164">
        <v>12631991064.280836</v>
      </c>
      <c r="AF177" s="164">
        <v>-8392970.8106751181</v>
      </c>
    </row>
    <row r="178" spans="2:32" x14ac:dyDescent="0.25">
      <c r="B178" s="159">
        <v>138</v>
      </c>
      <c r="C178" s="164">
        <v>359985220.79675418</v>
      </c>
      <c r="D178" s="159">
        <v>63989.717275271236</v>
      </c>
      <c r="E178" s="164">
        <v>5783214.091785362</v>
      </c>
      <c r="F178" s="159">
        <v>0</v>
      </c>
      <c r="I178" s="159">
        <v>138</v>
      </c>
      <c r="J178" s="164">
        <v>359985220.79675418</v>
      </c>
      <c r="K178" s="159">
        <v>63989.717275271236</v>
      </c>
      <c r="L178" s="164">
        <v>5783214.091785362</v>
      </c>
      <c r="M178" s="159">
        <v>0</v>
      </c>
      <c r="Q178" s="139">
        <v>138</v>
      </c>
      <c r="R178" s="164">
        <f t="shared" si="19"/>
        <v>685245595.75779867</v>
      </c>
      <c r="S178" s="164">
        <f t="shared" si="20"/>
        <v>-5783214.091785362</v>
      </c>
      <c r="T178" s="159" t="str">
        <f t="shared" si="21"/>
        <v>TxPost-vaccination</v>
      </c>
      <c r="W178" s="139">
        <v>138</v>
      </c>
      <c r="X178" s="164">
        <f t="shared" si="22"/>
        <v>354202006.70496881</v>
      </c>
      <c r="Y178" s="159">
        <f t="shared" si="22"/>
        <v>63989.717275271236</v>
      </c>
      <c r="AB178" s="160">
        <v>137000</v>
      </c>
      <c r="AC178" s="161">
        <v>1</v>
      </c>
      <c r="AD178" s="161">
        <v>0</v>
      </c>
      <c r="AE178" s="164">
        <v>12727168033.889233</v>
      </c>
      <c r="AF178" s="164">
        <v>-8392970.8106751181</v>
      </c>
    </row>
    <row r="179" spans="2:32" x14ac:dyDescent="0.25">
      <c r="B179" s="159">
        <v>139</v>
      </c>
      <c r="C179" s="164">
        <v>324335454.24177724</v>
      </c>
      <c r="D179" s="159">
        <v>111165.15799097602</v>
      </c>
      <c r="E179" s="164">
        <v>9973856.9387467075</v>
      </c>
      <c r="F179" s="159">
        <v>0</v>
      </c>
      <c r="I179" s="159">
        <v>139</v>
      </c>
      <c r="J179" s="164">
        <v>324335454.24177724</v>
      </c>
      <c r="K179" s="159">
        <v>111165.15799097602</v>
      </c>
      <c r="L179" s="164">
        <v>9973856.9387467075</v>
      </c>
      <c r="M179" s="159">
        <v>0</v>
      </c>
      <c r="Q179" s="139">
        <v>139</v>
      </c>
      <c r="R179" s="164">
        <f t="shared" si="19"/>
        <v>1491475801.1742005</v>
      </c>
      <c r="S179" s="164">
        <f t="shared" si="20"/>
        <v>-9973856.9387467075</v>
      </c>
      <c r="T179" s="159" t="str">
        <f t="shared" si="21"/>
        <v>TxPost-vaccination</v>
      </c>
      <c r="W179" s="139">
        <v>139</v>
      </c>
      <c r="X179" s="164">
        <f t="shared" si="22"/>
        <v>314361597.30303055</v>
      </c>
      <c r="Y179" s="159">
        <f t="shared" si="22"/>
        <v>111165.15799097602</v>
      </c>
      <c r="AB179" s="160">
        <v>138000</v>
      </c>
      <c r="AC179" s="161">
        <v>1</v>
      </c>
      <c r="AD179" s="161">
        <v>0</v>
      </c>
      <c r="AE179" s="164">
        <v>12822345003.497629</v>
      </c>
      <c r="AF179" s="164">
        <v>-8392970.8106751181</v>
      </c>
    </row>
    <row r="180" spans="2:32" x14ac:dyDescent="0.25">
      <c r="B180" s="159">
        <v>140</v>
      </c>
      <c r="C180" s="164">
        <v>317718592.986543</v>
      </c>
      <c r="D180" s="159">
        <v>127243.80489406416</v>
      </c>
      <c r="E180" s="164">
        <v>10226823.130420689</v>
      </c>
      <c r="F180" s="159">
        <v>0</v>
      </c>
      <c r="I180" s="159">
        <v>140</v>
      </c>
      <c r="J180" s="164">
        <v>317718592.986543</v>
      </c>
      <c r="K180" s="159">
        <v>127243.80489406416</v>
      </c>
      <c r="L180" s="164">
        <v>10226823.130420689</v>
      </c>
      <c r="M180" s="159">
        <v>0</v>
      </c>
      <c r="Q180" s="139">
        <v>140</v>
      </c>
      <c r="R180" s="164">
        <f t="shared" si="19"/>
        <v>1760727003.4956951</v>
      </c>
      <c r="S180" s="164">
        <f t="shared" si="20"/>
        <v>-10226823.130420689</v>
      </c>
      <c r="T180" s="159" t="str">
        <f t="shared" si="21"/>
        <v>TxPost-vaccination</v>
      </c>
      <c r="W180" s="139">
        <v>140</v>
      </c>
      <c r="X180" s="164">
        <f t="shared" si="22"/>
        <v>307491769.85612231</v>
      </c>
      <c r="Y180" s="159">
        <f t="shared" si="22"/>
        <v>127243.80489406416</v>
      </c>
      <c r="AB180" s="160">
        <v>139000</v>
      </c>
      <c r="AC180" s="161">
        <v>1</v>
      </c>
      <c r="AD180" s="161">
        <v>0</v>
      </c>
      <c r="AE180" s="164">
        <v>12917521973.106026</v>
      </c>
      <c r="AF180" s="164">
        <v>-8392970.8106751181</v>
      </c>
    </row>
    <row r="181" spans="2:32" x14ac:dyDescent="0.25">
      <c r="B181" s="159">
        <v>141</v>
      </c>
      <c r="C181" s="164">
        <v>313515936.40873033</v>
      </c>
      <c r="D181" s="159">
        <v>69870.010356139945</v>
      </c>
      <c r="E181" s="164">
        <v>6229001.0923039652</v>
      </c>
      <c r="F181" s="159">
        <v>0</v>
      </c>
      <c r="I181" s="159">
        <v>141</v>
      </c>
      <c r="J181" s="164">
        <v>313515936.40873033</v>
      </c>
      <c r="K181" s="159">
        <v>69870.010356139945</v>
      </c>
      <c r="L181" s="164">
        <v>6229001.0923039652</v>
      </c>
      <c r="M181" s="159">
        <v>0</v>
      </c>
      <c r="Q181" s="139">
        <v>141</v>
      </c>
      <c r="R181" s="164">
        <f t="shared" si="19"/>
        <v>827765680.18384218</v>
      </c>
      <c r="S181" s="164">
        <f t="shared" si="20"/>
        <v>-6229001.0923039652</v>
      </c>
      <c r="T181" s="159" t="str">
        <f t="shared" si="21"/>
        <v>TxPost-vaccination</v>
      </c>
      <c r="W181" s="139">
        <v>141</v>
      </c>
      <c r="X181" s="164">
        <f t="shared" si="22"/>
        <v>307286935.31642634</v>
      </c>
      <c r="Y181" s="159">
        <f t="shared" si="22"/>
        <v>69870.010356139945</v>
      </c>
      <c r="AB181" s="160">
        <v>140000</v>
      </c>
      <c r="AC181" s="161">
        <v>1</v>
      </c>
      <c r="AD181" s="161">
        <v>0</v>
      </c>
      <c r="AE181" s="164">
        <v>13012698942.714422</v>
      </c>
      <c r="AF181" s="164">
        <v>-8392970.8106751181</v>
      </c>
    </row>
    <row r="182" spans="2:32" x14ac:dyDescent="0.25">
      <c r="B182" s="159">
        <v>142</v>
      </c>
      <c r="C182" s="164">
        <v>348428690.762519</v>
      </c>
      <c r="D182" s="159">
        <v>95961.862236730769</v>
      </c>
      <c r="E182" s="164">
        <v>8910826.1485946551</v>
      </c>
      <c r="F182" s="159">
        <v>0</v>
      </c>
      <c r="I182" s="159">
        <v>142</v>
      </c>
      <c r="J182" s="164">
        <v>348428690.762519</v>
      </c>
      <c r="K182" s="159">
        <v>95961.862236730769</v>
      </c>
      <c r="L182" s="164">
        <v>8910826.1485946551</v>
      </c>
      <c r="M182" s="159">
        <v>0</v>
      </c>
      <c r="Q182" s="139">
        <v>142</v>
      </c>
      <c r="R182" s="164">
        <f t="shared" si="19"/>
        <v>1219046520.7986259</v>
      </c>
      <c r="S182" s="164">
        <f t="shared" si="20"/>
        <v>-8910826.1485946551</v>
      </c>
      <c r="T182" s="159" t="str">
        <f t="shared" si="21"/>
        <v>TxPost-vaccination</v>
      </c>
      <c r="W182" s="139">
        <v>142</v>
      </c>
      <c r="X182" s="164">
        <f t="shared" si="22"/>
        <v>339517864.61392432</v>
      </c>
      <c r="Y182" s="159">
        <f t="shared" si="22"/>
        <v>95961.862236730769</v>
      </c>
      <c r="AB182" s="160">
        <v>141000</v>
      </c>
      <c r="AC182" s="161">
        <v>1</v>
      </c>
      <c r="AD182" s="161">
        <v>0</v>
      </c>
      <c r="AE182" s="164">
        <v>13107875912.322821</v>
      </c>
      <c r="AF182" s="164">
        <v>-8392970.8106751181</v>
      </c>
    </row>
    <row r="183" spans="2:32" x14ac:dyDescent="0.25">
      <c r="B183" s="159">
        <v>143</v>
      </c>
      <c r="C183" s="164">
        <v>319248095.0732075</v>
      </c>
      <c r="D183" s="159">
        <v>72325.865478513981</v>
      </c>
      <c r="E183" s="164">
        <v>8186114.3484384185</v>
      </c>
      <c r="F183" s="159">
        <v>0</v>
      </c>
      <c r="I183" s="159">
        <v>143</v>
      </c>
      <c r="J183" s="164">
        <v>319248095.0732075</v>
      </c>
      <c r="K183" s="159">
        <v>72325.865478513981</v>
      </c>
      <c r="L183" s="164">
        <v>8186114.3484384185</v>
      </c>
      <c r="M183" s="159">
        <v>0</v>
      </c>
      <c r="Q183" s="139">
        <v>143</v>
      </c>
      <c r="R183" s="164">
        <f t="shared" si="19"/>
        <v>862148333.15161908</v>
      </c>
      <c r="S183" s="164">
        <f t="shared" si="20"/>
        <v>-8186114.3484384185</v>
      </c>
      <c r="T183" s="159" t="str">
        <f t="shared" si="21"/>
        <v>TxPost-vaccination</v>
      </c>
      <c r="W183" s="139">
        <v>143</v>
      </c>
      <c r="X183" s="164">
        <f t="shared" si="22"/>
        <v>311061980.72476906</v>
      </c>
      <c r="Y183" s="159">
        <f t="shared" si="22"/>
        <v>72325.865478513981</v>
      </c>
      <c r="AB183" s="160">
        <v>142000</v>
      </c>
      <c r="AC183" s="161">
        <v>1</v>
      </c>
      <c r="AD183" s="161">
        <v>0</v>
      </c>
      <c r="AE183" s="164">
        <v>13203052881.931217</v>
      </c>
      <c r="AF183" s="164">
        <v>-8392970.8106751181</v>
      </c>
    </row>
    <row r="184" spans="2:32" x14ac:dyDescent="0.25">
      <c r="B184" s="159">
        <v>144</v>
      </c>
      <c r="C184" s="164">
        <v>322700081.74663162</v>
      </c>
      <c r="D184" s="159">
        <v>95636.117056696152</v>
      </c>
      <c r="E184" s="164">
        <v>7255678.4228406399</v>
      </c>
      <c r="F184" s="159">
        <v>0</v>
      </c>
      <c r="I184" s="159">
        <v>144</v>
      </c>
      <c r="J184" s="164">
        <v>322700081.74663162</v>
      </c>
      <c r="K184" s="159">
        <v>95636.117056696152</v>
      </c>
      <c r="L184" s="164">
        <v>7255678.4228406399</v>
      </c>
      <c r="M184" s="159">
        <v>0</v>
      </c>
      <c r="Q184" s="139">
        <v>144</v>
      </c>
      <c r="R184" s="164">
        <f t="shared" si="19"/>
        <v>1239454292.1078606</v>
      </c>
      <c r="S184" s="164">
        <f t="shared" si="20"/>
        <v>-7255678.4228406399</v>
      </c>
      <c r="T184" s="159" t="str">
        <f t="shared" si="21"/>
        <v>TxPost-vaccination</v>
      </c>
      <c r="W184" s="139">
        <v>144</v>
      </c>
      <c r="X184" s="164">
        <f t="shared" si="22"/>
        <v>315444403.32379097</v>
      </c>
      <c r="Y184" s="159">
        <f t="shared" si="22"/>
        <v>95636.117056696152</v>
      </c>
      <c r="AB184" s="160">
        <v>143000</v>
      </c>
      <c r="AC184" s="161">
        <v>1</v>
      </c>
      <c r="AD184" s="161">
        <v>0</v>
      </c>
      <c r="AE184" s="164">
        <v>13298229851.539614</v>
      </c>
      <c r="AF184" s="164">
        <v>-8392970.8106751181</v>
      </c>
    </row>
    <row r="185" spans="2:32" x14ac:dyDescent="0.25">
      <c r="B185" s="159">
        <v>145</v>
      </c>
      <c r="C185" s="164">
        <v>301041678.96284562</v>
      </c>
      <c r="D185" s="159">
        <v>141679.18740104837</v>
      </c>
      <c r="E185" s="164">
        <v>11434425.922363812</v>
      </c>
      <c r="F185" s="159">
        <v>0</v>
      </c>
      <c r="I185" s="159">
        <v>145</v>
      </c>
      <c r="J185" s="164">
        <v>301041678.96284562</v>
      </c>
      <c r="K185" s="159">
        <v>141679.18740104837</v>
      </c>
      <c r="L185" s="164">
        <v>11434425.922363812</v>
      </c>
      <c r="M185" s="159">
        <v>0</v>
      </c>
      <c r="Q185" s="139">
        <v>145</v>
      </c>
      <c r="R185" s="164">
        <f t="shared" si="19"/>
        <v>2013196593.0854599</v>
      </c>
      <c r="S185" s="164">
        <f t="shared" si="20"/>
        <v>-11434425.922363812</v>
      </c>
      <c r="T185" s="159" t="str">
        <f t="shared" si="21"/>
        <v>TxPost-vaccination</v>
      </c>
      <c r="W185" s="139">
        <v>145</v>
      </c>
      <c r="X185" s="164">
        <f t="shared" si="22"/>
        <v>289607253.04048181</v>
      </c>
      <c r="Y185" s="159">
        <f t="shared" si="22"/>
        <v>141679.18740104837</v>
      </c>
      <c r="AB185" s="160">
        <v>144000</v>
      </c>
      <c r="AC185" s="161">
        <v>1</v>
      </c>
      <c r="AD185" s="161">
        <v>0</v>
      </c>
      <c r="AE185" s="164">
        <v>13393406821.14801</v>
      </c>
      <c r="AF185" s="164">
        <v>-8392970.8106751181</v>
      </c>
    </row>
    <row r="186" spans="2:32" x14ac:dyDescent="0.25">
      <c r="B186" s="159">
        <v>146</v>
      </c>
      <c r="C186" s="164">
        <v>325059778.98433501</v>
      </c>
      <c r="D186" s="159">
        <v>119460.42220194424</v>
      </c>
      <c r="E186" s="164">
        <v>8975437.2836794127</v>
      </c>
      <c r="F186" s="159">
        <v>0</v>
      </c>
      <c r="I186" s="159">
        <v>146</v>
      </c>
      <c r="J186" s="164">
        <v>325059778.98433501</v>
      </c>
      <c r="K186" s="159">
        <v>119460.42220194424</v>
      </c>
      <c r="L186" s="164">
        <v>8975437.2836794127</v>
      </c>
      <c r="M186" s="159">
        <v>0</v>
      </c>
      <c r="Q186" s="139">
        <v>146</v>
      </c>
      <c r="R186" s="164">
        <f t="shared" si="19"/>
        <v>1626249274.4210827</v>
      </c>
      <c r="S186" s="164">
        <f t="shared" si="20"/>
        <v>-8975437.2836794127</v>
      </c>
      <c r="T186" s="159" t="str">
        <f t="shared" si="21"/>
        <v>TxPost-vaccination</v>
      </c>
      <c r="W186" s="139">
        <v>146</v>
      </c>
      <c r="X186" s="164">
        <f t="shared" si="22"/>
        <v>316084341.70065558</v>
      </c>
      <c r="Y186" s="159">
        <f t="shared" si="22"/>
        <v>119460.42220194424</v>
      </c>
      <c r="AB186" s="160">
        <v>145000</v>
      </c>
      <c r="AC186" s="161">
        <v>1</v>
      </c>
      <c r="AD186" s="161">
        <v>0</v>
      </c>
      <c r="AE186" s="164">
        <v>13488583790.756407</v>
      </c>
      <c r="AF186" s="164">
        <v>-8392970.8106751181</v>
      </c>
    </row>
    <row r="187" spans="2:32" x14ac:dyDescent="0.25">
      <c r="B187" s="159">
        <v>147</v>
      </c>
      <c r="C187" s="164">
        <v>312778291.03476977</v>
      </c>
      <c r="D187" s="159">
        <v>87804.990642641787</v>
      </c>
      <c r="E187" s="164">
        <v>7712775.9005372655</v>
      </c>
      <c r="F187" s="159">
        <v>0</v>
      </c>
      <c r="I187" s="159">
        <v>147</v>
      </c>
      <c r="J187" s="164">
        <v>312778291.03476977</v>
      </c>
      <c r="K187" s="159">
        <v>87804.990642641787</v>
      </c>
      <c r="L187" s="164">
        <v>7712775.9005372655</v>
      </c>
      <c r="M187" s="159">
        <v>0</v>
      </c>
      <c r="Q187" s="139">
        <v>147</v>
      </c>
      <c r="R187" s="164">
        <f t="shared" si="19"/>
        <v>1121459676.7963569</v>
      </c>
      <c r="S187" s="164">
        <f t="shared" si="20"/>
        <v>-7712775.9005372655</v>
      </c>
      <c r="T187" s="159" t="str">
        <f t="shared" si="21"/>
        <v>TxPost-vaccination</v>
      </c>
      <c r="W187" s="139">
        <v>147</v>
      </c>
      <c r="X187" s="164">
        <f t="shared" si="22"/>
        <v>305065515.13423252</v>
      </c>
      <c r="Y187" s="159">
        <f t="shared" si="22"/>
        <v>87804.990642641787</v>
      </c>
      <c r="AB187" s="160">
        <v>146000</v>
      </c>
      <c r="AC187" s="161">
        <v>1</v>
      </c>
      <c r="AD187" s="161">
        <v>0</v>
      </c>
      <c r="AE187" s="164">
        <v>13583760760.364805</v>
      </c>
      <c r="AF187" s="164">
        <v>-8392970.8106751181</v>
      </c>
    </row>
    <row r="188" spans="2:32" x14ac:dyDescent="0.25">
      <c r="B188" s="159">
        <v>148</v>
      </c>
      <c r="C188" s="164">
        <v>320073195.7466107</v>
      </c>
      <c r="D188" s="159">
        <v>72748.873829206597</v>
      </c>
      <c r="E188" s="164">
        <v>6081385.0024523539</v>
      </c>
      <c r="F188" s="159">
        <v>0</v>
      </c>
      <c r="I188" s="159">
        <v>148</v>
      </c>
      <c r="J188" s="164">
        <v>320073195.7466107</v>
      </c>
      <c r="K188" s="159">
        <v>72748.873829206597</v>
      </c>
      <c r="L188" s="164">
        <v>6081385.0024523539</v>
      </c>
      <c r="M188" s="159">
        <v>0</v>
      </c>
      <c r="Q188" s="139">
        <v>148</v>
      </c>
      <c r="R188" s="164">
        <f t="shared" si="19"/>
        <v>868232801.43133116</v>
      </c>
      <c r="S188" s="164">
        <f t="shared" si="20"/>
        <v>-6081385.0024523539</v>
      </c>
      <c r="T188" s="159" t="str">
        <f t="shared" si="21"/>
        <v>TxPost-vaccination</v>
      </c>
      <c r="W188" s="139">
        <v>148</v>
      </c>
      <c r="X188" s="164">
        <f t="shared" si="22"/>
        <v>313991810.74415833</v>
      </c>
      <c r="Y188" s="159">
        <f t="shared" si="22"/>
        <v>72748.873829206597</v>
      </c>
      <c r="AB188" s="160">
        <v>147000</v>
      </c>
      <c r="AC188" s="161">
        <v>1</v>
      </c>
      <c r="AD188" s="161">
        <v>0</v>
      </c>
      <c r="AE188" s="164">
        <v>13678937729.973202</v>
      </c>
      <c r="AF188" s="164">
        <v>-8392970.8106751181</v>
      </c>
    </row>
    <row r="189" spans="2:32" x14ac:dyDescent="0.25">
      <c r="B189" s="159">
        <v>149</v>
      </c>
      <c r="C189" s="164">
        <v>347751596.96666598</v>
      </c>
      <c r="D189" s="159">
        <v>109148.51537491492</v>
      </c>
      <c r="E189" s="164">
        <v>8924312.8456859998</v>
      </c>
      <c r="F189" s="159">
        <v>0</v>
      </c>
      <c r="I189" s="159">
        <v>149</v>
      </c>
      <c r="J189" s="164">
        <v>347751596.96666598</v>
      </c>
      <c r="K189" s="159">
        <v>109148.51537491492</v>
      </c>
      <c r="L189" s="164">
        <v>8924312.8456859998</v>
      </c>
      <c r="M189" s="159">
        <v>0</v>
      </c>
      <c r="Q189" s="139">
        <v>149</v>
      </c>
      <c r="R189" s="164">
        <f t="shared" si="19"/>
        <v>1435119100.2152965</v>
      </c>
      <c r="S189" s="164">
        <f t="shared" si="20"/>
        <v>-8924312.8456859998</v>
      </c>
      <c r="T189" s="159" t="str">
        <f t="shared" si="21"/>
        <v>TxPost-vaccination</v>
      </c>
      <c r="W189" s="139">
        <v>149</v>
      </c>
      <c r="X189" s="164">
        <f t="shared" si="22"/>
        <v>338827284.12097996</v>
      </c>
      <c r="Y189" s="159">
        <f t="shared" si="22"/>
        <v>109148.51537491492</v>
      </c>
      <c r="AB189" s="160">
        <v>148000</v>
      </c>
      <c r="AC189" s="161">
        <v>1</v>
      </c>
      <c r="AD189" s="161">
        <v>0</v>
      </c>
      <c r="AE189" s="164">
        <v>13774114699.581598</v>
      </c>
      <c r="AF189" s="164">
        <v>-8392970.8106751181</v>
      </c>
    </row>
    <row r="190" spans="2:32" x14ac:dyDescent="0.25">
      <c r="B190" s="159">
        <v>150</v>
      </c>
      <c r="C190" s="164">
        <v>322036743.15437746</v>
      </c>
      <c r="D190" s="159">
        <v>129151.42587149946</v>
      </c>
      <c r="E190" s="164">
        <v>11233911.768057734</v>
      </c>
      <c r="F190" s="159">
        <v>0</v>
      </c>
      <c r="I190" s="159">
        <v>150</v>
      </c>
      <c r="J190" s="164">
        <v>322036743.15437746</v>
      </c>
      <c r="K190" s="159">
        <v>129151.42587149946</v>
      </c>
      <c r="L190" s="164">
        <v>11233911.768057734</v>
      </c>
      <c r="M190" s="159">
        <v>0</v>
      </c>
      <c r="Q190" s="139">
        <v>150</v>
      </c>
      <c r="R190" s="164">
        <f t="shared" si="19"/>
        <v>1787568613.3146708</v>
      </c>
      <c r="S190" s="164">
        <f t="shared" si="20"/>
        <v>-11233911.768057734</v>
      </c>
      <c r="T190" s="159" t="str">
        <f t="shared" si="21"/>
        <v>TxPost-vaccination</v>
      </c>
      <c r="W190" s="139">
        <v>150</v>
      </c>
      <c r="X190" s="164">
        <f t="shared" si="22"/>
        <v>310802831.38631976</v>
      </c>
      <c r="Y190" s="159">
        <f t="shared" si="22"/>
        <v>129151.42587149946</v>
      </c>
      <c r="AB190" s="160">
        <v>149000</v>
      </c>
      <c r="AC190" s="161">
        <v>1</v>
      </c>
      <c r="AD190" s="161">
        <v>0</v>
      </c>
      <c r="AE190" s="164">
        <v>13869291669.189995</v>
      </c>
      <c r="AF190" s="164">
        <v>-8392970.8106751181</v>
      </c>
    </row>
    <row r="191" spans="2:32" x14ac:dyDescent="0.25">
      <c r="B191" s="159">
        <v>151</v>
      </c>
      <c r="C191" s="164">
        <v>314880333.0531379</v>
      </c>
      <c r="D191" s="159">
        <v>95782.823465295878</v>
      </c>
      <c r="E191" s="164">
        <v>10990396.050463505</v>
      </c>
      <c r="F191" s="159">
        <v>0</v>
      </c>
      <c r="I191" s="159">
        <v>151</v>
      </c>
      <c r="J191" s="164">
        <v>314880333.0531379</v>
      </c>
      <c r="K191" s="159">
        <v>95782.823465295878</v>
      </c>
      <c r="L191" s="164">
        <v>10990396.050463505</v>
      </c>
      <c r="M191" s="159">
        <v>0</v>
      </c>
      <c r="Q191" s="139">
        <v>151</v>
      </c>
      <c r="R191" s="164">
        <f t="shared" si="19"/>
        <v>1249670395.4937</v>
      </c>
      <c r="S191" s="164">
        <f t="shared" si="20"/>
        <v>-10990396.050463505</v>
      </c>
      <c r="T191" s="159" t="str">
        <f t="shared" si="21"/>
        <v>TxPost-vaccination</v>
      </c>
      <c r="W191" s="139">
        <v>151</v>
      </c>
      <c r="X191" s="164">
        <f t="shared" si="22"/>
        <v>303889937.0026744</v>
      </c>
      <c r="Y191" s="159">
        <f t="shared" si="22"/>
        <v>95782.823465295878</v>
      </c>
      <c r="AB191" s="160">
        <v>150000</v>
      </c>
      <c r="AC191" s="161">
        <v>1</v>
      </c>
      <c r="AD191" s="161">
        <v>0</v>
      </c>
      <c r="AE191" s="164">
        <v>13964468638.798391</v>
      </c>
      <c r="AF191" s="164">
        <v>-8392970.8106751181</v>
      </c>
    </row>
    <row r="192" spans="2:32" x14ac:dyDescent="0.25">
      <c r="B192" s="159">
        <v>152</v>
      </c>
      <c r="C192" s="164">
        <v>316245869.05297482</v>
      </c>
      <c r="D192" s="159">
        <v>59438.968426567924</v>
      </c>
      <c r="E192" s="164">
        <v>5171631.9316313025</v>
      </c>
      <c r="F192" s="159">
        <v>0</v>
      </c>
      <c r="I192" s="159">
        <v>152</v>
      </c>
      <c r="J192" s="164">
        <v>316245869.05297482</v>
      </c>
      <c r="K192" s="159">
        <v>59438.968426567924</v>
      </c>
      <c r="L192" s="164">
        <v>5171631.9316313025</v>
      </c>
      <c r="M192" s="159">
        <v>0</v>
      </c>
      <c r="Q192" s="139">
        <v>152</v>
      </c>
      <c r="R192" s="164">
        <f t="shared" si="19"/>
        <v>654651396.14983571</v>
      </c>
      <c r="S192" s="164">
        <f t="shared" si="20"/>
        <v>-5171631.9316313025</v>
      </c>
      <c r="T192" s="159" t="str">
        <f t="shared" si="21"/>
        <v>TxPost-vaccination</v>
      </c>
      <c r="W192" s="139">
        <v>152</v>
      </c>
      <c r="X192" s="164">
        <f t="shared" si="22"/>
        <v>311074237.12134349</v>
      </c>
      <c r="Y192" s="159">
        <f t="shared" si="22"/>
        <v>59438.968426567924</v>
      </c>
      <c r="AB192" s="160">
        <v>151000</v>
      </c>
      <c r="AC192" s="161">
        <v>1</v>
      </c>
      <c r="AD192" s="161">
        <v>0</v>
      </c>
      <c r="AE192" s="164">
        <v>14059645608.40679</v>
      </c>
      <c r="AF192" s="164">
        <v>-8392970.8106751181</v>
      </c>
    </row>
    <row r="193" spans="2:32" x14ac:dyDescent="0.25">
      <c r="B193" s="159">
        <v>153</v>
      </c>
      <c r="C193" s="164">
        <v>314136323.5076049</v>
      </c>
      <c r="D193" s="159">
        <v>72950.998154666158</v>
      </c>
      <c r="E193" s="164">
        <v>7262559.2225980647</v>
      </c>
      <c r="F193" s="159">
        <v>0</v>
      </c>
      <c r="I193" s="159">
        <v>153</v>
      </c>
      <c r="J193" s="164">
        <v>314136323.5076049</v>
      </c>
      <c r="K193" s="159">
        <v>72950.998154666158</v>
      </c>
      <c r="L193" s="164">
        <v>7262559.2225980647</v>
      </c>
      <c r="M193" s="159">
        <v>0</v>
      </c>
      <c r="Q193" s="139">
        <v>153</v>
      </c>
      <c r="R193" s="164">
        <f t="shared" si="19"/>
        <v>877471244.34046221</v>
      </c>
      <c r="S193" s="164">
        <f t="shared" si="20"/>
        <v>-7262559.2225980647</v>
      </c>
      <c r="T193" s="159" t="str">
        <f t="shared" si="21"/>
        <v>TxPost-vaccination</v>
      </c>
      <c r="W193" s="139">
        <v>153</v>
      </c>
      <c r="X193" s="164">
        <f t="shared" si="22"/>
        <v>306873764.28500682</v>
      </c>
      <c r="Y193" s="159">
        <f t="shared" si="22"/>
        <v>72950.998154666158</v>
      </c>
      <c r="AB193" s="160">
        <v>152000</v>
      </c>
      <c r="AC193" s="161">
        <v>1</v>
      </c>
      <c r="AD193" s="161">
        <v>0</v>
      </c>
      <c r="AE193" s="164">
        <v>14154822578.015186</v>
      </c>
      <c r="AF193" s="164">
        <v>-8392970.8106751181</v>
      </c>
    </row>
    <row r="194" spans="2:32" x14ac:dyDescent="0.25">
      <c r="B194" s="159">
        <v>154</v>
      </c>
      <c r="C194" s="164">
        <v>329672200.95833987</v>
      </c>
      <c r="D194" s="159">
        <v>66349.459880724389</v>
      </c>
      <c r="E194" s="164">
        <v>5281235.5648381645</v>
      </c>
      <c r="F194" s="159">
        <v>0</v>
      </c>
      <c r="I194" s="159">
        <v>154</v>
      </c>
      <c r="J194" s="164">
        <v>329672200.95833987</v>
      </c>
      <c r="K194" s="159">
        <v>66349.459880724389</v>
      </c>
      <c r="L194" s="164">
        <v>5281235.5648381645</v>
      </c>
      <c r="M194" s="159">
        <v>0</v>
      </c>
      <c r="Q194" s="139">
        <v>154</v>
      </c>
      <c r="R194" s="164">
        <f t="shared" si="19"/>
        <v>754103491.16967535</v>
      </c>
      <c r="S194" s="164">
        <f t="shared" si="20"/>
        <v>-5281235.5648381645</v>
      </c>
      <c r="T194" s="159" t="str">
        <f t="shared" si="21"/>
        <v>TxPost-vaccination</v>
      </c>
      <c r="W194" s="139">
        <v>154</v>
      </c>
      <c r="X194" s="164">
        <f t="shared" si="22"/>
        <v>324390965.3935017</v>
      </c>
      <c r="Y194" s="159">
        <f t="shared" si="22"/>
        <v>66349.459880724389</v>
      </c>
      <c r="AB194" s="160">
        <v>153000</v>
      </c>
      <c r="AC194" s="161">
        <v>1</v>
      </c>
      <c r="AD194" s="161">
        <v>0</v>
      </c>
      <c r="AE194" s="164">
        <v>14249999547.623583</v>
      </c>
      <c r="AF194" s="164">
        <v>-8392970.8106751181</v>
      </c>
    </row>
    <row r="195" spans="2:32" x14ac:dyDescent="0.25">
      <c r="B195" s="159">
        <v>155</v>
      </c>
      <c r="C195" s="164">
        <v>315081732.9309926</v>
      </c>
      <c r="D195" s="159">
        <v>76183.561936144921</v>
      </c>
      <c r="E195" s="164">
        <v>6735344.6880107271</v>
      </c>
      <c r="F195" s="159">
        <v>0</v>
      </c>
      <c r="I195" s="159">
        <v>155</v>
      </c>
      <c r="J195" s="164">
        <v>315081732.9309926</v>
      </c>
      <c r="K195" s="159">
        <v>76183.561936144921</v>
      </c>
      <c r="L195" s="164">
        <v>6735344.6880107271</v>
      </c>
      <c r="M195" s="159">
        <v>0</v>
      </c>
      <c r="Q195" s="139">
        <v>155</v>
      </c>
      <c r="R195" s="164">
        <f t="shared" si="19"/>
        <v>929327682.22552371</v>
      </c>
      <c r="S195" s="164">
        <f t="shared" si="20"/>
        <v>-6735344.6880107271</v>
      </c>
      <c r="T195" s="159" t="str">
        <f t="shared" si="21"/>
        <v>TxPost-vaccination</v>
      </c>
      <c r="W195" s="139">
        <v>155</v>
      </c>
      <c r="X195" s="164">
        <f t="shared" si="22"/>
        <v>308346388.24298185</v>
      </c>
      <c r="Y195" s="159">
        <f t="shared" si="22"/>
        <v>76183.561936144921</v>
      </c>
      <c r="AB195" s="160">
        <v>154000</v>
      </c>
      <c r="AC195" s="161">
        <v>1</v>
      </c>
      <c r="AD195" s="161">
        <v>0</v>
      </c>
      <c r="AE195" s="164">
        <v>14345176517.231979</v>
      </c>
      <c r="AF195" s="164">
        <v>-8392970.8106751181</v>
      </c>
    </row>
    <row r="196" spans="2:32" x14ac:dyDescent="0.25">
      <c r="B196" s="159">
        <v>156</v>
      </c>
      <c r="C196" s="164">
        <v>306840607.75654525</v>
      </c>
      <c r="D196" s="159">
        <v>86255.161029728464</v>
      </c>
      <c r="E196" s="164">
        <v>7697615.00301548</v>
      </c>
      <c r="F196" s="159">
        <v>0</v>
      </c>
      <c r="I196" s="159">
        <v>156</v>
      </c>
      <c r="J196" s="164">
        <v>306840607.75654525</v>
      </c>
      <c r="K196" s="159">
        <v>86255.161029728464</v>
      </c>
      <c r="L196" s="164">
        <v>7697615.00301548</v>
      </c>
      <c r="M196" s="159">
        <v>0</v>
      </c>
      <c r="Q196" s="139">
        <v>156</v>
      </c>
      <c r="R196" s="164">
        <f t="shared" si="19"/>
        <v>1102081891.5773976</v>
      </c>
      <c r="S196" s="164">
        <f t="shared" si="20"/>
        <v>-7697615.00301548</v>
      </c>
      <c r="T196" s="159" t="str">
        <f t="shared" si="21"/>
        <v>TxPost-vaccination</v>
      </c>
      <c r="W196" s="139">
        <v>156</v>
      </c>
      <c r="X196" s="164">
        <f t="shared" si="22"/>
        <v>299142992.75352979</v>
      </c>
      <c r="Y196" s="159">
        <f t="shared" si="22"/>
        <v>86255.161029728464</v>
      </c>
      <c r="AB196" s="160">
        <v>155000</v>
      </c>
      <c r="AC196" s="161">
        <v>1</v>
      </c>
      <c r="AD196" s="161">
        <v>0</v>
      </c>
      <c r="AE196" s="164">
        <v>14440353486.840376</v>
      </c>
      <c r="AF196" s="164">
        <v>-8392970.8106751181</v>
      </c>
    </row>
    <row r="197" spans="2:32" x14ac:dyDescent="0.25">
      <c r="B197" s="159">
        <v>157</v>
      </c>
      <c r="C197" s="164">
        <v>322120793.55453837</v>
      </c>
      <c r="D197" s="159">
        <v>93437.656182323888</v>
      </c>
      <c r="E197" s="164">
        <v>8287508.5933110062</v>
      </c>
      <c r="F197" s="159">
        <v>0</v>
      </c>
      <c r="I197" s="159">
        <v>157</v>
      </c>
      <c r="J197" s="164">
        <v>322120793.55453837</v>
      </c>
      <c r="K197" s="159">
        <v>93437.656182323888</v>
      </c>
      <c r="L197" s="164">
        <v>8287508.5933110062</v>
      </c>
      <c r="M197" s="159">
        <v>0</v>
      </c>
      <c r="Q197" s="139">
        <v>157</v>
      </c>
      <c r="R197" s="164">
        <f t="shared" si="19"/>
        <v>1204123137.9237475</v>
      </c>
      <c r="S197" s="164">
        <f t="shared" si="20"/>
        <v>-8287508.5933110062</v>
      </c>
      <c r="T197" s="159" t="str">
        <f t="shared" si="21"/>
        <v>TxPost-vaccination</v>
      </c>
      <c r="W197" s="139">
        <v>157</v>
      </c>
      <c r="X197" s="164">
        <f t="shared" si="22"/>
        <v>313833284.96122736</v>
      </c>
      <c r="Y197" s="159">
        <f t="shared" si="22"/>
        <v>93437.656182323888</v>
      </c>
      <c r="AB197" s="160">
        <v>156000</v>
      </c>
      <c r="AC197" s="161">
        <v>1</v>
      </c>
      <c r="AD197" s="161">
        <v>0</v>
      </c>
      <c r="AE197" s="164">
        <v>14535530456.448774</v>
      </c>
      <c r="AF197" s="164">
        <v>-8392970.8106751181</v>
      </c>
    </row>
    <row r="198" spans="2:32" x14ac:dyDescent="0.25">
      <c r="B198" s="159">
        <v>158</v>
      </c>
      <c r="C198" s="164">
        <v>305900848.26456171</v>
      </c>
      <c r="D198" s="159">
        <v>101979.81789998521</v>
      </c>
      <c r="E198" s="164">
        <v>7888661.8822657987</v>
      </c>
      <c r="F198" s="159">
        <v>0</v>
      </c>
      <c r="I198" s="159">
        <v>158</v>
      </c>
      <c r="J198" s="164">
        <v>305900848.26456171</v>
      </c>
      <c r="K198" s="159">
        <v>101979.81789998521</v>
      </c>
      <c r="L198" s="164">
        <v>7888661.8822657987</v>
      </c>
      <c r="M198" s="159">
        <v>0</v>
      </c>
      <c r="Q198" s="139">
        <v>158</v>
      </c>
      <c r="R198" s="164">
        <f t="shared" si="19"/>
        <v>1359873792.9507809</v>
      </c>
      <c r="S198" s="164">
        <f t="shared" si="20"/>
        <v>-7888661.8822657987</v>
      </c>
      <c r="T198" s="159" t="str">
        <f t="shared" si="21"/>
        <v>TxPost-vaccination</v>
      </c>
      <c r="W198" s="139">
        <v>158</v>
      </c>
      <c r="X198" s="164">
        <f t="shared" si="22"/>
        <v>298012186.38229591</v>
      </c>
      <c r="Y198" s="159">
        <f t="shared" si="22"/>
        <v>101979.81789998521</v>
      </c>
      <c r="AB198" s="160">
        <v>157000</v>
      </c>
      <c r="AC198" s="161">
        <v>1</v>
      </c>
      <c r="AD198" s="161">
        <v>0</v>
      </c>
      <c r="AE198" s="164">
        <v>14630707426.057171</v>
      </c>
      <c r="AF198" s="164">
        <v>-8392970.8106751181</v>
      </c>
    </row>
    <row r="199" spans="2:32" x14ac:dyDescent="0.25">
      <c r="B199" s="159">
        <v>159</v>
      </c>
      <c r="C199" s="164">
        <v>310473726.33512336</v>
      </c>
      <c r="D199" s="159">
        <v>116623.19550746311</v>
      </c>
      <c r="E199" s="164">
        <v>8815875.9784057382</v>
      </c>
      <c r="F199" s="159">
        <v>0</v>
      </c>
      <c r="I199" s="159">
        <v>159</v>
      </c>
      <c r="J199" s="164">
        <v>310473726.33512336</v>
      </c>
      <c r="K199" s="159">
        <v>116623.19550746311</v>
      </c>
      <c r="L199" s="164">
        <v>8815875.9784057382</v>
      </c>
      <c r="M199" s="159">
        <v>0</v>
      </c>
      <c r="Q199" s="139">
        <v>159</v>
      </c>
      <c r="R199" s="164">
        <f t="shared" si="19"/>
        <v>1594491056.445287</v>
      </c>
      <c r="S199" s="164">
        <f t="shared" si="20"/>
        <v>-8815875.9784057382</v>
      </c>
      <c r="T199" s="159" t="str">
        <f t="shared" si="21"/>
        <v>TxPost-vaccination</v>
      </c>
      <c r="W199" s="139">
        <v>159</v>
      </c>
      <c r="X199" s="164">
        <f t="shared" si="22"/>
        <v>301657850.35671765</v>
      </c>
      <c r="Y199" s="159">
        <f t="shared" si="22"/>
        <v>116623.19550746311</v>
      </c>
      <c r="AB199" s="160">
        <v>158000</v>
      </c>
      <c r="AC199" s="161">
        <v>1</v>
      </c>
      <c r="AD199" s="161">
        <v>0</v>
      </c>
      <c r="AE199" s="164">
        <v>14725884395.665567</v>
      </c>
      <c r="AF199" s="164">
        <v>-8392970.8106751181</v>
      </c>
    </row>
    <row r="200" spans="2:32" x14ac:dyDescent="0.25">
      <c r="B200" s="159">
        <v>160</v>
      </c>
      <c r="C200" s="164">
        <v>311038401.34877449</v>
      </c>
      <c r="D200" s="159">
        <v>69777.668806834175</v>
      </c>
      <c r="E200" s="164">
        <v>6470686.8607954476</v>
      </c>
      <c r="F200" s="159">
        <v>0</v>
      </c>
      <c r="I200" s="159">
        <v>160</v>
      </c>
      <c r="J200" s="164">
        <v>311038401.34877449</v>
      </c>
      <c r="K200" s="159">
        <v>69777.668806834175</v>
      </c>
      <c r="L200" s="164">
        <v>6470686.8607954476</v>
      </c>
      <c r="M200" s="159">
        <v>0</v>
      </c>
      <c r="Q200" s="139">
        <v>160</v>
      </c>
      <c r="R200" s="164">
        <f t="shared" si="19"/>
        <v>828734875.51215696</v>
      </c>
      <c r="S200" s="164">
        <f t="shared" si="20"/>
        <v>-6470686.8607954476</v>
      </c>
      <c r="T200" s="159" t="str">
        <f t="shared" si="21"/>
        <v>TxPost-vaccination</v>
      </c>
      <c r="W200" s="139">
        <v>160</v>
      </c>
      <c r="X200" s="164">
        <f t="shared" si="22"/>
        <v>304567714.48797905</v>
      </c>
      <c r="Y200" s="159">
        <f t="shared" si="22"/>
        <v>69777.668806834175</v>
      </c>
      <c r="AB200" s="160">
        <v>159000</v>
      </c>
      <c r="AC200" s="161">
        <v>1</v>
      </c>
      <c r="AD200" s="161">
        <v>0</v>
      </c>
      <c r="AE200" s="164">
        <v>14821061365.273964</v>
      </c>
      <c r="AF200" s="164">
        <v>-8392970.8106751181</v>
      </c>
    </row>
    <row r="201" spans="2:32" x14ac:dyDescent="0.25">
      <c r="B201" s="159">
        <v>161</v>
      </c>
      <c r="C201" s="164">
        <v>301289044.6228196</v>
      </c>
      <c r="D201" s="159">
        <v>58315.537070860897</v>
      </c>
      <c r="E201" s="164">
        <v>5699396.8238905612</v>
      </c>
      <c r="F201" s="159">
        <v>0</v>
      </c>
      <c r="I201" s="159">
        <v>161</v>
      </c>
      <c r="J201" s="164">
        <v>301289044.6228196</v>
      </c>
      <c r="K201" s="159">
        <v>58315.537070860897</v>
      </c>
      <c r="L201" s="164">
        <v>5699396.8238905612</v>
      </c>
      <c r="M201" s="159">
        <v>0</v>
      </c>
      <c r="Q201" s="139">
        <v>161</v>
      </c>
      <c r="R201" s="164">
        <f t="shared" si="19"/>
        <v>651257692.97541857</v>
      </c>
      <c r="S201" s="164">
        <f t="shared" si="20"/>
        <v>-5699396.8238905612</v>
      </c>
      <c r="T201" s="159" t="str">
        <f t="shared" si="21"/>
        <v>TxPost-vaccination</v>
      </c>
      <c r="W201" s="139">
        <v>161</v>
      </c>
      <c r="X201" s="164">
        <f t="shared" si="22"/>
        <v>295589647.79892904</v>
      </c>
      <c r="Y201" s="159">
        <f t="shared" si="22"/>
        <v>58315.537070860897</v>
      </c>
      <c r="AB201" s="160">
        <v>160000</v>
      </c>
      <c r="AC201" s="162">
        <v>1</v>
      </c>
      <c r="AD201" s="162">
        <v>0</v>
      </c>
      <c r="AE201" s="165">
        <v>14916238334.88236</v>
      </c>
      <c r="AF201" s="165">
        <v>-8392970.8106751181</v>
      </c>
    </row>
    <row r="202" spans="2:32" x14ac:dyDescent="0.25">
      <c r="B202" s="159">
        <v>162</v>
      </c>
      <c r="C202" s="164">
        <v>280582527.73688579</v>
      </c>
      <c r="D202" s="159">
        <v>47640.696789328002</v>
      </c>
      <c r="E202" s="164">
        <v>4801313.5537757399</v>
      </c>
      <c r="F202" s="159">
        <v>0</v>
      </c>
      <c r="I202" s="159">
        <v>162</v>
      </c>
      <c r="J202" s="164">
        <v>280582527.73688579</v>
      </c>
      <c r="K202" s="159">
        <v>47640.696789328002</v>
      </c>
      <c r="L202" s="164">
        <v>4801313.5537757399</v>
      </c>
      <c r="M202" s="159">
        <v>0</v>
      </c>
      <c r="Q202" s="139">
        <v>162</v>
      </c>
      <c r="R202" s="164">
        <f t="shared" si="19"/>
        <v>497597569.42038989</v>
      </c>
      <c r="S202" s="164">
        <f t="shared" si="20"/>
        <v>-4801313.5537757399</v>
      </c>
      <c r="T202" s="159" t="str">
        <f t="shared" si="21"/>
        <v>TxPost-vaccination</v>
      </c>
      <c r="W202" s="139">
        <v>162</v>
      </c>
      <c r="X202" s="164">
        <f t="shared" si="22"/>
        <v>275781214.18311006</v>
      </c>
      <c r="Y202" s="159">
        <f t="shared" si="22"/>
        <v>47640.696789328002</v>
      </c>
      <c r="AB202" s="160">
        <v>161000</v>
      </c>
      <c r="AC202" s="162">
        <v>1</v>
      </c>
      <c r="AD202" s="162">
        <v>0</v>
      </c>
      <c r="AE202" s="165">
        <v>15011415304.490759</v>
      </c>
      <c r="AF202" s="165">
        <v>-8392970.8106751181</v>
      </c>
    </row>
    <row r="203" spans="2:32" x14ac:dyDescent="0.25">
      <c r="B203" s="159">
        <v>163</v>
      </c>
      <c r="C203" s="164">
        <v>322891998.82827324</v>
      </c>
      <c r="D203" s="159">
        <v>55672.402839993323</v>
      </c>
      <c r="E203" s="164">
        <v>6950135.8270627558</v>
      </c>
      <c r="F203" s="159">
        <v>0</v>
      </c>
      <c r="I203" s="159">
        <v>163</v>
      </c>
      <c r="J203" s="164">
        <v>322891998.82827324</v>
      </c>
      <c r="K203" s="159">
        <v>55672.402839993323</v>
      </c>
      <c r="L203" s="164">
        <v>6950135.8270627558</v>
      </c>
      <c r="M203" s="159">
        <v>0</v>
      </c>
      <c r="Q203" s="139">
        <v>163</v>
      </c>
      <c r="R203" s="164">
        <f t="shared" si="19"/>
        <v>586480843.52506995</v>
      </c>
      <c r="S203" s="164">
        <f t="shared" si="20"/>
        <v>-6950135.8270627558</v>
      </c>
      <c r="T203" s="159" t="str">
        <f t="shared" si="21"/>
        <v>TxPost-vaccination</v>
      </c>
      <c r="W203" s="139">
        <v>163</v>
      </c>
      <c r="X203" s="164">
        <f t="shared" si="22"/>
        <v>315941863.00121045</v>
      </c>
      <c r="Y203" s="159">
        <f t="shared" si="22"/>
        <v>55672.402839993323</v>
      </c>
      <c r="AB203" s="160">
        <v>162000</v>
      </c>
      <c r="AC203" s="162">
        <v>1</v>
      </c>
      <c r="AD203" s="162">
        <v>0</v>
      </c>
      <c r="AE203" s="165">
        <v>15106592274.099155</v>
      </c>
      <c r="AF203" s="165">
        <v>-8392970.8106751181</v>
      </c>
    </row>
    <row r="204" spans="2:32" x14ac:dyDescent="0.25">
      <c r="B204" s="159">
        <v>164</v>
      </c>
      <c r="C204" s="164">
        <v>314207884.57048947</v>
      </c>
      <c r="D204" s="159">
        <v>127709.7187447387</v>
      </c>
      <c r="E204" s="164">
        <v>9008113.1497033238</v>
      </c>
      <c r="F204" s="159">
        <v>0</v>
      </c>
      <c r="I204" s="159">
        <v>164</v>
      </c>
      <c r="J204" s="164">
        <v>314207884.57048947</v>
      </c>
      <c r="K204" s="159">
        <v>127709.7187447387</v>
      </c>
      <c r="L204" s="164">
        <v>9008113.1497033238</v>
      </c>
      <c r="M204" s="159">
        <v>0</v>
      </c>
      <c r="Q204" s="139">
        <v>164</v>
      </c>
      <c r="R204" s="164">
        <f t="shared" si="19"/>
        <v>1771848114.5720651</v>
      </c>
      <c r="S204" s="164">
        <f t="shared" si="20"/>
        <v>-9008113.1497033238</v>
      </c>
      <c r="T204" s="159" t="str">
        <f t="shared" si="21"/>
        <v>TxPost-vaccination</v>
      </c>
      <c r="W204" s="139">
        <v>164</v>
      </c>
      <c r="X204" s="164">
        <f t="shared" si="22"/>
        <v>305199771.42078614</v>
      </c>
      <c r="Y204" s="159">
        <f t="shared" si="22"/>
        <v>127709.7187447387</v>
      </c>
      <c r="AB204" s="160">
        <v>163000</v>
      </c>
      <c r="AC204" s="162">
        <v>1</v>
      </c>
      <c r="AD204" s="162">
        <v>0</v>
      </c>
      <c r="AE204" s="165">
        <v>15201769243.707552</v>
      </c>
      <c r="AF204" s="165">
        <v>-8392970.8106751181</v>
      </c>
    </row>
    <row r="205" spans="2:32" x14ac:dyDescent="0.25">
      <c r="B205" s="159">
        <v>165</v>
      </c>
      <c r="C205" s="164">
        <v>299305891.91071123</v>
      </c>
      <c r="D205" s="159">
        <v>105020.93158421498</v>
      </c>
      <c r="E205" s="164">
        <v>9006149.3879125547</v>
      </c>
      <c r="F205" s="159">
        <v>0</v>
      </c>
      <c r="I205" s="159">
        <v>165</v>
      </c>
      <c r="J205" s="164">
        <v>299305891.91071123</v>
      </c>
      <c r="K205" s="159">
        <v>105020.93158421498</v>
      </c>
      <c r="L205" s="164">
        <v>9006149.3879125547</v>
      </c>
      <c r="M205" s="159">
        <v>0</v>
      </c>
      <c r="Q205" s="139">
        <v>165</v>
      </c>
      <c r="R205" s="164">
        <f t="shared" si="19"/>
        <v>1416143382.5856116</v>
      </c>
      <c r="S205" s="164">
        <f t="shared" si="20"/>
        <v>-9006149.3879125547</v>
      </c>
      <c r="T205" s="159" t="str">
        <f t="shared" si="21"/>
        <v>TxPost-vaccination</v>
      </c>
      <c r="W205" s="139">
        <v>165</v>
      </c>
      <c r="X205" s="164">
        <f t="shared" si="22"/>
        <v>290299742.52279866</v>
      </c>
      <c r="Y205" s="159">
        <f t="shared" si="22"/>
        <v>105020.93158421498</v>
      </c>
      <c r="AB205" s="160">
        <v>164000</v>
      </c>
      <c r="AC205" s="162">
        <v>1</v>
      </c>
      <c r="AD205" s="162">
        <v>0</v>
      </c>
      <c r="AE205" s="165">
        <v>15296946213.315948</v>
      </c>
      <c r="AF205" s="165">
        <v>-8392970.8106751181</v>
      </c>
    </row>
    <row r="206" spans="2:32" x14ac:dyDescent="0.25">
      <c r="B206" s="159">
        <v>166</v>
      </c>
      <c r="C206" s="164">
        <v>316396776.23448843</v>
      </c>
      <c r="D206" s="159">
        <v>72840.706530396143</v>
      </c>
      <c r="E206" s="164">
        <v>7001995.8237307575</v>
      </c>
      <c r="F206" s="159">
        <v>0</v>
      </c>
      <c r="I206" s="159">
        <v>166</v>
      </c>
      <c r="J206" s="164">
        <v>316396776.23448843</v>
      </c>
      <c r="K206" s="159">
        <v>72840.706530396143</v>
      </c>
      <c r="L206" s="164">
        <v>7001995.8237307575</v>
      </c>
      <c r="M206" s="159">
        <v>0</v>
      </c>
      <c r="Q206" s="139">
        <v>166</v>
      </c>
      <c r="R206" s="164">
        <f t="shared" si="19"/>
        <v>873409248.96886015</v>
      </c>
      <c r="S206" s="164">
        <f t="shared" si="20"/>
        <v>-7001995.8237307575</v>
      </c>
      <c r="T206" s="159" t="str">
        <f t="shared" si="21"/>
        <v>TxPost-vaccination</v>
      </c>
      <c r="W206" s="139">
        <v>166</v>
      </c>
      <c r="X206" s="164">
        <f t="shared" si="22"/>
        <v>309394780.41075766</v>
      </c>
      <c r="Y206" s="159">
        <f t="shared" si="22"/>
        <v>72840.706530396143</v>
      </c>
      <c r="AB206" s="160">
        <v>165000</v>
      </c>
      <c r="AC206" s="162">
        <v>1</v>
      </c>
      <c r="AD206" s="162">
        <v>0</v>
      </c>
      <c r="AE206" s="165">
        <v>15392123182.924347</v>
      </c>
      <c r="AF206" s="165">
        <v>-8392970.8106751181</v>
      </c>
    </row>
    <row r="207" spans="2:32" x14ac:dyDescent="0.25">
      <c r="B207" s="159">
        <v>167</v>
      </c>
      <c r="C207" s="164">
        <v>325806567.45446277</v>
      </c>
      <c r="D207" s="159">
        <v>136509.87134811818</v>
      </c>
      <c r="E207" s="164">
        <v>10902323.18170272</v>
      </c>
      <c r="F207" s="159">
        <v>0</v>
      </c>
      <c r="I207" s="159">
        <v>167</v>
      </c>
      <c r="J207" s="164">
        <v>325806567.45446277</v>
      </c>
      <c r="K207" s="159">
        <v>136509.87134811818</v>
      </c>
      <c r="L207" s="164">
        <v>10902323.18170272</v>
      </c>
      <c r="M207" s="159">
        <v>0</v>
      </c>
      <c r="Q207" s="139">
        <v>167</v>
      </c>
      <c r="R207" s="164">
        <f t="shared" si="19"/>
        <v>1903994256.3740051</v>
      </c>
      <c r="S207" s="164">
        <f t="shared" si="20"/>
        <v>-10902323.18170272</v>
      </c>
      <c r="T207" s="159" t="str">
        <f t="shared" si="21"/>
        <v>TxPost-vaccination</v>
      </c>
      <c r="W207" s="139">
        <v>167</v>
      </c>
      <c r="X207" s="164">
        <f t="shared" si="22"/>
        <v>314904244.27276003</v>
      </c>
      <c r="Y207" s="159">
        <f t="shared" si="22"/>
        <v>136509.87134811818</v>
      </c>
      <c r="AB207" s="160">
        <v>166000</v>
      </c>
      <c r="AC207" s="162">
        <v>1</v>
      </c>
      <c r="AD207" s="162">
        <v>0</v>
      </c>
      <c r="AE207" s="165">
        <v>15487300152.532743</v>
      </c>
      <c r="AF207" s="165">
        <v>-8392970.8106751181</v>
      </c>
    </row>
    <row r="208" spans="2:32" x14ac:dyDescent="0.25">
      <c r="B208" s="159">
        <v>168</v>
      </c>
      <c r="C208" s="164">
        <v>306841512.92968303</v>
      </c>
      <c r="D208" s="159">
        <v>65723.822774967426</v>
      </c>
      <c r="E208" s="164">
        <v>5931635.826159887</v>
      </c>
      <c r="F208" s="159">
        <v>0</v>
      </c>
      <c r="I208" s="159">
        <v>168</v>
      </c>
      <c r="J208" s="164">
        <v>306841512.92968303</v>
      </c>
      <c r="K208" s="159">
        <v>65723.822774967426</v>
      </c>
      <c r="L208" s="164">
        <v>5931635.826159887</v>
      </c>
      <c r="M208" s="159">
        <v>0</v>
      </c>
      <c r="Q208" s="139">
        <v>168</v>
      </c>
      <c r="R208" s="164">
        <f t="shared" si="19"/>
        <v>766714800.04239583</v>
      </c>
      <c r="S208" s="164">
        <f t="shared" si="20"/>
        <v>-5931635.826159887</v>
      </c>
      <c r="T208" s="159" t="str">
        <f t="shared" si="21"/>
        <v>TxPost-vaccination</v>
      </c>
      <c r="W208" s="139">
        <v>168</v>
      </c>
      <c r="X208" s="164">
        <f t="shared" si="22"/>
        <v>300909877.10352314</v>
      </c>
      <c r="Y208" s="159">
        <f t="shared" si="22"/>
        <v>65723.822774967426</v>
      </c>
      <c r="AB208" s="160">
        <v>167000</v>
      </c>
      <c r="AC208" s="162">
        <v>1</v>
      </c>
      <c r="AD208" s="162">
        <v>0</v>
      </c>
      <c r="AE208" s="165">
        <v>15582477122.14114</v>
      </c>
      <c r="AF208" s="165">
        <v>-8392970.8106751181</v>
      </c>
    </row>
    <row r="209" spans="2:32" x14ac:dyDescent="0.25">
      <c r="B209" s="159">
        <v>169</v>
      </c>
      <c r="C209" s="164">
        <v>307791517.75902432</v>
      </c>
      <c r="D209" s="159">
        <v>82362.73403222175</v>
      </c>
      <c r="E209" s="164">
        <v>7570242.4505798519</v>
      </c>
      <c r="F209" s="159">
        <v>0</v>
      </c>
      <c r="I209" s="159">
        <v>169</v>
      </c>
      <c r="J209" s="164">
        <v>307791517.75902432</v>
      </c>
      <c r="K209" s="159">
        <v>82362.73403222175</v>
      </c>
      <c r="L209" s="164">
        <v>7570242.4505798519</v>
      </c>
      <c r="M209" s="159">
        <v>0</v>
      </c>
      <c r="Q209" s="139">
        <v>169</v>
      </c>
      <c r="R209" s="164">
        <f t="shared" si="19"/>
        <v>1037550693.6439514</v>
      </c>
      <c r="S209" s="164">
        <f t="shared" si="20"/>
        <v>-7570242.4505798519</v>
      </c>
      <c r="T209" s="159" t="str">
        <f t="shared" si="21"/>
        <v>TxPost-vaccination</v>
      </c>
      <c r="W209" s="139">
        <v>169</v>
      </c>
      <c r="X209" s="164">
        <f t="shared" si="22"/>
        <v>300221275.3084445</v>
      </c>
      <c r="Y209" s="159">
        <f t="shared" si="22"/>
        <v>82362.73403222175</v>
      </c>
      <c r="AB209" s="160">
        <v>168000</v>
      </c>
      <c r="AC209" s="162">
        <v>1</v>
      </c>
      <c r="AD209" s="162">
        <v>0</v>
      </c>
      <c r="AE209" s="165">
        <v>15677654091.749537</v>
      </c>
      <c r="AF209" s="165">
        <v>-8392970.8106751181</v>
      </c>
    </row>
    <row r="210" spans="2:32" x14ac:dyDescent="0.25">
      <c r="B210" s="159">
        <v>170</v>
      </c>
      <c r="C210" s="164">
        <v>327848794.60205704</v>
      </c>
      <c r="D210" s="159">
        <v>52680.892584167617</v>
      </c>
      <c r="E210" s="164">
        <v>5357280.6690433202</v>
      </c>
      <c r="F210" s="159">
        <v>0</v>
      </c>
      <c r="I210" s="159">
        <v>170</v>
      </c>
      <c r="J210" s="164">
        <v>327848794.60205704</v>
      </c>
      <c r="K210" s="159">
        <v>52680.892584167617</v>
      </c>
      <c r="L210" s="164">
        <v>5357280.6690433202</v>
      </c>
      <c r="M210" s="159">
        <v>0</v>
      </c>
      <c r="Q210" s="139">
        <v>170</v>
      </c>
      <c r="R210" s="164">
        <f t="shared" si="19"/>
        <v>532659654.52421409</v>
      </c>
      <c r="S210" s="164">
        <f t="shared" si="20"/>
        <v>-5357280.6690433202</v>
      </c>
      <c r="T210" s="159" t="str">
        <f t="shared" si="21"/>
        <v>TxPost-vaccination</v>
      </c>
      <c r="W210" s="139">
        <v>170</v>
      </c>
      <c r="X210" s="164">
        <f t="shared" si="22"/>
        <v>322491513.93301374</v>
      </c>
      <c r="Y210" s="159">
        <f t="shared" si="22"/>
        <v>52680.892584167617</v>
      </c>
      <c r="AB210" s="160">
        <v>169000</v>
      </c>
      <c r="AC210" s="162">
        <v>1</v>
      </c>
      <c r="AD210" s="162">
        <v>0</v>
      </c>
      <c r="AE210" s="165">
        <v>15772831061.357933</v>
      </c>
      <c r="AF210" s="165">
        <v>-8392970.8106751181</v>
      </c>
    </row>
    <row r="211" spans="2:32" x14ac:dyDescent="0.25">
      <c r="B211" s="159">
        <v>171</v>
      </c>
      <c r="C211" s="164">
        <v>333488363.83245057</v>
      </c>
      <c r="D211" s="159">
        <v>94455.534883681248</v>
      </c>
      <c r="E211" s="164">
        <v>7963474.6331857592</v>
      </c>
      <c r="F211" s="159">
        <v>0</v>
      </c>
      <c r="I211" s="159">
        <v>171</v>
      </c>
      <c r="J211" s="164">
        <v>333488363.83245057</v>
      </c>
      <c r="K211" s="159">
        <v>94455.534883681248</v>
      </c>
      <c r="L211" s="164">
        <v>7963474.6331857592</v>
      </c>
      <c r="M211" s="159">
        <v>0</v>
      </c>
      <c r="Q211" s="139">
        <v>171</v>
      </c>
      <c r="R211" s="164">
        <f t="shared" si="19"/>
        <v>1209381960.6270151</v>
      </c>
      <c r="S211" s="164">
        <f t="shared" si="20"/>
        <v>-7963474.6331857592</v>
      </c>
      <c r="T211" s="159" t="str">
        <f t="shared" si="21"/>
        <v>TxPost-vaccination</v>
      </c>
      <c r="W211" s="139">
        <v>171</v>
      </c>
      <c r="X211" s="164">
        <f t="shared" si="22"/>
        <v>325524889.19926482</v>
      </c>
      <c r="Y211" s="159">
        <f t="shared" si="22"/>
        <v>94455.534883681248</v>
      </c>
      <c r="AB211" s="160">
        <v>170000</v>
      </c>
      <c r="AC211" s="162">
        <v>1</v>
      </c>
      <c r="AD211" s="162">
        <v>0</v>
      </c>
      <c r="AE211" s="165">
        <v>15868008030.966331</v>
      </c>
      <c r="AF211" s="165">
        <v>-8392970.8106751181</v>
      </c>
    </row>
    <row r="212" spans="2:32" x14ac:dyDescent="0.25">
      <c r="B212" s="159">
        <v>172</v>
      </c>
      <c r="C212" s="164">
        <v>321796613.16404498</v>
      </c>
      <c r="D212" s="159">
        <v>129506.6651039016</v>
      </c>
      <c r="E212" s="164">
        <v>9582263.1404815186</v>
      </c>
      <c r="F212" s="159">
        <v>0</v>
      </c>
      <c r="I212" s="159">
        <v>172</v>
      </c>
      <c r="J212" s="164">
        <v>321796613.16404498</v>
      </c>
      <c r="K212" s="159">
        <v>129506.6651039016</v>
      </c>
      <c r="L212" s="164">
        <v>9582263.1404815186</v>
      </c>
      <c r="M212" s="159">
        <v>0</v>
      </c>
      <c r="Q212" s="139">
        <v>172</v>
      </c>
      <c r="R212" s="164">
        <f t="shared" si="19"/>
        <v>1793611347.3602552</v>
      </c>
      <c r="S212" s="164">
        <f t="shared" si="20"/>
        <v>-9582263.1404815186</v>
      </c>
      <c r="T212" s="159" t="str">
        <f t="shared" si="21"/>
        <v>TxPost-vaccination</v>
      </c>
      <c r="W212" s="139">
        <v>172</v>
      </c>
      <c r="X212" s="164">
        <f t="shared" si="22"/>
        <v>312214350.02356344</v>
      </c>
      <c r="Y212" s="159">
        <f t="shared" si="22"/>
        <v>129506.6651039016</v>
      </c>
      <c r="AB212" s="160">
        <v>171000</v>
      </c>
      <c r="AC212" s="162">
        <v>1</v>
      </c>
      <c r="AD212" s="162">
        <v>0</v>
      </c>
      <c r="AE212" s="165">
        <v>15963185000.574728</v>
      </c>
      <c r="AF212" s="165">
        <v>-8392970.8106751181</v>
      </c>
    </row>
    <row r="213" spans="2:32" x14ac:dyDescent="0.25">
      <c r="B213" s="159">
        <v>173</v>
      </c>
      <c r="C213" s="164">
        <v>293920301.66155767</v>
      </c>
      <c r="D213" s="159">
        <v>110463.82903633172</v>
      </c>
      <c r="E213" s="164">
        <v>11131533.450861242</v>
      </c>
      <c r="F213" s="159">
        <v>0</v>
      </c>
      <c r="I213" s="159">
        <v>173</v>
      </c>
      <c r="J213" s="164">
        <v>293920301.66155767</v>
      </c>
      <c r="K213" s="159">
        <v>110463.82903633172</v>
      </c>
      <c r="L213" s="164">
        <v>11131533.450861242</v>
      </c>
      <c r="M213" s="159">
        <v>0</v>
      </c>
      <c r="Q213" s="139">
        <v>173</v>
      </c>
      <c r="R213" s="164">
        <f t="shared" si="19"/>
        <v>1510435196.9992719</v>
      </c>
      <c r="S213" s="164">
        <f t="shared" si="20"/>
        <v>-11131533.450861242</v>
      </c>
      <c r="T213" s="159" t="str">
        <f t="shared" si="21"/>
        <v>TxPost-vaccination</v>
      </c>
      <c r="W213" s="139">
        <v>173</v>
      </c>
      <c r="X213" s="164">
        <f t="shared" si="22"/>
        <v>282788768.21069646</v>
      </c>
      <c r="Y213" s="159">
        <f t="shared" si="22"/>
        <v>110463.82903633172</v>
      </c>
      <c r="AB213" s="160">
        <v>172000</v>
      </c>
      <c r="AC213" s="162">
        <v>1</v>
      </c>
      <c r="AD213" s="162">
        <v>0</v>
      </c>
      <c r="AE213" s="165">
        <v>16058361970.183125</v>
      </c>
      <c r="AF213" s="165">
        <v>-8392970.8106751181</v>
      </c>
    </row>
    <row r="214" spans="2:32" x14ac:dyDescent="0.25">
      <c r="B214" s="159">
        <v>174</v>
      </c>
      <c r="C214" s="164">
        <v>302634966.83944619</v>
      </c>
      <c r="D214" s="159">
        <v>95187.85228581712</v>
      </c>
      <c r="E214" s="164">
        <v>9201703.5244294833</v>
      </c>
      <c r="F214" s="159">
        <v>0</v>
      </c>
      <c r="I214" s="159">
        <v>174</v>
      </c>
      <c r="J214" s="164">
        <v>302634966.83944619</v>
      </c>
      <c r="K214" s="159">
        <v>95187.85228581712</v>
      </c>
      <c r="L214" s="164">
        <v>9201703.5244294833</v>
      </c>
      <c r="M214" s="159">
        <v>0</v>
      </c>
      <c r="Q214" s="139">
        <v>174</v>
      </c>
      <c r="R214" s="164">
        <f t="shared" si="19"/>
        <v>1252197290.7055936</v>
      </c>
      <c r="S214" s="164">
        <f t="shared" si="20"/>
        <v>-9201703.5244294833</v>
      </c>
      <c r="T214" s="159" t="str">
        <f t="shared" si="21"/>
        <v>TxPost-vaccination</v>
      </c>
      <c r="W214" s="139">
        <v>174</v>
      </c>
      <c r="X214" s="164">
        <f t="shared" si="22"/>
        <v>293433263.31501669</v>
      </c>
      <c r="Y214" s="159">
        <f t="shared" si="22"/>
        <v>95187.85228581712</v>
      </c>
      <c r="AB214" s="160">
        <v>173000</v>
      </c>
      <c r="AC214" s="162">
        <v>1</v>
      </c>
      <c r="AD214" s="162">
        <v>0</v>
      </c>
      <c r="AE214" s="165">
        <v>16153538939.791521</v>
      </c>
      <c r="AF214" s="165">
        <v>-8392970.8106751181</v>
      </c>
    </row>
    <row r="215" spans="2:32" x14ac:dyDescent="0.25">
      <c r="B215" s="159">
        <v>175</v>
      </c>
      <c r="C215" s="164">
        <v>353018802.70809227</v>
      </c>
      <c r="D215" s="159">
        <v>90285.21614423774</v>
      </c>
      <c r="E215" s="164">
        <v>7782535.1671728315</v>
      </c>
      <c r="F215" s="159">
        <v>0</v>
      </c>
      <c r="I215" s="159">
        <v>175</v>
      </c>
      <c r="J215" s="164">
        <v>353018802.70809227</v>
      </c>
      <c r="K215" s="159">
        <v>90285.21614423774</v>
      </c>
      <c r="L215" s="164">
        <v>7782535.1671728315</v>
      </c>
      <c r="M215" s="159">
        <v>0</v>
      </c>
      <c r="Q215" s="139">
        <v>175</v>
      </c>
      <c r="R215" s="164">
        <f t="shared" si="19"/>
        <v>1121732051.2031608</v>
      </c>
      <c r="S215" s="164">
        <f t="shared" si="20"/>
        <v>-7782535.1671728315</v>
      </c>
      <c r="T215" s="159" t="str">
        <f t="shared" si="21"/>
        <v>TxPost-vaccination</v>
      </c>
      <c r="W215" s="139">
        <v>175</v>
      </c>
      <c r="X215" s="164">
        <f t="shared" si="22"/>
        <v>345236267.54091942</v>
      </c>
      <c r="Y215" s="159">
        <f t="shared" si="22"/>
        <v>90285.21614423774</v>
      </c>
      <c r="AB215" s="160">
        <v>174000</v>
      </c>
      <c r="AC215" s="162">
        <v>1</v>
      </c>
      <c r="AD215" s="162">
        <v>0</v>
      </c>
      <c r="AE215" s="165">
        <v>16248715909.399918</v>
      </c>
      <c r="AF215" s="165">
        <v>-8392970.8106751181</v>
      </c>
    </row>
    <row r="216" spans="2:32" x14ac:dyDescent="0.25">
      <c r="B216" s="159">
        <v>176</v>
      </c>
      <c r="C216" s="164">
        <v>311515667.44276029</v>
      </c>
      <c r="D216" s="159">
        <v>48383.519724352758</v>
      </c>
      <c r="E216" s="164">
        <v>4848523.081638068</v>
      </c>
      <c r="F216" s="159">
        <v>0</v>
      </c>
      <c r="I216" s="159">
        <v>176</v>
      </c>
      <c r="J216" s="164">
        <v>311515667.44276029</v>
      </c>
      <c r="K216" s="159">
        <v>48383.519724352758</v>
      </c>
      <c r="L216" s="164">
        <v>4848523.081638068</v>
      </c>
      <c r="M216" s="159">
        <v>0</v>
      </c>
      <c r="Q216" s="139">
        <v>176</v>
      </c>
      <c r="R216" s="164">
        <f t="shared" si="19"/>
        <v>478797963.9133206</v>
      </c>
      <c r="S216" s="164">
        <f t="shared" si="20"/>
        <v>-4848523.081638068</v>
      </c>
      <c r="T216" s="159" t="str">
        <f t="shared" si="21"/>
        <v>TxPost-vaccination</v>
      </c>
      <c r="W216" s="139">
        <v>176</v>
      </c>
      <c r="X216" s="164">
        <f t="shared" si="22"/>
        <v>306667144.36112225</v>
      </c>
      <c r="Y216" s="159">
        <f t="shared" si="22"/>
        <v>48383.519724352758</v>
      </c>
      <c r="AB216" s="160">
        <v>175000</v>
      </c>
      <c r="AC216" s="162">
        <v>1</v>
      </c>
      <c r="AD216" s="162">
        <v>0</v>
      </c>
      <c r="AE216" s="165">
        <v>16343892879.008316</v>
      </c>
      <c r="AF216" s="165">
        <v>-8392970.8106751181</v>
      </c>
    </row>
    <row r="217" spans="2:32" x14ac:dyDescent="0.25">
      <c r="B217" s="159">
        <v>177</v>
      </c>
      <c r="C217" s="164">
        <v>283136229.80645901</v>
      </c>
      <c r="D217" s="159">
        <v>121847.88358776786</v>
      </c>
      <c r="E217" s="164">
        <v>9354083.9816386104</v>
      </c>
      <c r="F217" s="159">
        <v>0</v>
      </c>
      <c r="I217" s="159">
        <v>177</v>
      </c>
      <c r="J217" s="164">
        <v>283136229.80645901</v>
      </c>
      <c r="K217" s="159">
        <v>121847.88358776786</v>
      </c>
      <c r="L217" s="164">
        <v>9354083.9816386104</v>
      </c>
      <c r="M217" s="159">
        <v>0</v>
      </c>
      <c r="Q217" s="139">
        <v>177</v>
      </c>
      <c r="R217" s="164">
        <f t="shared" si="19"/>
        <v>1707170467.5963836</v>
      </c>
      <c r="S217" s="164">
        <f t="shared" si="20"/>
        <v>-9354083.9816386104</v>
      </c>
      <c r="T217" s="159" t="str">
        <f t="shared" si="21"/>
        <v>TxPost-vaccination</v>
      </c>
      <c r="W217" s="139">
        <v>177</v>
      </c>
      <c r="X217" s="164">
        <f t="shared" si="22"/>
        <v>273782145.8248204</v>
      </c>
      <c r="Y217" s="159">
        <f t="shared" si="22"/>
        <v>121847.88358776786</v>
      </c>
      <c r="AB217" s="160">
        <v>176000</v>
      </c>
      <c r="AC217" s="162">
        <v>1</v>
      </c>
      <c r="AD217" s="162">
        <v>0</v>
      </c>
      <c r="AE217" s="165">
        <v>16439069848.616713</v>
      </c>
      <c r="AF217" s="165">
        <v>-8392970.8106751181</v>
      </c>
    </row>
    <row r="218" spans="2:32" x14ac:dyDescent="0.25">
      <c r="B218" s="159">
        <v>178</v>
      </c>
      <c r="C218" s="164">
        <v>327376162.04442215</v>
      </c>
      <c r="D218" s="159">
        <v>102538.07330983887</v>
      </c>
      <c r="E218" s="164">
        <v>10211662.249663264</v>
      </c>
      <c r="F218" s="159">
        <v>0</v>
      </c>
      <c r="I218" s="159">
        <v>178</v>
      </c>
      <c r="J218" s="164">
        <v>327376162.04442215</v>
      </c>
      <c r="K218" s="159">
        <v>102538.07330983887</v>
      </c>
      <c r="L218" s="164">
        <v>10211662.249663264</v>
      </c>
      <c r="M218" s="159">
        <v>0</v>
      </c>
      <c r="Q218" s="139">
        <v>178</v>
      </c>
      <c r="R218" s="164">
        <f t="shared" si="19"/>
        <v>1347517221.724153</v>
      </c>
      <c r="S218" s="164">
        <f t="shared" si="20"/>
        <v>-10211662.249663264</v>
      </c>
      <c r="T218" s="159" t="str">
        <f t="shared" si="21"/>
        <v>TxPost-vaccination</v>
      </c>
      <c r="W218" s="139">
        <v>178</v>
      </c>
      <c r="X218" s="164">
        <f t="shared" si="22"/>
        <v>317164499.79475892</v>
      </c>
      <c r="Y218" s="159">
        <f t="shared" si="22"/>
        <v>102538.07330983887</v>
      </c>
      <c r="AB218" s="160">
        <v>177000</v>
      </c>
      <c r="AC218" s="162">
        <v>1</v>
      </c>
      <c r="AD218" s="162">
        <v>0</v>
      </c>
      <c r="AE218" s="165">
        <v>16534246818.225109</v>
      </c>
      <c r="AF218" s="165">
        <v>-8392970.8106751181</v>
      </c>
    </row>
    <row r="219" spans="2:32" x14ac:dyDescent="0.25">
      <c r="B219" s="159">
        <v>179</v>
      </c>
      <c r="C219" s="164">
        <v>327873318.01411033</v>
      </c>
      <c r="D219" s="159">
        <v>90550.680034299658</v>
      </c>
      <c r="E219" s="164">
        <v>7873161.1645813463</v>
      </c>
      <c r="F219" s="159">
        <v>0</v>
      </c>
      <c r="I219" s="159">
        <v>179</v>
      </c>
      <c r="J219" s="164">
        <v>327873318.01411033</v>
      </c>
      <c r="K219" s="159">
        <v>90550.680034299658</v>
      </c>
      <c r="L219" s="164">
        <v>7873161.1645813463</v>
      </c>
      <c r="M219" s="159">
        <v>0</v>
      </c>
      <c r="Q219" s="139">
        <v>179</v>
      </c>
      <c r="R219" s="164">
        <f t="shared" si="19"/>
        <v>1151213717.5586672</v>
      </c>
      <c r="S219" s="164">
        <f t="shared" si="20"/>
        <v>-7873161.1645813463</v>
      </c>
      <c r="T219" s="159" t="str">
        <f t="shared" si="21"/>
        <v>TxPost-vaccination</v>
      </c>
      <c r="W219" s="139">
        <v>179</v>
      </c>
      <c r="X219" s="164">
        <f t="shared" si="22"/>
        <v>320000156.84952897</v>
      </c>
      <c r="Y219" s="159">
        <f t="shared" si="22"/>
        <v>90550.680034299658</v>
      </c>
      <c r="AB219" s="160">
        <v>178000</v>
      </c>
      <c r="AC219" s="162">
        <v>1</v>
      </c>
      <c r="AD219" s="162">
        <v>0</v>
      </c>
      <c r="AE219" s="165">
        <v>16629423787.833506</v>
      </c>
      <c r="AF219" s="165">
        <v>-8392970.8106751181</v>
      </c>
    </row>
    <row r="220" spans="2:32" x14ac:dyDescent="0.25">
      <c r="B220" s="159">
        <v>180</v>
      </c>
      <c r="C220" s="164">
        <v>309570013.90096921</v>
      </c>
      <c r="D220" s="159">
        <v>99677.480799625555</v>
      </c>
      <c r="E220" s="164">
        <v>9624314.7035779636</v>
      </c>
      <c r="F220" s="159">
        <v>0</v>
      </c>
      <c r="I220" s="159">
        <v>180</v>
      </c>
      <c r="J220" s="164">
        <v>309570013.90096921</v>
      </c>
      <c r="K220" s="159">
        <v>99677.480799625555</v>
      </c>
      <c r="L220" s="164">
        <v>9624314.7035779636</v>
      </c>
      <c r="M220" s="159">
        <v>0</v>
      </c>
      <c r="Q220" s="139">
        <v>180</v>
      </c>
      <c r="R220" s="164">
        <f t="shared" si="19"/>
        <v>1318597433.6923015</v>
      </c>
      <c r="S220" s="164">
        <f t="shared" si="20"/>
        <v>-9624314.7035779636</v>
      </c>
      <c r="T220" s="159" t="str">
        <f t="shared" si="21"/>
        <v>TxPost-vaccination</v>
      </c>
      <c r="W220" s="139">
        <v>180</v>
      </c>
      <c r="X220" s="164">
        <f t="shared" si="22"/>
        <v>299945699.19739127</v>
      </c>
      <c r="Y220" s="159">
        <f t="shared" si="22"/>
        <v>99677.480799625555</v>
      </c>
      <c r="AB220" s="160">
        <v>179000</v>
      </c>
      <c r="AC220" s="162">
        <v>1</v>
      </c>
      <c r="AD220" s="162">
        <v>0</v>
      </c>
      <c r="AE220" s="165">
        <v>16724600757.441902</v>
      </c>
      <c r="AF220" s="165">
        <v>-8392970.8106751181</v>
      </c>
    </row>
    <row r="221" spans="2:32" x14ac:dyDescent="0.25">
      <c r="B221" s="159">
        <v>181</v>
      </c>
      <c r="C221" s="164">
        <v>323676232.41486257</v>
      </c>
      <c r="D221" s="159">
        <v>91869.513124496254</v>
      </c>
      <c r="E221" s="164">
        <v>9127442.8312026244</v>
      </c>
      <c r="F221" s="159">
        <v>0</v>
      </c>
      <c r="I221" s="159">
        <v>181</v>
      </c>
      <c r="J221" s="164">
        <v>323676232.41486257</v>
      </c>
      <c r="K221" s="159">
        <v>91869.513124496254</v>
      </c>
      <c r="L221" s="164">
        <v>9127442.8312026244</v>
      </c>
      <c r="M221" s="159">
        <v>0</v>
      </c>
      <c r="Q221" s="139">
        <v>181</v>
      </c>
      <c r="R221" s="164">
        <f t="shared" si="19"/>
        <v>1176953092.2390711</v>
      </c>
      <c r="S221" s="164">
        <f t="shared" si="20"/>
        <v>-9127442.8312026244</v>
      </c>
      <c r="T221" s="159" t="str">
        <f t="shared" si="21"/>
        <v>TxPost-vaccination</v>
      </c>
      <c r="W221" s="139">
        <v>181</v>
      </c>
      <c r="X221" s="164">
        <f t="shared" si="22"/>
        <v>314548789.58365995</v>
      </c>
      <c r="Y221" s="159">
        <f t="shared" si="22"/>
        <v>91869.513124496254</v>
      </c>
      <c r="AB221" s="160">
        <v>180000</v>
      </c>
      <c r="AC221" s="162">
        <v>1</v>
      </c>
      <c r="AD221" s="162">
        <v>0</v>
      </c>
      <c r="AE221" s="165">
        <v>16819777727.050301</v>
      </c>
      <c r="AF221" s="165">
        <v>-8392970.8106751181</v>
      </c>
    </row>
    <row r="222" spans="2:32" x14ac:dyDescent="0.25">
      <c r="B222" s="159">
        <v>182</v>
      </c>
      <c r="C222" s="164">
        <v>350515937.23840928</v>
      </c>
      <c r="D222" s="159">
        <v>110147.51388735478</v>
      </c>
      <c r="E222" s="164">
        <v>10081375.017393827</v>
      </c>
      <c r="F222" s="159">
        <v>0</v>
      </c>
      <c r="I222" s="159">
        <v>182</v>
      </c>
      <c r="J222" s="164">
        <v>350515937.23840928</v>
      </c>
      <c r="K222" s="159">
        <v>110147.51388735478</v>
      </c>
      <c r="L222" s="164">
        <v>10081375.017393827</v>
      </c>
      <c r="M222" s="159">
        <v>0</v>
      </c>
      <c r="Q222" s="139">
        <v>182</v>
      </c>
      <c r="R222" s="164">
        <f t="shared" si="19"/>
        <v>1448672757.1993065</v>
      </c>
      <c r="S222" s="164">
        <f t="shared" si="20"/>
        <v>-10081375.017393827</v>
      </c>
      <c r="T222" s="159" t="str">
        <f t="shared" si="21"/>
        <v>TxPost-vaccination</v>
      </c>
      <c r="W222" s="139">
        <v>182</v>
      </c>
      <c r="X222" s="164">
        <f t="shared" si="22"/>
        <v>340434562.22101545</v>
      </c>
      <c r="Y222" s="159">
        <f t="shared" si="22"/>
        <v>110147.51388735478</v>
      </c>
      <c r="AB222" s="160">
        <v>181000</v>
      </c>
      <c r="AC222" s="162">
        <v>1</v>
      </c>
      <c r="AD222" s="162">
        <v>0</v>
      </c>
      <c r="AE222" s="165">
        <v>16914954696.658697</v>
      </c>
      <c r="AF222" s="165">
        <v>-8392970.8106751181</v>
      </c>
    </row>
    <row r="223" spans="2:32" x14ac:dyDescent="0.25">
      <c r="B223" s="159">
        <v>183</v>
      </c>
      <c r="C223" s="164">
        <v>292932586.854047</v>
      </c>
      <c r="D223" s="159">
        <v>103332.39159083011</v>
      </c>
      <c r="E223" s="164">
        <v>9126723.6194087137</v>
      </c>
      <c r="F223" s="159">
        <v>0</v>
      </c>
      <c r="I223" s="159">
        <v>183</v>
      </c>
      <c r="J223" s="164">
        <v>292932586.854047</v>
      </c>
      <c r="K223" s="159">
        <v>103332.39159083011</v>
      </c>
      <c r="L223" s="164">
        <v>9126723.6194087137</v>
      </c>
      <c r="M223" s="159">
        <v>0</v>
      </c>
      <c r="Q223" s="139">
        <v>183</v>
      </c>
      <c r="R223" s="164">
        <f t="shared" si="19"/>
        <v>1394935474.4220583</v>
      </c>
      <c r="S223" s="164">
        <f t="shared" si="20"/>
        <v>-9126723.6194087137</v>
      </c>
      <c r="T223" s="159" t="str">
        <f t="shared" si="21"/>
        <v>TxPost-vaccination</v>
      </c>
      <c r="W223" s="139">
        <v>183</v>
      </c>
      <c r="X223" s="164">
        <f t="shared" si="22"/>
        <v>283805863.23463827</v>
      </c>
      <c r="Y223" s="159">
        <f t="shared" si="22"/>
        <v>103332.39159083011</v>
      </c>
      <c r="AB223" s="160">
        <v>182000</v>
      </c>
      <c r="AC223" s="162">
        <v>1</v>
      </c>
      <c r="AD223" s="162">
        <v>0</v>
      </c>
      <c r="AE223" s="165">
        <v>17010131666.267092</v>
      </c>
      <c r="AF223" s="165">
        <v>-8392970.8106751181</v>
      </c>
    </row>
    <row r="224" spans="2:32" x14ac:dyDescent="0.25">
      <c r="B224" s="159">
        <v>184</v>
      </c>
      <c r="C224" s="164">
        <v>317120308.44143802</v>
      </c>
      <c r="D224" s="159">
        <v>82820.806273328053</v>
      </c>
      <c r="E224" s="164">
        <v>7525673.1550073884</v>
      </c>
      <c r="F224" s="159">
        <v>0</v>
      </c>
      <c r="I224" s="159">
        <v>184</v>
      </c>
      <c r="J224" s="164">
        <v>317120308.44143802</v>
      </c>
      <c r="K224" s="159">
        <v>82820.806273328053</v>
      </c>
      <c r="L224" s="164">
        <v>7525673.1550073884</v>
      </c>
      <c r="M224" s="159">
        <v>0</v>
      </c>
      <c r="Q224" s="139">
        <v>184</v>
      </c>
      <c r="R224" s="164">
        <f t="shared" si="19"/>
        <v>1035704217.9802594</v>
      </c>
      <c r="S224" s="164">
        <f t="shared" si="20"/>
        <v>-7525673.1550073884</v>
      </c>
      <c r="T224" s="159" t="str">
        <f t="shared" si="21"/>
        <v>TxPost-vaccination</v>
      </c>
      <c r="W224" s="139">
        <v>184</v>
      </c>
      <c r="X224" s="164">
        <f t="shared" si="22"/>
        <v>309594635.28643066</v>
      </c>
      <c r="Y224" s="159">
        <f t="shared" si="22"/>
        <v>82820.806273328053</v>
      </c>
      <c r="AB224" s="160">
        <v>183000</v>
      </c>
      <c r="AC224" s="162">
        <v>1</v>
      </c>
      <c r="AD224" s="162">
        <v>0</v>
      </c>
      <c r="AE224" s="165">
        <v>17105308635.87549</v>
      </c>
      <c r="AF224" s="165">
        <v>-8392970.8106751181</v>
      </c>
    </row>
    <row r="225" spans="2:32" x14ac:dyDescent="0.25">
      <c r="B225" s="159">
        <v>185</v>
      </c>
      <c r="C225" s="164">
        <v>346120052.91074616</v>
      </c>
      <c r="D225" s="159">
        <v>86193.562787162387</v>
      </c>
      <c r="E225" s="164">
        <v>8247346.6452037822</v>
      </c>
      <c r="F225" s="159">
        <v>0</v>
      </c>
      <c r="I225" s="159">
        <v>185</v>
      </c>
      <c r="J225" s="164">
        <v>346120052.91074616</v>
      </c>
      <c r="K225" s="159">
        <v>86193.562787162387</v>
      </c>
      <c r="L225" s="164">
        <v>8247346.6452037822</v>
      </c>
      <c r="M225" s="159">
        <v>0</v>
      </c>
      <c r="Q225" s="139">
        <v>185</v>
      </c>
      <c r="R225" s="164">
        <f t="shared" si="19"/>
        <v>1061796278.805692</v>
      </c>
      <c r="S225" s="164">
        <f t="shared" si="20"/>
        <v>-8247346.6452037822</v>
      </c>
      <c r="T225" s="159" t="str">
        <f t="shared" si="21"/>
        <v>TxPost-vaccination</v>
      </c>
      <c r="W225" s="139">
        <v>185</v>
      </c>
      <c r="X225" s="164">
        <f t="shared" si="22"/>
        <v>337872706.26554239</v>
      </c>
      <c r="Y225" s="159">
        <f t="shared" si="22"/>
        <v>86193.562787162387</v>
      </c>
      <c r="AB225" s="160">
        <v>184000</v>
      </c>
      <c r="AC225" s="162">
        <v>1</v>
      </c>
      <c r="AD225" s="162">
        <v>0</v>
      </c>
      <c r="AE225" s="165">
        <v>17200485605.483891</v>
      </c>
      <c r="AF225" s="165">
        <v>-8392970.8106751181</v>
      </c>
    </row>
    <row r="226" spans="2:32" x14ac:dyDescent="0.25">
      <c r="B226" s="159">
        <v>186</v>
      </c>
      <c r="C226" s="164">
        <v>316142316.15202081</v>
      </c>
      <c r="D226" s="159">
        <v>102160.5691955096</v>
      </c>
      <c r="E226" s="164">
        <v>8955186.9401999563</v>
      </c>
      <c r="F226" s="159">
        <v>0</v>
      </c>
      <c r="I226" s="159">
        <v>186</v>
      </c>
      <c r="J226" s="164">
        <v>316142316.15202081</v>
      </c>
      <c r="K226" s="159">
        <v>102160.5691955096</v>
      </c>
      <c r="L226" s="164">
        <v>8955186.9401999563</v>
      </c>
      <c r="M226" s="159">
        <v>0</v>
      </c>
      <c r="Q226" s="139">
        <v>186</v>
      </c>
      <c r="R226" s="164">
        <f t="shared" si="19"/>
        <v>1352584781.0556107</v>
      </c>
      <c r="S226" s="164">
        <f t="shared" si="20"/>
        <v>-8955186.9401999563</v>
      </c>
      <c r="T226" s="159" t="str">
        <f t="shared" si="21"/>
        <v>TxPost-vaccination</v>
      </c>
      <c r="W226" s="139">
        <v>186</v>
      </c>
      <c r="X226" s="164">
        <f t="shared" si="22"/>
        <v>307187129.21182084</v>
      </c>
      <c r="Y226" s="159">
        <f t="shared" si="22"/>
        <v>102160.5691955096</v>
      </c>
      <c r="AB226" s="160">
        <v>185000</v>
      </c>
      <c r="AC226" s="162">
        <v>1</v>
      </c>
      <c r="AD226" s="162">
        <v>0</v>
      </c>
      <c r="AE226" s="165">
        <v>17295662575.092285</v>
      </c>
      <c r="AF226" s="165">
        <v>-8392970.8106751181</v>
      </c>
    </row>
    <row r="227" spans="2:32" x14ac:dyDescent="0.25">
      <c r="B227" s="159">
        <v>187</v>
      </c>
      <c r="C227" s="164">
        <v>321455955.3012017</v>
      </c>
      <c r="D227" s="159">
        <v>115949.14163595837</v>
      </c>
      <c r="E227" s="164">
        <v>10127458.212736765</v>
      </c>
      <c r="F227" s="159">
        <v>0</v>
      </c>
      <c r="I227" s="159">
        <v>187</v>
      </c>
      <c r="J227" s="164">
        <v>321455955.3012017</v>
      </c>
      <c r="K227" s="159">
        <v>115949.14163595837</v>
      </c>
      <c r="L227" s="164">
        <v>10127458.212736765</v>
      </c>
      <c r="M227" s="159">
        <v>0</v>
      </c>
      <c r="Q227" s="139">
        <v>187</v>
      </c>
      <c r="R227" s="164">
        <f t="shared" si="19"/>
        <v>1572498591.6395369</v>
      </c>
      <c r="S227" s="164">
        <f t="shared" si="20"/>
        <v>-10127458.212736765</v>
      </c>
      <c r="T227" s="159" t="str">
        <f t="shared" si="21"/>
        <v>TxPost-vaccination</v>
      </c>
      <c r="W227" s="139">
        <v>187</v>
      </c>
      <c r="X227" s="164">
        <f t="shared" si="22"/>
        <v>311328497.08846492</v>
      </c>
      <c r="Y227" s="159">
        <f t="shared" si="22"/>
        <v>115949.14163595837</v>
      </c>
      <c r="AB227" s="160">
        <v>186000</v>
      </c>
      <c r="AC227" s="162">
        <v>1</v>
      </c>
      <c r="AD227" s="162">
        <v>0</v>
      </c>
      <c r="AE227" s="165">
        <v>17390839544.700684</v>
      </c>
      <c r="AF227" s="165">
        <v>-8392970.8106751181</v>
      </c>
    </row>
    <row r="228" spans="2:32" x14ac:dyDescent="0.25">
      <c r="B228" s="159">
        <v>188</v>
      </c>
      <c r="C228" s="164">
        <v>312050276.53969556</v>
      </c>
      <c r="D228" s="159">
        <v>77416.391940237649</v>
      </c>
      <c r="E228" s="164">
        <v>6976935.6872383021</v>
      </c>
      <c r="F228" s="159">
        <v>0</v>
      </c>
      <c r="I228" s="159">
        <v>188</v>
      </c>
      <c r="J228" s="164">
        <v>312050276.53969556</v>
      </c>
      <c r="K228" s="159">
        <v>77416.391940237649</v>
      </c>
      <c r="L228" s="164">
        <v>6976935.6872383021</v>
      </c>
      <c r="M228" s="159">
        <v>0</v>
      </c>
      <c r="Q228" s="139">
        <v>188</v>
      </c>
      <c r="R228" s="164">
        <f t="shared" si="19"/>
        <v>952496622.68019819</v>
      </c>
      <c r="S228" s="164">
        <f t="shared" si="20"/>
        <v>-6976935.6872383021</v>
      </c>
      <c r="T228" s="159" t="str">
        <f t="shared" si="21"/>
        <v>TxPost-vaccination</v>
      </c>
      <c r="W228" s="139">
        <v>188</v>
      </c>
      <c r="X228" s="164">
        <f t="shared" si="22"/>
        <v>305073340.85245728</v>
      </c>
      <c r="Y228" s="159">
        <f t="shared" si="22"/>
        <v>77416.391940237649</v>
      </c>
      <c r="AB228" s="160">
        <v>187000</v>
      </c>
      <c r="AC228" s="162">
        <v>1</v>
      </c>
      <c r="AD228" s="162">
        <v>0</v>
      </c>
      <c r="AE228" s="165">
        <v>17486016514.309078</v>
      </c>
      <c r="AF228" s="165">
        <v>-8392970.8106751181</v>
      </c>
    </row>
    <row r="229" spans="2:32" x14ac:dyDescent="0.25">
      <c r="B229" s="159">
        <v>189</v>
      </c>
      <c r="C229" s="164">
        <v>330604001.13960755</v>
      </c>
      <c r="D229" s="159">
        <v>109805.44546719368</v>
      </c>
      <c r="E229" s="164">
        <v>11567387.44487204</v>
      </c>
      <c r="F229" s="159">
        <v>0</v>
      </c>
      <c r="I229" s="159">
        <v>189</v>
      </c>
      <c r="J229" s="164">
        <v>330604001.13960755</v>
      </c>
      <c r="K229" s="159">
        <v>109805.44546719368</v>
      </c>
      <c r="L229" s="164">
        <v>11567387.44487204</v>
      </c>
      <c r="M229" s="159">
        <v>0</v>
      </c>
      <c r="Q229" s="139">
        <v>189</v>
      </c>
      <c r="R229" s="164">
        <f t="shared" si="19"/>
        <v>1462997225.9776254</v>
      </c>
      <c r="S229" s="164">
        <f t="shared" si="20"/>
        <v>-11567387.44487204</v>
      </c>
      <c r="T229" s="159" t="str">
        <f t="shared" si="21"/>
        <v>TxPost-vaccination</v>
      </c>
      <c r="W229" s="139">
        <v>189</v>
      </c>
      <c r="X229" s="164">
        <f t="shared" si="22"/>
        <v>319036613.69473553</v>
      </c>
      <c r="Y229" s="159">
        <f t="shared" si="22"/>
        <v>109805.44546719368</v>
      </c>
      <c r="AB229" s="160">
        <v>188000</v>
      </c>
      <c r="AC229" s="162">
        <v>1</v>
      </c>
      <c r="AD229" s="162">
        <v>0</v>
      </c>
      <c r="AE229" s="165">
        <v>17581193483.917477</v>
      </c>
      <c r="AF229" s="165">
        <v>-8392970.8106751181</v>
      </c>
    </row>
    <row r="230" spans="2:32" x14ac:dyDescent="0.25">
      <c r="B230" s="159">
        <v>190</v>
      </c>
      <c r="C230" s="164">
        <v>311742073.10783172</v>
      </c>
      <c r="D230" s="159">
        <v>91404.46576370312</v>
      </c>
      <c r="E230" s="164">
        <v>8992852.4395439811</v>
      </c>
      <c r="F230" s="159">
        <v>0</v>
      </c>
      <c r="I230" s="159">
        <v>190</v>
      </c>
      <c r="J230" s="164">
        <v>311742073.10783172</v>
      </c>
      <c r="K230" s="159">
        <v>91404.46576370312</v>
      </c>
      <c r="L230" s="164">
        <v>8992852.4395439811</v>
      </c>
      <c r="M230" s="159">
        <v>0</v>
      </c>
      <c r="Q230" s="139">
        <v>190</v>
      </c>
      <c r="R230" s="164">
        <f t="shared" si="19"/>
        <v>1181291002.4399009</v>
      </c>
      <c r="S230" s="164">
        <f t="shared" si="20"/>
        <v>-8992852.4395439811</v>
      </c>
      <c r="T230" s="159" t="str">
        <f t="shared" si="21"/>
        <v>TxPost-vaccination</v>
      </c>
      <c r="W230" s="139">
        <v>190</v>
      </c>
      <c r="X230" s="164">
        <f t="shared" si="22"/>
        <v>302749220.66828775</v>
      </c>
      <c r="Y230" s="159">
        <f t="shared" si="22"/>
        <v>91404.46576370312</v>
      </c>
      <c r="AB230" s="160">
        <v>189000</v>
      </c>
      <c r="AC230" s="162">
        <v>1</v>
      </c>
      <c r="AD230" s="162">
        <v>0</v>
      </c>
      <c r="AE230" s="165">
        <v>17676370453.525875</v>
      </c>
      <c r="AF230" s="165">
        <v>-8392970.8106751181</v>
      </c>
    </row>
    <row r="231" spans="2:32" x14ac:dyDescent="0.25">
      <c r="B231" s="159">
        <v>191</v>
      </c>
      <c r="C231" s="164">
        <v>311908561.90443289</v>
      </c>
      <c r="D231" s="159">
        <v>74668.962996385468</v>
      </c>
      <c r="E231" s="164">
        <v>6744162.5143452957</v>
      </c>
      <c r="F231" s="159">
        <v>0</v>
      </c>
      <c r="I231" s="159">
        <v>191</v>
      </c>
      <c r="J231" s="164">
        <v>311908561.90443289</v>
      </c>
      <c r="K231" s="159">
        <v>74668.962996385468</v>
      </c>
      <c r="L231" s="164">
        <v>6744162.5143452957</v>
      </c>
      <c r="M231" s="159">
        <v>0</v>
      </c>
      <c r="Q231" s="139">
        <v>191</v>
      </c>
      <c r="R231" s="164">
        <f t="shared" si="19"/>
        <v>907760855.10914409</v>
      </c>
      <c r="S231" s="164">
        <f t="shared" si="20"/>
        <v>-6744162.5143452957</v>
      </c>
      <c r="T231" s="159" t="str">
        <f t="shared" si="21"/>
        <v>TxPost-vaccination</v>
      </c>
      <c r="W231" s="139">
        <v>191</v>
      </c>
      <c r="X231" s="164">
        <f t="shared" si="22"/>
        <v>305164399.3900876</v>
      </c>
      <c r="Y231" s="159">
        <f t="shared" si="22"/>
        <v>74668.962996385468</v>
      </c>
      <c r="AB231" s="160">
        <v>190000</v>
      </c>
      <c r="AC231" s="162">
        <v>1</v>
      </c>
      <c r="AD231" s="162">
        <v>0</v>
      </c>
      <c r="AE231" s="165">
        <v>17771547423.13427</v>
      </c>
      <c r="AF231" s="165">
        <v>-8392970.8106751181</v>
      </c>
    </row>
    <row r="232" spans="2:32" x14ac:dyDescent="0.25">
      <c r="B232" s="159">
        <v>192</v>
      </c>
      <c r="C232" s="164">
        <v>299473716.97891593</v>
      </c>
      <c r="D232" s="159">
        <v>72166.657192072162</v>
      </c>
      <c r="E232" s="164">
        <v>6201783.6463753115</v>
      </c>
      <c r="F232" s="159">
        <v>0</v>
      </c>
      <c r="I232" s="159">
        <v>192</v>
      </c>
      <c r="J232" s="164">
        <v>299473716.97891593</v>
      </c>
      <c r="K232" s="159">
        <v>72166.657192072162</v>
      </c>
      <c r="L232" s="164">
        <v>6201783.6463753115</v>
      </c>
      <c r="M232" s="159">
        <v>0</v>
      </c>
      <c r="Q232" s="139">
        <v>192</v>
      </c>
      <c r="R232" s="164">
        <f t="shared" si="19"/>
        <v>879322146.4313488</v>
      </c>
      <c r="S232" s="164">
        <f t="shared" si="20"/>
        <v>-6201783.6463753115</v>
      </c>
      <c r="T232" s="159" t="str">
        <f t="shared" si="21"/>
        <v>TxPost-vaccination</v>
      </c>
      <c r="W232" s="139">
        <v>192</v>
      </c>
      <c r="X232" s="164">
        <f t="shared" si="22"/>
        <v>293271933.33254063</v>
      </c>
      <c r="Y232" s="159">
        <f t="shared" si="22"/>
        <v>72166.657192072162</v>
      </c>
      <c r="AB232" s="160">
        <v>191000</v>
      </c>
      <c r="AC232" s="162">
        <v>1</v>
      </c>
      <c r="AD232" s="162">
        <v>0</v>
      </c>
      <c r="AE232" s="165">
        <v>17866724392.742668</v>
      </c>
      <c r="AF232" s="165">
        <v>-8392970.8106751181</v>
      </c>
    </row>
    <row r="233" spans="2:32" x14ac:dyDescent="0.25">
      <c r="B233" s="159">
        <v>193</v>
      </c>
      <c r="C233" s="164">
        <v>301779359.56786329</v>
      </c>
      <c r="D233" s="159">
        <v>101462.21791548372</v>
      </c>
      <c r="E233" s="164">
        <v>8400271.9181329515</v>
      </c>
      <c r="F233" s="159">
        <v>0</v>
      </c>
      <c r="I233" s="159">
        <v>193</v>
      </c>
      <c r="J233" s="164">
        <v>301779359.56786329</v>
      </c>
      <c r="K233" s="159">
        <v>101462.21791548372</v>
      </c>
      <c r="L233" s="164">
        <v>8400271.9181329515</v>
      </c>
      <c r="M233" s="159">
        <v>0</v>
      </c>
      <c r="Q233" s="139">
        <v>193</v>
      </c>
      <c r="R233" s="164">
        <f t="shared" ref="R233:R296" si="23">K233*threshold-J233</f>
        <v>1355540619.2816217</v>
      </c>
      <c r="S233" s="164">
        <f t="shared" ref="S233:S296" si="24">M233*threshold-L233</f>
        <v>-8400271.9181329515</v>
      </c>
      <c r="T233" s="159" t="str">
        <f t="shared" si="21"/>
        <v>TxPost-vaccination</v>
      </c>
      <c r="W233" s="139">
        <v>193</v>
      </c>
      <c r="X233" s="164">
        <f t="shared" si="22"/>
        <v>293379087.64973032</v>
      </c>
      <c r="Y233" s="159">
        <f t="shared" si="22"/>
        <v>101462.21791548372</v>
      </c>
      <c r="AB233" s="160">
        <v>192000</v>
      </c>
      <c r="AC233" s="162">
        <v>1</v>
      </c>
      <c r="AD233" s="162">
        <v>0</v>
      </c>
      <c r="AE233" s="165">
        <v>17961901362.351063</v>
      </c>
      <c r="AF233" s="165">
        <v>-8392970.8106751181</v>
      </c>
    </row>
    <row r="234" spans="2:32" x14ac:dyDescent="0.25">
      <c r="B234" s="159">
        <v>194</v>
      </c>
      <c r="C234" s="164">
        <v>314781226.01434422</v>
      </c>
      <c r="D234" s="159">
        <v>95576.139561427568</v>
      </c>
      <c r="E234" s="164">
        <v>8649321.438753061</v>
      </c>
      <c r="F234" s="159">
        <v>0</v>
      </c>
      <c r="I234" s="159">
        <v>194</v>
      </c>
      <c r="J234" s="164">
        <v>314781226.01434422</v>
      </c>
      <c r="K234" s="159">
        <v>95576.139561427568</v>
      </c>
      <c r="L234" s="164">
        <v>8649321.438753061</v>
      </c>
      <c r="M234" s="159">
        <v>0</v>
      </c>
      <c r="Q234" s="139">
        <v>194</v>
      </c>
      <c r="R234" s="164">
        <f t="shared" si="23"/>
        <v>1246393454.0858407</v>
      </c>
      <c r="S234" s="164">
        <f t="shared" si="24"/>
        <v>-8649321.438753061</v>
      </c>
      <c r="T234" s="159" t="str">
        <f t="shared" ref="T234:T297" si="25">IF(R234&gt;S234,"TxPost-vaccination",IF(S234&gt;R234,"TxPre-vaccination","either"))</f>
        <v>TxPost-vaccination</v>
      </c>
      <c r="W234" s="139">
        <v>194</v>
      </c>
      <c r="X234" s="164">
        <f t="shared" ref="X234:Y297" si="26">J234-L234</f>
        <v>306131904.57559115</v>
      </c>
      <c r="Y234" s="159">
        <f t="shared" si="26"/>
        <v>95576.139561427568</v>
      </c>
      <c r="AB234" s="160">
        <v>193000</v>
      </c>
      <c r="AC234" s="162">
        <v>1</v>
      </c>
      <c r="AD234" s="162">
        <v>0</v>
      </c>
      <c r="AE234" s="165">
        <v>18057078331.959461</v>
      </c>
      <c r="AF234" s="165">
        <v>-8392970.8106751181</v>
      </c>
    </row>
    <row r="235" spans="2:32" x14ac:dyDescent="0.25">
      <c r="B235" s="159">
        <v>195</v>
      </c>
      <c r="C235" s="164">
        <v>307959373.6093744</v>
      </c>
      <c r="D235" s="159">
        <v>72076.064163383693</v>
      </c>
      <c r="E235" s="164">
        <v>6500459.2565585375</v>
      </c>
      <c r="F235" s="159">
        <v>0</v>
      </c>
      <c r="I235" s="159">
        <v>195</v>
      </c>
      <c r="J235" s="164">
        <v>307959373.6093744</v>
      </c>
      <c r="K235" s="159">
        <v>72076.064163383693</v>
      </c>
      <c r="L235" s="164">
        <v>6500459.2565585375</v>
      </c>
      <c r="M235" s="159">
        <v>0</v>
      </c>
      <c r="Q235" s="139">
        <v>195</v>
      </c>
      <c r="R235" s="164">
        <f t="shared" si="23"/>
        <v>869356711.0273279</v>
      </c>
      <c r="S235" s="164">
        <f t="shared" si="24"/>
        <v>-6500459.2565585375</v>
      </c>
      <c r="T235" s="159" t="str">
        <f t="shared" si="25"/>
        <v>TxPost-vaccination</v>
      </c>
      <c r="W235" s="139">
        <v>195</v>
      </c>
      <c r="X235" s="164">
        <f t="shared" si="26"/>
        <v>301458914.35281587</v>
      </c>
      <c r="Y235" s="159">
        <f t="shared" si="26"/>
        <v>72076.064163383693</v>
      </c>
      <c r="AB235" s="160">
        <v>194000</v>
      </c>
      <c r="AC235" s="162">
        <v>1</v>
      </c>
      <c r="AD235" s="162">
        <v>0</v>
      </c>
      <c r="AE235" s="165">
        <v>18152255301.56786</v>
      </c>
      <c r="AF235" s="165">
        <v>-8392970.8106751181</v>
      </c>
    </row>
    <row r="236" spans="2:32" x14ac:dyDescent="0.25">
      <c r="B236" s="159">
        <v>196</v>
      </c>
      <c r="C236" s="164">
        <v>296839028.56695145</v>
      </c>
      <c r="D236" s="159">
        <v>41960.7866507625</v>
      </c>
      <c r="E236" s="164">
        <v>4676630.6120727854</v>
      </c>
      <c r="F236" s="159">
        <v>0</v>
      </c>
      <c r="I236" s="159">
        <v>196</v>
      </c>
      <c r="J236" s="164">
        <v>296839028.56695145</v>
      </c>
      <c r="K236" s="159">
        <v>41960.7866507625</v>
      </c>
      <c r="L236" s="164">
        <v>4676630.6120727854</v>
      </c>
      <c r="M236" s="159">
        <v>0</v>
      </c>
      <c r="Q236" s="139">
        <v>196</v>
      </c>
      <c r="R236" s="164">
        <f t="shared" si="23"/>
        <v>388563394.85017818</v>
      </c>
      <c r="S236" s="164">
        <f t="shared" si="24"/>
        <v>-4676630.6120727854</v>
      </c>
      <c r="T236" s="159" t="str">
        <f t="shared" si="25"/>
        <v>TxPost-vaccination</v>
      </c>
      <c r="W236" s="139">
        <v>196</v>
      </c>
      <c r="X236" s="164">
        <f t="shared" si="26"/>
        <v>292162397.95487869</v>
      </c>
      <c r="Y236" s="159">
        <f t="shared" si="26"/>
        <v>41960.7866507625</v>
      </c>
      <c r="AB236" s="160">
        <v>195000</v>
      </c>
      <c r="AC236" s="162">
        <v>1</v>
      </c>
      <c r="AD236" s="162">
        <v>0</v>
      </c>
      <c r="AE236" s="165">
        <v>18247432271.176254</v>
      </c>
      <c r="AF236" s="165">
        <v>-8392970.8106751181</v>
      </c>
    </row>
    <row r="237" spans="2:32" x14ac:dyDescent="0.25">
      <c r="B237" s="159">
        <v>197</v>
      </c>
      <c r="C237" s="164">
        <v>317634153.83579373</v>
      </c>
      <c r="D237" s="159">
        <v>79579.667671424628</v>
      </c>
      <c r="E237" s="164">
        <v>8179116.6751266215</v>
      </c>
      <c r="F237" s="159">
        <v>0</v>
      </c>
      <c r="I237" s="159">
        <v>197</v>
      </c>
      <c r="J237" s="164">
        <v>317634153.83579373</v>
      </c>
      <c r="K237" s="159">
        <v>79579.667671424628</v>
      </c>
      <c r="L237" s="164">
        <v>8179116.6751266215</v>
      </c>
      <c r="M237" s="159">
        <v>0</v>
      </c>
      <c r="Q237" s="139">
        <v>197</v>
      </c>
      <c r="R237" s="164">
        <f t="shared" si="23"/>
        <v>982248461.10877347</v>
      </c>
      <c r="S237" s="164">
        <f t="shared" si="24"/>
        <v>-8179116.6751266215</v>
      </c>
      <c r="T237" s="159" t="str">
        <f t="shared" si="25"/>
        <v>TxPost-vaccination</v>
      </c>
      <c r="W237" s="139">
        <v>197</v>
      </c>
      <c r="X237" s="164">
        <f t="shared" si="26"/>
        <v>309455037.16066712</v>
      </c>
      <c r="Y237" s="159">
        <f t="shared" si="26"/>
        <v>79579.667671424628</v>
      </c>
      <c r="AB237" s="160">
        <v>196000</v>
      </c>
      <c r="AC237" s="162">
        <v>1</v>
      </c>
      <c r="AD237" s="162">
        <v>0</v>
      </c>
      <c r="AE237" s="165">
        <v>18342609240.784653</v>
      </c>
      <c r="AF237" s="165">
        <v>-8392970.8106751181</v>
      </c>
    </row>
    <row r="238" spans="2:32" x14ac:dyDescent="0.25">
      <c r="B238" s="159">
        <v>198</v>
      </c>
      <c r="C238" s="164">
        <v>305605939.11153263</v>
      </c>
      <c r="D238" s="159">
        <v>69967.772007062245</v>
      </c>
      <c r="E238" s="164">
        <v>6268730.8889664002</v>
      </c>
      <c r="F238" s="159">
        <v>0</v>
      </c>
      <c r="I238" s="159">
        <v>198</v>
      </c>
      <c r="J238" s="164">
        <v>305605939.11153263</v>
      </c>
      <c r="K238" s="159">
        <v>69967.772007062245</v>
      </c>
      <c r="L238" s="164">
        <v>6268730.8889664002</v>
      </c>
      <c r="M238" s="159">
        <v>0</v>
      </c>
      <c r="Q238" s="139">
        <v>198</v>
      </c>
      <c r="R238" s="164">
        <f t="shared" si="23"/>
        <v>837272551.08155394</v>
      </c>
      <c r="S238" s="164">
        <f t="shared" si="24"/>
        <v>-6268730.8889664002</v>
      </c>
      <c r="T238" s="159" t="str">
        <f t="shared" si="25"/>
        <v>TxPost-vaccination</v>
      </c>
      <c r="W238" s="139">
        <v>198</v>
      </c>
      <c r="X238" s="164">
        <f t="shared" si="26"/>
        <v>299337208.22256625</v>
      </c>
      <c r="Y238" s="159">
        <f t="shared" si="26"/>
        <v>69967.772007062245</v>
      </c>
      <c r="AB238" s="160">
        <v>197000</v>
      </c>
      <c r="AC238" s="162">
        <v>1</v>
      </c>
      <c r="AD238" s="162">
        <v>0</v>
      </c>
      <c r="AE238" s="165">
        <v>18437786210.393051</v>
      </c>
      <c r="AF238" s="165">
        <v>-8392970.8106751181</v>
      </c>
    </row>
    <row r="239" spans="2:32" x14ac:dyDescent="0.25">
      <c r="B239" s="159">
        <v>199</v>
      </c>
      <c r="C239" s="164">
        <v>309823108.51665038</v>
      </c>
      <c r="D239" s="159">
        <v>95994.035454287427</v>
      </c>
      <c r="E239" s="164">
        <v>9467559.3111150656</v>
      </c>
      <c r="F239" s="159">
        <v>0</v>
      </c>
      <c r="I239" s="159">
        <v>199</v>
      </c>
      <c r="J239" s="164">
        <v>309823108.51665038</v>
      </c>
      <c r="K239" s="159">
        <v>95994.035454287427</v>
      </c>
      <c r="L239" s="164">
        <v>9467559.3111150656</v>
      </c>
      <c r="M239" s="159">
        <v>0</v>
      </c>
      <c r="Q239" s="139">
        <v>199</v>
      </c>
      <c r="R239" s="164">
        <f t="shared" si="23"/>
        <v>1258177631.8308346</v>
      </c>
      <c r="S239" s="164">
        <f t="shared" si="24"/>
        <v>-9467559.3111150656</v>
      </c>
      <c r="T239" s="159" t="str">
        <f t="shared" si="25"/>
        <v>TxPost-vaccination</v>
      </c>
      <c r="W239" s="139">
        <v>199</v>
      </c>
      <c r="X239" s="164">
        <f t="shared" si="26"/>
        <v>300355549.20553529</v>
      </c>
      <c r="Y239" s="159">
        <f t="shared" si="26"/>
        <v>95994.035454287427</v>
      </c>
      <c r="AB239" s="160">
        <v>198000</v>
      </c>
      <c r="AC239" s="162">
        <v>1</v>
      </c>
      <c r="AD239" s="162">
        <v>0</v>
      </c>
      <c r="AE239" s="165">
        <v>18532963180.001446</v>
      </c>
      <c r="AF239" s="165">
        <v>-8392970.8106751181</v>
      </c>
    </row>
    <row r="240" spans="2:32" x14ac:dyDescent="0.25">
      <c r="B240" s="159">
        <v>200</v>
      </c>
      <c r="C240" s="164">
        <v>315733082.88619512</v>
      </c>
      <c r="D240" s="159">
        <v>94016.942078748019</v>
      </c>
      <c r="E240" s="164">
        <v>8520759.1239475403</v>
      </c>
      <c r="F240" s="159">
        <v>0</v>
      </c>
      <c r="I240" s="159">
        <v>200</v>
      </c>
      <c r="J240" s="164">
        <v>315733082.88619512</v>
      </c>
      <c r="K240" s="159">
        <v>94016.942078748019</v>
      </c>
      <c r="L240" s="164">
        <v>8520759.1239475403</v>
      </c>
      <c r="M240" s="159">
        <v>0</v>
      </c>
      <c r="Q240" s="139">
        <v>200</v>
      </c>
      <c r="R240" s="164">
        <f t="shared" si="23"/>
        <v>1219973110.5979259</v>
      </c>
      <c r="S240" s="164">
        <f t="shared" si="24"/>
        <v>-8520759.1239475403</v>
      </c>
      <c r="T240" s="159" t="str">
        <f t="shared" si="25"/>
        <v>TxPost-vaccination</v>
      </c>
      <c r="W240" s="139">
        <v>200</v>
      </c>
      <c r="X240" s="164">
        <f t="shared" si="26"/>
        <v>307212323.76224756</v>
      </c>
      <c r="Y240" s="159">
        <f t="shared" si="26"/>
        <v>94016.942078748019</v>
      </c>
      <c r="AB240" s="160">
        <v>199000</v>
      </c>
      <c r="AC240" s="162">
        <v>1</v>
      </c>
      <c r="AD240" s="162">
        <v>0</v>
      </c>
      <c r="AE240" s="165">
        <v>18628140149.609844</v>
      </c>
      <c r="AF240" s="165">
        <v>-8392970.8106751181</v>
      </c>
    </row>
    <row r="241" spans="2:32" x14ac:dyDescent="0.25">
      <c r="B241" s="159">
        <v>201</v>
      </c>
      <c r="C241" s="164">
        <v>298472922.84219217</v>
      </c>
      <c r="D241" s="159">
        <v>99140.672278865284</v>
      </c>
      <c r="E241" s="164">
        <v>8668136.1843431555</v>
      </c>
      <c r="F241" s="159">
        <v>0</v>
      </c>
      <c r="I241" s="159">
        <v>201</v>
      </c>
      <c r="J241" s="164">
        <v>298472922.84219217</v>
      </c>
      <c r="K241" s="159">
        <v>99140.672278865284</v>
      </c>
      <c r="L241" s="164">
        <v>8668136.1843431555</v>
      </c>
      <c r="M241" s="159">
        <v>0</v>
      </c>
      <c r="Q241" s="139">
        <v>201</v>
      </c>
      <c r="R241" s="164">
        <f t="shared" si="23"/>
        <v>1320926103.3174596</v>
      </c>
      <c r="S241" s="164">
        <f t="shared" si="24"/>
        <v>-8668136.1843431555</v>
      </c>
      <c r="T241" s="159" t="str">
        <f t="shared" si="25"/>
        <v>TxPost-vaccination</v>
      </c>
      <c r="W241" s="139">
        <v>201</v>
      </c>
      <c r="X241" s="164">
        <f t="shared" si="26"/>
        <v>289804786.65784901</v>
      </c>
      <c r="Y241" s="159">
        <f t="shared" si="26"/>
        <v>99140.672278865284</v>
      </c>
      <c r="AB241" s="160">
        <v>200000</v>
      </c>
      <c r="AC241" s="162">
        <v>1</v>
      </c>
      <c r="AD241" s="162">
        <v>0</v>
      </c>
      <c r="AE241" s="165">
        <v>18723317119.218239</v>
      </c>
      <c r="AF241" s="165">
        <v>-8392970.8106751181</v>
      </c>
    </row>
    <row r="242" spans="2:32" x14ac:dyDescent="0.25">
      <c r="B242" s="159">
        <v>202</v>
      </c>
      <c r="C242" s="164">
        <v>332652450.3979584</v>
      </c>
      <c r="D242" s="159">
        <v>70246.570242665402</v>
      </c>
      <c r="E242" s="164">
        <v>6840243.0664915768</v>
      </c>
      <c r="F242" s="159">
        <v>0</v>
      </c>
      <c r="I242" s="159">
        <v>202</v>
      </c>
      <c r="J242" s="164">
        <v>332652450.3979584</v>
      </c>
      <c r="K242" s="159">
        <v>70246.570242665402</v>
      </c>
      <c r="L242" s="164">
        <v>6840243.0664915768</v>
      </c>
      <c r="M242" s="159">
        <v>0</v>
      </c>
      <c r="Q242" s="139">
        <v>202</v>
      </c>
      <c r="R242" s="164">
        <f t="shared" si="23"/>
        <v>814780029.4025501</v>
      </c>
      <c r="S242" s="164">
        <f t="shared" si="24"/>
        <v>-6840243.0664915768</v>
      </c>
      <c r="T242" s="159" t="str">
        <f t="shared" si="25"/>
        <v>TxPost-vaccination</v>
      </c>
      <c r="W242" s="139">
        <v>202</v>
      </c>
      <c r="X242" s="164">
        <f t="shared" si="26"/>
        <v>325812207.33146679</v>
      </c>
      <c r="Y242" s="159">
        <f t="shared" si="26"/>
        <v>70246.570242665402</v>
      </c>
    </row>
    <row r="243" spans="2:32" x14ac:dyDescent="0.25">
      <c r="B243" s="159">
        <v>203</v>
      </c>
      <c r="C243" s="164">
        <v>314034266.10515982</v>
      </c>
      <c r="D243" s="159">
        <v>116351.72124103557</v>
      </c>
      <c r="E243" s="164">
        <v>9789718.5886416007</v>
      </c>
      <c r="F243" s="159">
        <v>0</v>
      </c>
      <c r="I243" s="159">
        <v>203</v>
      </c>
      <c r="J243" s="164">
        <v>314034266.10515982</v>
      </c>
      <c r="K243" s="159">
        <v>116351.72124103557</v>
      </c>
      <c r="L243" s="164">
        <v>9789718.5886416007</v>
      </c>
      <c r="M243" s="159">
        <v>0</v>
      </c>
      <c r="Q243" s="139">
        <v>203</v>
      </c>
      <c r="R243" s="164">
        <f t="shared" si="23"/>
        <v>1586496159.387017</v>
      </c>
      <c r="S243" s="164">
        <f t="shared" si="24"/>
        <v>-9789718.5886416007</v>
      </c>
      <c r="T243" s="159" t="str">
        <f t="shared" si="25"/>
        <v>TxPost-vaccination</v>
      </c>
      <c r="W243" s="139">
        <v>203</v>
      </c>
      <c r="X243" s="164">
        <f t="shared" si="26"/>
        <v>304244547.51651824</v>
      </c>
      <c r="Y243" s="159">
        <f t="shared" si="26"/>
        <v>116351.72124103557</v>
      </c>
    </row>
    <row r="244" spans="2:32" x14ac:dyDescent="0.25">
      <c r="B244" s="159">
        <v>204</v>
      </c>
      <c r="C244" s="164">
        <v>302662548.68314326</v>
      </c>
      <c r="D244" s="159">
        <v>126434.7897309502</v>
      </c>
      <c r="E244" s="164">
        <v>9537938.7289662529</v>
      </c>
      <c r="F244" s="159">
        <v>0</v>
      </c>
      <c r="I244" s="159">
        <v>204</v>
      </c>
      <c r="J244" s="164">
        <v>302662548.68314326</v>
      </c>
      <c r="K244" s="159">
        <v>126434.7897309502</v>
      </c>
      <c r="L244" s="164">
        <v>9537938.7289662529</v>
      </c>
      <c r="M244" s="159">
        <v>0</v>
      </c>
      <c r="Q244" s="139">
        <v>204</v>
      </c>
      <c r="R244" s="164">
        <f t="shared" si="23"/>
        <v>1762568306.1882048</v>
      </c>
      <c r="S244" s="164">
        <f t="shared" si="24"/>
        <v>-9537938.7289662529</v>
      </c>
      <c r="T244" s="159" t="str">
        <f t="shared" si="25"/>
        <v>TxPost-vaccination</v>
      </c>
      <c r="W244" s="139">
        <v>204</v>
      </c>
      <c r="X244" s="164">
        <f t="shared" si="26"/>
        <v>293124609.95417702</v>
      </c>
      <c r="Y244" s="159">
        <f t="shared" si="26"/>
        <v>126434.7897309502</v>
      </c>
    </row>
    <row r="245" spans="2:32" x14ac:dyDescent="0.25">
      <c r="B245" s="159">
        <v>205</v>
      </c>
      <c r="C245" s="164">
        <v>319408224.42627543</v>
      </c>
      <c r="D245" s="159">
        <v>100018.05699901214</v>
      </c>
      <c r="E245" s="164">
        <v>8593809.351371577</v>
      </c>
      <c r="F245" s="159">
        <v>0</v>
      </c>
      <c r="I245" s="159">
        <v>205</v>
      </c>
      <c r="J245" s="164">
        <v>319408224.42627543</v>
      </c>
      <c r="K245" s="159">
        <v>100018.05699901214</v>
      </c>
      <c r="L245" s="164">
        <v>8593809.351371577</v>
      </c>
      <c r="M245" s="159">
        <v>0</v>
      </c>
      <c r="Q245" s="139">
        <v>205</v>
      </c>
      <c r="R245" s="164">
        <f t="shared" si="23"/>
        <v>1314322316.0222509</v>
      </c>
      <c r="S245" s="164">
        <f t="shared" si="24"/>
        <v>-8593809.351371577</v>
      </c>
      <c r="T245" s="159" t="str">
        <f t="shared" si="25"/>
        <v>TxPost-vaccination</v>
      </c>
      <c r="W245" s="139">
        <v>205</v>
      </c>
      <c r="X245" s="164">
        <f t="shared" si="26"/>
        <v>310814415.07490385</v>
      </c>
      <c r="Y245" s="159">
        <f t="shared" si="26"/>
        <v>100018.05699901214</v>
      </c>
    </row>
    <row r="246" spans="2:32" x14ac:dyDescent="0.25">
      <c r="B246" s="159">
        <v>206</v>
      </c>
      <c r="C246" s="164">
        <v>322665692.81525898</v>
      </c>
      <c r="D246" s="159">
        <v>58441.881716818018</v>
      </c>
      <c r="E246" s="164">
        <v>5536276.3245155253</v>
      </c>
      <c r="F246" s="159">
        <v>0</v>
      </c>
      <c r="I246" s="159">
        <v>206</v>
      </c>
      <c r="J246" s="164">
        <v>322665692.81525898</v>
      </c>
      <c r="K246" s="159">
        <v>58441.881716818018</v>
      </c>
      <c r="L246" s="164">
        <v>5536276.3245155253</v>
      </c>
      <c r="M246" s="159">
        <v>0</v>
      </c>
      <c r="Q246" s="139">
        <v>206</v>
      </c>
      <c r="R246" s="164">
        <f t="shared" si="23"/>
        <v>631944803.19736576</v>
      </c>
      <c r="S246" s="164">
        <f t="shared" si="24"/>
        <v>-5536276.3245155253</v>
      </c>
      <c r="T246" s="159" t="str">
        <f t="shared" si="25"/>
        <v>TxPost-vaccination</v>
      </c>
      <c r="W246" s="139">
        <v>206</v>
      </c>
      <c r="X246" s="164">
        <f t="shared" si="26"/>
        <v>317129416.49074346</v>
      </c>
      <c r="Y246" s="159">
        <f t="shared" si="26"/>
        <v>58441.881716818018</v>
      </c>
    </row>
    <row r="247" spans="2:32" x14ac:dyDescent="0.25">
      <c r="B247" s="159">
        <v>207</v>
      </c>
      <c r="C247" s="164">
        <v>334727141.68097568</v>
      </c>
      <c r="D247" s="159">
        <v>86478.58733505437</v>
      </c>
      <c r="E247" s="164">
        <v>7813217.2884670645</v>
      </c>
      <c r="F247" s="159">
        <v>0</v>
      </c>
      <c r="I247" s="159">
        <v>207</v>
      </c>
      <c r="J247" s="164">
        <v>334727141.68097568</v>
      </c>
      <c r="K247" s="159">
        <v>86478.58733505437</v>
      </c>
      <c r="L247" s="164">
        <v>7813217.2884670645</v>
      </c>
      <c r="M247" s="159">
        <v>0</v>
      </c>
      <c r="Q247" s="139">
        <v>207</v>
      </c>
      <c r="R247" s="164">
        <f t="shared" si="23"/>
        <v>1077844882.4438169</v>
      </c>
      <c r="S247" s="164">
        <f t="shared" si="24"/>
        <v>-7813217.2884670645</v>
      </c>
      <c r="T247" s="159" t="str">
        <f t="shared" si="25"/>
        <v>TxPost-vaccination</v>
      </c>
      <c r="W247" s="139">
        <v>207</v>
      </c>
      <c r="X247" s="164">
        <f t="shared" si="26"/>
        <v>326913924.39250863</v>
      </c>
      <c r="Y247" s="159">
        <f t="shared" si="26"/>
        <v>86478.58733505437</v>
      </c>
    </row>
    <row r="248" spans="2:32" x14ac:dyDescent="0.25">
      <c r="B248" s="159">
        <v>208</v>
      </c>
      <c r="C248" s="164">
        <v>319212336.24391496</v>
      </c>
      <c r="D248" s="159">
        <v>89394.275799475145</v>
      </c>
      <c r="E248" s="164">
        <v>9245031.692006994</v>
      </c>
      <c r="F248" s="159">
        <v>0</v>
      </c>
      <c r="I248" s="159">
        <v>208</v>
      </c>
      <c r="J248" s="164">
        <v>319212336.24391496</v>
      </c>
      <c r="K248" s="159">
        <v>89394.275799475145</v>
      </c>
      <c r="L248" s="164">
        <v>9245031.692006994</v>
      </c>
      <c r="M248" s="159">
        <v>0</v>
      </c>
      <c r="Q248" s="139">
        <v>208</v>
      </c>
      <c r="R248" s="164">
        <f t="shared" si="23"/>
        <v>1140985580.9814076</v>
      </c>
      <c r="S248" s="164">
        <f t="shared" si="24"/>
        <v>-9245031.692006994</v>
      </c>
      <c r="T248" s="159" t="str">
        <f t="shared" si="25"/>
        <v>TxPost-vaccination</v>
      </c>
      <c r="W248" s="139">
        <v>208</v>
      </c>
      <c r="X248" s="164">
        <f t="shared" si="26"/>
        <v>309967304.55190796</v>
      </c>
      <c r="Y248" s="159">
        <f t="shared" si="26"/>
        <v>89394.275799475145</v>
      </c>
    </row>
    <row r="249" spans="2:32" x14ac:dyDescent="0.25">
      <c r="B249" s="159">
        <v>209</v>
      </c>
      <c r="C249" s="164">
        <v>283351581.0525921</v>
      </c>
      <c r="D249" s="159">
        <v>143250.7612446085</v>
      </c>
      <c r="E249" s="164">
        <v>10092798.46023369</v>
      </c>
      <c r="F249" s="159">
        <v>0</v>
      </c>
      <c r="I249" s="159">
        <v>209</v>
      </c>
      <c r="J249" s="164">
        <v>283351581.0525921</v>
      </c>
      <c r="K249" s="159">
        <v>143250.7612446085</v>
      </c>
      <c r="L249" s="164">
        <v>10092798.46023369</v>
      </c>
      <c r="M249" s="159">
        <v>0</v>
      </c>
      <c r="Q249" s="139">
        <v>209</v>
      </c>
      <c r="R249" s="164">
        <f t="shared" si="23"/>
        <v>2056557337.4952714</v>
      </c>
      <c r="S249" s="164">
        <f t="shared" si="24"/>
        <v>-10092798.46023369</v>
      </c>
      <c r="T249" s="159" t="str">
        <f t="shared" si="25"/>
        <v>TxPost-vaccination</v>
      </c>
      <c r="W249" s="139">
        <v>209</v>
      </c>
      <c r="X249" s="164">
        <f t="shared" si="26"/>
        <v>273258782.59235841</v>
      </c>
      <c r="Y249" s="159">
        <f t="shared" si="26"/>
        <v>143250.7612446085</v>
      </c>
    </row>
    <row r="250" spans="2:32" x14ac:dyDescent="0.25">
      <c r="B250" s="159">
        <v>210</v>
      </c>
      <c r="C250" s="164">
        <v>314087957.61033928</v>
      </c>
      <c r="D250" s="159">
        <v>86590.232583707082</v>
      </c>
      <c r="E250" s="164">
        <v>7328748.9125269521</v>
      </c>
      <c r="F250" s="159">
        <v>0</v>
      </c>
      <c r="I250" s="159">
        <v>210</v>
      </c>
      <c r="J250" s="164">
        <v>314087957.61033928</v>
      </c>
      <c r="K250" s="159">
        <v>86590.232583707082</v>
      </c>
      <c r="L250" s="164">
        <v>7328748.9125269521</v>
      </c>
      <c r="M250" s="159">
        <v>0</v>
      </c>
      <c r="Q250" s="139">
        <v>210</v>
      </c>
      <c r="R250" s="164">
        <f t="shared" si="23"/>
        <v>1100307719.7416072</v>
      </c>
      <c r="S250" s="164">
        <f t="shared" si="24"/>
        <v>-7328748.9125269521</v>
      </c>
      <c r="T250" s="159" t="str">
        <f t="shared" si="25"/>
        <v>TxPost-vaccination</v>
      </c>
      <c r="W250" s="139">
        <v>210</v>
      </c>
      <c r="X250" s="164">
        <f t="shared" si="26"/>
        <v>306759208.69781232</v>
      </c>
      <c r="Y250" s="159">
        <f t="shared" si="26"/>
        <v>86590.232583707082</v>
      </c>
    </row>
    <row r="251" spans="2:32" x14ac:dyDescent="0.25">
      <c r="B251" s="159">
        <v>211</v>
      </c>
      <c r="C251" s="164">
        <v>322925235.17020476</v>
      </c>
      <c r="D251" s="159">
        <v>114977.83633629775</v>
      </c>
      <c r="E251" s="164">
        <v>9745241.3084752169</v>
      </c>
      <c r="F251" s="159">
        <v>0</v>
      </c>
      <c r="I251" s="159">
        <v>211</v>
      </c>
      <c r="J251" s="164">
        <v>322925235.17020476</v>
      </c>
      <c r="K251" s="159">
        <v>114977.83633629775</v>
      </c>
      <c r="L251" s="164">
        <v>9745241.3084752169</v>
      </c>
      <c r="M251" s="159">
        <v>0</v>
      </c>
      <c r="Q251" s="139">
        <v>211</v>
      </c>
      <c r="R251" s="164">
        <f t="shared" si="23"/>
        <v>1555163665.3086081</v>
      </c>
      <c r="S251" s="164">
        <f t="shared" si="24"/>
        <v>-9745241.3084752169</v>
      </c>
      <c r="T251" s="159" t="str">
        <f t="shared" si="25"/>
        <v>TxPost-vaccination</v>
      </c>
      <c r="W251" s="139">
        <v>211</v>
      </c>
      <c r="X251" s="164">
        <f t="shared" si="26"/>
        <v>313179993.86172956</v>
      </c>
      <c r="Y251" s="159">
        <f t="shared" si="26"/>
        <v>114977.83633629775</v>
      </c>
    </row>
    <row r="252" spans="2:32" x14ac:dyDescent="0.25">
      <c r="B252" s="159">
        <v>212</v>
      </c>
      <c r="C252" s="164">
        <v>309468711.62267488</v>
      </c>
      <c r="D252" s="159">
        <v>118995.98941938792</v>
      </c>
      <c r="E252" s="164">
        <v>9566182.4059856795</v>
      </c>
      <c r="F252" s="159">
        <v>0</v>
      </c>
      <c r="I252" s="159">
        <v>212</v>
      </c>
      <c r="J252" s="164">
        <v>309468711.62267488</v>
      </c>
      <c r="K252" s="159">
        <v>118995.98941938792</v>
      </c>
      <c r="L252" s="164">
        <v>9566182.4059856795</v>
      </c>
      <c r="M252" s="159">
        <v>0</v>
      </c>
      <c r="Q252" s="139">
        <v>212</v>
      </c>
      <c r="R252" s="164">
        <f t="shared" si="23"/>
        <v>1634254131.4161961</v>
      </c>
      <c r="S252" s="164">
        <f t="shared" si="24"/>
        <v>-9566182.4059856795</v>
      </c>
      <c r="T252" s="159" t="str">
        <f t="shared" si="25"/>
        <v>TxPost-vaccination</v>
      </c>
      <c r="W252" s="139">
        <v>212</v>
      </c>
      <c r="X252" s="164">
        <f t="shared" si="26"/>
        <v>299902529.21668923</v>
      </c>
      <c r="Y252" s="159">
        <f t="shared" si="26"/>
        <v>118995.98941938792</v>
      </c>
    </row>
    <row r="253" spans="2:32" x14ac:dyDescent="0.25">
      <c r="B253" s="159">
        <v>213</v>
      </c>
      <c r="C253" s="164">
        <v>331262668.70382172</v>
      </c>
      <c r="D253" s="159">
        <v>112801.80243111117</v>
      </c>
      <c r="E253" s="164">
        <v>10009452.657809503</v>
      </c>
      <c r="F253" s="159">
        <v>0</v>
      </c>
      <c r="I253" s="159">
        <v>213</v>
      </c>
      <c r="J253" s="164">
        <v>331262668.70382172</v>
      </c>
      <c r="K253" s="159">
        <v>112801.80243111117</v>
      </c>
      <c r="L253" s="164">
        <v>10009452.657809503</v>
      </c>
      <c r="M253" s="159">
        <v>0</v>
      </c>
      <c r="Q253" s="139">
        <v>213</v>
      </c>
      <c r="R253" s="164">
        <f t="shared" si="23"/>
        <v>1511282119.4954462</v>
      </c>
      <c r="S253" s="164">
        <f t="shared" si="24"/>
        <v>-10009452.657809503</v>
      </c>
      <c r="T253" s="159" t="str">
        <f t="shared" si="25"/>
        <v>TxPost-vaccination</v>
      </c>
      <c r="W253" s="139">
        <v>213</v>
      </c>
      <c r="X253" s="164">
        <f t="shared" si="26"/>
        <v>321253216.04601222</v>
      </c>
      <c r="Y253" s="159">
        <f t="shared" si="26"/>
        <v>112801.80243111117</v>
      </c>
    </row>
    <row r="254" spans="2:32" x14ac:dyDescent="0.25">
      <c r="B254" s="159">
        <v>214</v>
      </c>
      <c r="C254" s="164">
        <v>281439593.96087658</v>
      </c>
      <c r="D254" s="159">
        <v>95917.066184980999</v>
      </c>
      <c r="E254" s="164">
        <v>8807182.2631713226</v>
      </c>
      <c r="F254" s="159">
        <v>0</v>
      </c>
      <c r="I254" s="159">
        <v>214</v>
      </c>
      <c r="J254" s="164">
        <v>281439593.96087658</v>
      </c>
      <c r="K254" s="159">
        <v>95917.066184980999</v>
      </c>
      <c r="L254" s="164">
        <v>8807182.2631713226</v>
      </c>
      <c r="M254" s="159">
        <v>0</v>
      </c>
      <c r="Q254" s="139">
        <v>214</v>
      </c>
      <c r="R254" s="164">
        <f t="shared" si="23"/>
        <v>1285303902.9476247</v>
      </c>
      <c r="S254" s="164">
        <f t="shared" si="24"/>
        <v>-8807182.2631713226</v>
      </c>
      <c r="T254" s="159" t="str">
        <f t="shared" si="25"/>
        <v>TxPost-vaccination</v>
      </c>
      <c r="W254" s="139">
        <v>214</v>
      </c>
      <c r="X254" s="164">
        <f t="shared" si="26"/>
        <v>272632411.69770527</v>
      </c>
      <c r="Y254" s="159">
        <f t="shared" si="26"/>
        <v>95917.066184980999</v>
      </c>
    </row>
    <row r="255" spans="2:32" x14ac:dyDescent="0.25">
      <c r="B255" s="159">
        <v>215</v>
      </c>
      <c r="C255" s="164">
        <v>301034901.5056119</v>
      </c>
      <c r="D255" s="159">
        <v>84826.159968351072</v>
      </c>
      <c r="E255" s="164">
        <v>9649631.4321904369</v>
      </c>
      <c r="F255" s="159">
        <v>0</v>
      </c>
      <c r="I255" s="159">
        <v>215</v>
      </c>
      <c r="J255" s="164">
        <v>301034901.5056119</v>
      </c>
      <c r="K255" s="159">
        <v>84826.159968351072</v>
      </c>
      <c r="L255" s="164">
        <v>9649631.4321904369</v>
      </c>
      <c r="M255" s="159">
        <v>0</v>
      </c>
      <c r="Q255" s="139">
        <v>215</v>
      </c>
      <c r="R255" s="164">
        <f t="shared" si="23"/>
        <v>1084545785.8960249</v>
      </c>
      <c r="S255" s="164">
        <f t="shared" si="24"/>
        <v>-9649631.4321904369</v>
      </c>
      <c r="T255" s="159" t="str">
        <f t="shared" si="25"/>
        <v>TxPost-vaccination</v>
      </c>
      <c r="W255" s="139">
        <v>215</v>
      </c>
      <c r="X255" s="164">
        <f t="shared" si="26"/>
        <v>291385270.07342148</v>
      </c>
      <c r="Y255" s="159">
        <f t="shared" si="26"/>
        <v>84826.159968351072</v>
      </c>
    </row>
    <row r="256" spans="2:32" x14ac:dyDescent="0.25">
      <c r="B256" s="159">
        <v>216</v>
      </c>
      <c r="C256" s="164">
        <v>320605606.28730106</v>
      </c>
      <c r="D256" s="159">
        <v>97305.170591472721</v>
      </c>
      <c r="E256" s="164">
        <v>9447108.5284926705</v>
      </c>
      <c r="F256" s="159">
        <v>0</v>
      </c>
      <c r="I256" s="159">
        <v>216</v>
      </c>
      <c r="J256" s="164">
        <v>320605606.28730106</v>
      </c>
      <c r="K256" s="159">
        <v>97305.170591472721</v>
      </c>
      <c r="L256" s="164">
        <v>9447108.5284926705</v>
      </c>
      <c r="M256" s="159">
        <v>0</v>
      </c>
      <c r="Q256" s="139">
        <v>216</v>
      </c>
      <c r="R256" s="164">
        <f t="shared" si="23"/>
        <v>1268811682.0370753</v>
      </c>
      <c r="S256" s="164">
        <f t="shared" si="24"/>
        <v>-9447108.5284926705</v>
      </c>
      <c r="T256" s="159" t="str">
        <f t="shared" si="25"/>
        <v>TxPost-vaccination</v>
      </c>
      <c r="W256" s="139">
        <v>216</v>
      </c>
      <c r="X256" s="164">
        <f t="shared" si="26"/>
        <v>311158497.75880837</v>
      </c>
      <c r="Y256" s="159">
        <f t="shared" si="26"/>
        <v>97305.170591472721</v>
      </c>
    </row>
    <row r="257" spans="2:25" x14ac:dyDescent="0.25">
      <c r="B257" s="159">
        <v>217</v>
      </c>
      <c r="C257" s="164">
        <v>288983003.43418252</v>
      </c>
      <c r="D257" s="159">
        <v>151824.58803265129</v>
      </c>
      <c r="E257" s="164">
        <v>11563599.468865085</v>
      </c>
      <c r="F257" s="159">
        <v>0</v>
      </c>
      <c r="I257" s="159">
        <v>217</v>
      </c>
      <c r="J257" s="164">
        <v>288983003.43418252</v>
      </c>
      <c r="K257" s="159">
        <v>151824.58803265129</v>
      </c>
      <c r="L257" s="164">
        <v>11563599.468865085</v>
      </c>
      <c r="M257" s="159">
        <v>0</v>
      </c>
      <c r="Q257" s="139">
        <v>217</v>
      </c>
      <c r="R257" s="164">
        <f t="shared" si="23"/>
        <v>2190973853.3802633</v>
      </c>
      <c r="S257" s="164">
        <f t="shared" si="24"/>
        <v>-11563599.468865085</v>
      </c>
      <c r="T257" s="159" t="str">
        <f t="shared" si="25"/>
        <v>TxPost-vaccination</v>
      </c>
      <c r="W257" s="139">
        <v>217</v>
      </c>
      <c r="X257" s="164">
        <f t="shared" si="26"/>
        <v>277419403.96531743</v>
      </c>
      <c r="Y257" s="159">
        <f t="shared" si="26"/>
        <v>151824.58803265129</v>
      </c>
    </row>
    <row r="258" spans="2:25" x14ac:dyDescent="0.25">
      <c r="B258" s="159">
        <v>218</v>
      </c>
      <c r="C258" s="164">
        <v>340919742.20790094</v>
      </c>
      <c r="D258" s="159">
        <v>149080.9730886771</v>
      </c>
      <c r="E258" s="164">
        <v>11692420.876909399</v>
      </c>
      <c r="F258" s="159">
        <v>0</v>
      </c>
      <c r="I258" s="159">
        <v>218</v>
      </c>
      <c r="J258" s="164">
        <v>340919742.20790094</v>
      </c>
      <c r="K258" s="159">
        <v>149080.9730886771</v>
      </c>
      <c r="L258" s="164">
        <v>11692420.876909399</v>
      </c>
      <c r="M258" s="159">
        <v>0</v>
      </c>
      <c r="Q258" s="139">
        <v>218</v>
      </c>
      <c r="R258" s="164">
        <f t="shared" si="23"/>
        <v>2094221931.6316762</v>
      </c>
      <c r="S258" s="164">
        <f t="shared" si="24"/>
        <v>-11692420.876909399</v>
      </c>
      <c r="T258" s="159" t="str">
        <f t="shared" si="25"/>
        <v>TxPost-vaccination</v>
      </c>
      <c r="W258" s="139">
        <v>218</v>
      </c>
      <c r="X258" s="164">
        <f t="shared" si="26"/>
        <v>329227321.33099157</v>
      </c>
      <c r="Y258" s="159">
        <f t="shared" si="26"/>
        <v>149080.9730886771</v>
      </c>
    </row>
    <row r="259" spans="2:25" x14ac:dyDescent="0.25">
      <c r="B259" s="159">
        <v>219</v>
      </c>
      <c r="C259" s="164">
        <v>305593113.29621172</v>
      </c>
      <c r="D259" s="159">
        <v>77098.078855414293</v>
      </c>
      <c r="E259" s="164">
        <v>7448774.2961461321</v>
      </c>
      <c r="F259" s="159">
        <v>0</v>
      </c>
      <c r="I259" s="159">
        <v>219</v>
      </c>
      <c r="J259" s="164">
        <v>305593113.29621172</v>
      </c>
      <c r="K259" s="159">
        <v>77098.078855414293</v>
      </c>
      <c r="L259" s="164">
        <v>7448774.2961461321</v>
      </c>
      <c r="M259" s="159">
        <v>0</v>
      </c>
      <c r="Q259" s="139">
        <v>219</v>
      </c>
      <c r="R259" s="164">
        <f t="shared" si="23"/>
        <v>953754346.70536733</v>
      </c>
      <c r="S259" s="164">
        <f t="shared" si="24"/>
        <v>-7448774.2961461321</v>
      </c>
      <c r="T259" s="159" t="str">
        <f t="shared" si="25"/>
        <v>TxPost-vaccination</v>
      </c>
      <c r="W259" s="139">
        <v>219</v>
      </c>
      <c r="X259" s="164">
        <f t="shared" si="26"/>
        <v>298144339.00006557</v>
      </c>
      <c r="Y259" s="159">
        <f t="shared" si="26"/>
        <v>77098.078855414293</v>
      </c>
    </row>
    <row r="260" spans="2:25" x14ac:dyDescent="0.25">
      <c r="B260" s="159">
        <v>220</v>
      </c>
      <c r="C260" s="164">
        <v>336842269.67207706</v>
      </c>
      <c r="D260" s="159">
        <v>105854.8202885186</v>
      </c>
      <c r="E260" s="164">
        <v>9034406.9344883114</v>
      </c>
      <c r="F260" s="159">
        <v>0</v>
      </c>
      <c r="I260" s="159">
        <v>220</v>
      </c>
      <c r="J260" s="164">
        <v>336842269.67207706</v>
      </c>
      <c r="K260" s="159">
        <v>105854.8202885186</v>
      </c>
      <c r="L260" s="164">
        <v>9034406.9344883114</v>
      </c>
      <c r="M260" s="159">
        <v>0</v>
      </c>
      <c r="Q260" s="139">
        <v>220</v>
      </c>
      <c r="R260" s="164">
        <f t="shared" si="23"/>
        <v>1392228039.7096701</v>
      </c>
      <c r="S260" s="164">
        <f t="shared" si="24"/>
        <v>-9034406.9344883114</v>
      </c>
      <c r="T260" s="159" t="str">
        <f t="shared" si="25"/>
        <v>TxPost-vaccination</v>
      </c>
      <c r="W260" s="139">
        <v>220</v>
      </c>
      <c r="X260" s="164">
        <f t="shared" si="26"/>
        <v>327807862.73758876</v>
      </c>
      <c r="Y260" s="159">
        <f t="shared" si="26"/>
        <v>105854.8202885186</v>
      </c>
    </row>
    <row r="261" spans="2:25" x14ac:dyDescent="0.25">
      <c r="B261" s="159">
        <v>221</v>
      </c>
      <c r="C261" s="164">
        <v>311237674.8601653</v>
      </c>
      <c r="D261" s="159">
        <v>90910.51375215454</v>
      </c>
      <c r="E261" s="164">
        <v>7361777.5153553495</v>
      </c>
      <c r="F261" s="159">
        <v>0</v>
      </c>
      <c r="I261" s="159">
        <v>221</v>
      </c>
      <c r="J261" s="164">
        <v>311237674.8601653</v>
      </c>
      <c r="K261" s="159">
        <v>90910.51375215454</v>
      </c>
      <c r="L261" s="164">
        <v>7361777.5153553495</v>
      </c>
      <c r="M261" s="159">
        <v>0</v>
      </c>
      <c r="Q261" s="139">
        <v>221</v>
      </c>
      <c r="R261" s="164">
        <f t="shared" si="23"/>
        <v>1173727012.7284722</v>
      </c>
      <c r="S261" s="164">
        <f t="shared" si="24"/>
        <v>-7361777.5153553495</v>
      </c>
      <c r="T261" s="159" t="str">
        <f t="shared" si="25"/>
        <v>TxPost-vaccination</v>
      </c>
      <c r="W261" s="139">
        <v>221</v>
      </c>
      <c r="X261" s="164">
        <f t="shared" si="26"/>
        <v>303875897.34480995</v>
      </c>
      <c r="Y261" s="159">
        <f t="shared" si="26"/>
        <v>90910.51375215454</v>
      </c>
    </row>
    <row r="262" spans="2:25" x14ac:dyDescent="0.25">
      <c r="B262" s="159">
        <v>222</v>
      </c>
      <c r="C262" s="164">
        <v>308068517.20178854</v>
      </c>
      <c r="D262" s="159">
        <v>136069.47720742627</v>
      </c>
      <c r="E262" s="164">
        <v>11406137.513287965</v>
      </c>
      <c r="F262" s="159">
        <v>0</v>
      </c>
      <c r="I262" s="159">
        <v>222</v>
      </c>
      <c r="J262" s="164">
        <v>308068517.20178854</v>
      </c>
      <c r="K262" s="159">
        <v>136069.47720742627</v>
      </c>
      <c r="L262" s="164">
        <v>11406137.513287965</v>
      </c>
      <c r="M262" s="159">
        <v>0</v>
      </c>
      <c r="Q262" s="139">
        <v>222</v>
      </c>
      <c r="R262" s="164">
        <f t="shared" si="23"/>
        <v>1914538751.9919391</v>
      </c>
      <c r="S262" s="164">
        <f t="shared" si="24"/>
        <v>-11406137.513287965</v>
      </c>
      <c r="T262" s="159" t="str">
        <f t="shared" si="25"/>
        <v>TxPost-vaccination</v>
      </c>
      <c r="W262" s="139">
        <v>222</v>
      </c>
      <c r="X262" s="164">
        <f t="shared" si="26"/>
        <v>296662379.68850058</v>
      </c>
      <c r="Y262" s="159">
        <f t="shared" si="26"/>
        <v>136069.47720742627</v>
      </c>
    </row>
    <row r="263" spans="2:25" x14ac:dyDescent="0.25">
      <c r="B263" s="159">
        <v>223</v>
      </c>
      <c r="C263" s="164">
        <v>316219484.42398649</v>
      </c>
      <c r="D263" s="159">
        <v>123473.58621243431</v>
      </c>
      <c r="E263" s="164">
        <v>9927386.811484104</v>
      </c>
      <c r="F263" s="159">
        <v>0</v>
      </c>
      <c r="I263" s="159">
        <v>223</v>
      </c>
      <c r="J263" s="164">
        <v>316219484.42398649</v>
      </c>
      <c r="K263" s="159">
        <v>123473.58621243431</v>
      </c>
      <c r="L263" s="164">
        <v>9927386.811484104</v>
      </c>
      <c r="M263" s="159">
        <v>0</v>
      </c>
      <c r="Q263" s="139">
        <v>223</v>
      </c>
      <c r="R263" s="164">
        <f t="shared" si="23"/>
        <v>1700642018.253979</v>
      </c>
      <c r="S263" s="164">
        <f t="shared" si="24"/>
        <v>-9927386.811484104</v>
      </c>
      <c r="T263" s="159" t="str">
        <f t="shared" si="25"/>
        <v>TxPost-vaccination</v>
      </c>
      <c r="W263" s="139">
        <v>223</v>
      </c>
      <c r="X263" s="164">
        <f t="shared" si="26"/>
        <v>306292097.6125024</v>
      </c>
      <c r="Y263" s="159">
        <f t="shared" si="26"/>
        <v>123473.58621243431</v>
      </c>
    </row>
    <row r="264" spans="2:25" x14ac:dyDescent="0.25">
      <c r="B264" s="159">
        <v>224</v>
      </c>
      <c r="C264" s="164">
        <v>328925428.18514025</v>
      </c>
      <c r="D264" s="159">
        <v>64202.810298135388</v>
      </c>
      <c r="E264" s="164">
        <v>6292951.1701982766</v>
      </c>
      <c r="F264" s="159">
        <v>0</v>
      </c>
      <c r="I264" s="159">
        <v>224</v>
      </c>
      <c r="J264" s="164">
        <v>328925428.18514025</v>
      </c>
      <c r="K264" s="159">
        <v>64202.810298135388</v>
      </c>
      <c r="L264" s="164">
        <v>6292951.1701982766</v>
      </c>
      <c r="M264" s="159">
        <v>0</v>
      </c>
      <c r="Q264" s="139">
        <v>224</v>
      </c>
      <c r="R264" s="164">
        <f t="shared" si="23"/>
        <v>719786125.64681351</v>
      </c>
      <c r="S264" s="164">
        <f t="shared" si="24"/>
        <v>-6292951.1701982766</v>
      </c>
      <c r="T264" s="159" t="str">
        <f t="shared" si="25"/>
        <v>TxPost-vaccination</v>
      </c>
      <c r="W264" s="139">
        <v>224</v>
      </c>
      <c r="X264" s="164">
        <f t="shared" si="26"/>
        <v>322632477.01494199</v>
      </c>
      <c r="Y264" s="159">
        <f t="shared" si="26"/>
        <v>64202.810298135388</v>
      </c>
    </row>
    <row r="265" spans="2:25" x14ac:dyDescent="0.25">
      <c r="B265" s="159">
        <v>225</v>
      </c>
      <c r="C265" s="164">
        <v>306281822.12208307</v>
      </c>
      <c r="D265" s="159">
        <v>87314.952778401799</v>
      </c>
      <c r="E265" s="164">
        <v>7362334.5853580087</v>
      </c>
      <c r="F265" s="159">
        <v>0</v>
      </c>
      <c r="I265" s="159">
        <v>225</v>
      </c>
      <c r="J265" s="164">
        <v>306281822.12208307</v>
      </c>
      <c r="K265" s="159">
        <v>87314.952778401799</v>
      </c>
      <c r="L265" s="164">
        <v>7362334.5853580087</v>
      </c>
      <c r="M265" s="159">
        <v>0</v>
      </c>
      <c r="Q265" s="139">
        <v>225</v>
      </c>
      <c r="R265" s="164">
        <f t="shared" si="23"/>
        <v>1119951692.8251715</v>
      </c>
      <c r="S265" s="164">
        <f t="shared" si="24"/>
        <v>-7362334.5853580087</v>
      </c>
      <c r="T265" s="159" t="str">
        <f t="shared" si="25"/>
        <v>TxPost-vaccination</v>
      </c>
      <c r="W265" s="139">
        <v>225</v>
      </c>
      <c r="X265" s="164">
        <f t="shared" si="26"/>
        <v>298919487.53672504</v>
      </c>
      <c r="Y265" s="159">
        <f t="shared" si="26"/>
        <v>87314.952778401799</v>
      </c>
    </row>
    <row r="266" spans="2:25" x14ac:dyDescent="0.25">
      <c r="B266" s="159">
        <v>226</v>
      </c>
      <c r="C266" s="164">
        <v>337859485.28234696</v>
      </c>
      <c r="D266" s="159">
        <v>69198.766704601905</v>
      </c>
      <c r="E266" s="164">
        <v>6938924.2780389003</v>
      </c>
      <c r="F266" s="159">
        <v>0</v>
      </c>
      <c r="I266" s="159">
        <v>226</v>
      </c>
      <c r="J266" s="164">
        <v>337859485.28234696</v>
      </c>
      <c r="K266" s="159">
        <v>69198.766704601905</v>
      </c>
      <c r="L266" s="164">
        <v>6938924.2780389003</v>
      </c>
      <c r="M266" s="159">
        <v>0</v>
      </c>
      <c r="Q266" s="139">
        <v>226</v>
      </c>
      <c r="R266" s="164">
        <f t="shared" si="23"/>
        <v>792457798.60367537</v>
      </c>
      <c r="S266" s="164">
        <f t="shared" si="24"/>
        <v>-6938924.2780389003</v>
      </c>
      <c r="T266" s="159" t="str">
        <f t="shared" si="25"/>
        <v>TxPost-vaccination</v>
      </c>
      <c r="W266" s="139">
        <v>226</v>
      </c>
      <c r="X266" s="164">
        <f t="shared" si="26"/>
        <v>330920561.00430804</v>
      </c>
      <c r="Y266" s="159">
        <f t="shared" si="26"/>
        <v>69198.766704601905</v>
      </c>
    </row>
    <row r="267" spans="2:25" x14ac:dyDescent="0.25">
      <c r="B267" s="159">
        <v>227</v>
      </c>
      <c r="C267" s="164">
        <v>301213375.93991154</v>
      </c>
      <c r="D267" s="159">
        <v>46474.406855041205</v>
      </c>
      <c r="E267" s="164">
        <v>5098809.343054004</v>
      </c>
      <c r="F267" s="159">
        <v>0</v>
      </c>
      <c r="I267" s="159">
        <v>227</v>
      </c>
      <c r="J267" s="164">
        <v>301213375.93991154</v>
      </c>
      <c r="K267" s="159">
        <v>46474.406855041205</v>
      </c>
      <c r="L267" s="164">
        <v>5098809.343054004</v>
      </c>
      <c r="M267" s="159">
        <v>0</v>
      </c>
      <c r="Q267" s="139">
        <v>227</v>
      </c>
      <c r="R267" s="164">
        <f t="shared" si="23"/>
        <v>457916126.33647317</v>
      </c>
      <c r="S267" s="164">
        <f t="shared" si="24"/>
        <v>-5098809.343054004</v>
      </c>
      <c r="T267" s="159" t="str">
        <f t="shared" si="25"/>
        <v>TxPost-vaccination</v>
      </c>
      <c r="W267" s="139">
        <v>227</v>
      </c>
      <c r="X267" s="164">
        <f t="shared" si="26"/>
        <v>296114566.59685755</v>
      </c>
      <c r="Y267" s="159">
        <f t="shared" si="26"/>
        <v>46474.406855041205</v>
      </c>
    </row>
    <row r="268" spans="2:25" x14ac:dyDescent="0.25">
      <c r="B268" s="159">
        <v>228</v>
      </c>
      <c r="C268" s="164">
        <v>302065551.42870158</v>
      </c>
      <c r="D268" s="159">
        <v>95341.979079165059</v>
      </c>
      <c r="E268" s="164">
        <v>9247687.5884645246</v>
      </c>
      <c r="F268" s="159">
        <v>0</v>
      </c>
      <c r="I268" s="159">
        <v>228</v>
      </c>
      <c r="J268" s="164">
        <v>302065551.42870158</v>
      </c>
      <c r="K268" s="159">
        <v>95341.979079165059</v>
      </c>
      <c r="L268" s="164">
        <v>9247687.5884645246</v>
      </c>
      <c r="M268" s="159">
        <v>0</v>
      </c>
      <c r="Q268" s="139">
        <v>228</v>
      </c>
      <c r="R268" s="164">
        <f t="shared" si="23"/>
        <v>1255284268.0141501</v>
      </c>
      <c r="S268" s="164">
        <f t="shared" si="24"/>
        <v>-9247687.5884645246</v>
      </c>
      <c r="T268" s="159" t="str">
        <f t="shared" si="25"/>
        <v>TxPost-vaccination</v>
      </c>
      <c r="W268" s="139">
        <v>228</v>
      </c>
      <c r="X268" s="164">
        <f t="shared" si="26"/>
        <v>292817863.84023708</v>
      </c>
      <c r="Y268" s="159">
        <f t="shared" si="26"/>
        <v>95341.979079165059</v>
      </c>
    </row>
    <row r="269" spans="2:25" x14ac:dyDescent="0.25">
      <c r="B269" s="159">
        <v>229</v>
      </c>
      <c r="C269" s="164">
        <v>306307447.03919733</v>
      </c>
      <c r="D269" s="159">
        <v>86911.657059933088</v>
      </c>
      <c r="E269" s="164">
        <v>6468184.4687922681</v>
      </c>
      <c r="F269" s="159">
        <v>0</v>
      </c>
      <c r="I269" s="159">
        <v>229</v>
      </c>
      <c r="J269" s="164">
        <v>306307447.03919733</v>
      </c>
      <c r="K269" s="159">
        <v>86911.657059933088</v>
      </c>
      <c r="L269" s="164">
        <v>6468184.4687922681</v>
      </c>
      <c r="M269" s="159">
        <v>0</v>
      </c>
      <c r="Q269" s="139">
        <v>229</v>
      </c>
      <c r="R269" s="164">
        <f t="shared" si="23"/>
        <v>1113338492.1056099</v>
      </c>
      <c r="S269" s="164">
        <f t="shared" si="24"/>
        <v>-6468184.4687922681</v>
      </c>
      <c r="T269" s="159" t="str">
        <f t="shared" si="25"/>
        <v>TxPost-vaccination</v>
      </c>
      <c r="W269" s="139">
        <v>229</v>
      </c>
      <c r="X269" s="164">
        <f t="shared" si="26"/>
        <v>299839262.57040507</v>
      </c>
      <c r="Y269" s="159">
        <f t="shared" si="26"/>
        <v>86911.657059933088</v>
      </c>
    </row>
    <row r="270" spans="2:25" x14ac:dyDescent="0.25">
      <c r="B270" s="159">
        <v>230</v>
      </c>
      <c r="C270" s="164">
        <v>344328556.86380804</v>
      </c>
      <c r="D270" s="159">
        <v>87037.172717483816</v>
      </c>
      <c r="E270" s="164">
        <v>7796924.5121747805</v>
      </c>
      <c r="F270" s="159">
        <v>0</v>
      </c>
      <c r="I270" s="159">
        <v>230</v>
      </c>
      <c r="J270" s="164">
        <v>344328556.86380804</v>
      </c>
      <c r="K270" s="159">
        <v>87037.172717483816</v>
      </c>
      <c r="L270" s="164">
        <v>7796924.5121747805</v>
      </c>
      <c r="M270" s="159">
        <v>0</v>
      </c>
      <c r="Q270" s="139">
        <v>230</v>
      </c>
      <c r="R270" s="164">
        <f t="shared" si="23"/>
        <v>1077367599.7037106</v>
      </c>
      <c r="S270" s="164">
        <f t="shared" si="24"/>
        <v>-7796924.5121747805</v>
      </c>
      <c r="T270" s="159" t="str">
        <f t="shared" si="25"/>
        <v>TxPost-vaccination</v>
      </c>
      <c r="W270" s="139">
        <v>230</v>
      </c>
      <c r="X270" s="164">
        <f t="shared" si="26"/>
        <v>336531632.35163325</v>
      </c>
      <c r="Y270" s="159">
        <f t="shared" si="26"/>
        <v>87037.172717483816</v>
      </c>
    </row>
    <row r="271" spans="2:25" x14ac:dyDescent="0.25">
      <c r="B271" s="159">
        <v>231</v>
      </c>
      <c r="C271" s="164">
        <v>332589028.53581882</v>
      </c>
      <c r="D271" s="159">
        <v>89457.105969484634</v>
      </c>
      <c r="E271" s="164">
        <v>9511172.1099762097</v>
      </c>
      <c r="F271" s="159">
        <v>0</v>
      </c>
      <c r="I271" s="159">
        <v>231</v>
      </c>
      <c r="J271" s="164">
        <v>332589028.53581882</v>
      </c>
      <c r="K271" s="159">
        <v>89457.105969484634</v>
      </c>
      <c r="L271" s="164">
        <v>9511172.1099762097</v>
      </c>
      <c r="M271" s="159">
        <v>0</v>
      </c>
      <c r="Q271" s="139">
        <v>231</v>
      </c>
      <c r="R271" s="164">
        <f t="shared" si="23"/>
        <v>1128635179.0483248</v>
      </c>
      <c r="S271" s="164">
        <f t="shared" si="24"/>
        <v>-9511172.1099762097</v>
      </c>
      <c r="T271" s="159" t="str">
        <f t="shared" si="25"/>
        <v>TxPost-vaccination</v>
      </c>
      <c r="W271" s="139">
        <v>231</v>
      </c>
      <c r="X271" s="164">
        <f t="shared" si="26"/>
        <v>323077856.42584258</v>
      </c>
      <c r="Y271" s="159">
        <f t="shared" si="26"/>
        <v>89457.105969484634</v>
      </c>
    </row>
    <row r="272" spans="2:25" x14ac:dyDescent="0.25">
      <c r="B272" s="159">
        <v>232</v>
      </c>
      <c r="C272" s="164">
        <v>322083741.09597307</v>
      </c>
      <c r="D272" s="159">
        <v>83500.156779661353</v>
      </c>
      <c r="E272" s="164">
        <v>8165069.4936698899</v>
      </c>
      <c r="F272" s="159">
        <v>0</v>
      </c>
      <c r="I272" s="159">
        <v>232</v>
      </c>
      <c r="J272" s="164">
        <v>322083741.09597307</v>
      </c>
      <c r="K272" s="159">
        <v>83500.156779661353</v>
      </c>
      <c r="L272" s="164">
        <v>8165069.4936698899</v>
      </c>
      <c r="M272" s="159">
        <v>0</v>
      </c>
      <c r="Q272" s="139">
        <v>232</v>
      </c>
      <c r="R272" s="164">
        <f t="shared" si="23"/>
        <v>1041837538.2838111</v>
      </c>
      <c r="S272" s="164">
        <f t="shared" si="24"/>
        <v>-8165069.4936698899</v>
      </c>
      <c r="T272" s="159" t="str">
        <f t="shared" si="25"/>
        <v>TxPost-vaccination</v>
      </c>
      <c r="W272" s="139">
        <v>232</v>
      </c>
      <c r="X272" s="164">
        <f t="shared" si="26"/>
        <v>313918671.60230321</v>
      </c>
      <c r="Y272" s="159">
        <f t="shared" si="26"/>
        <v>83500.156779661353</v>
      </c>
    </row>
    <row r="273" spans="2:25" x14ac:dyDescent="0.25">
      <c r="B273" s="159">
        <v>233</v>
      </c>
      <c r="C273" s="164">
        <v>315243318.30868161</v>
      </c>
      <c r="D273" s="159">
        <v>99637.107545782259</v>
      </c>
      <c r="E273" s="164">
        <v>8831542.060813332</v>
      </c>
      <c r="F273" s="159">
        <v>0</v>
      </c>
      <c r="I273" s="159">
        <v>233</v>
      </c>
      <c r="J273" s="164">
        <v>315243318.30868161</v>
      </c>
      <c r="K273" s="159">
        <v>99637.107545782259</v>
      </c>
      <c r="L273" s="164">
        <v>8831542.060813332</v>
      </c>
      <c r="M273" s="159">
        <v>0</v>
      </c>
      <c r="Q273" s="139">
        <v>233</v>
      </c>
      <c r="R273" s="164">
        <f t="shared" si="23"/>
        <v>1312264658.187068</v>
      </c>
      <c r="S273" s="164">
        <f t="shared" si="24"/>
        <v>-8831542.060813332</v>
      </c>
      <c r="T273" s="159" t="str">
        <f t="shared" si="25"/>
        <v>TxPost-vaccination</v>
      </c>
      <c r="W273" s="139">
        <v>233</v>
      </c>
      <c r="X273" s="164">
        <f t="shared" si="26"/>
        <v>306411776.2478683</v>
      </c>
      <c r="Y273" s="159">
        <f t="shared" si="26"/>
        <v>99637.107545782259</v>
      </c>
    </row>
    <row r="274" spans="2:25" x14ac:dyDescent="0.25">
      <c r="B274" s="159">
        <v>234</v>
      </c>
      <c r="C274" s="164">
        <v>285659491.95821744</v>
      </c>
      <c r="D274" s="159">
        <v>157995.1048678036</v>
      </c>
      <c r="E274" s="164">
        <v>12420870.996924626</v>
      </c>
      <c r="F274" s="159">
        <v>0</v>
      </c>
      <c r="I274" s="159">
        <v>234</v>
      </c>
      <c r="J274" s="164">
        <v>285659491.95821744</v>
      </c>
      <c r="K274" s="159">
        <v>157995.1048678036</v>
      </c>
      <c r="L274" s="164">
        <v>12420870.996924626</v>
      </c>
      <c r="M274" s="159">
        <v>0</v>
      </c>
      <c r="Q274" s="139">
        <v>234</v>
      </c>
      <c r="R274" s="164">
        <f t="shared" si="23"/>
        <v>2295088782.990253</v>
      </c>
      <c r="S274" s="164">
        <f t="shared" si="24"/>
        <v>-12420870.996924626</v>
      </c>
      <c r="T274" s="159" t="str">
        <f t="shared" si="25"/>
        <v>TxPost-vaccination</v>
      </c>
      <c r="W274" s="139">
        <v>234</v>
      </c>
      <c r="X274" s="164">
        <f t="shared" si="26"/>
        <v>273238620.9612928</v>
      </c>
      <c r="Y274" s="159">
        <f t="shared" si="26"/>
        <v>157995.1048678036</v>
      </c>
    </row>
    <row r="275" spans="2:25" x14ac:dyDescent="0.25">
      <c r="B275" s="159">
        <v>235</v>
      </c>
      <c r="C275" s="164">
        <v>299845523.08483452</v>
      </c>
      <c r="D275" s="159">
        <v>134554.51909344437</v>
      </c>
      <c r="E275" s="164">
        <v>11233226.654679745</v>
      </c>
      <c r="F275" s="159">
        <v>0</v>
      </c>
      <c r="I275" s="159">
        <v>235</v>
      </c>
      <c r="J275" s="164">
        <v>299845523.08483452</v>
      </c>
      <c r="K275" s="159">
        <v>134554.51909344437</v>
      </c>
      <c r="L275" s="164">
        <v>11233226.654679745</v>
      </c>
      <c r="M275" s="159">
        <v>0</v>
      </c>
      <c r="Q275" s="139">
        <v>235</v>
      </c>
      <c r="R275" s="164">
        <f t="shared" si="23"/>
        <v>1898015881.08637</v>
      </c>
      <c r="S275" s="164">
        <f t="shared" si="24"/>
        <v>-11233226.654679745</v>
      </c>
      <c r="T275" s="159" t="str">
        <f t="shared" si="25"/>
        <v>TxPost-vaccination</v>
      </c>
      <c r="W275" s="139">
        <v>235</v>
      </c>
      <c r="X275" s="164">
        <f t="shared" si="26"/>
        <v>288612296.4301548</v>
      </c>
      <c r="Y275" s="159">
        <f t="shared" si="26"/>
        <v>134554.51909344437</v>
      </c>
    </row>
    <row r="276" spans="2:25" x14ac:dyDescent="0.25">
      <c r="B276" s="159">
        <v>236</v>
      </c>
      <c r="C276" s="164">
        <v>311380635.86492604</v>
      </c>
      <c r="D276" s="159">
        <v>95320.649106646335</v>
      </c>
      <c r="E276" s="164">
        <v>9196577.2532548103</v>
      </c>
      <c r="F276" s="159">
        <v>0</v>
      </c>
      <c r="I276" s="159">
        <v>236</v>
      </c>
      <c r="J276" s="164">
        <v>311380635.86492604</v>
      </c>
      <c r="K276" s="159">
        <v>95320.649106646335</v>
      </c>
      <c r="L276" s="164">
        <v>9196577.2532548103</v>
      </c>
      <c r="M276" s="159">
        <v>0</v>
      </c>
      <c r="Q276" s="139">
        <v>236</v>
      </c>
      <c r="R276" s="164">
        <f t="shared" si="23"/>
        <v>1245620772.2152543</v>
      </c>
      <c r="S276" s="164">
        <f t="shared" si="24"/>
        <v>-9196577.2532548103</v>
      </c>
      <c r="T276" s="159" t="str">
        <f t="shared" si="25"/>
        <v>TxPost-vaccination</v>
      </c>
      <c r="W276" s="139">
        <v>236</v>
      </c>
      <c r="X276" s="164">
        <f t="shared" si="26"/>
        <v>302184058.61167121</v>
      </c>
      <c r="Y276" s="159">
        <f t="shared" si="26"/>
        <v>95320.649106646335</v>
      </c>
    </row>
    <row r="277" spans="2:25" x14ac:dyDescent="0.25">
      <c r="B277" s="159">
        <v>237</v>
      </c>
      <c r="C277" s="164">
        <v>315911790.38783199</v>
      </c>
      <c r="D277" s="159">
        <v>107293.67733291093</v>
      </c>
      <c r="E277" s="164">
        <v>8672469.8592364155</v>
      </c>
      <c r="F277" s="159">
        <v>0</v>
      </c>
      <c r="I277" s="159">
        <v>237</v>
      </c>
      <c r="J277" s="164">
        <v>315911790.38783199</v>
      </c>
      <c r="K277" s="159">
        <v>107293.67733291093</v>
      </c>
      <c r="L277" s="164">
        <v>8672469.8592364155</v>
      </c>
      <c r="M277" s="159">
        <v>0</v>
      </c>
      <c r="Q277" s="139">
        <v>237</v>
      </c>
      <c r="R277" s="164">
        <f t="shared" si="23"/>
        <v>1436661322.0606298</v>
      </c>
      <c r="S277" s="164">
        <f t="shared" si="24"/>
        <v>-8672469.8592364155</v>
      </c>
      <c r="T277" s="159" t="str">
        <f t="shared" si="25"/>
        <v>TxPost-vaccination</v>
      </c>
      <c r="W277" s="139">
        <v>237</v>
      </c>
      <c r="X277" s="164">
        <f t="shared" si="26"/>
        <v>307239320.52859557</v>
      </c>
      <c r="Y277" s="159">
        <f t="shared" si="26"/>
        <v>107293.67733291093</v>
      </c>
    </row>
    <row r="278" spans="2:25" x14ac:dyDescent="0.25">
      <c r="B278" s="159">
        <v>238</v>
      </c>
      <c r="C278" s="164">
        <v>301319669.28978091</v>
      </c>
      <c r="D278" s="159">
        <v>92901.13700844362</v>
      </c>
      <c r="E278" s="164">
        <v>11300853.161078533</v>
      </c>
      <c r="F278" s="159">
        <v>0</v>
      </c>
      <c r="I278" s="159">
        <v>238</v>
      </c>
      <c r="J278" s="164">
        <v>301319669.28978091</v>
      </c>
      <c r="K278" s="159">
        <v>92901.13700844362</v>
      </c>
      <c r="L278" s="164">
        <v>11300853.161078533</v>
      </c>
      <c r="M278" s="159">
        <v>0</v>
      </c>
      <c r="Q278" s="139">
        <v>238</v>
      </c>
      <c r="R278" s="164">
        <f t="shared" si="23"/>
        <v>1216160567.0498056</v>
      </c>
      <c r="S278" s="164">
        <f t="shared" si="24"/>
        <v>-11300853.161078533</v>
      </c>
      <c r="T278" s="159" t="str">
        <f t="shared" si="25"/>
        <v>TxPost-vaccination</v>
      </c>
      <c r="W278" s="139">
        <v>238</v>
      </c>
      <c r="X278" s="164">
        <f t="shared" si="26"/>
        <v>290018816.1287024</v>
      </c>
      <c r="Y278" s="159">
        <f t="shared" si="26"/>
        <v>92901.13700844362</v>
      </c>
    </row>
    <row r="279" spans="2:25" x14ac:dyDescent="0.25">
      <c r="B279" s="159">
        <v>239</v>
      </c>
      <c r="C279" s="164">
        <v>334830827.3355372</v>
      </c>
      <c r="D279" s="159">
        <v>83975.99352830241</v>
      </c>
      <c r="E279" s="164">
        <v>8207168.8973504659</v>
      </c>
      <c r="F279" s="159">
        <v>0</v>
      </c>
      <c r="I279" s="159">
        <v>239</v>
      </c>
      <c r="J279" s="164">
        <v>334830827.3355372</v>
      </c>
      <c r="K279" s="159">
        <v>83975.99352830241</v>
      </c>
      <c r="L279" s="164">
        <v>8207168.8973504659</v>
      </c>
      <c r="M279" s="159">
        <v>0</v>
      </c>
      <c r="Q279" s="139">
        <v>239</v>
      </c>
      <c r="R279" s="164">
        <f t="shared" si="23"/>
        <v>1036862938.8516073</v>
      </c>
      <c r="S279" s="164">
        <f t="shared" si="24"/>
        <v>-8207168.8973504659</v>
      </c>
      <c r="T279" s="159" t="str">
        <f t="shared" si="25"/>
        <v>TxPost-vaccination</v>
      </c>
      <c r="W279" s="139">
        <v>239</v>
      </c>
      <c r="X279" s="164">
        <f t="shared" si="26"/>
        <v>326623658.43818671</v>
      </c>
      <c r="Y279" s="159">
        <f t="shared" si="26"/>
        <v>83975.99352830241</v>
      </c>
    </row>
    <row r="280" spans="2:25" x14ac:dyDescent="0.25">
      <c r="B280" s="159">
        <v>240</v>
      </c>
      <c r="C280" s="164">
        <v>294375225.76275247</v>
      </c>
      <c r="D280" s="159">
        <v>72305.003758931693</v>
      </c>
      <c r="E280" s="164">
        <v>7404422.0423154142</v>
      </c>
      <c r="F280" s="159">
        <v>0</v>
      </c>
      <c r="I280" s="159">
        <v>240</v>
      </c>
      <c r="J280" s="164">
        <v>294375225.76275247</v>
      </c>
      <c r="K280" s="159">
        <v>72305.003758931693</v>
      </c>
      <c r="L280" s="164">
        <v>7404422.0423154142</v>
      </c>
      <c r="M280" s="159">
        <v>0</v>
      </c>
      <c r="Q280" s="139">
        <v>240</v>
      </c>
      <c r="R280" s="164">
        <f t="shared" si="23"/>
        <v>886680439.70952225</v>
      </c>
      <c r="S280" s="164">
        <f t="shared" si="24"/>
        <v>-7404422.0423154142</v>
      </c>
      <c r="T280" s="159" t="str">
        <f t="shared" si="25"/>
        <v>TxPost-vaccination</v>
      </c>
      <c r="W280" s="139">
        <v>240</v>
      </c>
      <c r="X280" s="164">
        <f t="shared" si="26"/>
        <v>286970803.72043705</v>
      </c>
      <c r="Y280" s="159">
        <f t="shared" si="26"/>
        <v>72305.003758931693</v>
      </c>
    </row>
    <row r="281" spans="2:25" x14ac:dyDescent="0.25">
      <c r="B281" s="159">
        <v>241</v>
      </c>
      <c r="C281" s="164">
        <v>310261159.46772397</v>
      </c>
      <c r="D281" s="159">
        <v>113864.92606651236</v>
      </c>
      <c r="E281" s="164">
        <v>11003097.323539391</v>
      </c>
      <c r="F281" s="159">
        <v>0</v>
      </c>
      <c r="I281" s="159">
        <v>241</v>
      </c>
      <c r="J281" s="164">
        <v>310261159.46772397</v>
      </c>
      <c r="K281" s="159">
        <v>113864.92606651236</v>
      </c>
      <c r="L281" s="164">
        <v>11003097.323539391</v>
      </c>
      <c r="M281" s="159">
        <v>0</v>
      </c>
      <c r="Q281" s="139">
        <v>241</v>
      </c>
      <c r="R281" s="164">
        <f t="shared" si="23"/>
        <v>1549649068.5685201</v>
      </c>
      <c r="S281" s="164">
        <f t="shared" si="24"/>
        <v>-11003097.323539391</v>
      </c>
      <c r="T281" s="159" t="str">
        <f t="shared" si="25"/>
        <v>TxPost-vaccination</v>
      </c>
      <c r="W281" s="139">
        <v>241</v>
      </c>
      <c r="X281" s="164">
        <f t="shared" si="26"/>
        <v>299258062.14418459</v>
      </c>
      <c r="Y281" s="159">
        <f t="shared" si="26"/>
        <v>113864.92606651236</v>
      </c>
    </row>
    <row r="282" spans="2:25" x14ac:dyDescent="0.25">
      <c r="B282" s="159">
        <v>242</v>
      </c>
      <c r="C282" s="164">
        <v>303040633.69343281</v>
      </c>
      <c r="D282" s="159">
        <v>71243.585449068196</v>
      </c>
      <c r="E282" s="164">
        <v>7341529.6552932868</v>
      </c>
      <c r="F282" s="159">
        <v>0</v>
      </c>
      <c r="I282" s="159">
        <v>242</v>
      </c>
      <c r="J282" s="164">
        <v>303040633.69343281</v>
      </c>
      <c r="K282" s="159">
        <v>71243.585449068196</v>
      </c>
      <c r="L282" s="164">
        <v>7341529.6552932868</v>
      </c>
      <c r="M282" s="159">
        <v>0</v>
      </c>
      <c r="Q282" s="139">
        <v>242</v>
      </c>
      <c r="R282" s="164">
        <f t="shared" si="23"/>
        <v>860677447.33614111</v>
      </c>
      <c r="S282" s="164">
        <f t="shared" si="24"/>
        <v>-7341529.6552932868</v>
      </c>
      <c r="T282" s="159" t="str">
        <f t="shared" si="25"/>
        <v>TxPost-vaccination</v>
      </c>
      <c r="W282" s="139">
        <v>242</v>
      </c>
      <c r="X282" s="164">
        <f t="shared" si="26"/>
        <v>295699104.03813952</v>
      </c>
      <c r="Y282" s="159">
        <f t="shared" si="26"/>
        <v>71243.585449068196</v>
      </c>
    </row>
    <row r="283" spans="2:25" x14ac:dyDescent="0.25">
      <c r="B283" s="159">
        <v>243</v>
      </c>
      <c r="C283" s="164">
        <v>305662767.34811777</v>
      </c>
      <c r="D283" s="159">
        <v>70475.821675525644</v>
      </c>
      <c r="E283" s="164">
        <v>6398389.2667855276</v>
      </c>
      <c r="F283" s="159">
        <v>0</v>
      </c>
      <c r="I283" s="159">
        <v>243</v>
      </c>
      <c r="J283" s="164">
        <v>305662767.34811777</v>
      </c>
      <c r="K283" s="159">
        <v>70475.821675525644</v>
      </c>
      <c r="L283" s="164">
        <v>6398389.2667855276</v>
      </c>
      <c r="M283" s="159">
        <v>0</v>
      </c>
      <c r="Q283" s="139">
        <v>243</v>
      </c>
      <c r="R283" s="164">
        <f t="shared" si="23"/>
        <v>845514386.94960737</v>
      </c>
      <c r="S283" s="164">
        <f t="shared" si="24"/>
        <v>-6398389.2667855276</v>
      </c>
      <c r="T283" s="159" t="str">
        <f t="shared" si="25"/>
        <v>TxPost-vaccination</v>
      </c>
      <c r="W283" s="139">
        <v>243</v>
      </c>
      <c r="X283" s="164">
        <f t="shared" si="26"/>
        <v>299264378.08133227</v>
      </c>
      <c r="Y283" s="159">
        <f t="shared" si="26"/>
        <v>70475.821675525644</v>
      </c>
    </row>
    <row r="284" spans="2:25" x14ac:dyDescent="0.25">
      <c r="B284" s="159">
        <v>244</v>
      </c>
      <c r="C284" s="164">
        <v>282301320.60368115</v>
      </c>
      <c r="D284" s="159">
        <v>132047.88017517063</v>
      </c>
      <c r="E284" s="164">
        <v>10289217.992679024</v>
      </c>
      <c r="F284" s="159">
        <v>0</v>
      </c>
      <c r="I284" s="159">
        <v>244</v>
      </c>
      <c r="J284" s="164">
        <v>282301320.60368115</v>
      </c>
      <c r="K284" s="159">
        <v>132047.88017517063</v>
      </c>
      <c r="L284" s="164">
        <v>10289217.992679024</v>
      </c>
      <c r="M284" s="159">
        <v>0</v>
      </c>
      <c r="Q284" s="139">
        <v>244</v>
      </c>
      <c r="R284" s="164">
        <f t="shared" si="23"/>
        <v>1874615751.338583</v>
      </c>
      <c r="S284" s="164">
        <f t="shared" si="24"/>
        <v>-10289217.992679024</v>
      </c>
      <c r="T284" s="159" t="str">
        <f t="shared" si="25"/>
        <v>TxPost-vaccination</v>
      </c>
      <c r="W284" s="139">
        <v>244</v>
      </c>
      <c r="X284" s="164">
        <f t="shared" si="26"/>
        <v>272012102.61100215</v>
      </c>
      <c r="Y284" s="159">
        <f t="shared" si="26"/>
        <v>132047.88017517063</v>
      </c>
    </row>
    <row r="285" spans="2:25" x14ac:dyDescent="0.25">
      <c r="B285" s="159">
        <v>245</v>
      </c>
      <c r="C285" s="164">
        <v>327290741.5908547</v>
      </c>
      <c r="D285" s="159">
        <v>106879.01381770603</v>
      </c>
      <c r="E285" s="164">
        <v>10375224.212187067</v>
      </c>
      <c r="F285" s="159">
        <v>0</v>
      </c>
      <c r="I285" s="159">
        <v>245</v>
      </c>
      <c r="J285" s="164">
        <v>327290741.5908547</v>
      </c>
      <c r="K285" s="159">
        <v>106879.01381770603</v>
      </c>
      <c r="L285" s="164">
        <v>10375224.212187067</v>
      </c>
      <c r="M285" s="159">
        <v>0</v>
      </c>
      <c r="Q285" s="139">
        <v>245</v>
      </c>
      <c r="R285" s="164">
        <f t="shared" si="23"/>
        <v>1418509109.4173586</v>
      </c>
      <c r="S285" s="164">
        <f t="shared" si="24"/>
        <v>-10375224.212187067</v>
      </c>
      <c r="T285" s="159" t="str">
        <f t="shared" si="25"/>
        <v>TxPost-vaccination</v>
      </c>
      <c r="W285" s="139">
        <v>245</v>
      </c>
      <c r="X285" s="164">
        <f t="shared" si="26"/>
        <v>316915517.37866765</v>
      </c>
      <c r="Y285" s="159">
        <f t="shared" si="26"/>
        <v>106879.01381770603</v>
      </c>
    </row>
    <row r="286" spans="2:25" x14ac:dyDescent="0.25">
      <c r="B286" s="159">
        <v>246</v>
      </c>
      <c r="C286" s="164">
        <v>360618699.52363276</v>
      </c>
      <c r="D286" s="159">
        <v>128972.59071631191</v>
      </c>
      <c r="E286" s="164">
        <v>10887144.15012202</v>
      </c>
      <c r="F286" s="159">
        <v>0</v>
      </c>
      <c r="I286" s="159">
        <v>246</v>
      </c>
      <c r="J286" s="164">
        <v>360618699.52363276</v>
      </c>
      <c r="K286" s="159">
        <v>128972.59071631191</v>
      </c>
      <c r="L286" s="164">
        <v>10887144.15012202</v>
      </c>
      <c r="M286" s="159">
        <v>0</v>
      </c>
      <c r="Q286" s="139">
        <v>246</v>
      </c>
      <c r="R286" s="164">
        <f t="shared" si="23"/>
        <v>1746065499.871362</v>
      </c>
      <c r="S286" s="164">
        <f t="shared" si="24"/>
        <v>-10887144.15012202</v>
      </c>
      <c r="T286" s="159" t="str">
        <f t="shared" si="25"/>
        <v>TxPost-vaccination</v>
      </c>
      <c r="W286" s="139">
        <v>246</v>
      </c>
      <c r="X286" s="164">
        <f t="shared" si="26"/>
        <v>349731555.37351072</v>
      </c>
      <c r="Y286" s="159">
        <f t="shared" si="26"/>
        <v>128972.59071631191</v>
      </c>
    </row>
    <row r="287" spans="2:25" x14ac:dyDescent="0.25">
      <c r="B287" s="159">
        <v>247</v>
      </c>
      <c r="C287" s="164">
        <v>312820492.73403949</v>
      </c>
      <c r="D287" s="159">
        <v>96130.793309610584</v>
      </c>
      <c r="E287" s="164">
        <v>9354244.4681920018</v>
      </c>
      <c r="F287" s="159">
        <v>0</v>
      </c>
      <c r="I287" s="159">
        <v>247</v>
      </c>
      <c r="J287" s="164">
        <v>312820492.73403949</v>
      </c>
      <c r="K287" s="159">
        <v>96130.793309610584</v>
      </c>
      <c r="L287" s="164">
        <v>9354244.4681920018</v>
      </c>
      <c r="M287" s="159">
        <v>0</v>
      </c>
      <c r="Q287" s="139">
        <v>247</v>
      </c>
      <c r="R287" s="164">
        <f t="shared" si="23"/>
        <v>1257414099.0957823</v>
      </c>
      <c r="S287" s="164">
        <f t="shared" si="24"/>
        <v>-9354244.4681920018</v>
      </c>
      <c r="T287" s="159" t="str">
        <f t="shared" si="25"/>
        <v>TxPost-vaccination</v>
      </c>
      <c r="W287" s="139">
        <v>247</v>
      </c>
      <c r="X287" s="164">
        <f t="shared" si="26"/>
        <v>303466248.2658475</v>
      </c>
      <c r="Y287" s="159">
        <f t="shared" si="26"/>
        <v>96130.793309610584</v>
      </c>
    </row>
    <row r="288" spans="2:25" x14ac:dyDescent="0.25">
      <c r="B288" s="159">
        <v>248</v>
      </c>
      <c r="C288" s="164">
        <v>325495290.60932046</v>
      </c>
      <c r="D288" s="159">
        <v>142038.04267501572</v>
      </c>
      <c r="E288" s="164">
        <v>12277802.17436805</v>
      </c>
      <c r="F288" s="159">
        <v>0</v>
      </c>
      <c r="I288" s="159">
        <v>248</v>
      </c>
      <c r="J288" s="164">
        <v>325495290.60932046</v>
      </c>
      <c r="K288" s="159">
        <v>142038.04267501572</v>
      </c>
      <c r="L288" s="164">
        <v>12277802.17436805</v>
      </c>
      <c r="M288" s="159">
        <v>0</v>
      </c>
      <c r="Q288" s="139">
        <v>248</v>
      </c>
      <c r="R288" s="164">
        <f t="shared" si="23"/>
        <v>1994604651.2041485</v>
      </c>
      <c r="S288" s="164">
        <f t="shared" si="24"/>
        <v>-12277802.17436805</v>
      </c>
      <c r="T288" s="159" t="str">
        <f t="shared" si="25"/>
        <v>TxPost-vaccination</v>
      </c>
      <c r="W288" s="139">
        <v>248</v>
      </c>
      <c r="X288" s="164">
        <f t="shared" si="26"/>
        <v>313217488.43495244</v>
      </c>
      <c r="Y288" s="159">
        <f t="shared" si="26"/>
        <v>142038.04267501572</v>
      </c>
    </row>
    <row r="289" spans="2:25" x14ac:dyDescent="0.25">
      <c r="B289" s="159">
        <v>249</v>
      </c>
      <c r="C289" s="164">
        <v>315169316.95100087</v>
      </c>
      <c r="D289" s="159">
        <v>76141.169350812081</v>
      </c>
      <c r="E289" s="164">
        <v>6958319.4708053507</v>
      </c>
      <c r="F289" s="159">
        <v>0</v>
      </c>
      <c r="I289" s="159">
        <v>249</v>
      </c>
      <c r="J289" s="164">
        <v>315169316.95100087</v>
      </c>
      <c r="K289" s="159">
        <v>76141.169350812081</v>
      </c>
      <c r="L289" s="164">
        <v>6958319.4708053507</v>
      </c>
      <c r="M289" s="159">
        <v>0</v>
      </c>
      <c r="Q289" s="139">
        <v>249</v>
      </c>
      <c r="R289" s="164">
        <f t="shared" si="23"/>
        <v>928547642.62874389</v>
      </c>
      <c r="S289" s="164">
        <f t="shared" si="24"/>
        <v>-6958319.4708053507</v>
      </c>
      <c r="T289" s="159" t="str">
        <f t="shared" si="25"/>
        <v>TxPost-vaccination</v>
      </c>
      <c r="W289" s="139">
        <v>249</v>
      </c>
      <c r="X289" s="164">
        <f t="shared" si="26"/>
        <v>308210997.48019552</v>
      </c>
      <c r="Y289" s="159">
        <f t="shared" si="26"/>
        <v>76141.169350812081</v>
      </c>
    </row>
    <row r="290" spans="2:25" x14ac:dyDescent="0.25">
      <c r="B290" s="159">
        <v>250</v>
      </c>
      <c r="C290" s="164">
        <v>317804180.08008134</v>
      </c>
      <c r="D290" s="159">
        <v>111538.32530957842</v>
      </c>
      <c r="E290" s="164">
        <v>9987992.4110899232</v>
      </c>
      <c r="F290" s="159">
        <v>0</v>
      </c>
      <c r="I290" s="159">
        <v>250</v>
      </c>
      <c r="J290" s="164">
        <v>317804180.08008134</v>
      </c>
      <c r="K290" s="159">
        <v>111538.32530957842</v>
      </c>
      <c r="L290" s="164">
        <v>9987992.4110899232</v>
      </c>
      <c r="M290" s="159">
        <v>0</v>
      </c>
      <c r="Q290" s="139">
        <v>250</v>
      </c>
      <c r="R290" s="164">
        <f t="shared" si="23"/>
        <v>1504102523.1319284</v>
      </c>
      <c r="S290" s="164">
        <f t="shared" si="24"/>
        <v>-9987992.4110899232</v>
      </c>
      <c r="T290" s="159" t="str">
        <f t="shared" si="25"/>
        <v>TxPost-vaccination</v>
      </c>
      <c r="W290" s="139">
        <v>250</v>
      </c>
      <c r="X290" s="164">
        <f t="shared" si="26"/>
        <v>307816187.66899145</v>
      </c>
      <c r="Y290" s="159">
        <f t="shared" si="26"/>
        <v>111538.32530957842</v>
      </c>
    </row>
    <row r="291" spans="2:25" x14ac:dyDescent="0.25">
      <c r="B291" s="159">
        <v>251</v>
      </c>
      <c r="C291" s="164">
        <v>286042463.37231594</v>
      </c>
      <c r="D291" s="159">
        <v>67090.973233497032</v>
      </c>
      <c r="E291" s="164">
        <v>6823419.3334658062</v>
      </c>
      <c r="F291" s="159">
        <v>0</v>
      </c>
      <c r="I291" s="159">
        <v>251</v>
      </c>
      <c r="J291" s="164">
        <v>286042463.37231594</v>
      </c>
      <c r="K291" s="159">
        <v>67090.973233497032</v>
      </c>
      <c r="L291" s="164">
        <v>6823419.3334658062</v>
      </c>
      <c r="M291" s="159">
        <v>0</v>
      </c>
      <c r="Q291" s="139">
        <v>251</v>
      </c>
      <c r="R291" s="164">
        <f t="shared" si="23"/>
        <v>809845371.77190518</v>
      </c>
      <c r="S291" s="164">
        <f t="shared" si="24"/>
        <v>-6823419.3334658062</v>
      </c>
      <c r="T291" s="159" t="str">
        <f t="shared" si="25"/>
        <v>TxPost-vaccination</v>
      </c>
      <c r="W291" s="139">
        <v>251</v>
      </c>
      <c r="X291" s="164">
        <f t="shared" si="26"/>
        <v>279219044.03885013</v>
      </c>
      <c r="Y291" s="159">
        <f t="shared" si="26"/>
        <v>67090.973233497032</v>
      </c>
    </row>
    <row r="292" spans="2:25" x14ac:dyDescent="0.25">
      <c r="B292" s="159">
        <v>252</v>
      </c>
      <c r="C292" s="164">
        <v>314131850.94581538</v>
      </c>
      <c r="D292" s="159">
        <v>134309.79437959485</v>
      </c>
      <c r="E292" s="164">
        <v>10903119.389053395</v>
      </c>
      <c r="F292" s="159">
        <v>0</v>
      </c>
      <c r="I292" s="159">
        <v>252</v>
      </c>
      <c r="J292" s="164">
        <v>314131850.94581538</v>
      </c>
      <c r="K292" s="159">
        <v>134309.79437959485</v>
      </c>
      <c r="L292" s="164">
        <v>10903119.389053395</v>
      </c>
      <c r="M292" s="159">
        <v>0</v>
      </c>
      <c r="Q292" s="139">
        <v>252</v>
      </c>
      <c r="R292" s="164">
        <f t="shared" si="23"/>
        <v>1879732132.6493986</v>
      </c>
      <c r="S292" s="164">
        <f t="shared" si="24"/>
        <v>-10903119.389053395</v>
      </c>
      <c r="T292" s="159" t="str">
        <f t="shared" si="25"/>
        <v>TxPost-vaccination</v>
      </c>
      <c r="W292" s="139">
        <v>252</v>
      </c>
      <c r="X292" s="164">
        <f t="shared" si="26"/>
        <v>303228731.55676198</v>
      </c>
      <c r="Y292" s="159">
        <f t="shared" si="26"/>
        <v>134309.79437959485</v>
      </c>
    </row>
    <row r="293" spans="2:25" x14ac:dyDescent="0.25">
      <c r="B293" s="159">
        <v>253</v>
      </c>
      <c r="C293" s="164">
        <v>314851709.49095112</v>
      </c>
      <c r="D293" s="159">
        <v>53267.295193856633</v>
      </c>
      <c r="E293" s="164">
        <v>5270469.1157261729</v>
      </c>
      <c r="F293" s="159">
        <v>0</v>
      </c>
      <c r="I293" s="159">
        <v>253</v>
      </c>
      <c r="J293" s="164">
        <v>314851709.49095112</v>
      </c>
      <c r="K293" s="159">
        <v>53267.295193856633</v>
      </c>
      <c r="L293" s="164">
        <v>5270469.1157261729</v>
      </c>
      <c r="M293" s="159">
        <v>0</v>
      </c>
      <c r="Q293" s="139">
        <v>253</v>
      </c>
      <c r="R293" s="164">
        <f t="shared" si="23"/>
        <v>555235248.56853318</v>
      </c>
      <c r="S293" s="164">
        <f t="shared" si="24"/>
        <v>-5270469.1157261729</v>
      </c>
      <c r="T293" s="159" t="str">
        <f t="shared" si="25"/>
        <v>TxPost-vaccination</v>
      </c>
      <c r="W293" s="139">
        <v>253</v>
      </c>
      <c r="X293" s="164">
        <f t="shared" si="26"/>
        <v>309581240.37522495</v>
      </c>
      <c r="Y293" s="159">
        <f t="shared" si="26"/>
        <v>53267.295193856633</v>
      </c>
    </row>
    <row r="294" spans="2:25" x14ac:dyDescent="0.25">
      <c r="B294" s="159">
        <v>254</v>
      </c>
      <c r="C294" s="164">
        <v>291837089.7299481</v>
      </c>
      <c r="D294" s="159">
        <v>159951.02773366243</v>
      </c>
      <c r="E294" s="164">
        <v>12992870.826999206</v>
      </c>
      <c r="F294" s="159">
        <v>0</v>
      </c>
      <c r="I294" s="159">
        <v>254</v>
      </c>
      <c r="J294" s="164">
        <v>291837089.7299481</v>
      </c>
      <c r="K294" s="159">
        <v>159951.02773366243</v>
      </c>
      <c r="L294" s="164">
        <v>12992870.826999206</v>
      </c>
      <c r="M294" s="159">
        <v>0</v>
      </c>
      <c r="Q294" s="139">
        <v>254</v>
      </c>
      <c r="R294" s="164">
        <f t="shared" si="23"/>
        <v>2320859925.4419675</v>
      </c>
      <c r="S294" s="164">
        <f t="shared" si="24"/>
        <v>-12992870.826999206</v>
      </c>
      <c r="T294" s="159" t="str">
        <f t="shared" si="25"/>
        <v>TxPost-vaccination</v>
      </c>
      <c r="W294" s="139">
        <v>254</v>
      </c>
      <c r="X294" s="164">
        <f t="shared" si="26"/>
        <v>278844218.90294892</v>
      </c>
      <c r="Y294" s="159">
        <f t="shared" si="26"/>
        <v>159951.02773366243</v>
      </c>
    </row>
    <row r="295" spans="2:25" x14ac:dyDescent="0.25">
      <c r="B295" s="159">
        <v>255</v>
      </c>
      <c r="C295" s="164">
        <v>291861630.4418537</v>
      </c>
      <c r="D295" s="159">
        <v>103374.53917432533</v>
      </c>
      <c r="E295" s="164">
        <v>8543069.0435969718</v>
      </c>
      <c r="F295" s="159">
        <v>0</v>
      </c>
      <c r="I295" s="159">
        <v>255</v>
      </c>
      <c r="J295" s="164">
        <v>291861630.4418537</v>
      </c>
      <c r="K295" s="159">
        <v>103374.53917432533</v>
      </c>
      <c r="L295" s="164">
        <v>8543069.0435969718</v>
      </c>
      <c r="M295" s="159">
        <v>0</v>
      </c>
      <c r="Q295" s="139">
        <v>255</v>
      </c>
      <c r="R295" s="164">
        <f t="shared" si="23"/>
        <v>1396694884.463809</v>
      </c>
      <c r="S295" s="164">
        <f t="shared" si="24"/>
        <v>-8543069.0435969718</v>
      </c>
      <c r="T295" s="159" t="str">
        <f t="shared" si="25"/>
        <v>TxPost-vaccination</v>
      </c>
      <c r="W295" s="139">
        <v>255</v>
      </c>
      <c r="X295" s="164">
        <f t="shared" si="26"/>
        <v>283318561.39825672</v>
      </c>
      <c r="Y295" s="159">
        <f t="shared" si="26"/>
        <v>103374.53917432533</v>
      </c>
    </row>
    <row r="296" spans="2:25" x14ac:dyDescent="0.25">
      <c r="B296" s="159">
        <v>256</v>
      </c>
      <c r="C296" s="164">
        <v>312405405.67612296</v>
      </c>
      <c r="D296" s="159">
        <v>145118.6199221187</v>
      </c>
      <c r="E296" s="164">
        <v>10847774.030776549</v>
      </c>
      <c r="F296" s="159">
        <v>0</v>
      </c>
      <c r="I296" s="159">
        <v>256</v>
      </c>
      <c r="J296" s="164">
        <v>312405405.67612296</v>
      </c>
      <c r="K296" s="159">
        <v>145118.6199221187</v>
      </c>
      <c r="L296" s="164">
        <v>10847774.030776549</v>
      </c>
      <c r="M296" s="159">
        <v>0</v>
      </c>
      <c r="Q296" s="139">
        <v>256</v>
      </c>
      <c r="R296" s="164">
        <f t="shared" si="23"/>
        <v>2058013781.2997739</v>
      </c>
      <c r="S296" s="164">
        <f t="shared" si="24"/>
        <v>-10847774.030776549</v>
      </c>
      <c r="T296" s="159" t="str">
        <f t="shared" si="25"/>
        <v>TxPost-vaccination</v>
      </c>
      <c r="W296" s="139">
        <v>256</v>
      </c>
      <c r="X296" s="164">
        <f t="shared" si="26"/>
        <v>301557631.6453464</v>
      </c>
      <c r="Y296" s="159">
        <f t="shared" si="26"/>
        <v>145118.6199221187</v>
      </c>
    </row>
    <row r="297" spans="2:25" x14ac:dyDescent="0.25">
      <c r="B297" s="159">
        <v>257</v>
      </c>
      <c r="C297" s="164">
        <v>318362413.48526305</v>
      </c>
      <c r="D297" s="159">
        <v>65078.047077657415</v>
      </c>
      <c r="E297" s="164">
        <v>6270447.7830440709</v>
      </c>
      <c r="F297" s="159">
        <v>0</v>
      </c>
      <c r="I297" s="159">
        <v>257</v>
      </c>
      <c r="J297" s="164">
        <v>318362413.48526305</v>
      </c>
      <c r="K297" s="159">
        <v>65078.047077657415</v>
      </c>
      <c r="L297" s="164">
        <v>6270447.7830440709</v>
      </c>
      <c r="M297" s="159">
        <v>0</v>
      </c>
      <c r="Q297" s="139">
        <v>257</v>
      </c>
      <c r="R297" s="164">
        <f t="shared" ref="R297:R360" si="27">K297*threshold-J297</f>
        <v>744645569.40892553</v>
      </c>
      <c r="S297" s="164">
        <f t="shared" ref="S297:S360" si="28">M297*threshold-L297</f>
        <v>-6270447.7830440709</v>
      </c>
      <c r="T297" s="159" t="str">
        <f t="shared" si="25"/>
        <v>TxPost-vaccination</v>
      </c>
      <c r="W297" s="139">
        <v>257</v>
      </c>
      <c r="X297" s="164">
        <f t="shared" si="26"/>
        <v>312091965.70221895</v>
      </c>
      <c r="Y297" s="159">
        <f t="shared" si="26"/>
        <v>65078.047077657415</v>
      </c>
    </row>
    <row r="298" spans="2:25" x14ac:dyDescent="0.25">
      <c r="B298" s="159">
        <v>258</v>
      </c>
      <c r="C298" s="164">
        <v>325306188.88699669</v>
      </c>
      <c r="D298" s="159">
        <v>61616.260296216424</v>
      </c>
      <c r="E298" s="164">
        <v>6971225.7863691086</v>
      </c>
      <c r="F298" s="159">
        <v>0</v>
      </c>
      <c r="I298" s="159">
        <v>258</v>
      </c>
      <c r="J298" s="164">
        <v>325306188.88699669</v>
      </c>
      <c r="K298" s="159">
        <v>61616.260296216424</v>
      </c>
      <c r="L298" s="164">
        <v>6971225.7863691086</v>
      </c>
      <c r="M298" s="159">
        <v>0</v>
      </c>
      <c r="Q298" s="139">
        <v>258</v>
      </c>
      <c r="R298" s="164">
        <f t="shared" si="27"/>
        <v>681155736.63460159</v>
      </c>
      <c r="S298" s="164">
        <f t="shared" si="28"/>
        <v>-6971225.7863691086</v>
      </c>
      <c r="T298" s="159" t="str">
        <f t="shared" ref="T298:T361" si="29">IF(R298&gt;S298,"TxPost-vaccination",IF(S298&gt;R298,"TxPre-vaccination","either"))</f>
        <v>TxPost-vaccination</v>
      </c>
      <c r="W298" s="139">
        <v>258</v>
      </c>
      <c r="X298" s="164">
        <f t="shared" ref="X298:Y361" si="30">J298-L298</f>
        <v>318334963.1006276</v>
      </c>
      <c r="Y298" s="159">
        <f t="shared" si="30"/>
        <v>61616.260296216424</v>
      </c>
    </row>
    <row r="299" spans="2:25" x14ac:dyDescent="0.25">
      <c r="B299" s="159">
        <v>259</v>
      </c>
      <c r="C299" s="164">
        <v>304409907.23539966</v>
      </c>
      <c r="D299" s="159">
        <v>91288.254237653397</v>
      </c>
      <c r="E299" s="164">
        <v>10237407.6890589</v>
      </c>
      <c r="F299" s="159">
        <v>0</v>
      </c>
      <c r="I299" s="159">
        <v>259</v>
      </c>
      <c r="J299" s="164">
        <v>304409907.23539966</v>
      </c>
      <c r="K299" s="159">
        <v>91288.254237653397</v>
      </c>
      <c r="L299" s="164">
        <v>10237407.6890589</v>
      </c>
      <c r="M299" s="159">
        <v>0</v>
      </c>
      <c r="Q299" s="139">
        <v>259</v>
      </c>
      <c r="R299" s="164">
        <f t="shared" si="27"/>
        <v>1186724927.8849924</v>
      </c>
      <c r="S299" s="164">
        <f t="shared" si="28"/>
        <v>-10237407.6890589</v>
      </c>
      <c r="T299" s="159" t="str">
        <f t="shared" si="29"/>
        <v>TxPost-vaccination</v>
      </c>
      <c r="W299" s="139">
        <v>259</v>
      </c>
      <c r="X299" s="164">
        <f t="shared" si="30"/>
        <v>294172499.54634076</v>
      </c>
      <c r="Y299" s="159">
        <f t="shared" si="30"/>
        <v>91288.254237653397</v>
      </c>
    </row>
    <row r="300" spans="2:25" x14ac:dyDescent="0.25">
      <c r="B300" s="159">
        <v>260</v>
      </c>
      <c r="C300" s="164">
        <v>338650857.51730531</v>
      </c>
      <c r="D300" s="159">
        <v>79530.464161617914</v>
      </c>
      <c r="E300" s="164">
        <v>9272587.2566008382</v>
      </c>
      <c r="F300" s="159">
        <v>0</v>
      </c>
      <c r="I300" s="159">
        <v>260</v>
      </c>
      <c r="J300" s="164">
        <v>338650857.51730531</v>
      </c>
      <c r="K300" s="159">
        <v>79530.464161617914</v>
      </c>
      <c r="L300" s="164">
        <v>9272587.2566008382</v>
      </c>
      <c r="M300" s="159">
        <v>0</v>
      </c>
      <c r="Q300" s="139">
        <v>260</v>
      </c>
      <c r="R300" s="164">
        <f t="shared" si="27"/>
        <v>960428049.78605771</v>
      </c>
      <c r="S300" s="164">
        <f t="shared" si="28"/>
        <v>-9272587.2566008382</v>
      </c>
      <c r="T300" s="159" t="str">
        <f t="shared" si="29"/>
        <v>TxPost-vaccination</v>
      </c>
      <c r="W300" s="139">
        <v>260</v>
      </c>
      <c r="X300" s="164">
        <f t="shared" si="30"/>
        <v>329378270.26070446</v>
      </c>
      <c r="Y300" s="159">
        <f t="shared" si="30"/>
        <v>79530.464161617914</v>
      </c>
    </row>
    <row r="301" spans="2:25" x14ac:dyDescent="0.25">
      <c r="B301" s="159">
        <v>261</v>
      </c>
      <c r="C301" s="164">
        <v>299721923.45503128</v>
      </c>
      <c r="D301" s="159">
        <v>119998.56816803858</v>
      </c>
      <c r="E301" s="164">
        <v>9756264.5990322474</v>
      </c>
      <c r="F301" s="159">
        <v>0</v>
      </c>
      <c r="I301" s="159">
        <v>261</v>
      </c>
      <c r="J301" s="164">
        <v>299721923.45503128</v>
      </c>
      <c r="K301" s="159">
        <v>119998.56816803858</v>
      </c>
      <c r="L301" s="164">
        <v>9756264.5990322474</v>
      </c>
      <c r="M301" s="159">
        <v>0</v>
      </c>
      <c r="Q301" s="139">
        <v>261</v>
      </c>
      <c r="R301" s="164">
        <f t="shared" si="27"/>
        <v>1660377397.692102</v>
      </c>
      <c r="S301" s="164">
        <f t="shared" si="28"/>
        <v>-9756264.5990322474</v>
      </c>
      <c r="T301" s="159" t="str">
        <f t="shared" si="29"/>
        <v>TxPost-vaccination</v>
      </c>
      <c r="W301" s="139">
        <v>261</v>
      </c>
      <c r="X301" s="164">
        <f t="shared" si="30"/>
        <v>289965658.85599905</v>
      </c>
      <c r="Y301" s="159">
        <f t="shared" si="30"/>
        <v>119998.56816803858</v>
      </c>
    </row>
    <row r="302" spans="2:25" x14ac:dyDescent="0.25">
      <c r="B302" s="159">
        <v>262</v>
      </c>
      <c r="C302" s="164">
        <v>331254391.41738445</v>
      </c>
      <c r="D302" s="159">
        <v>135455.63700916394</v>
      </c>
      <c r="E302" s="164">
        <v>10480969.010794343</v>
      </c>
      <c r="F302" s="159">
        <v>0</v>
      </c>
      <c r="I302" s="159">
        <v>262</v>
      </c>
      <c r="J302" s="164">
        <v>331254391.41738445</v>
      </c>
      <c r="K302" s="159">
        <v>135455.63700916394</v>
      </c>
      <c r="L302" s="164">
        <v>10480969.010794343</v>
      </c>
      <c r="M302" s="159">
        <v>0</v>
      </c>
      <c r="Q302" s="139">
        <v>262</v>
      </c>
      <c r="R302" s="164">
        <f t="shared" si="27"/>
        <v>1881326193.5060613</v>
      </c>
      <c r="S302" s="164">
        <f t="shared" si="28"/>
        <v>-10480969.010794343</v>
      </c>
      <c r="T302" s="159" t="str">
        <f t="shared" si="29"/>
        <v>TxPost-vaccination</v>
      </c>
      <c r="W302" s="139">
        <v>262</v>
      </c>
      <c r="X302" s="164">
        <f t="shared" si="30"/>
        <v>320773422.4065901</v>
      </c>
      <c r="Y302" s="159">
        <f t="shared" si="30"/>
        <v>135455.63700916394</v>
      </c>
    </row>
    <row r="303" spans="2:25" x14ac:dyDescent="0.25">
      <c r="B303" s="159">
        <v>263</v>
      </c>
      <c r="C303" s="164">
        <v>293940215.60224265</v>
      </c>
      <c r="D303" s="159">
        <v>72415.928776833098</v>
      </c>
      <c r="E303" s="164">
        <v>6066328.6995208971</v>
      </c>
      <c r="F303" s="159">
        <v>0</v>
      </c>
      <c r="I303" s="159">
        <v>263</v>
      </c>
      <c r="J303" s="164">
        <v>293940215.60224265</v>
      </c>
      <c r="K303" s="159">
        <v>72415.928776833098</v>
      </c>
      <c r="L303" s="164">
        <v>6066328.6995208971</v>
      </c>
      <c r="M303" s="159">
        <v>0</v>
      </c>
      <c r="Q303" s="139">
        <v>263</v>
      </c>
      <c r="R303" s="164">
        <f t="shared" si="27"/>
        <v>888927338.59175682</v>
      </c>
      <c r="S303" s="164">
        <f t="shared" si="28"/>
        <v>-6066328.6995208971</v>
      </c>
      <c r="T303" s="159" t="str">
        <f t="shared" si="29"/>
        <v>TxPost-vaccination</v>
      </c>
      <c r="W303" s="139">
        <v>263</v>
      </c>
      <c r="X303" s="164">
        <f t="shared" si="30"/>
        <v>287873886.90272176</v>
      </c>
      <c r="Y303" s="159">
        <f t="shared" si="30"/>
        <v>72415.928776833098</v>
      </c>
    </row>
    <row r="304" spans="2:25" x14ac:dyDescent="0.25">
      <c r="B304" s="159">
        <v>264</v>
      </c>
      <c r="C304" s="164">
        <v>305758283.88224381</v>
      </c>
      <c r="D304" s="159">
        <v>90813.397691949431</v>
      </c>
      <c r="E304" s="164">
        <v>8790766.2432500254</v>
      </c>
      <c r="F304" s="159">
        <v>0</v>
      </c>
      <c r="I304" s="159">
        <v>264</v>
      </c>
      <c r="J304" s="164">
        <v>305758283.88224381</v>
      </c>
      <c r="K304" s="159">
        <v>90813.397691949431</v>
      </c>
      <c r="L304" s="164">
        <v>8790766.2432500254</v>
      </c>
      <c r="M304" s="159">
        <v>0</v>
      </c>
      <c r="Q304" s="139">
        <v>264</v>
      </c>
      <c r="R304" s="164">
        <f t="shared" si="27"/>
        <v>1177620075.4144266</v>
      </c>
      <c r="S304" s="164">
        <f t="shared" si="28"/>
        <v>-8790766.2432500254</v>
      </c>
      <c r="T304" s="159" t="str">
        <f t="shared" si="29"/>
        <v>TxPost-vaccination</v>
      </c>
      <c r="W304" s="139">
        <v>264</v>
      </c>
      <c r="X304" s="164">
        <f t="shared" si="30"/>
        <v>296967517.6389938</v>
      </c>
      <c r="Y304" s="159">
        <f t="shared" si="30"/>
        <v>90813.397691949431</v>
      </c>
    </row>
    <row r="305" spans="2:25" x14ac:dyDescent="0.25">
      <c r="B305" s="159">
        <v>265</v>
      </c>
      <c r="C305" s="164">
        <v>319759085.95070386</v>
      </c>
      <c r="D305" s="159">
        <v>83107.96110036959</v>
      </c>
      <c r="E305" s="164">
        <v>7529254.7211755197</v>
      </c>
      <c r="F305" s="159">
        <v>0</v>
      </c>
      <c r="I305" s="159">
        <v>265</v>
      </c>
      <c r="J305" s="164">
        <v>319759085.95070386</v>
      </c>
      <c r="K305" s="159">
        <v>83107.96110036959</v>
      </c>
      <c r="L305" s="164">
        <v>7529254.7211755197</v>
      </c>
      <c r="M305" s="159">
        <v>0</v>
      </c>
      <c r="Q305" s="139">
        <v>265</v>
      </c>
      <c r="R305" s="164">
        <f t="shared" si="27"/>
        <v>1037755929.6171646</v>
      </c>
      <c r="S305" s="164">
        <f t="shared" si="28"/>
        <v>-7529254.7211755197</v>
      </c>
      <c r="T305" s="159" t="str">
        <f t="shared" si="29"/>
        <v>TxPost-vaccination</v>
      </c>
      <c r="W305" s="139">
        <v>265</v>
      </c>
      <c r="X305" s="164">
        <f t="shared" si="30"/>
        <v>312229831.22952837</v>
      </c>
      <c r="Y305" s="159">
        <f t="shared" si="30"/>
        <v>83107.96110036959</v>
      </c>
    </row>
    <row r="306" spans="2:25" x14ac:dyDescent="0.25">
      <c r="B306" s="159">
        <v>266</v>
      </c>
      <c r="C306" s="164">
        <v>319319198.27832204</v>
      </c>
      <c r="D306" s="159">
        <v>137273.65672367631</v>
      </c>
      <c r="E306" s="164">
        <v>11257500.107080461</v>
      </c>
      <c r="F306" s="159">
        <v>0</v>
      </c>
      <c r="I306" s="159">
        <v>266</v>
      </c>
      <c r="J306" s="164">
        <v>319319198.27832204</v>
      </c>
      <c r="K306" s="159">
        <v>137273.65672367631</v>
      </c>
      <c r="L306" s="164">
        <v>11257500.107080461</v>
      </c>
      <c r="M306" s="159">
        <v>0</v>
      </c>
      <c r="Q306" s="139">
        <v>266</v>
      </c>
      <c r="R306" s="164">
        <f t="shared" si="27"/>
        <v>1922957567.7133653</v>
      </c>
      <c r="S306" s="164">
        <f t="shared" si="28"/>
        <v>-11257500.107080461</v>
      </c>
      <c r="T306" s="159" t="str">
        <f t="shared" si="29"/>
        <v>TxPost-vaccination</v>
      </c>
      <c r="W306" s="139">
        <v>266</v>
      </c>
      <c r="X306" s="164">
        <f t="shared" si="30"/>
        <v>308061698.17124158</v>
      </c>
      <c r="Y306" s="159">
        <f t="shared" si="30"/>
        <v>137273.65672367631</v>
      </c>
    </row>
    <row r="307" spans="2:25" x14ac:dyDescent="0.25">
      <c r="B307" s="159">
        <v>267</v>
      </c>
      <c r="C307" s="164">
        <v>303430381.92601091</v>
      </c>
      <c r="D307" s="159">
        <v>95438.897520577884</v>
      </c>
      <c r="E307" s="164">
        <v>8396808.5068265703</v>
      </c>
      <c r="F307" s="159">
        <v>0</v>
      </c>
      <c r="I307" s="159">
        <v>267</v>
      </c>
      <c r="J307" s="164">
        <v>303430381.92601091</v>
      </c>
      <c r="K307" s="159">
        <v>95438.897520577884</v>
      </c>
      <c r="L307" s="164">
        <v>8396808.5068265703</v>
      </c>
      <c r="M307" s="159">
        <v>0</v>
      </c>
      <c r="Q307" s="139">
        <v>267</v>
      </c>
      <c r="R307" s="164">
        <f t="shared" si="27"/>
        <v>1255502537.8331206</v>
      </c>
      <c r="S307" s="164">
        <f t="shared" si="28"/>
        <v>-8396808.5068265703</v>
      </c>
      <c r="T307" s="159" t="str">
        <f t="shared" si="29"/>
        <v>TxPost-vaccination</v>
      </c>
      <c r="W307" s="139">
        <v>267</v>
      </c>
      <c r="X307" s="164">
        <f t="shared" si="30"/>
        <v>295033573.41918433</v>
      </c>
      <c r="Y307" s="159">
        <f t="shared" si="30"/>
        <v>95438.897520577884</v>
      </c>
    </row>
    <row r="308" spans="2:25" x14ac:dyDescent="0.25">
      <c r="B308" s="159">
        <v>268</v>
      </c>
      <c r="C308" s="164">
        <v>349992114.96587735</v>
      </c>
      <c r="D308" s="159">
        <v>52328.697573975238</v>
      </c>
      <c r="E308" s="164">
        <v>5015259.1394655257</v>
      </c>
      <c r="F308" s="159">
        <v>0</v>
      </c>
      <c r="I308" s="159">
        <v>268</v>
      </c>
      <c r="J308" s="164">
        <v>349992114.96587735</v>
      </c>
      <c r="K308" s="159">
        <v>52328.697573975238</v>
      </c>
      <c r="L308" s="164">
        <v>5015259.1394655257</v>
      </c>
      <c r="M308" s="159">
        <v>0</v>
      </c>
      <c r="Q308" s="139">
        <v>268</v>
      </c>
      <c r="R308" s="164">
        <f t="shared" si="27"/>
        <v>504763455.51418537</v>
      </c>
      <c r="S308" s="164">
        <f t="shared" si="28"/>
        <v>-5015259.1394655257</v>
      </c>
      <c r="T308" s="159" t="str">
        <f t="shared" si="29"/>
        <v>TxPost-vaccination</v>
      </c>
      <c r="W308" s="139">
        <v>268</v>
      </c>
      <c r="X308" s="164">
        <f t="shared" si="30"/>
        <v>344976855.82641184</v>
      </c>
      <c r="Y308" s="159">
        <f t="shared" si="30"/>
        <v>52328.697573975238</v>
      </c>
    </row>
    <row r="309" spans="2:25" x14ac:dyDescent="0.25">
      <c r="B309" s="159">
        <v>269</v>
      </c>
      <c r="C309" s="164">
        <v>327754322.45184374</v>
      </c>
      <c r="D309" s="159">
        <v>113164.47971146477</v>
      </c>
      <c r="E309" s="164">
        <v>11287013.298887555</v>
      </c>
      <c r="F309" s="159">
        <v>0</v>
      </c>
      <c r="I309" s="159">
        <v>269</v>
      </c>
      <c r="J309" s="164">
        <v>327754322.45184374</v>
      </c>
      <c r="K309" s="159">
        <v>113164.47971146477</v>
      </c>
      <c r="L309" s="164">
        <v>11287013.298887555</v>
      </c>
      <c r="M309" s="159">
        <v>0</v>
      </c>
      <c r="Q309" s="139">
        <v>269</v>
      </c>
      <c r="R309" s="164">
        <f t="shared" si="27"/>
        <v>1520714565.5251908</v>
      </c>
      <c r="S309" s="164">
        <f t="shared" si="28"/>
        <v>-11287013.298887555</v>
      </c>
      <c r="T309" s="159" t="str">
        <f t="shared" si="29"/>
        <v>TxPost-vaccination</v>
      </c>
      <c r="W309" s="139">
        <v>269</v>
      </c>
      <c r="X309" s="164">
        <f t="shared" si="30"/>
        <v>316467309.15295619</v>
      </c>
      <c r="Y309" s="159">
        <f t="shared" si="30"/>
        <v>113164.47971146477</v>
      </c>
    </row>
    <row r="310" spans="2:25" x14ac:dyDescent="0.25">
      <c r="B310" s="159">
        <v>270</v>
      </c>
      <c r="C310" s="164">
        <v>290250122.24713486</v>
      </c>
      <c r="D310" s="159">
        <v>159572.36597069868</v>
      </c>
      <c r="E310" s="164">
        <v>11004218.038417684</v>
      </c>
      <c r="F310" s="159">
        <v>0</v>
      </c>
      <c r="I310" s="159">
        <v>270</v>
      </c>
      <c r="J310" s="164">
        <v>290250122.24713486</v>
      </c>
      <c r="K310" s="159">
        <v>159572.36597069868</v>
      </c>
      <c r="L310" s="164">
        <v>11004218.038417684</v>
      </c>
      <c r="M310" s="159">
        <v>0</v>
      </c>
      <c r="Q310" s="139">
        <v>270</v>
      </c>
      <c r="R310" s="164">
        <f t="shared" si="27"/>
        <v>2316261696.919023</v>
      </c>
      <c r="S310" s="164">
        <f t="shared" si="28"/>
        <v>-11004218.038417684</v>
      </c>
      <c r="T310" s="159" t="str">
        <f t="shared" si="29"/>
        <v>TxPost-vaccination</v>
      </c>
      <c r="W310" s="139">
        <v>270</v>
      </c>
      <c r="X310" s="164">
        <f t="shared" si="30"/>
        <v>279245904.20871717</v>
      </c>
      <c r="Y310" s="159">
        <f t="shared" si="30"/>
        <v>159572.36597069868</v>
      </c>
    </row>
    <row r="311" spans="2:25" x14ac:dyDescent="0.25">
      <c r="B311" s="159">
        <v>271</v>
      </c>
      <c r="C311" s="164">
        <v>290736609.72801244</v>
      </c>
      <c r="D311" s="159">
        <v>105176.74448798422</v>
      </c>
      <c r="E311" s="164">
        <v>9606136.1218529418</v>
      </c>
      <c r="F311" s="159">
        <v>0</v>
      </c>
      <c r="I311" s="159">
        <v>271</v>
      </c>
      <c r="J311" s="164">
        <v>290736609.72801244</v>
      </c>
      <c r="K311" s="159">
        <v>105176.74448798422</v>
      </c>
      <c r="L311" s="164">
        <v>9606136.1218529418</v>
      </c>
      <c r="M311" s="159">
        <v>0</v>
      </c>
      <c r="Q311" s="139">
        <v>271</v>
      </c>
      <c r="R311" s="164">
        <f t="shared" si="27"/>
        <v>1427257768.1938477</v>
      </c>
      <c r="S311" s="164">
        <f t="shared" si="28"/>
        <v>-9606136.1218529418</v>
      </c>
      <c r="T311" s="159" t="str">
        <f t="shared" si="29"/>
        <v>TxPost-vaccination</v>
      </c>
      <c r="W311" s="139">
        <v>271</v>
      </c>
      <c r="X311" s="164">
        <f t="shared" si="30"/>
        <v>281130473.60615951</v>
      </c>
      <c r="Y311" s="159">
        <f t="shared" si="30"/>
        <v>105176.74448798422</v>
      </c>
    </row>
    <row r="312" spans="2:25" x14ac:dyDescent="0.25">
      <c r="B312" s="159">
        <v>272</v>
      </c>
      <c r="C312" s="164">
        <v>319158742.81428164</v>
      </c>
      <c r="D312" s="159">
        <v>108980.45778435803</v>
      </c>
      <c r="E312" s="164">
        <v>10301384.051594097</v>
      </c>
      <c r="F312" s="159">
        <v>0</v>
      </c>
      <c r="I312" s="159">
        <v>272</v>
      </c>
      <c r="J312" s="164">
        <v>319158742.81428164</v>
      </c>
      <c r="K312" s="159">
        <v>108980.45778435803</v>
      </c>
      <c r="L312" s="164">
        <v>10301384.051594097</v>
      </c>
      <c r="M312" s="159">
        <v>0</v>
      </c>
      <c r="Q312" s="139">
        <v>272</v>
      </c>
      <c r="R312" s="164">
        <f t="shared" si="27"/>
        <v>1460966841.8701475</v>
      </c>
      <c r="S312" s="164">
        <f t="shared" si="28"/>
        <v>-10301384.051594097</v>
      </c>
      <c r="T312" s="159" t="str">
        <f t="shared" si="29"/>
        <v>TxPost-vaccination</v>
      </c>
      <c r="W312" s="139">
        <v>272</v>
      </c>
      <c r="X312" s="164">
        <f t="shared" si="30"/>
        <v>308857358.76268756</v>
      </c>
      <c r="Y312" s="159">
        <f t="shared" si="30"/>
        <v>108980.45778435803</v>
      </c>
    </row>
    <row r="313" spans="2:25" x14ac:dyDescent="0.25">
      <c r="B313" s="159">
        <v>273</v>
      </c>
      <c r="C313" s="164">
        <v>312136463.56801903</v>
      </c>
      <c r="D313" s="159">
        <v>64096.268616767004</v>
      </c>
      <c r="E313" s="164">
        <v>5984270.6660916256</v>
      </c>
      <c r="F313" s="159">
        <v>0</v>
      </c>
      <c r="I313" s="159">
        <v>273</v>
      </c>
      <c r="J313" s="164">
        <v>312136463.56801903</v>
      </c>
      <c r="K313" s="159">
        <v>64096.268616767004</v>
      </c>
      <c r="L313" s="164">
        <v>5984270.6660916256</v>
      </c>
      <c r="M313" s="159">
        <v>0</v>
      </c>
      <c r="Q313" s="139">
        <v>273</v>
      </c>
      <c r="R313" s="164">
        <f t="shared" si="27"/>
        <v>734834800.52121365</v>
      </c>
      <c r="S313" s="164">
        <f t="shared" si="28"/>
        <v>-5984270.6660916256</v>
      </c>
      <c r="T313" s="159" t="str">
        <f t="shared" si="29"/>
        <v>TxPost-vaccination</v>
      </c>
      <c r="W313" s="139">
        <v>273</v>
      </c>
      <c r="X313" s="164">
        <f t="shared" si="30"/>
        <v>306152192.90192741</v>
      </c>
      <c r="Y313" s="159">
        <f t="shared" si="30"/>
        <v>64096.268616767004</v>
      </c>
    </row>
    <row r="314" spans="2:25" x14ac:dyDescent="0.25">
      <c r="B314" s="159">
        <v>274</v>
      </c>
      <c r="C314" s="164">
        <v>300476991.95902449</v>
      </c>
      <c r="D314" s="159">
        <v>141659.94032024883</v>
      </c>
      <c r="E314" s="164">
        <v>10784172.00303359</v>
      </c>
      <c r="F314" s="159">
        <v>0</v>
      </c>
      <c r="I314" s="159">
        <v>274</v>
      </c>
      <c r="J314" s="164">
        <v>300476991.95902449</v>
      </c>
      <c r="K314" s="159">
        <v>141659.94032024883</v>
      </c>
      <c r="L314" s="164">
        <v>10784172.00303359</v>
      </c>
      <c r="M314" s="159">
        <v>0</v>
      </c>
      <c r="Q314" s="139">
        <v>274</v>
      </c>
      <c r="R314" s="164">
        <f t="shared" si="27"/>
        <v>2013446891.4212728</v>
      </c>
      <c r="S314" s="164">
        <f t="shared" si="28"/>
        <v>-10784172.00303359</v>
      </c>
      <c r="T314" s="159" t="str">
        <f t="shared" si="29"/>
        <v>TxPost-vaccination</v>
      </c>
      <c r="W314" s="139">
        <v>274</v>
      </c>
      <c r="X314" s="164">
        <f t="shared" si="30"/>
        <v>289692819.95599091</v>
      </c>
      <c r="Y314" s="159">
        <f t="shared" si="30"/>
        <v>141659.94032024883</v>
      </c>
    </row>
    <row r="315" spans="2:25" x14ac:dyDescent="0.25">
      <c r="B315" s="159">
        <v>275</v>
      </c>
      <c r="C315" s="164">
        <v>289535460.63431329</v>
      </c>
      <c r="D315" s="159">
        <v>152050.06623822727</v>
      </c>
      <c r="E315" s="164">
        <v>12467504.431825535</v>
      </c>
      <c r="F315" s="159">
        <v>0</v>
      </c>
      <c r="I315" s="159">
        <v>275</v>
      </c>
      <c r="J315" s="164">
        <v>289535460.63431329</v>
      </c>
      <c r="K315" s="159">
        <v>152050.06623822727</v>
      </c>
      <c r="L315" s="164">
        <v>12467504.431825535</v>
      </c>
      <c r="M315" s="159">
        <v>0</v>
      </c>
      <c r="Q315" s="139">
        <v>275</v>
      </c>
      <c r="R315" s="164">
        <f t="shared" si="27"/>
        <v>2194104437.439959</v>
      </c>
      <c r="S315" s="164">
        <f t="shared" si="28"/>
        <v>-12467504.431825535</v>
      </c>
      <c r="T315" s="159" t="str">
        <f t="shared" si="29"/>
        <v>TxPost-vaccination</v>
      </c>
      <c r="W315" s="139">
        <v>275</v>
      </c>
      <c r="X315" s="164">
        <f t="shared" si="30"/>
        <v>277067956.20248777</v>
      </c>
      <c r="Y315" s="159">
        <f t="shared" si="30"/>
        <v>152050.06623822727</v>
      </c>
    </row>
    <row r="316" spans="2:25" x14ac:dyDescent="0.25">
      <c r="B316" s="159">
        <v>276</v>
      </c>
      <c r="C316" s="164">
        <v>320019045.46190184</v>
      </c>
      <c r="D316" s="159">
        <v>58011.701221971714</v>
      </c>
      <c r="E316" s="164">
        <v>5102945.7303286986</v>
      </c>
      <c r="F316" s="159">
        <v>0</v>
      </c>
      <c r="I316" s="159">
        <v>276</v>
      </c>
      <c r="J316" s="164">
        <v>320019045.46190184</v>
      </c>
      <c r="K316" s="159">
        <v>58011.701221971714</v>
      </c>
      <c r="L316" s="164">
        <v>5102945.7303286986</v>
      </c>
      <c r="M316" s="159">
        <v>0</v>
      </c>
      <c r="Q316" s="139">
        <v>276</v>
      </c>
      <c r="R316" s="164">
        <f t="shared" si="27"/>
        <v>627564729.24236345</v>
      </c>
      <c r="S316" s="164">
        <f t="shared" si="28"/>
        <v>-5102945.7303286986</v>
      </c>
      <c r="T316" s="159" t="str">
        <f t="shared" si="29"/>
        <v>TxPost-vaccination</v>
      </c>
      <c r="W316" s="139">
        <v>276</v>
      </c>
      <c r="X316" s="164">
        <f t="shared" si="30"/>
        <v>314916099.73157316</v>
      </c>
      <c r="Y316" s="159">
        <f t="shared" si="30"/>
        <v>58011.701221971714</v>
      </c>
    </row>
    <row r="317" spans="2:25" x14ac:dyDescent="0.25">
      <c r="B317" s="159">
        <v>277</v>
      </c>
      <c r="C317" s="164">
        <v>343406566.02891481</v>
      </c>
      <c r="D317" s="159">
        <v>85743.88843448984</v>
      </c>
      <c r="E317" s="164">
        <v>7735884.6331137298</v>
      </c>
      <c r="F317" s="159">
        <v>0</v>
      </c>
      <c r="I317" s="159">
        <v>277</v>
      </c>
      <c r="J317" s="164">
        <v>343406566.02891481</v>
      </c>
      <c r="K317" s="159">
        <v>85743.88843448984</v>
      </c>
      <c r="L317" s="164">
        <v>7735884.6331137298</v>
      </c>
      <c r="M317" s="159">
        <v>0</v>
      </c>
      <c r="Q317" s="139">
        <v>277</v>
      </c>
      <c r="R317" s="164">
        <f t="shared" si="27"/>
        <v>1057164624.7673711</v>
      </c>
      <c r="S317" s="164">
        <f t="shared" si="28"/>
        <v>-7735884.6331137298</v>
      </c>
      <c r="T317" s="159" t="str">
        <f t="shared" si="29"/>
        <v>TxPost-vaccination</v>
      </c>
      <c r="W317" s="139">
        <v>277</v>
      </c>
      <c r="X317" s="164">
        <f t="shared" si="30"/>
        <v>335670681.39580107</v>
      </c>
      <c r="Y317" s="159">
        <f t="shared" si="30"/>
        <v>85743.88843448984</v>
      </c>
    </row>
    <row r="318" spans="2:25" x14ac:dyDescent="0.25">
      <c r="B318" s="159">
        <v>278</v>
      </c>
      <c r="C318" s="164">
        <v>340050965.46816057</v>
      </c>
      <c r="D318" s="159">
        <v>59216.534727932114</v>
      </c>
      <c r="E318" s="164">
        <v>5134894.1474384358</v>
      </c>
      <c r="F318" s="159">
        <v>0</v>
      </c>
      <c r="I318" s="159">
        <v>278</v>
      </c>
      <c r="J318" s="164">
        <v>340050965.46816057</v>
      </c>
      <c r="K318" s="159">
        <v>59216.534727932114</v>
      </c>
      <c r="L318" s="164">
        <v>5134894.1474384358</v>
      </c>
      <c r="M318" s="159">
        <v>0</v>
      </c>
      <c r="Q318" s="139">
        <v>278</v>
      </c>
      <c r="R318" s="164">
        <f t="shared" si="27"/>
        <v>627212988.53475499</v>
      </c>
      <c r="S318" s="164">
        <f t="shared" si="28"/>
        <v>-5134894.1474384358</v>
      </c>
      <c r="T318" s="159" t="str">
        <f t="shared" si="29"/>
        <v>TxPost-vaccination</v>
      </c>
      <c r="W318" s="139">
        <v>278</v>
      </c>
      <c r="X318" s="164">
        <f t="shared" si="30"/>
        <v>334916071.32072216</v>
      </c>
      <c r="Y318" s="159">
        <f t="shared" si="30"/>
        <v>59216.534727932114</v>
      </c>
    </row>
    <row r="319" spans="2:25" x14ac:dyDescent="0.25">
      <c r="B319" s="159">
        <v>279</v>
      </c>
      <c r="C319" s="164">
        <v>312072091.52102339</v>
      </c>
      <c r="D319" s="159">
        <v>95583.857834620139</v>
      </c>
      <c r="E319" s="164">
        <v>8602306.2768077012</v>
      </c>
      <c r="F319" s="159">
        <v>0</v>
      </c>
      <c r="I319" s="159">
        <v>279</v>
      </c>
      <c r="J319" s="164">
        <v>312072091.52102339</v>
      </c>
      <c r="K319" s="159">
        <v>95583.857834620139</v>
      </c>
      <c r="L319" s="164">
        <v>8602306.2768077012</v>
      </c>
      <c r="M319" s="159">
        <v>0</v>
      </c>
      <c r="Q319" s="139">
        <v>279</v>
      </c>
      <c r="R319" s="164">
        <f t="shared" si="27"/>
        <v>1249228661.6004996</v>
      </c>
      <c r="S319" s="164">
        <f t="shared" si="28"/>
        <v>-8602306.2768077012</v>
      </c>
      <c r="T319" s="159" t="str">
        <f t="shared" si="29"/>
        <v>TxPost-vaccination</v>
      </c>
      <c r="W319" s="139">
        <v>279</v>
      </c>
      <c r="X319" s="164">
        <f t="shared" si="30"/>
        <v>303469785.24421567</v>
      </c>
      <c r="Y319" s="159">
        <f t="shared" si="30"/>
        <v>95583.857834620139</v>
      </c>
    </row>
    <row r="320" spans="2:25" x14ac:dyDescent="0.25">
      <c r="B320" s="159">
        <v>280</v>
      </c>
      <c r="C320" s="164">
        <v>314712733.93091202</v>
      </c>
      <c r="D320" s="159">
        <v>139402.71234013338</v>
      </c>
      <c r="E320" s="164">
        <v>10316157.370110936</v>
      </c>
      <c r="F320" s="159">
        <v>0</v>
      </c>
      <c r="I320" s="159">
        <v>280</v>
      </c>
      <c r="J320" s="164">
        <v>314712733.93091202</v>
      </c>
      <c r="K320" s="159">
        <v>139402.71234013338</v>
      </c>
      <c r="L320" s="164">
        <v>10316157.370110936</v>
      </c>
      <c r="M320" s="159">
        <v>0</v>
      </c>
      <c r="Q320" s="139">
        <v>280</v>
      </c>
      <c r="R320" s="164">
        <f t="shared" si="27"/>
        <v>1962340784.2521691</v>
      </c>
      <c r="S320" s="164">
        <f t="shared" si="28"/>
        <v>-10316157.370110936</v>
      </c>
      <c r="T320" s="159" t="str">
        <f t="shared" si="29"/>
        <v>TxPost-vaccination</v>
      </c>
      <c r="W320" s="139">
        <v>280</v>
      </c>
      <c r="X320" s="164">
        <f t="shared" si="30"/>
        <v>304396576.56080109</v>
      </c>
      <c r="Y320" s="159">
        <f t="shared" si="30"/>
        <v>139402.71234013338</v>
      </c>
    </row>
    <row r="321" spans="2:25" x14ac:dyDescent="0.25">
      <c r="B321" s="159">
        <v>281</v>
      </c>
      <c r="C321" s="164">
        <v>310651397.54999989</v>
      </c>
      <c r="D321" s="159">
        <v>69616.150570787708</v>
      </c>
      <c r="E321" s="164">
        <v>6493558.5821140455</v>
      </c>
      <c r="F321" s="159">
        <v>0</v>
      </c>
      <c r="I321" s="159">
        <v>281</v>
      </c>
      <c r="J321" s="164">
        <v>310651397.54999989</v>
      </c>
      <c r="K321" s="159">
        <v>69616.150570787708</v>
      </c>
      <c r="L321" s="164">
        <v>6493558.5821140455</v>
      </c>
      <c r="M321" s="159">
        <v>0</v>
      </c>
      <c r="Q321" s="139">
        <v>281</v>
      </c>
      <c r="R321" s="164">
        <f t="shared" si="27"/>
        <v>826483582.95739293</v>
      </c>
      <c r="S321" s="164">
        <f t="shared" si="28"/>
        <v>-6493558.5821140455</v>
      </c>
      <c r="T321" s="159" t="str">
        <f t="shared" si="29"/>
        <v>TxPost-vaccination</v>
      </c>
      <c r="W321" s="139">
        <v>281</v>
      </c>
      <c r="X321" s="164">
        <f t="shared" si="30"/>
        <v>304157838.96788585</v>
      </c>
      <c r="Y321" s="159">
        <f t="shared" si="30"/>
        <v>69616.150570787708</v>
      </c>
    </row>
    <row r="322" spans="2:25" x14ac:dyDescent="0.25">
      <c r="B322" s="159">
        <v>282</v>
      </c>
      <c r="C322" s="164">
        <v>293192572.64469963</v>
      </c>
      <c r="D322" s="159">
        <v>83241.589912433497</v>
      </c>
      <c r="E322" s="164">
        <v>8346549.0428833263</v>
      </c>
      <c r="F322" s="159">
        <v>0</v>
      </c>
      <c r="I322" s="159">
        <v>282</v>
      </c>
      <c r="J322" s="164">
        <v>293192572.64469963</v>
      </c>
      <c r="K322" s="159">
        <v>83241.589912433497</v>
      </c>
      <c r="L322" s="164">
        <v>8346549.0428833263</v>
      </c>
      <c r="M322" s="159">
        <v>0</v>
      </c>
      <c r="Q322" s="139">
        <v>282</v>
      </c>
      <c r="R322" s="164">
        <f t="shared" si="27"/>
        <v>1066505183.4992511</v>
      </c>
      <c r="S322" s="164">
        <f t="shared" si="28"/>
        <v>-8346549.0428833263</v>
      </c>
      <c r="T322" s="159" t="str">
        <f t="shared" si="29"/>
        <v>TxPost-vaccination</v>
      </c>
      <c r="W322" s="139">
        <v>282</v>
      </c>
      <c r="X322" s="164">
        <f t="shared" si="30"/>
        <v>284846023.6018163</v>
      </c>
      <c r="Y322" s="159">
        <f t="shared" si="30"/>
        <v>83241.589912433497</v>
      </c>
    </row>
    <row r="323" spans="2:25" x14ac:dyDescent="0.25">
      <c r="B323" s="159">
        <v>283</v>
      </c>
      <c r="C323" s="164">
        <v>303597450.69147635</v>
      </c>
      <c r="D323" s="159">
        <v>112121.68688584042</v>
      </c>
      <c r="E323" s="164">
        <v>9061011.065062752</v>
      </c>
      <c r="F323" s="159">
        <v>0</v>
      </c>
      <c r="I323" s="159">
        <v>283</v>
      </c>
      <c r="J323" s="164">
        <v>303597450.69147635</v>
      </c>
      <c r="K323" s="159">
        <v>112121.68688584042</v>
      </c>
      <c r="L323" s="164">
        <v>9061011.065062752</v>
      </c>
      <c r="M323" s="159">
        <v>0</v>
      </c>
      <c r="Q323" s="139">
        <v>283</v>
      </c>
      <c r="R323" s="164">
        <f t="shared" si="27"/>
        <v>1527838088.1314156</v>
      </c>
      <c r="S323" s="164">
        <f t="shared" si="28"/>
        <v>-9061011.065062752</v>
      </c>
      <c r="T323" s="159" t="str">
        <f t="shared" si="29"/>
        <v>TxPost-vaccination</v>
      </c>
      <c r="W323" s="139">
        <v>283</v>
      </c>
      <c r="X323" s="164">
        <f t="shared" si="30"/>
        <v>294536439.62641358</v>
      </c>
      <c r="Y323" s="159">
        <f t="shared" si="30"/>
        <v>112121.68688584042</v>
      </c>
    </row>
    <row r="324" spans="2:25" x14ac:dyDescent="0.25">
      <c r="B324" s="159">
        <v>284</v>
      </c>
      <c r="C324" s="164">
        <v>271346690.92008692</v>
      </c>
      <c r="D324" s="159">
        <v>72533.663234444524</v>
      </c>
      <c r="E324" s="164">
        <v>7573433.5445041154</v>
      </c>
      <c r="F324" s="159">
        <v>0</v>
      </c>
      <c r="I324" s="159">
        <v>284</v>
      </c>
      <c r="J324" s="164">
        <v>271346690.92008692</v>
      </c>
      <c r="K324" s="159">
        <v>72533.663234444524</v>
      </c>
      <c r="L324" s="164">
        <v>7573433.5445041154</v>
      </c>
      <c r="M324" s="159">
        <v>0</v>
      </c>
      <c r="Q324" s="139">
        <v>284</v>
      </c>
      <c r="R324" s="164">
        <f t="shared" si="27"/>
        <v>913443979.80740857</v>
      </c>
      <c r="S324" s="164">
        <f t="shared" si="28"/>
        <v>-7573433.5445041154</v>
      </c>
      <c r="T324" s="159" t="str">
        <f t="shared" si="29"/>
        <v>TxPost-vaccination</v>
      </c>
      <c r="W324" s="139">
        <v>284</v>
      </c>
      <c r="X324" s="164">
        <f t="shared" si="30"/>
        <v>263773257.37558281</v>
      </c>
      <c r="Y324" s="159">
        <f t="shared" si="30"/>
        <v>72533.663234444524</v>
      </c>
    </row>
    <row r="325" spans="2:25" x14ac:dyDescent="0.25">
      <c r="B325" s="159">
        <v>285</v>
      </c>
      <c r="C325" s="164">
        <v>332472606.2549141</v>
      </c>
      <c r="D325" s="159">
        <v>120196.26190597328</v>
      </c>
      <c r="E325" s="164">
        <v>11332762.123172466</v>
      </c>
      <c r="F325" s="159">
        <v>0</v>
      </c>
      <c r="I325" s="159">
        <v>285</v>
      </c>
      <c r="J325" s="164">
        <v>332472606.2549141</v>
      </c>
      <c r="K325" s="159">
        <v>120196.26190597328</v>
      </c>
      <c r="L325" s="164">
        <v>11332762.123172466</v>
      </c>
      <c r="M325" s="159">
        <v>0</v>
      </c>
      <c r="Q325" s="139">
        <v>285</v>
      </c>
      <c r="R325" s="164">
        <f t="shared" si="27"/>
        <v>1630855914.7688231</v>
      </c>
      <c r="S325" s="164">
        <f t="shared" si="28"/>
        <v>-11332762.123172466</v>
      </c>
      <c r="T325" s="159" t="str">
        <f t="shared" si="29"/>
        <v>TxPost-vaccination</v>
      </c>
      <c r="W325" s="139">
        <v>285</v>
      </c>
      <c r="X325" s="164">
        <f t="shared" si="30"/>
        <v>321139844.13174164</v>
      </c>
      <c r="Y325" s="159">
        <f t="shared" si="30"/>
        <v>120196.26190597328</v>
      </c>
    </row>
    <row r="326" spans="2:25" x14ac:dyDescent="0.25">
      <c r="B326" s="159">
        <v>286</v>
      </c>
      <c r="C326" s="164">
        <v>300386224.65971529</v>
      </c>
      <c r="D326" s="159">
        <v>90359.4104897621</v>
      </c>
      <c r="E326" s="164">
        <v>7577146.5203706501</v>
      </c>
      <c r="F326" s="159">
        <v>0</v>
      </c>
      <c r="I326" s="159">
        <v>286</v>
      </c>
      <c r="J326" s="164">
        <v>300386224.65971529</v>
      </c>
      <c r="K326" s="159">
        <v>90359.4104897621</v>
      </c>
      <c r="L326" s="164">
        <v>7577146.5203706501</v>
      </c>
      <c r="M326" s="159">
        <v>0</v>
      </c>
      <c r="Q326" s="139">
        <v>286</v>
      </c>
      <c r="R326" s="164">
        <f t="shared" si="27"/>
        <v>1175576546.0978422</v>
      </c>
      <c r="S326" s="164">
        <f t="shared" si="28"/>
        <v>-7577146.5203706501</v>
      </c>
      <c r="T326" s="159" t="str">
        <f t="shared" si="29"/>
        <v>TxPost-vaccination</v>
      </c>
      <c r="W326" s="139">
        <v>286</v>
      </c>
      <c r="X326" s="164">
        <f t="shared" si="30"/>
        <v>292809078.13934463</v>
      </c>
      <c r="Y326" s="159">
        <f t="shared" si="30"/>
        <v>90359.4104897621</v>
      </c>
    </row>
    <row r="327" spans="2:25" x14ac:dyDescent="0.25">
      <c r="B327" s="159">
        <v>287</v>
      </c>
      <c r="C327" s="164">
        <v>264407223.3784872</v>
      </c>
      <c r="D327" s="159">
        <v>86476.716079901278</v>
      </c>
      <c r="E327" s="164">
        <v>7314009.9357942576</v>
      </c>
      <c r="F327" s="159">
        <v>0</v>
      </c>
      <c r="I327" s="159">
        <v>287</v>
      </c>
      <c r="J327" s="164">
        <v>264407223.3784872</v>
      </c>
      <c r="K327" s="159">
        <v>86476.716079901278</v>
      </c>
      <c r="L327" s="164">
        <v>7314009.9357942576</v>
      </c>
      <c r="M327" s="159">
        <v>0</v>
      </c>
      <c r="Q327" s="139">
        <v>287</v>
      </c>
      <c r="R327" s="164">
        <f t="shared" si="27"/>
        <v>1148134234.9986365</v>
      </c>
      <c r="S327" s="164">
        <f t="shared" si="28"/>
        <v>-7314009.9357942576</v>
      </c>
      <c r="T327" s="159" t="str">
        <f t="shared" si="29"/>
        <v>TxPost-vaccination</v>
      </c>
      <c r="W327" s="139">
        <v>287</v>
      </c>
      <c r="X327" s="164">
        <f t="shared" si="30"/>
        <v>257093213.44269294</v>
      </c>
      <c r="Y327" s="159">
        <f t="shared" si="30"/>
        <v>86476.716079901278</v>
      </c>
    </row>
    <row r="328" spans="2:25" x14ac:dyDescent="0.25">
      <c r="B328" s="159">
        <v>288</v>
      </c>
      <c r="C328" s="164">
        <v>308009215.3203842</v>
      </c>
      <c r="D328" s="159">
        <v>64736.370337693843</v>
      </c>
      <c r="E328" s="164">
        <v>6711330.6696582055</v>
      </c>
      <c r="F328" s="159">
        <v>0</v>
      </c>
      <c r="I328" s="159">
        <v>288</v>
      </c>
      <c r="J328" s="164">
        <v>308009215.3203842</v>
      </c>
      <c r="K328" s="159">
        <v>64736.370337693843</v>
      </c>
      <c r="L328" s="164">
        <v>6711330.6696582055</v>
      </c>
      <c r="M328" s="159">
        <v>0</v>
      </c>
      <c r="Q328" s="139">
        <v>288</v>
      </c>
      <c r="R328" s="164">
        <f t="shared" si="27"/>
        <v>749417698.09707093</v>
      </c>
      <c r="S328" s="164">
        <f t="shared" si="28"/>
        <v>-6711330.6696582055</v>
      </c>
      <c r="T328" s="159" t="str">
        <f t="shared" si="29"/>
        <v>TxPost-vaccination</v>
      </c>
      <c r="W328" s="139">
        <v>288</v>
      </c>
      <c r="X328" s="164">
        <f t="shared" si="30"/>
        <v>301297884.65072602</v>
      </c>
      <c r="Y328" s="159">
        <f t="shared" si="30"/>
        <v>64736.370337693843</v>
      </c>
    </row>
    <row r="329" spans="2:25" x14ac:dyDescent="0.25">
      <c r="B329" s="159">
        <v>289</v>
      </c>
      <c r="C329" s="164">
        <v>338747357.9550221</v>
      </c>
      <c r="D329" s="159">
        <v>76952.014222312515</v>
      </c>
      <c r="E329" s="164">
        <v>6678381.8171216594</v>
      </c>
      <c r="F329" s="159">
        <v>0</v>
      </c>
      <c r="I329" s="159">
        <v>289</v>
      </c>
      <c r="J329" s="164">
        <v>338747357.9550221</v>
      </c>
      <c r="K329" s="159">
        <v>76952.014222312515</v>
      </c>
      <c r="L329" s="164">
        <v>6678381.8171216594</v>
      </c>
      <c r="M329" s="159">
        <v>0</v>
      </c>
      <c r="Q329" s="139">
        <v>289</v>
      </c>
      <c r="R329" s="164">
        <f t="shared" si="27"/>
        <v>918214230.34360886</v>
      </c>
      <c r="S329" s="164">
        <f t="shared" si="28"/>
        <v>-6678381.8171216594</v>
      </c>
      <c r="T329" s="159" t="str">
        <f t="shared" si="29"/>
        <v>TxPost-vaccination</v>
      </c>
      <c r="W329" s="139">
        <v>289</v>
      </c>
      <c r="X329" s="164">
        <f t="shared" si="30"/>
        <v>332068976.13790041</v>
      </c>
      <c r="Y329" s="159">
        <f t="shared" si="30"/>
        <v>76952.014222312515</v>
      </c>
    </row>
    <row r="330" spans="2:25" x14ac:dyDescent="0.25">
      <c r="B330" s="159">
        <v>290</v>
      </c>
      <c r="C330" s="164">
        <v>302715868.70402807</v>
      </c>
      <c r="D330" s="159">
        <v>86527.669947790608</v>
      </c>
      <c r="E330" s="164">
        <v>7716530.2491165455</v>
      </c>
      <c r="F330" s="159">
        <v>0</v>
      </c>
      <c r="I330" s="159">
        <v>290</v>
      </c>
      <c r="J330" s="164">
        <v>302715868.70402807</v>
      </c>
      <c r="K330" s="159">
        <v>86527.669947790608</v>
      </c>
      <c r="L330" s="164">
        <v>7716530.2491165455</v>
      </c>
      <c r="M330" s="159">
        <v>0</v>
      </c>
      <c r="Q330" s="139">
        <v>290</v>
      </c>
      <c r="R330" s="164">
        <f t="shared" si="27"/>
        <v>1110657888.2861907</v>
      </c>
      <c r="S330" s="164">
        <f t="shared" si="28"/>
        <v>-7716530.2491165455</v>
      </c>
      <c r="T330" s="159" t="str">
        <f t="shared" si="29"/>
        <v>TxPost-vaccination</v>
      </c>
      <c r="W330" s="139">
        <v>290</v>
      </c>
      <c r="X330" s="164">
        <f t="shared" si="30"/>
        <v>294999338.45491153</v>
      </c>
      <c r="Y330" s="159">
        <f t="shared" si="30"/>
        <v>86527.669947790608</v>
      </c>
    </row>
    <row r="331" spans="2:25" x14ac:dyDescent="0.25">
      <c r="B331" s="159">
        <v>291</v>
      </c>
      <c r="C331" s="164">
        <v>320938561.48856044</v>
      </c>
      <c r="D331" s="159">
        <v>95622.839408809756</v>
      </c>
      <c r="E331" s="164">
        <v>8274674.751880643</v>
      </c>
      <c r="F331" s="159">
        <v>0</v>
      </c>
      <c r="I331" s="159">
        <v>291</v>
      </c>
      <c r="J331" s="164">
        <v>320938561.48856044</v>
      </c>
      <c r="K331" s="159">
        <v>95622.839408809756</v>
      </c>
      <c r="L331" s="164">
        <v>8274674.751880643</v>
      </c>
      <c r="M331" s="159">
        <v>0</v>
      </c>
      <c r="Q331" s="139">
        <v>291</v>
      </c>
      <c r="R331" s="164">
        <f t="shared" si="27"/>
        <v>1240998930.5397077</v>
      </c>
      <c r="S331" s="164">
        <f t="shared" si="28"/>
        <v>-8274674.751880643</v>
      </c>
      <c r="T331" s="159" t="str">
        <f t="shared" si="29"/>
        <v>TxPost-vaccination</v>
      </c>
      <c r="W331" s="139">
        <v>291</v>
      </c>
      <c r="X331" s="164">
        <f t="shared" si="30"/>
        <v>312663886.73667979</v>
      </c>
      <c r="Y331" s="159">
        <f t="shared" si="30"/>
        <v>95622.839408809756</v>
      </c>
    </row>
    <row r="332" spans="2:25" x14ac:dyDescent="0.25">
      <c r="B332" s="159">
        <v>292</v>
      </c>
      <c r="C332" s="164">
        <v>330063965.20490807</v>
      </c>
      <c r="D332" s="159">
        <v>87747.942031240498</v>
      </c>
      <c r="E332" s="164">
        <v>7581539.7233939273</v>
      </c>
      <c r="F332" s="159">
        <v>0</v>
      </c>
      <c r="I332" s="159">
        <v>292</v>
      </c>
      <c r="J332" s="164">
        <v>330063965.20490807</v>
      </c>
      <c r="K332" s="159">
        <v>87747.942031240498</v>
      </c>
      <c r="L332" s="164">
        <v>7581539.7233939273</v>
      </c>
      <c r="M332" s="159">
        <v>0</v>
      </c>
      <c r="Q332" s="139">
        <v>292</v>
      </c>
      <c r="R332" s="164">
        <f t="shared" si="27"/>
        <v>1103242150.3034186</v>
      </c>
      <c r="S332" s="164">
        <f t="shared" si="28"/>
        <v>-7581539.7233939273</v>
      </c>
      <c r="T332" s="159" t="str">
        <f t="shared" si="29"/>
        <v>TxPost-vaccination</v>
      </c>
      <c r="W332" s="139">
        <v>292</v>
      </c>
      <c r="X332" s="164">
        <f t="shared" si="30"/>
        <v>322482425.48151416</v>
      </c>
      <c r="Y332" s="159">
        <f t="shared" si="30"/>
        <v>87747.942031240498</v>
      </c>
    </row>
    <row r="333" spans="2:25" x14ac:dyDescent="0.25">
      <c r="B333" s="159">
        <v>293</v>
      </c>
      <c r="C333" s="164">
        <v>291577958.78279996</v>
      </c>
      <c r="D333" s="159">
        <v>126390.01073704635</v>
      </c>
      <c r="E333" s="164">
        <v>10390012.387738461</v>
      </c>
      <c r="F333" s="159">
        <v>0</v>
      </c>
      <c r="I333" s="159">
        <v>293</v>
      </c>
      <c r="J333" s="164">
        <v>291577958.78279996</v>
      </c>
      <c r="K333" s="159">
        <v>126390.01073704635</v>
      </c>
      <c r="L333" s="164">
        <v>10390012.387738461</v>
      </c>
      <c r="M333" s="159">
        <v>0</v>
      </c>
      <c r="Q333" s="139">
        <v>293</v>
      </c>
      <c r="R333" s="164">
        <f t="shared" si="27"/>
        <v>1772921460.0648308</v>
      </c>
      <c r="S333" s="164">
        <f t="shared" si="28"/>
        <v>-10390012.387738461</v>
      </c>
      <c r="T333" s="159" t="str">
        <f t="shared" si="29"/>
        <v>TxPost-vaccination</v>
      </c>
      <c r="W333" s="139">
        <v>293</v>
      </c>
      <c r="X333" s="164">
        <f t="shared" si="30"/>
        <v>281187946.39506149</v>
      </c>
      <c r="Y333" s="159">
        <f t="shared" si="30"/>
        <v>126390.01073704635</v>
      </c>
    </row>
    <row r="334" spans="2:25" x14ac:dyDescent="0.25">
      <c r="B334" s="159">
        <v>294</v>
      </c>
      <c r="C334" s="164">
        <v>295247381.57115823</v>
      </c>
      <c r="D334" s="159">
        <v>124579.4572057676</v>
      </c>
      <c r="E334" s="164">
        <v>8625462.1197256073</v>
      </c>
      <c r="F334" s="159">
        <v>0</v>
      </c>
      <c r="I334" s="159">
        <v>294</v>
      </c>
      <c r="J334" s="164">
        <v>295247381.57115823</v>
      </c>
      <c r="K334" s="159">
        <v>124579.4572057676</v>
      </c>
      <c r="L334" s="164">
        <v>8625462.1197256073</v>
      </c>
      <c r="M334" s="159">
        <v>0</v>
      </c>
      <c r="Q334" s="139">
        <v>294</v>
      </c>
      <c r="R334" s="164">
        <f t="shared" si="27"/>
        <v>1739677811.5024583</v>
      </c>
      <c r="S334" s="164">
        <f t="shared" si="28"/>
        <v>-8625462.1197256073</v>
      </c>
      <c r="T334" s="159" t="str">
        <f t="shared" si="29"/>
        <v>TxPost-vaccination</v>
      </c>
      <c r="W334" s="139">
        <v>294</v>
      </c>
      <c r="X334" s="164">
        <f t="shared" si="30"/>
        <v>286621919.45143265</v>
      </c>
      <c r="Y334" s="159">
        <f t="shared" si="30"/>
        <v>124579.4572057676</v>
      </c>
    </row>
    <row r="335" spans="2:25" x14ac:dyDescent="0.25">
      <c r="B335" s="159">
        <v>295</v>
      </c>
      <c r="C335" s="164">
        <v>285027318.42896771</v>
      </c>
      <c r="D335" s="159">
        <v>112204.62383076121</v>
      </c>
      <c r="E335" s="164">
        <v>8765797.5866190586</v>
      </c>
      <c r="F335" s="159">
        <v>0</v>
      </c>
      <c r="I335" s="159">
        <v>295</v>
      </c>
      <c r="J335" s="164">
        <v>285027318.42896771</v>
      </c>
      <c r="K335" s="159">
        <v>112204.62383076121</v>
      </c>
      <c r="L335" s="164">
        <v>8765797.5866190586</v>
      </c>
      <c r="M335" s="159">
        <v>0</v>
      </c>
      <c r="Q335" s="139">
        <v>295</v>
      </c>
      <c r="R335" s="164">
        <f t="shared" si="27"/>
        <v>1547762941.9703484</v>
      </c>
      <c r="S335" s="164">
        <f t="shared" si="28"/>
        <v>-8765797.5866190586</v>
      </c>
      <c r="T335" s="159" t="str">
        <f t="shared" si="29"/>
        <v>TxPost-vaccination</v>
      </c>
      <c r="W335" s="139">
        <v>295</v>
      </c>
      <c r="X335" s="164">
        <f t="shared" si="30"/>
        <v>276261520.84234864</v>
      </c>
      <c r="Y335" s="159">
        <f t="shared" si="30"/>
        <v>112204.62383076121</v>
      </c>
    </row>
    <row r="336" spans="2:25" x14ac:dyDescent="0.25">
      <c r="B336" s="159">
        <v>296</v>
      </c>
      <c r="C336" s="164">
        <v>316975824.41265696</v>
      </c>
      <c r="D336" s="159">
        <v>101906.01571104256</v>
      </c>
      <c r="E336" s="164">
        <v>8807511.1460199952</v>
      </c>
      <c r="F336" s="159">
        <v>0</v>
      </c>
      <c r="I336" s="159">
        <v>296</v>
      </c>
      <c r="J336" s="164">
        <v>316975824.41265696</v>
      </c>
      <c r="K336" s="159">
        <v>101906.01571104256</v>
      </c>
      <c r="L336" s="164">
        <v>8807511.1460199952</v>
      </c>
      <c r="M336" s="159">
        <v>0</v>
      </c>
      <c r="Q336" s="139">
        <v>296</v>
      </c>
      <c r="R336" s="164">
        <f t="shared" si="27"/>
        <v>1347593305.5815594</v>
      </c>
      <c r="S336" s="164">
        <f t="shared" si="28"/>
        <v>-8807511.1460199952</v>
      </c>
      <c r="T336" s="159" t="str">
        <f t="shared" si="29"/>
        <v>TxPost-vaccination</v>
      </c>
      <c r="W336" s="139">
        <v>296</v>
      </c>
      <c r="X336" s="164">
        <f t="shared" si="30"/>
        <v>308168313.26663697</v>
      </c>
      <c r="Y336" s="159">
        <f t="shared" si="30"/>
        <v>101906.01571104256</v>
      </c>
    </row>
    <row r="337" spans="2:25" x14ac:dyDescent="0.25">
      <c r="B337" s="159">
        <v>297</v>
      </c>
      <c r="C337" s="164">
        <v>347090121.58864987</v>
      </c>
      <c r="D337" s="159">
        <v>89366.461787051361</v>
      </c>
      <c r="E337" s="164">
        <v>7423046.3395757535</v>
      </c>
      <c r="F337" s="159">
        <v>0</v>
      </c>
      <c r="I337" s="159">
        <v>297</v>
      </c>
      <c r="J337" s="164">
        <v>347090121.58864987</v>
      </c>
      <c r="K337" s="159">
        <v>89366.461787051361</v>
      </c>
      <c r="L337" s="164">
        <v>7423046.3395757535</v>
      </c>
      <c r="M337" s="159">
        <v>0</v>
      </c>
      <c r="Q337" s="139">
        <v>297</v>
      </c>
      <c r="R337" s="164">
        <f t="shared" si="27"/>
        <v>1112653471.6584578</v>
      </c>
      <c r="S337" s="164">
        <f t="shared" si="28"/>
        <v>-7423046.3395757535</v>
      </c>
      <c r="T337" s="159" t="str">
        <f t="shared" si="29"/>
        <v>TxPost-vaccination</v>
      </c>
      <c r="W337" s="139">
        <v>297</v>
      </c>
      <c r="X337" s="164">
        <f t="shared" si="30"/>
        <v>339667075.2490741</v>
      </c>
      <c r="Y337" s="159">
        <f t="shared" si="30"/>
        <v>89366.461787051361</v>
      </c>
    </row>
    <row r="338" spans="2:25" x14ac:dyDescent="0.25">
      <c r="B338" s="159">
        <v>298</v>
      </c>
      <c r="C338" s="164">
        <v>316063003.7197997</v>
      </c>
      <c r="D338" s="159">
        <v>111335.75214445699</v>
      </c>
      <c r="E338" s="164">
        <v>9111596.6303585861</v>
      </c>
      <c r="F338" s="159">
        <v>0</v>
      </c>
      <c r="I338" s="159">
        <v>298</v>
      </c>
      <c r="J338" s="164">
        <v>316063003.7197997</v>
      </c>
      <c r="K338" s="159">
        <v>111335.75214445699</v>
      </c>
      <c r="L338" s="164">
        <v>9111596.6303585861</v>
      </c>
      <c r="M338" s="159">
        <v>0</v>
      </c>
      <c r="Q338" s="139">
        <v>298</v>
      </c>
      <c r="R338" s="164">
        <f t="shared" si="27"/>
        <v>1502534797.3153014</v>
      </c>
      <c r="S338" s="164">
        <f t="shared" si="28"/>
        <v>-9111596.6303585861</v>
      </c>
      <c r="T338" s="159" t="str">
        <f t="shared" si="29"/>
        <v>TxPost-vaccination</v>
      </c>
      <c r="W338" s="139">
        <v>298</v>
      </c>
      <c r="X338" s="164">
        <f t="shared" si="30"/>
        <v>306951407.08944112</v>
      </c>
      <c r="Y338" s="159">
        <f t="shared" si="30"/>
        <v>111335.75214445699</v>
      </c>
    </row>
    <row r="339" spans="2:25" x14ac:dyDescent="0.25">
      <c r="B339" s="159">
        <v>299</v>
      </c>
      <c r="C339" s="164">
        <v>293969995.17709386</v>
      </c>
      <c r="D339" s="159">
        <v>148670.54558443575</v>
      </c>
      <c r="E339" s="164">
        <v>11166541.496928405</v>
      </c>
      <c r="F339" s="159">
        <v>0</v>
      </c>
      <c r="I339" s="159">
        <v>299</v>
      </c>
      <c r="J339" s="164">
        <v>293969995.17709386</v>
      </c>
      <c r="K339" s="159">
        <v>148670.54558443575</v>
      </c>
      <c r="L339" s="164">
        <v>11166541.496928405</v>
      </c>
      <c r="M339" s="159">
        <v>0</v>
      </c>
      <c r="Q339" s="139">
        <v>299</v>
      </c>
      <c r="R339" s="164">
        <f t="shared" si="27"/>
        <v>2134467609.7329516</v>
      </c>
      <c r="S339" s="164">
        <f t="shared" si="28"/>
        <v>-11166541.496928405</v>
      </c>
      <c r="T339" s="159" t="str">
        <f t="shared" si="29"/>
        <v>TxPost-vaccination</v>
      </c>
      <c r="W339" s="139">
        <v>299</v>
      </c>
      <c r="X339" s="164">
        <f t="shared" si="30"/>
        <v>282803453.68016547</v>
      </c>
      <c r="Y339" s="159">
        <f t="shared" si="30"/>
        <v>148670.54558443575</v>
      </c>
    </row>
    <row r="340" spans="2:25" x14ac:dyDescent="0.25">
      <c r="B340" s="159">
        <v>300</v>
      </c>
      <c r="C340" s="164">
        <v>313298035.03392696</v>
      </c>
      <c r="D340" s="159">
        <v>100764.84576945378</v>
      </c>
      <c r="E340" s="164">
        <v>7352802.0997217065</v>
      </c>
      <c r="F340" s="159">
        <v>0</v>
      </c>
      <c r="I340" s="159">
        <v>300</v>
      </c>
      <c r="J340" s="164">
        <v>313298035.03392696</v>
      </c>
      <c r="K340" s="159">
        <v>100764.84576945378</v>
      </c>
      <c r="L340" s="164">
        <v>7352802.0997217065</v>
      </c>
      <c r="M340" s="159">
        <v>0</v>
      </c>
      <c r="Q340" s="139">
        <v>300</v>
      </c>
      <c r="R340" s="164">
        <f t="shared" si="27"/>
        <v>1332630818.9805844</v>
      </c>
      <c r="S340" s="164">
        <f t="shared" si="28"/>
        <v>-7352802.0997217065</v>
      </c>
      <c r="T340" s="159" t="str">
        <f t="shared" si="29"/>
        <v>TxPost-vaccination</v>
      </c>
      <c r="W340" s="139">
        <v>300</v>
      </c>
      <c r="X340" s="164">
        <f t="shared" si="30"/>
        <v>305945232.93420523</v>
      </c>
      <c r="Y340" s="159">
        <f t="shared" si="30"/>
        <v>100764.84576945378</v>
      </c>
    </row>
    <row r="341" spans="2:25" x14ac:dyDescent="0.25">
      <c r="B341" s="159">
        <v>301</v>
      </c>
      <c r="C341" s="164">
        <v>326665460.54359901</v>
      </c>
      <c r="D341" s="159">
        <v>110952.56347433172</v>
      </c>
      <c r="E341" s="164">
        <v>10752740.605509518</v>
      </c>
      <c r="F341" s="159">
        <v>0</v>
      </c>
      <c r="I341" s="159">
        <v>301</v>
      </c>
      <c r="J341" s="164">
        <v>326665460.54359901</v>
      </c>
      <c r="K341" s="159">
        <v>110952.56347433172</v>
      </c>
      <c r="L341" s="164">
        <v>10752740.605509518</v>
      </c>
      <c r="M341" s="159">
        <v>0</v>
      </c>
      <c r="Q341" s="139">
        <v>301</v>
      </c>
      <c r="R341" s="164">
        <f t="shared" si="27"/>
        <v>1485673200.3729963</v>
      </c>
      <c r="S341" s="164">
        <f t="shared" si="28"/>
        <v>-10752740.605509518</v>
      </c>
      <c r="T341" s="159" t="str">
        <f t="shared" si="29"/>
        <v>TxPost-vaccination</v>
      </c>
      <c r="W341" s="139">
        <v>301</v>
      </c>
      <c r="X341" s="164">
        <f t="shared" si="30"/>
        <v>315912719.93808949</v>
      </c>
      <c r="Y341" s="159">
        <f t="shared" si="30"/>
        <v>110952.56347433172</v>
      </c>
    </row>
    <row r="342" spans="2:25" x14ac:dyDescent="0.25">
      <c r="B342" s="159">
        <v>302</v>
      </c>
      <c r="C342" s="164">
        <v>353528576.55457479</v>
      </c>
      <c r="D342" s="159">
        <v>125494.66662336973</v>
      </c>
      <c r="E342" s="164">
        <v>9871240.2771086488</v>
      </c>
      <c r="F342" s="159">
        <v>0</v>
      </c>
      <c r="I342" s="159">
        <v>302</v>
      </c>
      <c r="J342" s="164">
        <v>353528576.55457479</v>
      </c>
      <c r="K342" s="159">
        <v>125494.66662336973</v>
      </c>
      <c r="L342" s="164">
        <v>9871240.2771086488</v>
      </c>
      <c r="M342" s="159">
        <v>0</v>
      </c>
      <c r="Q342" s="139">
        <v>302</v>
      </c>
      <c r="R342" s="164">
        <f t="shared" si="27"/>
        <v>1696345972.8783388</v>
      </c>
      <c r="S342" s="164">
        <f t="shared" si="28"/>
        <v>-9871240.2771086488</v>
      </c>
      <c r="T342" s="159" t="str">
        <f t="shared" si="29"/>
        <v>TxPost-vaccination</v>
      </c>
      <c r="W342" s="139">
        <v>302</v>
      </c>
      <c r="X342" s="164">
        <f t="shared" si="30"/>
        <v>343657336.27746612</v>
      </c>
      <c r="Y342" s="159">
        <f t="shared" si="30"/>
        <v>125494.66662336973</v>
      </c>
    </row>
    <row r="343" spans="2:25" x14ac:dyDescent="0.25">
      <c r="B343" s="159">
        <v>303</v>
      </c>
      <c r="C343" s="164">
        <v>308428674.51907587</v>
      </c>
      <c r="D343" s="159">
        <v>78875.321840209479</v>
      </c>
      <c r="E343" s="164">
        <v>6228500.1551674306</v>
      </c>
      <c r="F343" s="159">
        <v>0</v>
      </c>
      <c r="I343" s="159">
        <v>303</v>
      </c>
      <c r="J343" s="164">
        <v>308428674.51907587</v>
      </c>
      <c r="K343" s="159">
        <v>78875.321840209479</v>
      </c>
      <c r="L343" s="164">
        <v>6228500.1551674306</v>
      </c>
      <c r="M343" s="159">
        <v>0</v>
      </c>
      <c r="Q343" s="139">
        <v>303</v>
      </c>
      <c r="R343" s="164">
        <f t="shared" si="27"/>
        <v>979948904.93469834</v>
      </c>
      <c r="S343" s="164">
        <f t="shared" si="28"/>
        <v>-6228500.1551674306</v>
      </c>
      <c r="T343" s="159" t="str">
        <f t="shared" si="29"/>
        <v>TxPost-vaccination</v>
      </c>
      <c r="W343" s="139">
        <v>303</v>
      </c>
      <c r="X343" s="164">
        <f t="shared" si="30"/>
        <v>302200174.36390841</v>
      </c>
      <c r="Y343" s="159">
        <f t="shared" si="30"/>
        <v>78875.321840209479</v>
      </c>
    </row>
    <row r="344" spans="2:25" x14ac:dyDescent="0.25">
      <c r="B344" s="159">
        <v>304</v>
      </c>
      <c r="C344" s="164">
        <v>303375571.78088897</v>
      </c>
      <c r="D344" s="159">
        <v>105958.92262023197</v>
      </c>
      <c r="E344" s="164">
        <v>8441976.6405725051</v>
      </c>
      <c r="F344" s="159">
        <v>0</v>
      </c>
      <c r="I344" s="159">
        <v>304</v>
      </c>
      <c r="J344" s="164">
        <v>303375571.78088897</v>
      </c>
      <c r="K344" s="159">
        <v>105958.92262023197</v>
      </c>
      <c r="L344" s="164">
        <v>8441976.6405725051</v>
      </c>
      <c r="M344" s="159">
        <v>0</v>
      </c>
      <c r="Q344" s="139">
        <v>304</v>
      </c>
      <c r="R344" s="164">
        <f t="shared" si="27"/>
        <v>1427395182.1381249</v>
      </c>
      <c r="S344" s="164">
        <f t="shared" si="28"/>
        <v>-8441976.6405725051</v>
      </c>
      <c r="T344" s="159" t="str">
        <f t="shared" si="29"/>
        <v>TxPost-vaccination</v>
      </c>
      <c r="W344" s="139">
        <v>304</v>
      </c>
      <c r="X344" s="164">
        <f t="shared" si="30"/>
        <v>294933595.14031649</v>
      </c>
      <c r="Y344" s="159">
        <f t="shared" si="30"/>
        <v>105958.92262023197</v>
      </c>
    </row>
    <row r="345" spans="2:25" x14ac:dyDescent="0.25">
      <c r="B345" s="159">
        <v>305</v>
      </c>
      <c r="C345" s="164">
        <v>311984232.55831707</v>
      </c>
      <c r="D345" s="159">
        <v>76622.597745682855</v>
      </c>
      <c r="E345" s="164">
        <v>7014835.0197247025</v>
      </c>
      <c r="F345" s="159">
        <v>0</v>
      </c>
      <c r="I345" s="159">
        <v>305</v>
      </c>
      <c r="J345" s="164">
        <v>311984232.55831707</v>
      </c>
      <c r="K345" s="159">
        <v>76622.597745682855</v>
      </c>
      <c r="L345" s="164">
        <v>7014835.0197247025</v>
      </c>
      <c r="M345" s="159">
        <v>0</v>
      </c>
      <c r="Q345" s="139">
        <v>305</v>
      </c>
      <c r="R345" s="164">
        <f t="shared" si="27"/>
        <v>939596549.76842678</v>
      </c>
      <c r="S345" s="164">
        <f t="shared" si="28"/>
        <v>-7014835.0197247025</v>
      </c>
      <c r="T345" s="159" t="str">
        <f t="shared" si="29"/>
        <v>TxPost-vaccination</v>
      </c>
      <c r="W345" s="139">
        <v>305</v>
      </c>
      <c r="X345" s="164">
        <f t="shared" si="30"/>
        <v>304969397.53859234</v>
      </c>
      <c r="Y345" s="159">
        <f t="shared" si="30"/>
        <v>76622.597745682855</v>
      </c>
    </row>
    <row r="346" spans="2:25" x14ac:dyDescent="0.25">
      <c r="B346" s="159">
        <v>306</v>
      </c>
      <c r="C346" s="164">
        <v>300650976.64213204</v>
      </c>
      <c r="D346" s="159">
        <v>120937.25682073066</v>
      </c>
      <c r="E346" s="164">
        <v>10244856.648460871</v>
      </c>
      <c r="F346" s="159">
        <v>0</v>
      </c>
      <c r="I346" s="159">
        <v>306</v>
      </c>
      <c r="J346" s="164">
        <v>300650976.64213204</v>
      </c>
      <c r="K346" s="159">
        <v>120937.25682073066</v>
      </c>
      <c r="L346" s="164">
        <v>10244856.648460871</v>
      </c>
      <c r="M346" s="159">
        <v>0</v>
      </c>
      <c r="Q346" s="139">
        <v>306</v>
      </c>
      <c r="R346" s="164">
        <f t="shared" si="27"/>
        <v>1674781219.0467522</v>
      </c>
      <c r="S346" s="164">
        <f t="shared" si="28"/>
        <v>-10244856.648460871</v>
      </c>
      <c r="T346" s="159" t="str">
        <f t="shared" si="29"/>
        <v>TxPost-vaccination</v>
      </c>
      <c r="W346" s="139">
        <v>306</v>
      </c>
      <c r="X346" s="164">
        <f t="shared" si="30"/>
        <v>290406119.99367118</v>
      </c>
      <c r="Y346" s="159">
        <f t="shared" si="30"/>
        <v>120937.25682073066</v>
      </c>
    </row>
    <row r="347" spans="2:25" x14ac:dyDescent="0.25">
      <c r="B347" s="159">
        <v>307</v>
      </c>
      <c r="C347" s="164">
        <v>310513692.67338008</v>
      </c>
      <c r="D347" s="159">
        <v>85433.878838608463</v>
      </c>
      <c r="E347" s="164">
        <v>7835444.4649195364</v>
      </c>
      <c r="F347" s="159">
        <v>0</v>
      </c>
      <c r="I347" s="159">
        <v>307</v>
      </c>
      <c r="J347" s="164">
        <v>310513692.67338008</v>
      </c>
      <c r="K347" s="159">
        <v>85433.878838608463</v>
      </c>
      <c r="L347" s="164">
        <v>7835444.4649195364</v>
      </c>
      <c r="M347" s="159">
        <v>0</v>
      </c>
      <c r="Q347" s="139">
        <v>307</v>
      </c>
      <c r="R347" s="164">
        <f t="shared" si="27"/>
        <v>1084993691.048264</v>
      </c>
      <c r="S347" s="164">
        <f t="shared" si="28"/>
        <v>-7835444.4649195364</v>
      </c>
      <c r="T347" s="159" t="str">
        <f t="shared" si="29"/>
        <v>TxPost-vaccination</v>
      </c>
      <c r="W347" s="139">
        <v>307</v>
      </c>
      <c r="X347" s="164">
        <f t="shared" si="30"/>
        <v>302678248.20846057</v>
      </c>
      <c r="Y347" s="159">
        <f t="shared" si="30"/>
        <v>85433.878838608463</v>
      </c>
    </row>
    <row r="348" spans="2:25" x14ac:dyDescent="0.25">
      <c r="B348" s="159">
        <v>308</v>
      </c>
      <c r="C348" s="164">
        <v>291873028.02377647</v>
      </c>
      <c r="D348" s="159">
        <v>65218.92728125304</v>
      </c>
      <c r="E348" s="164">
        <v>6164984.7201107908</v>
      </c>
      <c r="F348" s="159">
        <v>0</v>
      </c>
      <c r="I348" s="159">
        <v>308</v>
      </c>
      <c r="J348" s="164">
        <v>291873028.02377647</v>
      </c>
      <c r="K348" s="159">
        <v>65218.92728125304</v>
      </c>
      <c r="L348" s="164">
        <v>6164984.7201107908</v>
      </c>
      <c r="M348" s="159">
        <v>0</v>
      </c>
      <c r="Q348" s="139">
        <v>308</v>
      </c>
      <c r="R348" s="164">
        <f t="shared" si="27"/>
        <v>773436142.25661635</v>
      </c>
      <c r="S348" s="164">
        <f t="shared" si="28"/>
        <v>-6164984.7201107908</v>
      </c>
      <c r="T348" s="159" t="str">
        <f t="shared" si="29"/>
        <v>TxPost-vaccination</v>
      </c>
      <c r="W348" s="139">
        <v>308</v>
      </c>
      <c r="X348" s="164">
        <f t="shared" si="30"/>
        <v>285708043.3036657</v>
      </c>
      <c r="Y348" s="159">
        <f t="shared" si="30"/>
        <v>65218.92728125304</v>
      </c>
    </row>
    <row r="349" spans="2:25" x14ac:dyDescent="0.25">
      <c r="B349" s="159">
        <v>309</v>
      </c>
      <c r="C349" s="164">
        <v>309266759.81873202</v>
      </c>
      <c r="D349" s="159">
        <v>125006.49059905767</v>
      </c>
      <c r="E349" s="164">
        <v>10109315.431408687</v>
      </c>
      <c r="F349" s="159">
        <v>0</v>
      </c>
      <c r="I349" s="159">
        <v>309</v>
      </c>
      <c r="J349" s="164">
        <v>309266759.81873202</v>
      </c>
      <c r="K349" s="159">
        <v>125006.49059905767</v>
      </c>
      <c r="L349" s="164">
        <v>10109315.431408687</v>
      </c>
      <c r="M349" s="159">
        <v>0</v>
      </c>
      <c r="Q349" s="139">
        <v>309</v>
      </c>
      <c r="R349" s="164">
        <f t="shared" si="27"/>
        <v>1732633748.6863394</v>
      </c>
      <c r="S349" s="164">
        <f t="shared" si="28"/>
        <v>-10109315.431408687</v>
      </c>
      <c r="T349" s="159" t="str">
        <f t="shared" si="29"/>
        <v>TxPost-vaccination</v>
      </c>
      <c r="W349" s="139">
        <v>309</v>
      </c>
      <c r="X349" s="164">
        <f t="shared" si="30"/>
        <v>299157444.38732332</v>
      </c>
      <c r="Y349" s="159">
        <f t="shared" si="30"/>
        <v>125006.49059905767</v>
      </c>
    </row>
    <row r="350" spans="2:25" x14ac:dyDescent="0.25">
      <c r="B350" s="159">
        <v>310</v>
      </c>
      <c r="C350" s="164">
        <v>310442396.51332974</v>
      </c>
      <c r="D350" s="159">
        <v>99609.195236333791</v>
      </c>
      <c r="E350" s="164">
        <v>8236469.235685233</v>
      </c>
      <c r="F350" s="159">
        <v>0</v>
      </c>
      <c r="I350" s="159">
        <v>310</v>
      </c>
      <c r="J350" s="164">
        <v>310442396.51332974</v>
      </c>
      <c r="K350" s="159">
        <v>99609.195236333791</v>
      </c>
      <c r="L350" s="164">
        <v>8236469.235685233</v>
      </c>
      <c r="M350" s="159">
        <v>0</v>
      </c>
      <c r="Q350" s="139">
        <v>310</v>
      </c>
      <c r="R350" s="164">
        <f t="shared" si="27"/>
        <v>1316609650.3856184</v>
      </c>
      <c r="S350" s="164">
        <f t="shared" si="28"/>
        <v>-8236469.235685233</v>
      </c>
      <c r="T350" s="159" t="str">
        <f t="shared" si="29"/>
        <v>TxPost-vaccination</v>
      </c>
      <c r="W350" s="139">
        <v>310</v>
      </c>
      <c r="X350" s="164">
        <f t="shared" si="30"/>
        <v>302205927.27764452</v>
      </c>
      <c r="Y350" s="159">
        <f t="shared" si="30"/>
        <v>99609.195236333791</v>
      </c>
    </row>
    <row r="351" spans="2:25" x14ac:dyDescent="0.25">
      <c r="B351" s="159">
        <v>311</v>
      </c>
      <c r="C351" s="164">
        <v>301444053.77889007</v>
      </c>
      <c r="D351" s="159">
        <v>101605.55476798872</v>
      </c>
      <c r="E351" s="164">
        <v>8268934.5056660734</v>
      </c>
      <c r="F351" s="159">
        <v>0</v>
      </c>
      <c r="I351" s="159">
        <v>311</v>
      </c>
      <c r="J351" s="164">
        <v>301444053.77889007</v>
      </c>
      <c r="K351" s="159">
        <v>101605.55476798872</v>
      </c>
      <c r="L351" s="164">
        <v>8268934.5056660734</v>
      </c>
      <c r="M351" s="159">
        <v>0</v>
      </c>
      <c r="Q351" s="139">
        <v>311</v>
      </c>
      <c r="R351" s="164">
        <f t="shared" si="27"/>
        <v>1358217240.2344306</v>
      </c>
      <c r="S351" s="164">
        <f t="shared" si="28"/>
        <v>-8268934.5056660734</v>
      </c>
      <c r="T351" s="159" t="str">
        <f t="shared" si="29"/>
        <v>TxPost-vaccination</v>
      </c>
      <c r="W351" s="139">
        <v>311</v>
      </c>
      <c r="X351" s="164">
        <f t="shared" si="30"/>
        <v>293175119.273224</v>
      </c>
      <c r="Y351" s="159">
        <f t="shared" si="30"/>
        <v>101605.55476798872</v>
      </c>
    </row>
    <row r="352" spans="2:25" x14ac:dyDescent="0.25">
      <c r="B352" s="159">
        <v>312</v>
      </c>
      <c r="C352" s="164">
        <v>323040996.50201601</v>
      </c>
      <c r="D352" s="159">
        <v>130630.67686066095</v>
      </c>
      <c r="E352" s="164">
        <v>10012871.551538415</v>
      </c>
      <c r="F352" s="159">
        <v>0</v>
      </c>
      <c r="I352" s="159">
        <v>312</v>
      </c>
      <c r="J352" s="164">
        <v>323040996.50201601</v>
      </c>
      <c r="K352" s="159">
        <v>130630.67686066095</v>
      </c>
      <c r="L352" s="164">
        <v>10012871.551538415</v>
      </c>
      <c r="M352" s="159">
        <v>0</v>
      </c>
      <c r="Q352" s="139">
        <v>312</v>
      </c>
      <c r="R352" s="164">
        <f t="shared" si="27"/>
        <v>1810726972.1042156</v>
      </c>
      <c r="S352" s="164">
        <f t="shared" si="28"/>
        <v>-10012871.551538415</v>
      </c>
      <c r="T352" s="159" t="str">
        <f t="shared" si="29"/>
        <v>TxPost-vaccination</v>
      </c>
      <c r="W352" s="139">
        <v>312</v>
      </c>
      <c r="X352" s="164">
        <f t="shared" si="30"/>
        <v>313028124.9504776</v>
      </c>
      <c r="Y352" s="159">
        <f t="shared" si="30"/>
        <v>130630.67686066095</v>
      </c>
    </row>
    <row r="353" spans="2:25" x14ac:dyDescent="0.25">
      <c r="B353" s="159">
        <v>313</v>
      </c>
      <c r="C353" s="164">
        <v>330323439.30878431</v>
      </c>
      <c r="D353" s="159">
        <v>112235.40915176042</v>
      </c>
      <c r="E353" s="164">
        <v>8789902.2405341305</v>
      </c>
      <c r="F353" s="159">
        <v>0</v>
      </c>
      <c r="I353" s="159">
        <v>313</v>
      </c>
      <c r="J353" s="164">
        <v>330323439.30878431</v>
      </c>
      <c r="K353" s="159">
        <v>112235.40915176042</v>
      </c>
      <c r="L353" s="164">
        <v>8789902.2405341305</v>
      </c>
      <c r="M353" s="159">
        <v>0</v>
      </c>
      <c r="Q353" s="139">
        <v>313</v>
      </c>
      <c r="R353" s="164">
        <f t="shared" si="27"/>
        <v>1502969679.4805367</v>
      </c>
      <c r="S353" s="164">
        <f t="shared" si="28"/>
        <v>-8789902.2405341305</v>
      </c>
      <c r="T353" s="159" t="str">
        <f t="shared" si="29"/>
        <v>TxPost-vaccination</v>
      </c>
      <c r="W353" s="139">
        <v>313</v>
      </c>
      <c r="X353" s="164">
        <f t="shared" si="30"/>
        <v>321533537.06825018</v>
      </c>
      <c r="Y353" s="159">
        <f t="shared" si="30"/>
        <v>112235.40915176042</v>
      </c>
    </row>
    <row r="354" spans="2:25" x14ac:dyDescent="0.25">
      <c r="B354" s="159">
        <v>314</v>
      </c>
      <c r="C354" s="164">
        <v>308971580.52047098</v>
      </c>
      <c r="D354" s="159">
        <v>86906.18219371319</v>
      </c>
      <c r="E354" s="164">
        <v>7141050.6817362783</v>
      </c>
      <c r="F354" s="159">
        <v>0</v>
      </c>
      <c r="I354" s="159">
        <v>314</v>
      </c>
      <c r="J354" s="164">
        <v>308971580.52047098</v>
      </c>
      <c r="K354" s="159">
        <v>86906.18219371319</v>
      </c>
      <c r="L354" s="164">
        <v>7141050.6817362783</v>
      </c>
      <c r="M354" s="159">
        <v>0</v>
      </c>
      <c r="Q354" s="139">
        <v>314</v>
      </c>
      <c r="R354" s="164">
        <f t="shared" si="27"/>
        <v>1110584930.2109408</v>
      </c>
      <c r="S354" s="164">
        <f t="shared" si="28"/>
        <v>-7141050.6817362783</v>
      </c>
      <c r="T354" s="159" t="str">
        <f t="shared" si="29"/>
        <v>TxPost-vaccination</v>
      </c>
      <c r="W354" s="139">
        <v>314</v>
      </c>
      <c r="X354" s="164">
        <f t="shared" si="30"/>
        <v>301830529.83873469</v>
      </c>
      <c r="Y354" s="159">
        <f t="shared" si="30"/>
        <v>86906.18219371319</v>
      </c>
    </row>
    <row r="355" spans="2:25" x14ac:dyDescent="0.25">
      <c r="B355" s="159">
        <v>315</v>
      </c>
      <c r="C355" s="164">
        <v>308375447.71635962</v>
      </c>
      <c r="D355" s="159">
        <v>75495.446743776702</v>
      </c>
      <c r="E355" s="164">
        <v>7992583.8665360631</v>
      </c>
      <c r="F355" s="159">
        <v>0</v>
      </c>
      <c r="I355" s="159">
        <v>315</v>
      </c>
      <c r="J355" s="164">
        <v>308375447.71635962</v>
      </c>
      <c r="K355" s="159">
        <v>75495.446743776702</v>
      </c>
      <c r="L355" s="164">
        <v>7992583.8665360631</v>
      </c>
      <c r="M355" s="159">
        <v>0</v>
      </c>
      <c r="Q355" s="139">
        <v>315</v>
      </c>
      <c r="R355" s="164">
        <f t="shared" si="27"/>
        <v>924794048.98093629</v>
      </c>
      <c r="S355" s="164">
        <f t="shared" si="28"/>
        <v>-7992583.8665360631</v>
      </c>
      <c r="T355" s="159" t="str">
        <f t="shared" si="29"/>
        <v>TxPost-vaccination</v>
      </c>
      <c r="W355" s="139">
        <v>315</v>
      </c>
      <c r="X355" s="164">
        <f t="shared" si="30"/>
        <v>300382863.84982353</v>
      </c>
      <c r="Y355" s="159">
        <f t="shared" si="30"/>
        <v>75495.446743776702</v>
      </c>
    </row>
    <row r="356" spans="2:25" x14ac:dyDescent="0.25">
      <c r="B356" s="159">
        <v>316</v>
      </c>
      <c r="C356" s="164">
        <v>329890114.18037814</v>
      </c>
      <c r="D356" s="159">
        <v>76339.246874377539</v>
      </c>
      <c r="E356" s="164">
        <v>6754690.5711381491</v>
      </c>
      <c r="F356" s="159">
        <v>0</v>
      </c>
      <c r="I356" s="159">
        <v>316</v>
      </c>
      <c r="J356" s="164">
        <v>329890114.18037814</v>
      </c>
      <c r="K356" s="159">
        <v>76339.246874377539</v>
      </c>
      <c r="L356" s="164">
        <v>6754690.5711381491</v>
      </c>
      <c r="M356" s="159">
        <v>0</v>
      </c>
      <c r="Q356" s="139">
        <v>316</v>
      </c>
      <c r="R356" s="164">
        <f t="shared" si="27"/>
        <v>917062314.16705608</v>
      </c>
      <c r="S356" s="164">
        <f t="shared" si="28"/>
        <v>-6754690.5711381491</v>
      </c>
      <c r="T356" s="159" t="str">
        <f t="shared" si="29"/>
        <v>TxPost-vaccination</v>
      </c>
      <c r="W356" s="139">
        <v>316</v>
      </c>
      <c r="X356" s="164">
        <f t="shared" si="30"/>
        <v>323135423.60924</v>
      </c>
      <c r="Y356" s="159">
        <f t="shared" si="30"/>
        <v>76339.246874377539</v>
      </c>
    </row>
    <row r="357" spans="2:25" x14ac:dyDescent="0.25">
      <c r="B357" s="159">
        <v>317</v>
      </c>
      <c r="C357" s="164">
        <v>321550908.58078963</v>
      </c>
      <c r="D357" s="159">
        <v>122826.84001784987</v>
      </c>
      <c r="E357" s="164">
        <v>10087921.349154677</v>
      </c>
      <c r="F357" s="159">
        <v>0</v>
      </c>
      <c r="I357" s="159">
        <v>317</v>
      </c>
      <c r="J357" s="164">
        <v>321550908.58078963</v>
      </c>
      <c r="K357" s="159">
        <v>122826.84001784987</v>
      </c>
      <c r="L357" s="164">
        <v>10087921.349154677</v>
      </c>
      <c r="M357" s="159">
        <v>0</v>
      </c>
      <c r="Q357" s="139">
        <v>317</v>
      </c>
      <c r="R357" s="164">
        <f t="shared" si="27"/>
        <v>1684746411.5713954</v>
      </c>
      <c r="S357" s="164">
        <f t="shared" si="28"/>
        <v>-10087921.349154677</v>
      </c>
      <c r="T357" s="159" t="str">
        <f t="shared" si="29"/>
        <v>TxPost-vaccination</v>
      </c>
      <c r="W357" s="139">
        <v>317</v>
      </c>
      <c r="X357" s="164">
        <f t="shared" si="30"/>
        <v>311462987.23163497</v>
      </c>
      <c r="Y357" s="159">
        <f t="shared" si="30"/>
        <v>122826.84001784987</v>
      </c>
    </row>
    <row r="358" spans="2:25" x14ac:dyDescent="0.25">
      <c r="B358" s="159">
        <v>318</v>
      </c>
      <c r="C358" s="164">
        <v>299221004.40414566</v>
      </c>
      <c r="D358" s="159">
        <v>91661.420203318528</v>
      </c>
      <c r="E358" s="164">
        <v>9065499.8569949847</v>
      </c>
      <c r="F358" s="159">
        <v>0</v>
      </c>
      <c r="I358" s="159">
        <v>318</v>
      </c>
      <c r="J358" s="164">
        <v>299221004.40414566</v>
      </c>
      <c r="K358" s="159">
        <v>91661.420203318528</v>
      </c>
      <c r="L358" s="164">
        <v>9065499.8569949847</v>
      </c>
      <c r="M358" s="159">
        <v>0</v>
      </c>
      <c r="Q358" s="139">
        <v>318</v>
      </c>
      <c r="R358" s="164">
        <f t="shared" si="27"/>
        <v>1198009256.4129195</v>
      </c>
      <c r="S358" s="164">
        <f t="shared" si="28"/>
        <v>-9065499.8569949847</v>
      </c>
      <c r="T358" s="159" t="str">
        <f t="shared" si="29"/>
        <v>TxPost-vaccination</v>
      </c>
      <c r="W358" s="139">
        <v>318</v>
      </c>
      <c r="X358" s="164">
        <f t="shared" si="30"/>
        <v>290155504.54715067</v>
      </c>
      <c r="Y358" s="159">
        <f t="shared" si="30"/>
        <v>91661.420203318528</v>
      </c>
    </row>
    <row r="359" spans="2:25" x14ac:dyDescent="0.25">
      <c r="B359" s="159">
        <v>319</v>
      </c>
      <c r="C359" s="164">
        <v>288772010.3920595</v>
      </c>
      <c r="D359" s="159">
        <v>88772.160318488357</v>
      </c>
      <c r="E359" s="164">
        <v>8230235.1176954331</v>
      </c>
      <c r="F359" s="159">
        <v>0</v>
      </c>
      <c r="I359" s="159">
        <v>319</v>
      </c>
      <c r="J359" s="164">
        <v>288772010.3920595</v>
      </c>
      <c r="K359" s="159">
        <v>88772.160318488357</v>
      </c>
      <c r="L359" s="164">
        <v>8230235.1176954331</v>
      </c>
      <c r="M359" s="159">
        <v>0</v>
      </c>
      <c r="Q359" s="139">
        <v>319</v>
      </c>
      <c r="R359" s="164">
        <f t="shared" si="27"/>
        <v>1161264051.1497042</v>
      </c>
      <c r="S359" s="164">
        <f t="shared" si="28"/>
        <v>-8230235.1176954331</v>
      </c>
      <c r="T359" s="159" t="str">
        <f t="shared" si="29"/>
        <v>TxPost-vaccination</v>
      </c>
      <c r="W359" s="139">
        <v>319</v>
      </c>
      <c r="X359" s="164">
        <f t="shared" si="30"/>
        <v>280541775.27436405</v>
      </c>
      <c r="Y359" s="159">
        <f t="shared" si="30"/>
        <v>88772.160318488357</v>
      </c>
    </row>
    <row r="360" spans="2:25" x14ac:dyDescent="0.25">
      <c r="B360" s="159">
        <v>320</v>
      </c>
      <c r="C360" s="164">
        <v>303707677.86456782</v>
      </c>
      <c r="D360" s="159">
        <v>125628.592480458</v>
      </c>
      <c r="E360" s="164">
        <v>10219389.022484416</v>
      </c>
      <c r="F360" s="159">
        <v>0</v>
      </c>
      <c r="I360" s="159">
        <v>320</v>
      </c>
      <c r="J360" s="164">
        <v>303707677.86456782</v>
      </c>
      <c r="K360" s="159">
        <v>125628.592480458</v>
      </c>
      <c r="L360" s="164">
        <v>10219389.022484416</v>
      </c>
      <c r="M360" s="159">
        <v>0</v>
      </c>
      <c r="Q360" s="139">
        <v>320</v>
      </c>
      <c r="R360" s="164">
        <f t="shared" si="27"/>
        <v>1748354464.1835773</v>
      </c>
      <c r="S360" s="164">
        <f t="shared" si="28"/>
        <v>-10219389.022484416</v>
      </c>
      <c r="T360" s="159" t="str">
        <f t="shared" si="29"/>
        <v>TxPost-vaccination</v>
      </c>
      <c r="W360" s="139">
        <v>320</v>
      </c>
      <c r="X360" s="164">
        <f t="shared" si="30"/>
        <v>293488288.84208339</v>
      </c>
      <c r="Y360" s="159">
        <f t="shared" si="30"/>
        <v>125628.592480458</v>
      </c>
    </row>
    <row r="361" spans="2:25" x14ac:dyDescent="0.25">
      <c r="B361" s="159">
        <v>321</v>
      </c>
      <c r="C361" s="164">
        <v>310892160.21324581</v>
      </c>
      <c r="D361" s="159">
        <v>89212.637302918753</v>
      </c>
      <c r="E361" s="164">
        <v>7502033.0220390549</v>
      </c>
      <c r="F361" s="159">
        <v>0</v>
      </c>
      <c r="I361" s="159">
        <v>321</v>
      </c>
      <c r="J361" s="164">
        <v>310892160.21324581</v>
      </c>
      <c r="K361" s="159">
        <v>89212.637302918753</v>
      </c>
      <c r="L361" s="164">
        <v>7502033.0220390549</v>
      </c>
      <c r="M361" s="159">
        <v>0</v>
      </c>
      <c r="Q361" s="139">
        <v>321</v>
      </c>
      <c r="R361" s="164">
        <f t="shared" ref="R361:R424" si="31">K361*threshold-J361</f>
        <v>1146338809.1623676</v>
      </c>
      <c r="S361" s="164">
        <f t="shared" ref="S361:S424" si="32">M361*threshold-L361</f>
        <v>-7502033.0220390549</v>
      </c>
      <c r="T361" s="159" t="str">
        <f t="shared" si="29"/>
        <v>TxPost-vaccination</v>
      </c>
      <c r="W361" s="139">
        <v>321</v>
      </c>
      <c r="X361" s="164">
        <f t="shared" si="30"/>
        <v>303390127.19120675</v>
      </c>
      <c r="Y361" s="159">
        <f t="shared" si="30"/>
        <v>89212.637302918753</v>
      </c>
    </row>
    <row r="362" spans="2:25" x14ac:dyDescent="0.25">
      <c r="B362" s="159">
        <v>322</v>
      </c>
      <c r="C362" s="164">
        <v>302404449.06326389</v>
      </c>
      <c r="D362" s="159">
        <v>111051.14111709374</v>
      </c>
      <c r="E362" s="164">
        <v>8778267.5851863958</v>
      </c>
      <c r="F362" s="159">
        <v>0</v>
      </c>
      <c r="I362" s="159">
        <v>322</v>
      </c>
      <c r="J362" s="164">
        <v>302404449.06326389</v>
      </c>
      <c r="K362" s="159">
        <v>111051.14111709374</v>
      </c>
      <c r="L362" s="164">
        <v>8778267.5851863958</v>
      </c>
      <c r="M362" s="159">
        <v>0</v>
      </c>
      <c r="Q362" s="139">
        <v>322</v>
      </c>
      <c r="R362" s="164">
        <f t="shared" si="31"/>
        <v>1511544414.1549752</v>
      </c>
      <c r="S362" s="164">
        <f t="shared" si="32"/>
        <v>-8778267.5851863958</v>
      </c>
      <c r="T362" s="159" t="str">
        <f t="shared" ref="T362:T425" si="33">IF(R362&gt;S362,"TxPost-vaccination",IF(S362&gt;R362,"TxPre-vaccination","either"))</f>
        <v>TxPost-vaccination</v>
      </c>
      <c r="W362" s="139">
        <v>322</v>
      </c>
      <c r="X362" s="164">
        <f t="shared" ref="X362:Y425" si="34">J362-L362</f>
        <v>293626181.47807747</v>
      </c>
      <c r="Y362" s="159">
        <f t="shared" si="34"/>
        <v>111051.14111709374</v>
      </c>
    </row>
    <row r="363" spans="2:25" x14ac:dyDescent="0.25">
      <c r="B363" s="159">
        <v>323</v>
      </c>
      <c r="C363" s="164">
        <v>291186325.86501098</v>
      </c>
      <c r="D363" s="159">
        <v>139588.36249465152</v>
      </c>
      <c r="E363" s="164">
        <v>11706568.126902701</v>
      </c>
      <c r="F363" s="159">
        <v>0</v>
      </c>
      <c r="I363" s="159">
        <v>323</v>
      </c>
      <c r="J363" s="164">
        <v>291186325.86501098</v>
      </c>
      <c r="K363" s="159">
        <v>139588.36249465152</v>
      </c>
      <c r="L363" s="164">
        <v>11706568.126902701</v>
      </c>
      <c r="M363" s="159">
        <v>0</v>
      </c>
      <c r="Q363" s="139">
        <v>323</v>
      </c>
      <c r="R363" s="164">
        <f t="shared" si="31"/>
        <v>1988899668.0167162</v>
      </c>
      <c r="S363" s="164">
        <f t="shared" si="32"/>
        <v>-11706568.126902701</v>
      </c>
      <c r="T363" s="159" t="str">
        <f t="shared" si="33"/>
        <v>TxPost-vaccination</v>
      </c>
      <c r="W363" s="139">
        <v>323</v>
      </c>
      <c r="X363" s="164">
        <f t="shared" si="34"/>
        <v>279479757.73810828</v>
      </c>
      <c r="Y363" s="159">
        <f t="shared" si="34"/>
        <v>139588.36249465152</v>
      </c>
    </row>
    <row r="364" spans="2:25" x14ac:dyDescent="0.25">
      <c r="B364" s="159">
        <v>324</v>
      </c>
      <c r="C364" s="164">
        <v>291478978.54899567</v>
      </c>
      <c r="D364" s="159">
        <v>95835.988293790346</v>
      </c>
      <c r="E364" s="164">
        <v>10187334.301654136</v>
      </c>
      <c r="F364" s="159">
        <v>0</v>
      </c>
      <c r="I364" s="159">
        <v>324</v>
      </c>
      <c r="J364" s="164">
        <v>291478978.54899567</v>
      </c>
      <c r="K364" s="159">
        <v>95835.988293790346</v>
      </c>
      <c r="L364" s="164">
        <v>10187334.301654136</v>
      </c>
      <c r="M364" s="159">
        <v>0</v>
      </c>
      <c r="Q364" s="139">
        <v>324</v>
      </c>
      <c r="R364" s="164">
        <f t="shared" si="31"/>
        <v>1273940163.2283652</v>
      </c>
      <c r="S364" s="164">
        <f t="shared" si="32"/>
        <v>-10187334.301654136</v>
      </c>
      <c r="T364" s="159" t="str">
        <f t="shared" si="33"/>
        <v>TxPost-vaccination</v>
      </c>
      <c r="W364" s="139">
        <v>324</v>
      </c>
      <c r="X364" s="164">
        <f t="shared" si="34"/>
        <v>281291644.24734151</v>
      </c>
      <c r="Y364" s="159">
        <f t="shared" si="34"/>
        <v>95835.988293790346</v>
      </c>
    </row>
    <row r="365" spans="2:25" x14ac:dyDescent="0.25">
      <c r="B365" s="159">
        <v>325</v>
      </c>
      <c r="C365" s="164">
        <v>315732153.38618022</v>
      </c>
      <c r="D365" s="159">
        <v>106128.54063708744</v>
      </c>
      <c r="E365" s="164">
        <v>10478074.408001969</v>
      </c>
      <c r="F365" s="159">
        <v>0</v>
      </c>
      <c r="I365" s="159">
        <v>325</v>
      </c>
      <c r="J365" s="164">
        <v>315732153.38618022</v>
      </c>
      <c r="K365" s="159">
        <v>106128.54063708744</v>
      </c>
      <c r="L365" s="164">
        <v>10478074.408001969</v>
      </c>
      <c r="M365" s="159">
        <v>0</v>
      </c>
      <c r="Q365" s="139">
        <v>325</v>
      </c>
      <c r="R365" s="164">
        <f t="shared" si="31"/>
        <v>1417809201.5888994</v>
      </c>
      <c r="S365" s="164">
        <f t="shared" si="32"/>
        <v>-10478074.408001969</v>
      </c>
      <c r="T365" s="159" t="str">
        <f t="shared" si="33"/>
        <v>TxPost-vaccination</v>
      </c>
      <c r="W365" s="139">
        <v>325</v>
      </c>
      <c r="X365" s="164">
        <f t="shared" si="34"/>
        <v>305254078.97817826</v>
      </c>
      <c r="Y365" s="159">
        <f t="shared" si="34"/>
        <v>106128.54063708744</v>
      </c>
    </row>
    <row r="366" spans="2:25" x14ac:dyDescent="0.25">
      <c r="B366" s="159">
        <v>326</v>
      </c>
      <c r="C366" s="164">
        <v>324576853.83566874</v>
      </c>
      <c r="D366" s="159">
        <v>75312.924069524961</v>
      </c>
      <c r="E366" s="164">
        <v>7161509.4965155544</v>
      </c>
      <c r="F366" s="159">
        <v>0</v>
      </c>
      <c r="I366" s="159">
        <v>326</v>
      </c>
      <c r="J366" s="164">
        <v>324576853.83566874</v>
      </c>
      <c r="K366" s="159">
        <v>75312.924069524961</v>
      </c>
      <c r="L366" s="164">
        <v>7161509.4965155544</v>
      </c>
      <c r="M366" s="159">
        <v>0</v>
      </c>
      <c r="Q366" s="139">
        <v>326</v>
      </c>
      <c r="R366" s="164">
        <f t="shared" si="31"/>
        <v>905611252.53875399</v>
      </c>
      <c r="S366" s="164">
        <f t="shared" si="32"/>
        <v>-7161509.4965155544</v>
      </c>
      <c r="T366" s="159" t="str">
        <f t="shared" si="33"/>
        <v>TxPost-vaccination</v>
      </c>
      <c r="W366" s="139">
        <v>326</v>
      </c>
      <c r="X366" s="164">
        <f t="shared" si="34"/>
        <v>317415344.33915317</v>
      </c>
      <c r="Y366" s="159">
        <f t="shared" si="34"/>
        <v>75312.924069524961</v>
      </c>
    </row>
    <row r="367" spans="2:25" x14ac:dyDescent="0.25">
      <c r="B367" s="159">
        <v>327</v>
      </c>
      <c r="C367" s="164">
        <v>336709771.33713394</v>
      </c>
      <c r="D367" s="159">
        <v>105448.30318276363</v>
      </c>
      <c r="E367" s="164">
        <v>10121910.401431492</v>
      </c>
      <c r="F367" s="159">
        <v>0</v>
      </c>
      <c r="I367" s="159">
        <v>327</v>
      </c>
      <c r="J367" s="164">
        <v>336709771.33713394</v>
      </c>
      <c r="K367" s="159">
        <v>105448.30318276363</v>
      </c>
      <c r="L367" s="164">
        <v>10121910.401431492</v>
      </c>
      <c r="M367" s="159">
        <v>0</v>
      </c>
      <c r="Q367" s="139">
        <v>327</v>
      </c>
      <c r="R367" s="164">
        <f t="shared" si="31"/>
        <v>1385720342.9557083</v>
      </c>
      <c r="S367" s="164">
        <f t="shared" si="32"/>
        <v>-10121910.401431492</v>
      </c>
      <c r="T367" s="159" t="str">
        <f t="shared" si="33"/>
        <v>TxPost-vaccination</v>
      </c>
      <c r="W367" s="139">
        <v>327</v>
      </c>
      <c r="X367" s="164">
        <f t="shared" si="34"/>
        <v>326587860.93570244</v>
      </c>
      <c r="Y367" s="159">
        <f t="shared" si="34"/>
        <v>105448.30318276363</v>
      </c>
    </row>
    <row r="368" spans="2:25" x14ac:dyDescent="0.25">
      <c r="B368" s="159">
        <v>328</v>
      </c>
      <c r="C368" s="164">
        <v>314627537.63138312</v>
      </c>
      <c r="D368" s="159">
        <v>111800.04524553508</v>
      </c>
      <c r="E368" s="164">
        <v>9717845.489820011</v>
      </c>
      <c r="F368" s="159">
        <v>0</v>
      </c>
      <c r="I368" s="159">
        <v>328</v>
      </c>
      <c r="J368" s="164">
        <v>314627537.63138312</v>
      </c>
      <c r="K368" s="159">
        <v>111800.04524553508</v>
      </c>
      <c r="L368" s="164">
        <v>9717845.489820011</v>
      </c>
      <c r="M368" s="159">
        <v>0</v>
      </c>
      <c r="Q368" s="139">
        <v>328</v>
      </c>
      <c r="R368" s="164">
        <f t="shared" si="31"/>
        <v>1511554192.163285</v>
      </c>
      <c r="S368" s="164">
        <f t="shared" si="32"/>
        <v>-9717845.489820011</v>
      </c>
      <c r="T368" s="159" t="str">
        <f t="shared" si="33"/>
        <v>TxPost-vaccination</v>
      </c>
      <c r="W368" s="139">
        <v>328</v>
      </c>
      <c r="X368" s="164">
        <f t="shared" si="34"/>
        <v>304909692.14156312</v>
      </c>
      <c r="Y368" s="159">
        <f t="shared" si="34"/>
        <v>111800.04524553508</v>
      </c>
    </row>
    <row r="369" spans="2:25" x14ac:dyDescent="0.25">
      <c r="B369" s="159">
        <v>329</v>
      </c>
      <c r="C369" s="164">
        <v>328685287.48512322</v>
      </c>
      <c r="D369" s="159">
        <v>88333.293825359113</v>
      </c>
      <c r="E369" s="164">
        <v>7536729.2905548494</v>
      </c>
      <c r="F369" s="159">
        <v>0</v>
      </c>
      <c r="I369" s="159">
        <v>329</v>
      </c>
      <c r="J369" s="164">
        <v>328685287.48512322</v>
      </c>
      <c r="K369" s="159">
        <v>88333.293825359113</v>
      </c>
      <c r="L369" s="164">
        <v>7536729.2905548494</v>
      </c>
      <c r="M369" s="159">
        <v>0</v>
      </c>
      <c r="Q369" s="139">
        <v>329</v>
      </c>
      <c r="R369" s="164">
        <f t="shared" si="31"/>
        <v>1114182172.560894</v>
      </c>
      <c r="S369" s="164">
        <f t="shared" si="32"/>
        <v>-7536729.2905548494</v>
      </c>
      <c r="T369" s="159" t="str">
        <f t="shared" si="33"/>
        <v>TxPost-vaccination</v>
      </c>
      <c r="W369" s="139">
        <v>329</v>
      </c>
      <c r="X369" s="164">
        <f t="shared" si="34"/>
        <v>321148558.1945684</v>
      </c>
      <c r="Y369" s="159">
        <f t="shared" si="34"/>
        <v>88333.293825359113</v>
      </c>
    </row>
    <row r="370" spans="2:25" x14ac:dyDescent="0.25">
      <c r="B370" s="159">
        <v>330</v>
      </c>
      <c r="C370" s="164">
        <v>314717447.13446683</v>
      </c>
      <c r="D370" s="159">
        <v>128876.59588322873</v>
      </c>
      <c r="E370" s="164">
        <v>10454645.040917439</v>
      </c>
      <c r="F370" s="159">
        <v>0</v>
      </c>
      <c r="I370" s="159">
        <v>330</v>
      </c>
      <c r="J370" s="164">
        <v>314717447.13446683</v>
      </c>
      <c r="K370" s="159">
        <v>128876.59588322873</v>
      </c>
      <c r="L370" s="164">
        <v>10454645.040917439</v>
      </c>
      <c r="M370" s="159">
        <v>0</v>
      </c>
      <c r="Q370" s="139">
        <v>330</v>
      </c>
      <c r="R370" s="164">
        <f t="shared" si="31"/>
        <v>1790398738.4914262</v>
      </c>
      <c r="S370" s="164">
        <f t="shared" si="32"/>
        <v>-10454645.040917439</v>
      </c>
      <c r="T370" s="159" t="str">
        <f t="shared" si="33"/>
        <v>TxPost-vaccination</v>
      </c>
      <c r="W370" s="139">
        <v>330</v>
      </c>
      <c r="X370" s="164">
        <f t="shared" si="34"/>
        <v>304262802.09354937</v>
      </c>
      <c r="Y370" s="159">
        <f t="shared" si="34"/>
        <v>128876.59588322873</v>
      </c>
    </row>
    <row r="371" spans="2:25" x14ac:dyDescent="0.25">
      <c r="B371" s="159">
        <v>331</v>
      </c>
      <c r="C371" s="164">
        <v>304203583.13977104</v>
      </c>
      <c r="D371" s="159">
        <v>81197.7166856486</v>
      </c>
      <c r="E371" s="164">
        <v>7198791.7164833341</v>
      </c>
      <c r="F371" s="159">
        <v>0</v>
      </c>
      <c r="I371" s="159">
        <v>331</v>
      </c>
      <c r="J371" s="164">
        <v>304203583.13977104</v>
      </c>
      <c r="K371" s="159">
        <v>81197.7166856486</v>
      </c>
      <c r="L371" s="164">
        <v>7198791.7164833341</v>
      </c>
      <c r="M371" s="159">
        <v>0</v>
      </c>
      <c r="Q371" s="139">
        <v>331</v>
      </c>
      <c r="R371" s="164">
        <f t="shared" si="31"/>
        <v>1022108820.2829552</v>
      </c>
      <c r="S371" s="164">
        <f t="shared" si="32"/>
        <v>-7198791.7164833341</v>
      </c>
      <c r="T371" s="159" t="str">
        <f t="shared" si="33"/>
        <v>TxPost-vaccination</v>
      </c>
      <c r="W371" s="139">
        <v>331</v>
      </c>
      <c r="X371" s="164">
        <f t="shared" si="34"/>
        <v>297004791.42328769</v>
      </c>
      <c r="Y371" s="159">
        <f t="shared" si="34"/>
        <v>81197.7166856486</v>
      </c>
    </row>
    <row r="372" spans="2:25" x14ac:dyDescent="0.25">
      <c r="B372" s="159">
        <v>332</v>
      </c>
      <c r="C372" s="164">
        <v>306460162.83495629</v>
      </c>
      <c r="D372" s="159">
        <v>89880.416399246504</v>
      </c>
      <c r="E372" s="164">
        <v>10152830.19461466</v>
      </c>
      <c r="F372" s="159">
        <v>0</v>
      </c>
      <c r="I372" s="159">
        <v>332</v>
      </c>
      <c r="J372" s="164">
        <v>306460162.83495629</v>
      </c>
      <c r="K372" s="159">
        <v>89880.416399246504</v>
      </c>
      <c r="L372" s="164">
        <v>10152830.19461466</v>
      </c>
      <c r="M372" s="159">
        <v>0</v>
      </c>
      <c r="Q372" s="139">
        <v>332</v>
      </c>
      <c r="R372" s="164">
        <f t="shared" si="31"/>
        <v>1161678547.9693327</v>
      </c>
      <c r="S372" s="164">
        <f t="shared" si="32"/>
        <v>-10152830.19461466</v>
      </c>
      <c r="T372" s="159" t="str">
        <f t="shared" si="33"/>
        <v>TxPost-vaccination</v>
      </c>
      <c r="W372" s="139">
        <v>332</v>
      </c>
      <c r="X372" s="164">
        <f t="shared" si="34"/>
        <v>296307332.64034164</v>
      </c>
      <c r="Y372" s="159">
        <f t="shared" si="34"/>
        <v>89880.416399246504</v>
      </c>
    </row>
    <row r="373" spans="2:25" x14ac:dyDescent="0.25">
      <c r="B373" s="159">
        <v>333</v>
      </c>
      <c r="C373" s="164">
        <v>309007010.53003508</v>
      </c>
      <c r="D373" s="159">
        <v>68021.225716770205</v>
      </c>
      <c r="E373" s="164">
        <v>6810571.5937652811</v>
      </c>
      <c r="F373" s="159">
        <v>0</v>
      </c>
      <c r="I373" s="159">
        <v>333</v>
      </c>
      <c r="J373" s="164">
        <v>309007010.53003508</v>
      </c>
      <c r="K373" s="159">
        <v>68021.225716770205</v>
      </c>
      <c r="L373" s="164">
        <v>6810571.5937652811</v>
      </c>
      <c r="M373" s="159">
        <v>0</v>
      </c>
      <c r="Q373" s="139">
        <v>333</v>
      </c>
      <c r="R373" s="164">
        <f t="shared" si="31"/>
        <v>802075899.76213121</v>
      </c>
      <c r="S373" s="164">
        <f t="shared" si="32"/>
        <v>-6810571.5937652811</v>
      </c>
      <c r="T373" s="159" t="str">
        <f t="shared" si="33"/>
        <v>TxPost-vaccination</v>
      </c>
      <c r="W373" s="139">
        <v>333</v>
      </c>
      <c r="X373" s="164">
        <f t="shared" si="34"/>
        <v>302196438.93626982</v>
      </c>
      <c r="Y373" s="159">
        <f t="shared" si="34"/>
        <v>68021.225716770205</v>
      </c>
    </row>
    <row r="374" spans="2:25" x14ac:dyDescent="0.25">
      <c r="B374" s="159">
        <v>334</v>
      </c>
      <c r="C374" s="164">
        <v>278951600.78933501</v>
      </c>
      <c r="D374" s="159">
        <v>67256.781236263239</v>
      </c>
      <c r="E374" s="164">
        <v>6302342.1003579516</v>
      </c>
      <c r="F374" s="159">
        <v>0</v>
      </c>
      <c r="I374" s="159">
        <v>334</v>
      </c>
      <c r="J374" s="164">
        <v>278951600.78933501</v>
      </c>
      <c r="K374" s="159">
        <v>67256.781236263239</v>
      </c>
      <c r="L374" s="164">
        <v>6302342.1003579516</v>
      </c>
      <c r="M374" s="159">
        <v>0</v>
      </c>
      <c r="Q374" s="139">
        <v>334</v>
      </c>
      <c r="R374" s="164">
        <f t="shared" si="31"/>
        <v>819644601.28479552</v>
      </c>
      <c r="S374" s="164">
        <f t="shared" si="32"/>
        <v>-6302342.1003579516</v>
      </c>
      <c r="T374" s="159" t="str">
        <f t="shared" si="33"/>
        <v>TxPost-vaccination</v>
      </c>
      <c r="W374" s="139">
        <v>334</v>
      </c>
      <c r="X374" s="164">
        <f t="shared" si="34"/>
        <v>272649258.68897706</v>
      </c>
      <c r="Y374" s="159">
        <f t="shared" si="34"/>
        <v>67256.781236263239</v>
      </c>
    </row>
    <row r="375" spans="2:25" x14ac:dyDescent="0.25">
      <c r="B375" s="159">
        <v>335</v>
      </c>
      <c r="C375" s="164">
        <v>309535136.13758743</v>
      </c>
      <c r="D375" s="159">
        <v>70240.62282019238</v>
      </c>
      <c r="E375" s="164">
        <v>6320233.8676627828</v>
      </c>
      <c r="F375" s="159">
        <v>0</v>
      </c>
      <c r="I375" s="159">
        <v>335</v>
      </c>
      <c r="J375" s="164">
        <v>309535136.13758743</v>
      </c>
      <c r="K375" s="159">
        <v>70240.62282019238</v>
      </c>
      <c r="L375" s="164">
        <v>6320233.8676627828</v>
      </c>
      <c r="M375" s="159">
        <v>0</v>
      </c>
      <c r="Q375" s="139">
        <v>335</v>
      </c>
      <c r="R375" s="164">
        <f t="shared" si="31"/>
        <v>837800196.34749973</v>
      </c>
      <c r="S375" s="164">
        <f t="shared" si="32"/>
        <v>-6320233.8676627828</v>
      </c>
      <c r="T375" s="159" t="str">
        <f t="shared" si="33"/>
        <v>TxPost-vaccination</v>
      </c>
      <c r="W375" s="139">
        <v>335</v>
      </c>
      <c r="X375" s="164">
        <f t="shared" si="34"/>
        <v>303214902.26992464</v>
      </c>
      <c r="Y375" s="159">
        <f t="shared" si="34"/>
        <v>70240.62282019238</v>
      </c>
    </row>
    <row r="376" spans="2:25" x14ac:dyDescent="0.25">
      <c r="B376" s="159">
        <v>336</v>
      </c>
      <c r="C376" s="164">
        <v>286302252.37224835</v>
      </c>
      <c r="D376" s="159">
        <v>93460.858446794067</v>
      </c>
      <c r="E376" s="164">
        <v>8266379.6844532788</v>
      </c>
      <c r="F376" s="159">
        <v>0</v>
      </c>
      <c r="I376" s="159">
        <v>336</v>
      </c>
      <c r="J376" s="164">
        <v>286302252.37224835</v>
      </c>
      <c r="K376" s="159">
        <v>93460.858446794067</v>
      </c>
      <c r="L376" s="164">
        <v>8266379.6844532788</v>
      </c>
      <c r="M376" s="159">
        <v>0</v>
      </c>
      <c r="Q376" s="139">
        <v>336</v>
      </c>
      <c r="R376" s="164">
        <f t="shared" si="31"/>
        <v>1240320673.1518114</v>
      </c>
      <c r="S376" s="164">
        <f t="shared" si="32"/>
        <v>-8266379.6844532788</v>
      </c>
      <c r="T376" s="159" t="str">
        <f t="shared" si="33"/>
        <v>TxPost-vaccination</v>
      </c>
      <c r="W376" s="139">
        <v>336</v>
      </c>
      <c r="X376" s="164">
        <f t="shared" si="34"/>
        <v>278035872.68779504</v>
      </c>
      <c r="Y376" s="159">
        <f t="shared" si="34"/>
        <v>93460.858446794067</v>
      </c>
    </row>
    <row r="377" spans="2:25" x14ac:dyDescent="0.25">
      <c r="B377" s="159">
        <v>337</v>
      </c>
      <c r="C377" s="164">
        <v>292290161.10179651</v>
      </c>
      <c r="D377" s="159">
        <v>50993.336732638163</v>
      </c>
      <c r="E377" s="164">
        <v>5624237.7392528905</v>
      </c>
      <c r="F377" s="159">
        <v>0</v>
      </c>
      <c r="I377" s="159">
        <v>337</v>
      </c>
      <c r="J377" s="164">
        <v>292290161.10179651</v>
      </c>
      <c r="K377" s="159">
        <v>50993.336732638163</v>
      </c>
      <c r="L377" s="164">
        <v>5624237.7392528905</v>
      </c>
      <c r="M377" s="159">
        <v>0</v>
      </c>
      <c r="Q377" s="139">
        <v>337</v>
      </c>
      <c r="R377" s="164">
        <f t="shared" si="31"/>
        <v>540653150.12758946</v>
      </c>
      <c r="S377" s="164">
        <f t="shared" si="32"/>
        <v>-5624237.7392528905</v>
      </c>
      <c r="T377" s="159" t="str">
        <f t="shared" si="33"/>
        <v>TxPost-vaccination</v>
      </c>
      <c r="W377" s="139">
        <v>337</v>
      </c>
      <c r="X377" s="164">
        <f t="shared" si="34"/>
        <v>286665923.36254364</v>
      </c>
      <c r="Y377" s="159">
        <f t="shared" si="34"/>
        <v>50993.336732638163</v>
      </c>
    </row>
    <row r="378" spans="2:25" x14ac:dyDescent="0.25">
      <c r="B378" s="159">
        <v>338</v>
      </c>
      <c r="C378" s="164">
        <v>331556126.43032628</v>
      </c>
      <c r="D378" s="159">
        <v>54880.245747477114</v>
      </c>
      <c r="E378" s="164">
        <v>4569462.4431697251</v>
      </c>
      <c r="F378" s="159">
        <v>0</v>
      </c>
      <c r="I378" s="159">
        <v>338</v>
      </c>
      <c r="J378" s="164">
        <v>331556126.43032628</v>
      </c>
      <c r="K378" s="159">
        <v>54880.245747477114</v>
      </c>
      <c r="L378" s="164">
        <v>4569462.4431697251</v>
      </c>
      <c r="M378" s="159">
        <v>0</v>
      </c>
      <c r="Q378" s="139">
        <v>338</v>
      </c>
      <c r="R378" s="164">
        <f t="shared" si="31"/>
        <v>564877340.03722644</v>
      </c>
      <c r="S378" s="164">
        <f t="shared" si="32"/>
        <v>-4569462.4431697251</v>
      </c>
      <c r="T378" s="159" t="str">
        <f t="shared" si="33"/>
        <v>TxPost-vaccination</v>
      </c>
      <c r="W378" s="139">
        <v>338</v>
      </c>
      <c r="X378" s="164">
        <f t="shared" si="34"/>
        <v>326986663.98715657</v>
      </c>
      <c r="Y378" s="159">
        <f t="shared" si="34"/>
        <v>54880.245747477114</v>
      </c>
    </row>
    <row r="379" spans="2:25" x14ac:dyDescent="0.25">
      <c r="B379" s="159">
        <v>339</v>
      </c>
      <c r="C379" s="164">
        <v>308506502.95370024</v>
      </c>
      <c r="D379" s="159">
        <v>162063.19207095259</v>
      </c>
      <c r="E379" s="164">
        <v>11942547.399652475</v>
      </c>
      <c r="F379" s="159">
        <v>0</v>
      </c>
      <c r="I379" s="159">
        <v>339</v>
      </c>
      <c r="J379" s="164">
        <v>308506502.95370024</v>
      </c>
      <c r="K379" s="159">
        <v>162063.19207095259</v>
      </c>
      <c r="L379" s="164">
        <v>11942547.399652475</v>
      </c>
      <c r="M379" s="159">
        <v>0</v>
      </c>
      <c r="Q379" s="139">
        <v>339</v>
      </c>
      <c r="R379" s="164">
        <f t="shared" si="31"/>
        <v>2338691356.2439222</v>
      </c>
      <c r="S379" s="164">
        <f t="shared" si="32"/>
        <v>-11942547.399652475</v>
      </c>
      <c r="T379" s="159" t="str">
        <f t="shared" si="33"/>
        <v>TxPost-vaccination</v>
      </c>
      <c r="W379" s="139">
        <v>339</v>
      </c>
      <c r="X379" s="164">
        <f t="shared" si="34"/>
        <v>296563955.55404776</v>
      </c>
      <c r="Y379" s="159">
        <f t="shared" si="34"/>
        <v>162063.19207095259</v>
      </c>
    </row>
    <row r="380" spans="2:25" x14ac:dyDescent="0.25">
      <c r="B380" s="159">
        <v>340</v>
      </c>
      <c r="C380" s="164">
        <v>350469737.50386441</v>
      </c>
      <c r="D380" s="159">
        <v>122038.01614060681</v>
      </c>
      <c r="E380" s="164">
        <v>9965024.6383733246</v>
      </c>
      <c r="F380" s="159">
        <v>0</v>
      </c>
      <c r="I380" s="159">
        <v>340</v>
      </c>
      <c r="J380" s="164">
        <v>350469737.50386441</v>
      </c>
      <c r="K380" s="159">
        <v>122038.01614060681</v>
      </c>
      <c r="L380" s="164">
        <v>9965024.6383733246</v>
      </c>
      <c r="M380" s="159">
        <v>0</v>
      </c>
      <c r="Q380" s="139">
        <v>340</v>
      </c>
      <c r="R380" s="164">
        <f t="shared" si="31"/>
        <v>1642942652.6871262</v>
      </c>
      <c r="S380" s="164">
        <f t="shared" si="32"/>
        <v>-9965024.6383733246</v>
      </c>
      <c r="T380" s="159" t="str">
        <f t="shared" si="33"/>
        <v>TxPost-vaccination</v>
      </c>
      <c r="W380" s="139">
        <v>340</v>
      </c>
      <c r="X380" s="164">
        <f t="shared" si="34"/>
        <v>340504712.86549109</v>
      </c>
      <c r="Y380" s="159">
        <f t="shared" si="34"/>
        <v>122038.01614060681</v>
      </c>
    </row>
    <row r="381" spans="2:25" x14ac:dyDescent="0.25">
      <c r="B381" s="159">
        <v>341</v>
      </c>
      <c r="C381" s="164">
        <v>298863777.75941801</v>
      </c>
      <c r="D381" s="159">
        <v>94511.909331645351</v>
      </c>
      <c r="E381" s="164">
        <v>7546855.6105481014</v>
      </c>
      <c r="F381" s="159">
        <v>0</v>
      </c>
      <c r="I381" s="159">
        <v>341</v>
      </c>
      <c r="J381" s="164">
        <v>298863777.75941801</v>
      </c>
      <c r="K381" s="159">
        <v>94511.909331645351</v>
      </c>
      <c r="L381" s="164">
        <v>7546855.6105481014</v>
      </c>
      <c r="M381" s="159">
        <v>0</v>
      </c>
      <c r="Q381" s="139">
        <v>341</v>
      </c>
      <c r="R381" s="164">
        <f t="shared" si="31"/>
        <v>1244927386.997323</v>
      </c>
      <c r="S381" s="164">
        <f t="shared" si="32"/>
        <v>-7546855.6105481014</v>
      </c>
      <c r="T381" s="159" t="str">
        <f t="shared" si="33"/>
        <v>TxPost-vaccination</v>
      </c>
      <c r="W381" s="139">
        <v>341</v>
      </c>
      <c r="X381" s="164">
        <f t="shared" si="34"/>
        <v>291316922.14886993</v>
      </c>
      <c r="Y381" s="159">
        <f t="shared" si="34"/>
        <v>94511.909331645351</v>
      </c>
    </row>
    <row r="382" spans="2:25" x14ac:dyDescent="0.25">
      <c r="B382" s="159">
        <v>342</v>
      </c>
      <c r="C382" s="164">
        <v>276298154.24090004</v>
      </c>
      <c r="D382" s="159">
        <v>82044.341180363917</v>
      </c>
      <c r="E382" s="164">
        <v>7734113.1057181293</v>
      </c>
      <c r="F382" s="159">
        <v>0</v>
      </c>
      <c r="I382" s="159">
        <v>342</v>
      </c>
      <c r="J382" s="164">
        <v>276298154.24090004</v>
      </c>
      <c r="K382" s="159">
        <v>82044.341180363917</v>
      </c>
      <c r="L382" s="164">
        <v>7734113.1057181293</v>
      </c>
      <c r="M382" s="159">
        <v>0</v>
      </c>
      <c r="Q382" s="139">
        <v>342</v>
      </c>
      <c r="R382" s="164">
        <f t="shared" si="31"/>
        <v>1063843315.0006299</v>
      </c>
      <c r="S382" s="164">
        <f t="shared" si="32"/>
        <v>-7734113.1057181293</v>
      </c>
      <c r="T382" s="159" t="str">
        <f t="shared" si="33"/>
        <v>TxPost-vaccination</v>
      </c>
      <c r="W382" s="139">
        <v>342</v>
      </c>
      <c r="X382" s="164">
        <f t="shared" si="34"/>
        <v>268564041.1351819</v>
      </c>
      <c r="Y382" s="159">
        <f t="shared" si="34"/>
        <v>82044.341180363917</v>
      </c>
    </row>
    <row r="383" spans="2:25" x14ac:dyDescent="0.25">
      <c r="B383" s="159">
        <v>343</v>
      </c>
      <c r="C383" s="164">
        <v>360188305.75612932</v>
      </c>
      <c r="D383" s="159">
        <v>110512.59876502623</v>
      </c>
      <c r="E383" s="164">
        <v>9069955.3225694075</v>
      </c>
      <c r="F383" s="159">
        <v>0</v>
      </c>
      <c r="I383" s="159">
        <v>343</v>
      </c>
      <c r="J383" s="164">
        <v>360188305.75612932</v>
      </c>
      <c r="K383" s="159">
        <v>110512.59876502623</v>
      </c>
      <c r="L383" s="164">
        <v>9069955.3225694075</v>
      </c>
      <c r="M383" s="159">
        <v>0</v>
      </c>
      <c r="Q383" s="139">
        <v>343</v>
      </c>
      <c r="R383" s="164">
        <f t="shared" si="31"/>
        <v>1444963815.0108306</v>
      </c>
      <c r="S383" s="164">
        <f t="shared" si="32"/>
        <v>-9069955.3225694075</v>
      </c>
      <c r="T383" s="159" t="str">
        <f t="shared" si="33"/>
        <v>TxPost-vaccination</v>
      </c>
      <c r="W383" s="139">
        <v>343</v>
      </c>
      <c r="X383" s="164">
        <f t="shared" si="34"/>
        <v>351118350.43355989</v>
      </c>
      <c r="Y383" s="159">
        <f t="shared" si="34"/>
        <v>110512.59876502623</v>
      </c>
    </row>
    <row r="384" spans="2:25" x14ac:dyDescent="0.25">
      <c r="B384" s="159">
        <v>344</v>
      </c>
      <c r="C384" s="164">
        <v>312916421.25373089</v>
      </c>
      <c r="D384" s="159">
        <v>134303.53857643736</v>
      </c>
      <c r="E384" s="164">
        <v>9686640.9253714401</v>
      </c>
      <c r="F384" s="159">
        <v>0</v>
      </c>
      <c r="I384" s="159">
        <v>344</v>
      </c>
      <c r="J384" s="164">
        <v>312916421.25373089</v>
      </c>
      <c r="K384" s="159">
        <v>134303.53857643736</v>
      </c>
      <c r="L384" s="164">
        <v>9686640.9253714401</v>
      </c>
      <c r="M384" s="159">
        <v>0</v>
      </c>
      <c r="Q384" s="139">
        <v>344</v>
      </c>
      <c r="R384" s="164">
        <f t="shared" si="31"/>
        <v>1880845377.8262057</v>
      </c>
      <c r="S384" s="164">
        <f t="shared" si="32"/>
        <v>-9686640.9253714401</v>
      </c>
      <c r="T384" s="159" t="str">
        <f t="shared" si="33"/>
        <v>TxPost-vaccination</v>
      </c>
      <c r="W384" s="139">
        <v>344</v>
      </c>
      <c r="X384" s="164">
        <f t="shared" si="34"/>
        <v>303229780.32835943</v>
      </c>
      <c r="Y384" s="159">
        <f t="shared" si="34"/>
        <v>134303.53857643736</v>
      </c>
    </row>
    <row r="385" spans="2:25" x14ac:dyDescent="0.25">
      <c r="B385" s="159">
        <v>345</v>
      </c>
      <c r="C385" s="164">
        <v>309418854.10297066</v>
      </c>
      <c r="D385" s="159">
        <v>102105.83649644956</v>
      </c>
      <c r="E385" s="164">
        <v>9116395.4439652376</v>
      </c>
      <c r="F385" s="159">
        <v>0</v>
      </c>
      <c r="I385" s="159">
        <v>345</v>
      </c>
      <c r="J385" s="164">
        <v>309418854.10297066</v>
      </c>
      <c r="K385" s="159">
        <v>102105.83649644956</v>
      </c>
      <c r="L385" s="164">
        <v>9116395.4439652376</v>
      </c>
      <c r="M385" s="159">
        <v>0</v>
      </c>
      <c r="Q385" s="139">
        <v>345</v>
      </c>
      <c r="R385" s="164">
        <f t="shared" si="31"/>
        <v>1358414219.7182994</v>
      </c>
      <c r="S385" s="164">
        <f t="shared" si="32"/>
        <v>-9116395.4439652376</v>
      </c>
      <c r="T385" s="159" t="str">
        <f t="shared" si="33"/>
        <v>TxPost-vaccination</v>
      </c>
      <c r="W385" s="139">
        <v>345</v>
      </c>
      <c r="X385" s="164">
        <f t="shared" si="34"/>
        <v>300302458.6590054</v>
      </c>
      <c r="Y385" s="159">
        <f t="shared" si="34"/>
        <v>102105.83649644956</v>
      </c>
    </row>
    <row r="386" spans="2:25" x14ac:dyDescent="0.25">
      <c r="B386" s="159">
        <v>346</v>
      </c>
      <c r="C386" s="164">
        <v>324719765.29728478</v>
      </c>
      <c r="D386" s="159">
        <v>81722.044335305298</v>
      </c>
      <c r="E386" s="164">
        <v>8492439.584788302</v>
      </c>
      <c r="F386" s="159">
        <v>0</v>
      </c>
      <c r="I386" s="159">
        <v>346</v>
      </c>
      <c r="J386" s="164">
        <v>324719765.29728478</v>
      </c>
      <c r="K386" s="159">
        <v>81722.044335305298</v>
      </c>
      <c r="L386" s="164">
        <v>8492439.584788302</v>
      </c>
      <c r="M386" s="159">
        <v>0</v>
      </c>
      <c r="Q386" s="139">
        <v>346</v>
      </c>
      <c r="R386" s="164">
        <f t="shared" si="31"/>
        <v>1010157192.5683875</v>
      </c>
      <c r="S386" s="164">
        <f t="shared" si="32"/>
        <v>-8492439.584788302</v>
      </c>
      <c r="T386" s="159" t="str">
        <f t="shared" si="33"/>
        <v>TxPost-vaccination</v>
      </c>
      <c r="W386" s="139">
        <v>346</v>
      </c>
      <c r="X386" s="164">
        <f t="shared" si="34"/>
        <v>316227325.71249646</v>
      </c>
      <c r="Y386" s="159">
        <f t="shared" si="34"/>
        <v>81722.044335305298</v>
      </c>
    </row>
    <row r="387" spans="2:25" x14ac:dyDescent="0.25">
      <c r="B387" s="159">
        <v>347</v>
      </c>
      <c r="C387" s="164">
        <v>341565558.02485132</v>
      </c>
      <c r="D387" s="159">
        <v>126703.47264161368</v>
      </c>
      <c r="E387" s="164">
        <v>9443596.4007644933</v>
      </c>
      <c r="F387" s="159">
        <v>0</v>
      </c>
      <c r="I387" s="159">
        <v>347</v>
      </c>
      <c r="J387" s="164">
        <v>341565558.02485132</v>
      </c>
      <c r="K387" s="159">
        <v>126703.47264161368</v>
      </c>
      <c r="L387" s="164">
        <v>9443596.4007644933</v>
      </c>
      <c r="M387" s="159">
        <v>0</v>
      </c>
      <c r="Q387" s="139">
        <v>347</v>
      </c>
      <c r="R387" s="164">
        <f t="shared" si="31"/>
        <v>1728054059.1362088</v>
      </c>
      <c r="S387" s="164">
        <f t="shared" si="32"/>
        <v>-9443596.4007644933</v>
      </c>
      <c r="T387" s="159" t="str">
        <f t="shared" si="33"/>
        <v>TxPost-vaccination</v>
      </c>
      <c r="W387" s="139">
        <v>347</v>
      </c>
      <c r="X387" s="164">
        <f t="shared" si="34"/>
        <v>332121961.62408686</v>
      </c>
      <c r="Y387" s="159">
        <f t="shared" si="34"/>
        <v>126703.47264161368</v>
      </c>
    </row>
    <row r="388" spans="2:25" x14ac:dyDescent="0.25">
      <c r="B388" s="159">
        <v>348</v>
      </c>
      <c r="C388" s="164">
        <v>282315237.02215743</v>
      </c>
      <c r="D388" s="159">
        <v>92453.931413671235</v>
      </c>
      <c r="E388" s="164">
        <v>7454344.0310585126</v>
      </c>
      <c r="F388" s="159">
        <v>0</v>
      </c>
      <c r="I388" s="159">
        <v>348</v>
      </c>
      <c r="J388" s="164">
        <v>282315237.02215743</v>
      </c>
      <c r="K388" s="159">
        <v>92453.931413671235</v>
      </c>
      <c r="L388" s="164">
        <v>7454344.0310585126</v>
      </c>
      <c r="M388" s="159">
        <v>0</v>
      </c>
      <c r="Q388" s="139">
        <v>348</v>
      </c>
      <c r="R388" s="164">
        <f t="shared" si="31"/>
        <v>1227860183.9674737</v>
      </c>
      <c r="S388" s="164">
        <f t="shared" si="32"/>
        <v>-7454344.0310585126</v>
      </c>
      <c r="T388" s="159" t="str">
        <f t="shared" si="33"/>
        <v>TxPost-vaccination</v>
      </c>
      <c r="W388" s="139">
        <v>348</v>
      </c>
      <c r="X388" s="164">
        <f t="shared" si="34"/>
        <v>274860892.99109894</v>
      </c>
      <c r="Y388" s="159">
        <f t="shared" si="34"/>
        <v>92453.931413671235</v>
      </c>
    </row>
    <row r="389" spans="2:25" x14ac:dyDescent="0.25">
      <c r="B389" s="159">
        <v>349</v>
      </c>
      <c r="C389" s="164">
        <v>298311501.75116301</v>
      </c>
      <c r="D389" s="159">
        <v>57941.693066314976</v>
      </c>
      <c r="E389" s="164">
        <v>5449515.4051877046</v>
      </c>
      <c r="F389" s="159">
        <v>0</v>
      </c>
      <c r="I389" s="159">
        <v>349</v>
      </c>
      <c r="J389" s="164">
        <v>298311501.75116301</v>
      </c>
      <c r="K389" s="159">
        <v>57941.693066314976</v>
      </c>
      <c r="L389" s="164">
        <v>5449515.4051877046</v>
      </c>
      <c r="M389" s="159">
        <v>0</v>
      </c>
      <c r="Q389" s="139">
        <v>349</v>
      </c>
      <c r="R389" s="164">
        <f t="shared" si="31"/>
        <v>648128734.82200241</v>
      </c>
      <c r="S389" s="164">
        <f t="shared" si="32"/>
        <v>-5449515.4051877046</v>
      </c>
      <c r="T389" s="159" t="str">
        <f t="shared" si="33"/>
        <v>TxPost-vaccination</v>
      </c>
      <c r="W389" s="139">
        <v>349</v>
      </c>
      <c r="X389" s="164">
        <f t="shared" si="34"/>
        <v>292861986.34597528</v>
      </c>
      <c r="Y389" s="159">
        <f t="shared" si="34"/>
        <v>57941.693066314976</v>
      </c>
    </row>
    <row r="390" spans="2:25" x14ac:dyDescent="0.25">
      <c r="B390" s="159">
        <v>350</v>
      </c>
      <c r="C390" s="164">
        <v>300768834.70603156</v>
      </c>
      <c r="D390" s="159">
        <v>112386.56080018645</v>
      </c>
      <c r="E390" s="164">
        <v>9846799.1919035371</v>
      </c>
      <c r="F390" s="159">
        <v>0</v>
      </c>
      <c r="I390" s="159">
        <v>350</v>
      </c>
      <c r="J390" s="164">
        <v>300768834.70603156</v>
      </c>
      <c r="K390" s="159">
        <v>112386.56080018645</v>
      </c>
      <c r="L390" s="164">
        <v>9846799.1919035371</v>
      </c>
      <c r="M390" s="159">
        <v>0</v>
      </c>
      <c r="Q390" s="139">
        <v>350</v>
      </c>
      <c r="R390" s="164">
        <f t="shared" si="31"/>
        <v>1534993248.9050632</v>
      </c>
      <c r="S390" s="164">
        <f t="shared" si="32"/>
        <v>-9846799.1919035371</v>
      </c>
      <c r="T390" s="159" t="str">
        <f t="shared" si="33"/>
        <v>TxPost-vaccination</v>
      </c>
      <c r="W390" s="139">
        <v>350</v>
      </c>
      <c r="X390" s="164">
        <f t="shared" si="34"/>
        <v>290922035.51412803</v>
      </c>
      <c r="Y390" s="159">
        <f t="shared" si="34"/>
        <v>112386.56080018645</v>
      </c>
    </row>
    <row r="391" spans="2:25" x14ac:dyDescent="0.25">
      <c r="B391" s="159">
        <v>351</v>
      </c>
      <c r="C391" s="164">
        <v>299932150.58583575</v>
      </c>
      <c r="D391" s="159">
        <v>126724.44503623019</v>
      </c>
      <c r="E391" s="164">
        <v>11665268.833012648</v>
      </c>
      <c r="F391" s="159">
        <v>0</v>
      </c>
      <c r="I391" s="159">
        <v>351</v>
      </c>
      <c r="J391" s="164">
        <v>299932150.58583575</v>
      </c>
      <c r="K391" s="159">
        <v>126724.44503623019</v>
      </c>
      <c r="L391" s="164">
        <v>11665268.833012648</v>
      </c>
      <c r="M391" s="159">
        <v>0</v>
      </c>
      <c r="Q391" s="139">
        <v>351</v>
      </c>
      <c r="R391" s="164">
        <f t="shared" si="31"/>
        <v>1770030037.1331754</v>
      </c>
      <c r="S391" s="164">
        <f t="shared" si="32"/>
        <v>-11665268.833012648</v>
      </c>
      <c r="T391" s="159" t="str">
        <f t="shared" si="33"/>
        <v>TxPost-vaccination</v>
      </c>
      <c r="W391" s="139">
        <v>351</v>
      </c>
      <c r="X391" s="164">
        <f t="shared" si="34"/>
        <v>288266881.75282311</v>
      </c>
      <c r="Y391" s="159">
        <f t="shared" si="34"/>
        <v>126724.44503623019</v>
      </c>
    </row>
    <row r="392" spans="2:25" x14ac:dyDescent="0.25">
      <c r="B392" s="159">
        <v>352</v>
      </c>
      <c r="C392" s="164">
        <v>329139505.41623843</v>
      </c>
      <c r="D392" s="159">
        <v>85416.819171933865</v>
      </c>
      <c r="E392" s="164">
        <v>7223537.2809492229</v>
      </c>
      <c r="F392" s="159">
        <v>0</v>
      </c>
      <c r="I392" s="159">
        <v>352</v>
      </c>
      <c r="J392" s="164">
        <v>329139505.41623843</v>
      </c>
      <c r="K392" s="159">
        <v>85416.819171933865</v>
      </c>
      <c r="L392" s="164">
        <v>7223537.2809492229</v>
      </c>
      <c r="M392" s="159">
        <v>0</v>
      </c>
      <c r="Q392" s="139">
        <v>352</v>
      </c>
      <c r="R392" s="164">
        <f t="shared" si="31"/>
        <v>1066089219.6382369</v>
      </c>
      <c r="S392" s="164">
        <f t="shared" si="32"/>
        <v>-7223537.2809492229</v>
      </c>
      <c r="T392" s="159" t="str">
        <f t="shared" si="33"/>
        <v>TxPost-vaccination</v>
      </c>
      <c r="W392" s="139">
        <v>352</v>
      </c>
      <c r="X392" s="164">
        <f t="shared" si="34"/>
        <v>321915968.13528919</v>
      </c>
      <c r="Y392" s="159">
        <f t="shared" si="34"/>
        <v>85416.819171933865</v>
      </c>
    </row>
    <row r="393" spans="2:25" x14ac:dyDescent="0.25">
      <c r="B393" s="159">
        <v>353</v>
      </c>
      <c r="C393" s="164">
        <v>310769881.01619816</v>
      </c>
      <c r="D393" s="159">
        <v>120007.18541896214</v>
      </c>
      <c r="E393" s="164">
        <v>9020319.9232231248</v>
      </c>
      <c r="F393" s="159">
        <v>0</v>
      </c>
      <c r="I393" s="159">
        <v>353</v>
      </c>
      <c r="J393" s="164">
        <v>310769881.01619816</v>
      </c>
      <c r="K393" s="159">
        <v>120007.18541896214</v>
      </c>
      <c r="L393" s="164">
        <v>9020319.9232231248</v>
      </c>
      <c r="M393" s="159">
        <v>0</v>
      </c>
      <c r="Q393" s="139">
        <v>353</v>
      </c>
      <c r="R393" s="164">
        <f t="shared" si="31"/>
        <v>1649470197.3744864</v>
      </c>
      <c r="S393" s="164">
        <f t="shared" si="32"/>
        <v>-9020319.9232231248</v>
      </c>
      <c r="T393" s="159" t="str">
        <f t="shared" si="33"/>
        <v>TxPost-vaccination</v>
      </c>
      <c r="W393" s="139">
        <v>353</v>
      </c>
      <c r="X393" s="164">
        <f t="shared" si="34"/>
        <v>301749561.09297502</v>
      </c>
      <c r="Y393" s="159">
        <f t="shared" si="34"/>
        <v>120007.18541896214</v>
      </c>
    </row>
    <row r="394" spans="2:25" x14ac:dyDescent="0.25">
      <c r="B394" s="159">
        <v>354</v>
      </c>
      <c r="C394" s="164">
        <v>331081278.0537433</v>
      </c>
      <c r="D394" s="159">
        <v>88150.310108661695</v>
      </c>
      <c r="E394" s="164">
        <v>8626356.2352008205</v>
      </c>
      <c r="F394" s="159">
        <v>0</v>
      </c>
      <c r="I394" s="159">
        <v>354</v>
      </c>
      <c r="J394" s="164">
        <v>331081278.0537433</v>
      </c>
      <c r="K394" s="159">
        <v>88150.310108661695</v>
      </c>
      <c r="L394" s="164">
        <v>8626356.2352008205</v>
      </c>
      <c r="M394" s="159">
        <v>0</v>
      </c>
      <c r="Q394" s="139">
        <v>354</v>
      </c>
      <c r="R394" s="164">
        <f t="shared" si="31"/>
        <v>1108797260.8380036</v>
      </c>
      <c r="S394" s="164">
        <f t="shared" si="32"/>
        <v>-8626356.2352008205</v>
      </c>
      <c r="T394" s="159" t="str">
        <f t="shared" si="33"/>
        <v>TxPost-vaccination</v>
      </c>
      <c r="W394" s="139">
        <v>354</v>
      </c>
      <c r="X394" s="164">
        <f t="shared" si="34"/>
        <v>322454921.81854248</v>
      </c>
      <c r="Y394" s="159">
        <f t="shared" si="34"/>
        <v>88150.310108661695</v>
      </c>
    </row>
    <row r="395" spans="2:25" x14ac:dyDescent="0.25">
      <c r="B395" s="159">
        <v>355</v>
      </c>
      <c r="C395" s="164">
        <v>319768780.20884383</v>
      </c>
      <c r="D395" s="159">
        <v>106294.2310067693</v>
      </c>
      <c r="E395" s="164">
        <v>10093898.542382307</v>
      </c>
      <c r="F395" s="159">
        <v>0</v>
      </c>
      <c r="I395" s="159">
        <v>355</v>
      </c>
      <c r="J395" s="164">
        <v>319768780.20884383</v>
      </c>
      <c r="K395" s="159">
        <v>106294.2310067693</v>
      </c>
      <c r="L395" s="164">
        <v>10093898.542382307</v>
      </c>
      <c r="M395" s="159">
        <v>0</v>
      </c>
      <c r="Q395" s="139">
        <v>355</v>
      </c>
      <c r="R395" s="164">
        <f t="shared" si="31"/>
        <v>1416479020.2354789</v>
      </c>
      <c r="S395" s="164">
        <f t="shared" si="32"/>
        <v>-10093898.542382307</v>
      </c>
      <c r="T395" s="159" t="str">
        <f t="shared" si="33"/>
        <v>TxPost-vaccination</v>
      </c>
      <c r="W395" s="139">
        <v>355</v>
      </c>
      <c r="X395" s="164">
        <f t="shared" si="34"/>
        <v>309674881.66646153</v>
      </c>
      <c r="Y395" s="159">
        <f t="shared" si="34"/>
        <v>106294.2310067693</v>
      </c>
    </row>
    <row r="396" spans="2:25" x14ac:dyDescent="0.25">
      <c r="B396" s="159">
        <v>356</v>
      </c>
      <c r="C396" s="164">
        <v>279039986.47488254</v>
      </c>
      <c r="D396" s="159">
        <v>87162.025280304122</v>
      </c>
      <c r="E396" s="164">
        <v>7633461.8131111991</v>
      </c>
      <c r="F396" s="159">
        <v>0</v>
      </c>
      <c r="I396" s="159">
        <v>356</v>
      </c>
      <c r="J396" s="164">
        <v>279039986.47488254</v>
      </c>
      <c r="K396" s="159">
        <v>87162.025280304122</v>
      </c>
      <c r="L396" s="164">
        <v>7633461.8131111991</v>
      </c>
      <c r="M396" s="159">
        <v>0</v>
      </c>
      <c r="Q396" s="139">
        <v>356</v>
      </c>
      <c r="R396" s="164">
        <f t="shared" si="31"/>
        <v>1144695556.2900186</v>
      </c>
      <c r="S396" s="164">
        <f t="shared" si="32"/>
        <v>-7633461.8131111991</v>
      </c>
      <c r="T396" s="159" t="str">
        <f t="shared" si="33"/>
        <v>TxPost-vaccination</v>
      </c>
      <c r="W396" s="139">
        <v>356</v>
      </c>
      <c r="X396" s="164">
        <f t="shared" si="34"/>
        <v>271406524.66177136</v>
      </c>
      <c r="Y396" s="159">
        <f t="shared" si="34"/>
        <v>87162.025280304122</v>
      </c>
    </row>
    <row r="397" spans="2:25" x14ac:dyDescent="0.25">
      <c r="B397" s="159">
        <v>357</v>
      </c>
      <c r="C397" s="164">
        <v>292356340.33339322</v>
      </c>
      <c r="D397" s="159">
        <v>74788.510782706086</v>
      </c>
      <c r="E397" s="164">
        <v>7858961.4133462338</v>
      </c>
      <c r="F397" s="159">
        <v>0</v>
      </c>
      <c r="I397" s="159">
        <v>357</v>
      </c>
      <c r="J397" s="164">
        <v>292356340.33339322</v>
      </c>
      <c r="K397" s="159">
        <v>74788.510782706086</v>
      </c>
      <c r="L397" s="164">
        <v>7858961.4133462338</v>
      </c>
      <c r="M397" s="159">
        <v>0</v>
      </c>
      <c r="Q397" s="139">
        <v>357</v>
      </c>
      <c r="R397" s="164">
        <f t="shared" si="31"/>
        <v>929265812.77019727</v>
      </c>
      <c r="S397" s="164">
        <f t="shared" si="32"/>
        <v>-7858961.4133462338</v>
      </c>
      <c r="T397" s="159" t="str">
        <f t="shared" si="33"/>
        <v>TxPost-vaccination</v>
      </c>
      <c r="W397" s="139">
        <v>357</v>
      </c>
      <c r="X397" s="164">
        <f t="shared" si="34"/>
        <v>284497378.92004699</v>
      </c>
      <c r="Y397" s="159">
        <f t="shared" si="34"/>
        <v>74788.510782706086</v>
      </c>
    </row>
    <row r="398" spans="2:25" x14ac:dyDescent="0.25">
      <c r="B398" s="159">
        <v>358</v>
      </c>
      <c r="C398" s="164">
        <v>312532729.3325907</v>
      </c>
      <c r="D398" s="159">
        <v>111828.85141205156</v>
      </c>
      <c r="E398" s="164">
        <v>8423328.9758053906</v>
      </c>
      <c r="F398" s="159">
        <v>0</v>
      </c>
      <c r="I398" s="159">
        <v>358</v>
      </c>
      <c r="J398" s="164">
        <v>312532729.3325907</v>
      </c>
      <c r="K398" s="159">
        <v>111828.85141205156</v>
      </c>
      <c r="L398" s="164">
        <v>8423328.9758053906</v>
      </c>
      <c r="M398" s="159">
        <v>0</v>
      </c>
      <c r="Q398" s="139">
        <v>358</v>
      </c>
      <c r="R398" s="164">
        <f t="shared" si="31"/>
        <v>1514119530.6383605</v>
      </c>
      <c r="S398" s="164">
        <f t="shared" si="32"/>
        <v>-8423328.9758053906</v>
      </c>
      <c r="T398" s="159" t="str">
        <f t="shared" si="33"/>
        <v>TxPost-vaccination</v>
      </c>
      <c r="W398" s="139">
        <v>358</v>
      </c>
      <c r="X398" s="164">
        <f t="shared" si="34"/>
        <v>304109400.3567853</v>
      </c>
      <c r="Y398" s="159">
        <f t="shared" si="34"/>
        <v>111828.85141205156</v>
      </c>
    </row>
    <row r="399" spans="2:25" x14ac:dyDescent="0.25">
      <c r="B399" s="159">
        <v>359</v>
      </c>
      <c r="C399" s="164">
        <v>314497475.42484313</v>
      </c>
      <c r="D399" s="159">
        <v>122277.17849860786</v>
      </c>
      <c r="E399" s="164">
        <v>9210463.1220325064</v>
      </c>
      <c r="F399" s="159">
        <v>0</v>
      </c>
      <c r="I399" s="159">
        <v>359</v>
      </c>
      <c r="J399" s="164">
        <v>314497475.42484313</v>
      </c>
      <c r="K399" s="159">
        <v>122277.17849860786</v>
      </c>
      <c r="L399" s="164">
        <v>9210463.1220325064</v>
      </c>
      <c r="M399" s="159">
        <v>0</v>
      </c>
      <c r="Q399" s="139">
        <v>359</v>
      </c>
      <c r="R399" s="164">
        <f t="shared" si="31"/>
        <v>1682821477.8420115</v>
      </c>
      <c r="S399" s="164">
        <f t="shared" si="32"/>
        <v>-9210463.1220325064</v>
      </c>
      <c r="T399" s="159" t="str">
        <f t="shared" si="33"/>
        <v>TxPost-vaccination</v>
      </c>
      <c r="W399" s="139">
        <v>359</v>
      </c>
      <c r="X399" s="164">
        <f t="shared" si="34"/>
        <v>305287012.30281061</v>
      </c>
      <c r="Y399" s="159">
        <f t="shared" si="34"/>
        <v>122277.17849860786</v>
      </c>
    </row>
    <row r="400" spans="2:25" x14ac:dyDescent="0.25">
      <c r="B400" s="159">
        <v>360</v>
      </c>
      <c r="C400" s="164">
        <v>323587731.59814793</v>
      </c>
      <c r="D400" s="159">
        <v>94658.762992806558</v>
      </c>
      <c r="E400" s="164">
        <v>9267769.9843016863</v>
      </c>
      <c r="F400" s="159">
        <v>0</v>
      </c>
      <c r="I400" s="159">
        <v>360</v>
      </c>
      <c r="J400" s="164">
        <v>323587731.59814793</v>
      </c>
      <c r="K400" s="159">
        <v>94658.762992806558</v>
      </c>
      <c r="L400" s="164">
        <v>9267769.9843016863</v>
      </c>
      <c r="M400" s="159">
        <v>0</v>
      </c>
      <c r="Q400" s="139">
        <v>360</v>
      </c>
      <c r="R400" s="164">
        <f t="shared" si="31"/>
        <v>1222602193.126687</v>
      </c>
      <c r="S400" s="164">
        <f t="shared" si="32"/>
        <v>-9267769.9843016863</v>
      </c>
      <c r="T400" s="159" t="str">
        <f t="shared" si="33"/>
        <v>TxPost-vaccination</v>
      </c>
      <c r="W400" s="139">
        <v>360</v>
      </c>
      <c r="X400" s="164">
        <f t="shared" si="34"/>
        <v>314319961.61384624</v>
      </c>
      <c r="Y400" s="159">
        <f t="shared" si="34"/>
        <v>94658.762992806558</v>
      </c>
    </row>
    <row r="401" spans="2:25" x14ac:dyDescent="0.25">
      <c r="B401" s="159">
        <v>361</v>
      </c>
      <c r="C401" s="164">
        <v>285508107.19829351</v>
      </c>
      <c r="D401" s="159">
        <v>103959.91791641759</v>
      </c>
      <c r="E401" s="164">
        <v>8310960.257671563</v>
      </c>
      <c r="F401" s="159">
        <v>0</v>
      </c>
      <c r="I401" s="159">
        <v>361</v>
      </c>
      <c r="J401" s="164">
        <v>285508107.19829351</v>
      </c>
      <c r="K401" s="159">
        <v>103959.91791641759</v>
      </c>
      <c r="L401" s="164">
        <v>8310960.257671563</v>
      </c>
      <c r="M401" s="159">
        <v>0</v>
      </c>
      <c r="Q401" s="139">
        <v>361</v>
      </c>
      <c r="R401" s="164">
        <f t="shared" si="31"/>
        <v>1412610192.4228523</v>
      </c>
      <c r="S401" s="164">
        <f t="shared" si="32"/>
        <v>-8310960.257671563</v>
      </c>
      <c r="T401" s="159" t="str">
        <f t="shared" si="33"/>
        <v>TxPost-vaccination</v>
      </c>
      <c r="W401" s="139">
        <v>361</v>
      </c>
      <c r="X401" s="164">
        <f t="shared" si="34"/>
        <v>277197146.94062197</v>
      </c>
      <c r="Y401" s="159">
        <f t="shared" si="34"/>
        <v>103959.91791641759</v>
      </c>
    </row>
    <row r="402" spans="2:25" x14ac:dyDescent="0.25">
      <c r="B402" s="159">
        <v>362</v>
      </c>
      <c r="C402" s="164">
        <v>282941300.22812486</v>
      </c>
      <c r="D402" s="159">
        <v>44231.367856276134</v>
      </c>
      <c r="E402" s="164">
        <v>4426451.0580331981</v>
      </c>
      <c r="F402" s="159">
        <v>0</v>
      </c>
      <c r="I402" s="159">
        <v>362</v>
      </c>
      <c r="J402" s="164">
        <v>282941300.22812486</v>
      </c>
      <c r="K402" s="159">
        <v>44231.367856276134</v>
      </c>
      <c r="L402" s="164">
        <v>4426451.0580331981</v>
      </c>
      <c r="M402" s="159">
        <v>0</v>
      </c>
      <c r="Q402" s="139">
        <v>362</v>
      </c>
      <c r="R402" s="164">
        <f t="shared" si="31"/>
        <v>439549604.72242129</v>
      </c>
      <c r="S402" s="164">
        <f t="shared" si="32"/>
        <v>-4426451.0580331981</v>
      </c>
      <c r="T402" s="159" t="str">
        <f t="shared" si="33"/>
        <v>TxPost-vaccination</v>
      </c>
      <c r="W402" s="139">
        <v>362</v>
      </c>
      <c r="X402" s="164">
        <f t="shared" si="34"/>
        <v>278514849.17009163</v>
      </c>
      <c r="Y402" s="159">
        <f t="shared" si="34"/>
        <v>44231.367856276134</v>
      </c>
    </row>
    <row r="403" spans="2:25" x14ac:dyDescent="0.25">
      <c r="B403" s="159">
        <v>363</v>
      </c>
      <c r="C403" s="164">
        <v>307217982.708453</v>
      </c>
      <c r="D403" s="159">
        <v>96471.464214311505</v>
      </c>
      <c r="E403" s="164">
        <v>9493518.8285967149</v>
      </c>
      <c r="F403" s="159">
        <v>0</v>
      </c>
      <c r="I403" s="159">
        <v>363</v>
      </c>
      <c r="J403" s="164">
        <v>307217982.708453</v>
      </c>
      <c r="K403" s="159">
        <v>96471.464214311505</v>
      </c>
      <c r="L403" s="164">
        <v>9493518.8285967149</v>
      </c>
      <c r="M403" s="159">
        <v>0</v>
      </c>
      <c r="Q403" s="139">
        <v>363</v>
      </c>
      <c r="R403" s="164">
        <f t="shared" si="31"/>
        <v>1268581248.9269354</v>
      </c>
      <c r="S403" s="164">
        <f t="shared" si="32"/>
        <v>-9493518.8285967149</v>
      </c>
      <c r="T403" s="159" t="str">
        <f t="shared" si="33"/>
        <v>TxPost-vaccination</v>
      </c>
      <c r="W403" s="139">
        <v>363</v>
      </c>
      <c r="X403" s="164">
        <f t="shared" si="34"/>
        <v>297724463.87985629</v>
      </c>
      <c r="Y403" s="159">
        <f t="shared" si="34"/>
        <v>96471.464214311505</v>
      </c>
    </row>
    <row r="404" spans="2:25" x14ac:dyDescent="0.25">
      <c r="B404" s="159">
        <v>364</v>
      </c>
      <c r="C404" s="164">
        <v>302593571.16335267</v>
      </c>
      <c r="D404" s="159">
        <v>54527.964513560291</v>
      </c>
      <c r="E404" s="164">
        <v>5726692.6498246063</v>
      </c>
      <c r="F404" s="159">
        <v>0</v>
      </c>
      <c r="I404" s="159">
        <v>364</v>
      </c>
      <c r="J404" s="164">
        <v>302593571.16335267</v>
      </c>
      <c r="K404" s="159">
        <v>54527.964513560291</v>
      </c>
      <c r="L404" s="164">
        <v>5726692.6498246063</v>
      </c>
      <c r="M404" s="159">
        <v>0</v>
      </c>
      <c r="Q404" s="139">
        <v>364</v>
      </c>
      <c r="R404" s="164">
        <f t="shared" si="31"/>
        <v>588085608.24898863</v>
      </c>
      <c r="S404" s="164">
        <f t="shared" si="32"/>
        <v>-5726692.6498246063</v>
      </c>
      <c r="T404" s="159" t="str">
        <f t="shared" si="33"/>
        <v>TxPost-vaccination</v>
      </c>
      <c r="W404" s="139">
        <v>364</v>
      </c>
      <c r="X404" s="164">
        <f t="shared" si="34"/>
        <v>296866878.51352805</v>
      </c>
      <c r="Y404" s="159">
        <f t="shared" si="34"/>
        <v>54527.964513560291</v>
      </c>
    </row>
    <row r="405" spans="2:25" x14ac:dyDescent="0.25">
      <c r="B405" s="159">
        <v>365</v>
      </c>
      <c r="C405" s="164">
        <v>290098945.77334076</v>
      </c>
      <c r="D405" s="159">
        <v>129602.69481495908</v>
      </c>
      <c r="E405" s="164">
        <v>9682704.2154516522</v>
      </c>
      <c r="F405" s="159">
        <v>0</v>
      </c>
      <c r="I405" s="159">
        <v>365</v>
      </c>
      <c r="J405" s="164">
        <v>290098945.77334076</v>
      </c>
      <c r="K405" s="159">
        <v>129602.69481495908</v>
      </c>
      <c r="L405" s="164">
        <v>9682704.2154516522</v>
      </c>
      <c r="M405" s="159">
        <v>0</v>
      </c>
      <c r="Q405" s="139">
        <v>365</v>
      </c>
      <c r="R405" s="164">
        <f t="shared" si="31"/>
        <v>1826877598.2293065</v>
      </c>
      <c r="S405" s="164">
        <f t="shared" si="32"/>
        <v>-9682704.2154516522</v>
      </c>
      <c r="T405" s="159" t="str">
        <f t="shared" si="33"/>
        <v>TxPost-vaccination</v>
      </c>
      <c r="W405" s="139">
        <v>365</v>
      </c>
      <c r="X405" s="164">
        <f t="shared" si="34"/>
        <v>280416241.5578891</v>
      </c>
      <c r="Y405" s="159">
        <f t="shared" si="34"/>
        <v>129602.69481495908</v>
      </c>
    </row>
    <row r="406" spans="2:25" x14ac:dyDescent="0.25">
      <c r="B406" s="159">
        <v>366</v>
      </c>
      <c r="C406" s="164">
        <v>306769708.27277672</v>
      </c>
      <c r="D406" s="159">
        <v>74054.943159373259</v>
      </c>
      <c r="E406" s="164">
        <v>7127033.056398442</v>
      </c>
      <c r="F406" s="159">
        <v>0</v>
      </c>
      <c r="I406" s="159">
        <v>366</v>
      </c>
      <c r="J406" s="164">
        <v>306769708.27277672</v>
      </c>
      <c r="K406" s="159">
        <v>74054.943159373259</v>
      </c>
      <c r="L406" s="164">
        <v>7127033.056398442</v>
      </c>
      <c r="M406" s="159">
        <v>0</v>
      </c>
      <c r="Q406" s="139">
        <v>366</v>
      </c>
      <c r="R406" s="164">
        <f t="shared" si="31"/>
        <v>902870090.18724263</v>
      </c>
      <c r="S406" s="164">
        <f t="shared" si="32"/>
        <v>-7127033.056398442</v>
      </c>
      <c r="T406" s="159" t="str">
        <f t="shared" si="33"/>
        <v>TxPost-vaccination</v>
      </c>
      <c r="W406" s="139">
        <v>366</v>
      </c>
      <c r="X406" s="164">
        <f t="shared" si="34"/>
        <v>299642675.21637827</v>
      </c>
      <c r="Y406" s="159">
        <f t="shared" si="34"/>
        <v>74054.943159373259</v>
      </c>
    </row>
    <row r="407" spans="2:25" x14ac:dyDescent="0.25">
      <c r="B407" s="159">
        <v>367</v>
      </c>
      <c r="C407" s="164">
        <v>309789669.10899222</v>
      </c>
      <c r="D407" s="159">
        <v>88482.974758347686</v>
      </c>
      <c r="E407" s="164">
        <v>8296538.8965234505</v>
      </c>
      <c r="F407" s="159">
        <v>0</v>
      </c>
      <c r="I407" s="159">
        <v>367</v>
      </c>
      <c r="J407" s="164">
        <v>309789669.10899222</v>
      </c>
      <c r="K407" s="159">
        <v>88482.974758347686</v>
      </c>
      <c r="L407" s="164">
        <v>8296538.8965234505</v>
      </c>
      <c r="M407" s="159">
        <v>0</v>
      </c>
      <c r="Q407" s="139">
        <v>367</v>
      </c>
      <c r="R407" s="164">
        <f t="shared" si="31"/>
        <v>1135522732.5694013</v>
      </c>
      <c r="S407" s="164">
        <f t="shared" si="32"/>
        <v>-8296538.8965234505</v>
      </c>
      <c r="T407" s="159" t="str">
        <f t="shared" si="33"/>
        <v>TxPost-vaccination</v>
      </c>
      <c r="W407" s="139">
        <v>367</v>
      </c>
      <c r="X407" s="164">
        <f t="shared" si="34"/>
        <v>301493130.21246874</v>
      </c>
      <c r="Y407" s="159">
        <f t="shared" si="34"/>
        <v>88482.974758347686</v>
      </c>
    </row>
    <row r="408" spans="2:25" x14ac:dyDescent="0.25">
      <c r="B408" s="159">
        <v>368</v>
      </c>
      <c r="C408" s="164">
        <v>285955872.69900346</v>
      </c>
      <c r="D408" s="159">
        <v>143102.08015077654</v>
      </c>
      <c r="E408" s="164">
        <v>10472855.463183166</v>
      </c>
      <c r="F408" s="159">
        <v>0</v>
      </c>
      <c r="I408" s="159">
        <v>368</v>
      </c>
      <c r="J408" s="164">
        <v>285955872.69900346</v>
      </c>
      <c r="K408" s="159">
        <v>143102.08015077654</v>
      </c>
      <c r="L408" s="164">
        <v>10472855.463183166</v>
      </c>
      <c r="M408" s="159">
        <v>0</v>
      </c>
      <c r="Q408" s="139">
        <v>368</v>
      </c>
      <c r="R408" s="164">
        <f t="shared" si="31"/>
        <v>2051524435.9451206</v>
      </c>
      <c r="S408" s="164">
        <f t="shared" si="32"/>
        <v>-10472855.463183166</v>
      </c>
      <c r="T408" s="159" t="str">
        <f t="shared" si="33"/>
        <v>TxPost-vaccination</v>
      </c>
      <c r="W408" s="139">
        <v>368</v>
      </c>
      <c r="X408" s="164">
        <f t="shared" si="34"/>
        <v>275483017.23582029</v>
      </c>
      <c r="Y408" s="159">
        <f t="shared" si="34"/>
        <v>143102.08015077654</v>
      </c>
    </row>
    <row r="409" spans="2:25" x14ac:dyDescent="0.25">
      <c r="B409" s="159">
        <v>369</v>
      </c>
      <c r="C409" s="164">
        <v>324606376.9695096</v>
      </c>
      <c r="D409" s="159">
        <v>90865.392871316042</v>
      </c>
      <c r="E409" s="164">
        <v>8108316.0648423443</v>
      </c>
      <c r="F409" s="159">
        <v>0</v>
      </c>
      <c r="I409" s="159">
        <v>369</v>
      </c>
      <c r="J409" s="164">
        <v>324606376.9695096</v>
      </c>
      <c r="K409" s="159">
        <v>90865.392871316042</v>
      </c>
      <c r="L409" s="164">
        <v>8108316.0648423443</v>
      </c>
      <c r="M409" s="159">
        <v>0</v>
      </c>
      <c r="Q409" s="139">
        <v>369</v>
      </c>
      <c r="R409" s="164">
        <f t="shared" si="31"/>
        <v>1159621290.0925393</v>
      </c>
      <c r="S409" s="164">
        <f t="shared" si="32"/>
        <v>-8108316.0648423443</v>
      </c>
      <c r="T409" s="159" t="str">
        <f t="shared" si="33"/>
        <v>TxPost-vaccination</v>
      </c>
      <c r="W409" s="139">
        <v>369</v>
      </c>
      <c r="X409" s="164">
        <f t="shared" si="34"/>
        <v>316498060.90466726</v>
      </c>
      <c r="Y409" s="159">
        <f t="shared" si="34"/>
        <v>90865.392871316042</v>
      </c>
    </row>
    <row r="410" spans="2:25" x14ac:dyDescent="0.25">
      <c r="B410" s="159">
        <v>370</v>
      </c>
      <c r="C410" s="164">
        <v>315213753.65371269</v>
      </c>
      <c r="D410" s="159">
        <v>82392.631834230997</v>
      </c>
      <c r="E410" s="164">
        <v>7687240.9410580378</v>
      </c>
      <c r="F410" s="159">
        <v>0</v>
      </c>
      <c r="I410" s="159">
        <v>370</v>
      </c>
      <c r="J410" s="164">
        <v>315213753.65371269</v>
      </c>
      <c r="K410" s="159">
        <v>82392.631834230997</v>
      </c>
      <c r="L410" s="164">
        <v>7687240.9410580378</v>
      </c>
      <c r="M410" s="159">
        <v>0</v>
      </c>
      <c r="Q410" s="139">
        <v>370</v>
      </c>
      <c r="R410" s="164">
        <f t="shared" si="31"/>
        <v>1030616819.0882087</v>
      </c>
      <c r="S410" s="164">
        <f t="shared" si="32"/>
        <v>-7687240.9410580378</v>
      </c>
      <c r="T410" s="159" t="str">
        <f t="shared" si="33"/>
        <v>TxPost-vaccination</v>
      </c>
      <c r="W410" s="139">
        <v>370</v>
      </c>
      <c r="X410" s="164">
        <f t="shared" si="34"/>
        <v>307526512.71265465</v>
      </c>
      <c r="Y410" s="159">
        <f t="shared" si="34"/>
        <v>82392.631834230997</v>
      </c>
    </row>
    <row r="411" spans="2:25" x14ac:dyDescent="0.25">
      <c r="B411" s="159">
        <v>371</v>
      </c>
      <c r="C411" s="164">
        <v>311400370.59139568</v>
      </c>
      <c r="D411" s="159">
        <v>56117.858235034284</v>
      </c>
      <c r="E411" s="164">
        <v>5790749.7773507051</v>
      </c>
      <c r="F411" s="159">
        <v>0</v>
      </c>
      <c r="I411" s="159">
        <v>371</v>
      </c>
      <c r="J411" s="164">
        <v>311400370.59139568</v>
      </c>
      <c r="K411" s="159">
        <v>56117.858235034284</v>
      </c>
      <c r="L411" s="164">
        <v>5790749.7773507051</v>
      </c>
      <c r="M411" s="159">
        <v>0</v>
      </c>
      <c r="Q411" s="139">
        <v>371</v>
      </c>
      <c r="R411" s="164">
        <f t="shared" si="31"/>
        <v>605248698.72657633</v>
      </c>
      <c r="S411" s="164">
        <f t="shared" si="32"/>
        <v>-5790749.7773507051</v>
      </c>
      <c r="T411" s="159" t="str">
        <f t="shared" si="33"/>
        <v>TxPost-vaccination</v>
      </c>
      <c r="W411" s="139">
        <v>371</v>
      </c>
      <c r="X411" s="164">
        <f t="shared" si="34"/>
        <v>305609620.81404495</v>
      </c>
      <c r="Y411" s="159">
        <f t="shared" si="34"/>
        <v>56117.858235034284</v>
      </c>
    </row>
    <row r="412" spans="2:25" x14ac:dyDescent="0.25">
      <c r="B412" s="159">
        <v>372</v>
      </c>
      <c r="C412" s="164">
        <v>342301634.52499181</v>
      </c>
      <c r="D412" s="159">
        <v>54647.599112034673</v>
      </c>
      <c r="E412" s="164">
        <v>5373585.7707913248</v>
      </c>
      <c r="F412" s="159">
        <v>0</v>
      </c>
      <c r="I412" s="159">
        <v>372</v>
      </c>
      <c r="J412" s="164">
        <v>342301634.52499181</v>
      </c>
      <c r="K412" s="159">
        <v>54647.599112034673</v>
      </c>
      <c r="L412" s="164">
        <v>5373585.7707913248</v>
      </c>
      <c r="M412" s="159">
        <v>0</v>
      </c>
      <c r="Q412" s="139">
        <v>372</v>
      </c>
      <c r="R412" s="164">
        <f t="shared" si="31"/>
        <v>550331698.99798012</v>
      </c>
      <c r="S412" s="164">
        <f t="shared" si="32"/>
        <v>-5373585.7707913248</v>
      </c>
      <c r="T412" s="159" t="str">
        <f t="shared" si="33"/>
        <v>TxPost-vaccination</v>
      </c>
      <c r="W412" s="139">
        <v>372</v>
      </c>
      <c r="X412" s="164">
        <f t="shared" si="34"/>
        <v>336928048.75420046</v>
      </c>
      <c r="Y412" s="159">
        <f t="shared" si="34"/>
        <v>54647.599112034673</v>
      </c>
    </row>
    <row r="413" spans="2:25" x14ac:dyDescent="0.25">
      <c r="B413" s="159">
        <v>373</v>
      </c>
      <c r="C413" s="164">
        <v>306139062.78746885</v>
      </c>
      <c r="D413" s="159">
        <v>76964.114011308964</v>
      </c>
      <c r="E413" s="164">
        <v>7170978.3199922508</v>
      </c>
      <c r="F413" s="159">
        <v>0</v>
      </c>
      <c r="I413" s="159">
        <v>373</v>
      </c>
      <c r="J413" s="164">
        <v>306139062.78746885</v>
      </c>
      <c r="K413" s="159">
        <v>76964.114011308964</v>
      </c>
      <c r="L413" s="164">
        <v>7170978.3199922508</v>
      </c>
      <c r="M413" s="159">
        <v>0</v>
      </c>
      <c r="Q413" s="139">
        <v>373</v>
      </c>
      <c r="R413" s="164">
        <f t="shared" si="31"/>
        <v>951020167.77106595</v>
      </c>
      <c r="S413" s="164">
        <f t="shared" si="32"/>
        <v>-7170978.3199922508</v>
      </c>
      <c r="T413" s="159" t="str">
        <f t="shared" si="33"/>
        <v>TxPost-vaccination</v>
      </c>
      <c r="W413" s="139">
        <v>373</v>
      </c>
      <c r="X413" s="164">
        <f t="shared" si="34"/>
        <v>298968084.46747661</v>
      </c>
      <c r="Y413" s="159">
        <f t="shared" si="34"/>
        <v>76964.114011308964</v>
      </c>
    </row>
    <row r="414" spans="2:25" x14ac:dyDescent="0.25">
      <c r="B414" s="159">
        <v>374</v>
      </c>
      <c r="C414" s="164">
        <v>302091643.49214584</v>
      </c>
      <c r="D414" s="159">
        <v>108194.65559554845</v>
      </c>
      <c r="E414" s="164">
        <v>10602030.482990375</v>
      </c>
      <c r="F414" s="159">
        <v>0</v>
      </c>
      <c r="I414" s="159">
        <v>374</v>
      </c>
      <c r="J414" s="164">
        <v>302091643.49214584</v>
      </c>
      <c r="K414" s="159">
        <v>108194.65559554845</v>
      </c>
      <c r="L414" s="164">
        <v>10602030.482990375</v>
      </c>
      <c r="M414" s="159">
        <v>0</v>
      </c>
      <c r="Q414" s="139">
        <v>374</v>
      </c>
      <c r="R414" s="164">
        <f t="shared" si="31"/>
        <v>1465198368.5654109</v>
      </c>
      <c r="S414" s="164">
        <f t="shared" si="32"/>
        <v>-10602030.482990375</v>
      </c>
      <c r="T414" s="159" t="str">
        <f t="shared" si="33"/>
        <v>TxPost-vaccination</v>
      </c>
      <c r="W414" s="139">
        <v>374</v>
      </c>
      <c r="X414" s="164">
        <f t="shared" si="34"/>
        <v>291489613.00915545</v>
      </c>
      <c r="Y414" s="159">
        <f t="shared" si="34"/>
        <v>108194.65559554845</v>
      </c>
    </row>
    <row r="415" spans="2:25" x14ac:dyDescent="0.25">
      <c r="B415" s="159">
        <v>375</v>
      </c>
      <c r="C415" s="164">
        <v>310755539.64757973</v>
      </c>
      <c r="D415" s="159">
        <v>98070.029654828264</v>
      </c>
      <c r="E415" s="164">
        <v>8034215.7975734919</v>
      </c>
      <c r="F415" s="159">
        <v>0</v>
      </c>
      <c r="I415" s="159">
        <v>375</v>
      </c>
      <c r="J415" s="164">
        <v>310755539.64757973</v>
      </c>
      <c r="K415" s="159">
        <v>98070.029654828264</v>
      </c>
      <c r="L415" s="164">
        <v>8034215.7975734919</v>
      </c>
      <c r="M415" s="159">
        <v>0</v>
      </c>
      <c r="Q415" s="139">
        <v>375</v>
      </c>
      <c r="R415" s="164">
        <f t="shared" si="31"/>
        <v>1291155228.8386352</v>
      </c>
      <c r="S415" s="164">
        <f t="shared" si="32"/>
        <v>-8034215.7975734919</v>
      </c>
      <c r="T415" s="159" t="str">
        <f t="shared" si="33"/>
        <v>TxPost-vaccination</v>
      </c>
      <c r="W415" s="139">
        <v>375</v>
      </c>
      <c r="X415" s="164">
        <f t="shared" si="34"/>
        <v>302721323.85000622</v>
      </c>
      <c r="Y415" s="159">
        <f t="shared" si="34"/>
        <v>98070.029654828264</v>
      </c>
    </row>
    <row r="416" spans="2:25" x14ac:dyDescent="0.25">
      <c r="B416" s="159">
        <v>376</v>
      </c>
      <c r="C416" s="164">
        <v>319177462.58295608</v>
      </c>
      <c r="D416" s="159">
        <v>105468.89658855558</v>
      </c>
      <c r="E416" s="164">
        <v>10309643.396438822</v>
      </c>
      <c r="F416" s="159">
        <v>0</v>
      </c>
      <c r="I416" s="159">
        <v>376</v>
      </c>
      <c r="J416" s="164">
        <v>319177462.58295608</v>
      </c>
      <c r="K416" s="159">
        <v>105468.89658855558</v>
      </c>
      <c r="L416" s="164">
        <v>10309643.396438822</v>
      </c>
      <c r="M416" s="159">
        <v>0</v>
      </c>
      <c r="Q416" s="139">
        <v>376</v>
      </c>
      <c r="R416" s="164">
        <f t="shared" si="31"/>
        <v>1403589031.7294908</v>
      </c>
      <c r="S416" s="164">
        <f t="shared" si="32"/>
        <v>-10309643.396438822</v>
      </c>
      <c r="T416" s="159" t="str">
        <f t="shared" si="33"/>
        <v>TxPost-vaccination</v>
      </c>
      <c r="W416" s="139">
        <v>376</v>
      </c>
      <c r="X416" s="164">
        <f t="shared" si="34"/>
        <v>308867819.18651724</v>
      </c>
      <c r="Y416" s="159">
        <f t="shared" si="34"/>
        <v>105468.89658855558</v>
      </c>
    </row>
    <row r="417" spans="2:25" x14ac:dyDescent="0.25">
      <c r="B417" s="159">
        <v>377</v>
      </c>
      <c r="C417" s="164">
        <v>297445665.96439755</v>
      </c>
      <c r="D417" s="159">
        <v>128020.42597932722</v>
      </c>
      <c r="E417" s="164">
        <v>9996567.9343457613</v>
      </c>
      <c r="F417" s="159">
        <v>0</v>
      </c>
      <c r="I417" s="159">
        <v>377</v>
      </c>
      <c r="J417" s="164">
        <v>297445665.96439755</v>
      </c>
      <c r="K417" s="159">
        <v>128020.42597932722</v>
      </c>
      <c r="L417" s="164">
        <v>9996567.9343457613</v>
      </c>
      <c r="M417" s="159">
        <v>0</v>
      </c>
      <c r="Q417" s="139">
        <v>377</v>
      </c>
      <c r="R417" s="164">
        <f t="shared" si="31"/>
        <v>1793685535.7317376</v>
      </c>
      <c r="S417" s="164">
        <f t="shared" si="32"/>
        <v>-9996567.9343457613</v>
      </c>
      <c r="T417" s="159" t="str">
        <f t="shared" si="33"/>
        <v>TxPost-vaccination</v>
      </c>
      <c r="W417" s="139">
        <v>377</v>
      </c>
      <c r="X417" s="164">
        <f t="shared" si="34"/>
        <v>287449098.03005177</v>
      </c>
      <c r="Y417" s="159">
        <f t="shared" si="34"/>
        <v>128020.42597932722</v>
      </c>
    </row>
    <row r="418" spans="2:25" x14ac:dyDescent="0.25">
      <c r="B418" s="159">
        <v>378</v>
      </c>
      <c r="C418" s="164">
        <v>297971937.0944339</v>
      </c>
      <c r="D418" s="159">
        <v>63715.088368213408</v>
      </c>
      <c r="E418" s="164">
        <v>5819404.6502892161</v>
      </c>
      <c r="F418" s="159">
        <v>0</v>
      </c>
      <c r="I418" s="159">
        <v>378</v>
      </c>
      <c r="J418" s="164">
        <v>297971937.0944339</v>
      </c>
      <c r="K418" s="159">
        <v>63715.088368213408</v>
      </c>
      <c r="L418" s="164">
        <v>5819404.6502892161</v>
      </c>
      <c r="M418" s="159">
        <v>0</v>
      </c>
      <c r="Q418" s="139">
        <v>378</v>
      </c>
      <c r="R418" s="164">
        <f t="shared" si="31"/>
        <v>742772993.14906216</v>
      </c>
      <c r="S418" s="164">
        <f t="shared" si="32"/>
        <v>-5819404.6502892161</v>
      </c>
      <c r="T418" s="159" t="str">
        <f t="shared" si="33"/>
        <v>TxPost-vaccination</v>
      </c>
      <c r="W418" s="139">
        <v>378</v>
      </c>
      <c r="X418" s="164">
        <f t="shared" si="34"/>
        <v>292152532.44414467</v>
      </c>
      <c r="Y418" s="159">
        <f t="shared" si="34"/>
        <v>63715.088368213408</v>
      </c>
    </row>
    <row r="419" spans="2:25" x14ac:dyDescent="0.25">
      <c r="B419" s="159">
        <v>379</v>
      </c>
      <c r="C419" s="164">
        <v>321487224.31850952</v>
      </c>
      <c r="D419" s="159">
        <v>56580.600906110521</v>
      </c>
      <c r="E419" s="164">
        <v>6172329.3770943666</v>
      </c>
      <c r="F419" s="159">
        <v>0</v>
      </c>
      <c r="I419" s="159">
        <v>379</v>
      </c>
      <c r="J419" s="164">
        <v>321487224.31850952</v>
      </c>
      <c r="K419" s="159">
        <v>56580.600906110521</v>
      </c>
      <c r="L419" s="164">
        <v>6172329.3770943666</v>
      </c>
      <c r="M419" s="159">
        <v>0</v>
      </c>
      <c r="Q419" s="139">
        <v>379</v>
      </c>
      <c r="R419" s="164">
        <f t="shared" si="31"/>
        <v>602720448.48356557</v>
      </c>
      <c r="S419" s="164">
        <f t="shared" si="32"/>
        <v>-6172329.3770943666</v>
      </c>
      <c r="T419" s="159" t="str">
        <f t="shared" si="33"/>
        <v>TxPost-vaccination</v>
      </c>
      <c r="W419" s="139">
        <v>379</v>
      </c>
      <c r="X419" s="164">
        <f t="shared" si="34"/>
        <v>315314894.94141513</v>
      </c>
      <c r="Y419" s="159">
        <f t="shared" si="34"/>
        <v>56580.600906110521</v>
      </c>
    </row>
    <row r="420" spans="2:25" x14ac:dyDescent="0.25">
      <c r="B420" s="159">
        <v>380</v>
      </c>
      <c r="C420" s="164">
        <v>310416898.76307052</v>
      </c>
      <c r="D420" s="159">
        <v>77081.65275581929</v>
      </c>
      <c r="E420" s="164">
        <v>8119951.9452083996</v>
      </c>
      <c r="F420" s="159">
        <v>0</v>
      </c>
      <c r="I420" s="159">
        <v>380</v>
      </c>
      <c r="J420" s="164">
        <v>310416898.76307052</v>
      </c>
      <c r="K420" s="159">
        <v>77081.65275581929</v>
      </c>
      <c r="L420" s="164">
        <v>8119951.9452083996</v>
      </c>
      <c r="M420" s="159">
        <v>0</v>
      </c>
      <c r="Q420" s="139">
        <v>380</v>
      </c>
      <c r="R420" s="164">
        <f t="shared" si="31"/>
        <v>948662251.48151064</v>
      </c>
      <c r="S420" s="164">
        <f t="shared" si="32"/>
        <v>-8119951.9452083996</v>
      </c>
      <c r="T420" s="159" t="str">
        <f t="shared" si="33"/>
        <v>TxPost-vaccination</v>
      </c>
      <c r="W420" s="139">
        <v>380</v>
      </c>
      <c r="X420" s="164">
        <f t="shared" si="34"/>
        <v>302296946.81786215</v>
      </c>
      <c r="Y420" s="159">
        <f t="shared" si="34"/>
        <v>77081.65275581929</v>
      </c>
    </row>
    <row r="421" spans="2:25" x14ac:dyDescent="0.25">
      <c r="B421" s="159">
        <v>381</v>
      </c>
      <c r="C421" s="164">
        <v>267380182.80604365</v>
      </c>
      <c r="D421" s="159">
        <v>125911.13503286174</v>
      </c>
      <c r="E421" s="164">
        <v>11337244.622834038</v>
      </c>
      <c r="F421" s="159">
        <v>0</v>
      </c>
      <c r="I421" s="159">
        <v>381</v>
      </c>
      <c r="J421" s="164">
        <v>267380182.80604365</v>
      </c>
      <c r="K421" s="159">
        <v>125911.13503286174</v>
      </c>
      <c r="L421" s="164">
        <v>11337244.622834038</v>
      </c>
      <c r="M421" s="159">
        <v>0</v>
      </c>
      <c r="Q421" s="139">
        <v>381</v>
      </c>
      <c r="R421" s="164">
        <f t="shared" si="31"/>
        <v>1789297109.8527839</v>
      </c>
      <c r="S421" s="164">
        <f t="shared" si="32"/>
        <v>-11337244.622834038</v>
      </c>
      <c r="T421" s="159" t="str">
        <f t="shared" si="33"/>
        <v>TxPost-vaccination</v>
      </c>
      <c r="W421" s="139">
        <v>381</v>
      </c>
      <c r="X421" s="164">
        <f t="shared" si="34"/>
        <v>256042938.18320963</v>
      </c>
      <c r="Y421" s="159">
        <f t="shared" si="34"/>
        <v>125911.13503286174</v>
      </c>
    </row>
    <row r="422" spans="2:25" x14ac:dyDescent="0.25">
      <c r="B422" s="159">
        <v>382</v>
      </c>
      <c r="C422" s="164">
        <v>313415603.509951</v>
      </c>
      <c r="D422" s="159">
        <v>54480.692339315334</v>
      </c>
      <c r="E422" s="164">
        <v>5920073.8415123615</v>
      </c>
      <c r="F422" s="159">
        <v>0</v>
      </c>
      <c r="I422" s="159">
        <v>382</v>
      </c>
      <c r="J422" s="164">
        <v>313415603.509951</v>
      </c>
      <c r="K422" s="159">
        <v>54480.692339315334</v>
      </c>
      <c r="L422" s="164">
        <v>5920073.8415123615</v>
      </c>
      <c r="M422" s="159">
        <v>0</v>
      </c>
      <c r="Q422" s="139">
        <v>382</v>
      </c>
      <c r="R422" s="164">
        <f t="shared" si="31"/>
        <v>576491415.38363373</v>
      </c>
      <c r="S422" s="164">
        <f t="shared" si="32"/>
        <v>-5920073.8415123615</v>
      </c>
      <c r="T422" s="159" t="str">
        <f t="shared" si="33"/>
        <v>TxPost-vaccination</v>
      </c>
      <c r="W422" s="139">
        <v>382</v>
      </c>
      <c r="X422" s="164">
        <f t="shared" si="34"/>
        <v>307495529.66843861</v>
      </c>
      <c r="Y422" s="159">
        <f t="shared" si="34"/>
        <v>54480.692339315334</v>
      </c>
    </row>
    <row r="423" spans="2:25" x14ac:dyDescent="0.25">
      <c r="B423" s="159">
        <v>383</v>
      </c>
      <c r="C423" s="164">
        <v>307424492.45549506</v>
      </c>
      <c r="D423" s="159">
        <v>88585.412660229689</v>
      </c>
      <c r="E423" s="164">
        <v>7729713.2763695046</v>
      </c>
      <c r="F423" s="159">
        <v>0</v>
      </c>
      <c r="I423" s="159">
        <v>383</v>
      </c>
      <c r="J423" s="164">
        <v>307424492.45549506</v>
      </c>
      <c r="K423" s="159">
        <v>88585.412660229689</v>
      </c>
      <c r="L423" s="164">
        <v>7729713.2763695046</v>
      </c>
      <c r="M423" s="159">
        <v>0</v>
      </c>
      <c r="Q423" s="139">
        <v>383</v>
      </c>
      <c r="R423" s="164">
        <f t="shared" si="31"/>
        <v>1139561166.3709126</v>
      </c>
      <c r="S423" s="164">
        <f t="shared" si="32"/>
        <v>-7729713.2763695046</v>
      </c>
      <c r="T423" s="159" t="str">
        <f t="shared" si="33"/>
        <v>TxPost-vaccination</v>
      </c>
      <c r="W423" s="139">
        <v>383</v>
      </c>
      <c r="X423" s="164">
        <f t="shared" si="34"/>
        <v>299694779.17912555</v>
      </c>
      <c r="Y423" s="159">
        <f t="shared" si="34"/>
        <v>88585.412660229689</v>
      </c>
    </row>
    <row r="424" spans="2:25" x14ac:dyDescent="0.25">
      <c r="B424" s="159">
        <v>384</v>
      </c>
      <c r="C424" s="164">
        <v>297833201.65219766</v>
      </c>
      <c r="D424" s="159">
        <v>77172.322777909896</v>
      </c>
      <c r="E424" s="164">
        <v>7412752.9330902938</v>
      </c>
      <c r="F424" s="159">
        <v>0</v>
      </c>
      <c r="I424" s="159">
        <v>384</v>
      </c>
      <c r="J424" s="164">
        <v>297833201.65219766</v>
      </c>
      <c r="K424" s="159">
        <v>77172.322777909896</v>
      </c>
      <c r="L424" s="164">
        <v>7412752.9330902938</v>
      </c>
      <c r="M424" s="159">
        <v>0</v>
      </c>
      <c r="Q424" s="139">
        <v>384</v>
      </c>
      <c r="R424" s="164">
        <f t="shared" si="31"/>
        <v>962726985.00357914</v>
      </c>
      <c r="S424" s="164">
        <f t="shared" si="32"/>
        <v>-7412752.9330902938</v>
      </c>
      <c r="T424" s="159" t="str">
        <f t="shared" si="33"/>
        <v>TxPost-vaccination</v>
      </c>
      <c r="W424" s="139">
        <v>384</v>
      </c>
      <c r="X424" s="164">
        <f t="shared" si="34"/>
        <v>290420448.71910739</v>
      </c>
      <c r="Y424" s="159">
        <f t="shared" si="34"/>
        <v>77172.322777909896</v>
      </c>
    </row>
    <row r="425" spans="2:25" x14ac:dyDescent="0.25">
      <c r="B425" s="159">
        <v>385</v>
      </c>
      <c r="C425" s="164">
        <v>284056589.63147771</v>
      </c>
      <c r="D425" s="159">
        <v>55686.004235583103</v>
      </c>
      <c r="E425" s="164">
        <v>6467311.4526349157</v>
      </c>
      <c r="F425" s="159">
        <v>0</v>
      </c>
      <c r="I425" s="159">
        <v>385</v>
      </c>
      <c r="J425" s="164">
        <v>284056589.63147771</v>
      </c>
      <c r="K425" s="159">
        <v>55686.004235583103</v>
      </c>
      <c r="L425" s="164">
        <v>6467311.4526349157</v>
      </c>
      <c r="M425" s="159">
        <v>0</v>
      </c>
      <c r="Q425" s="139">
        <v>385</v>
      </c>
      <c r="R425" s="164">
        <f t="shared" ref="R425:R488" si="35">K425*threshold-J425</f>
        <v>625538422.75830162</v>
      </c>
      <c r="S425" s="164">
        <f t="shared" ref="S425:S488" si="36">M425*threshold-L425</f>
        <v>-6467311.4526349157</v>
      </c>
      <c r="T425" s="159" t="str">
        <f t="shared" si="33"/>
        <v>TxPost-vaccination</v>
      </c>
      <c r="W425" s="139">
        <v>385</v>
      </c>
      <c r="X425" s="164">
        <f t="shared" si="34"/>
        <v>277589278.17884278</v>
      </c>
      <c r="Y425" s="159">
        <f t="shared" si="34"/>
        <v>55686.004235583103</v>
      </c>
    </row>
    <row r="426" spans="2:25" x14ac:dyDescent="0.25">
      <c r="B426" s="159">
        <v>386</v>
      </c>
      <c r="C426" s="164">
        <v>302154969.07193238</v>
      </c>
      <c r="D426" s="159">
        <v>81517.160437300656</v>
      </c>
      <c r="E426" s="164">
        <v>7231679.2625562074</v>
      </c>
      <c r="F426" s="159">
        <v>0</v>
      </c>
      <c r="I426" s="159">
        <v>386</v>
      </c>
      <c r="J426" s="164">
        <v>302154969.07193238</v>
      </c>
      <c r="K426" s="159">
        <v>81517.160437300656</v>
      </c>
      <c r="L426" s="164">
        <v>7231679.2625562074</v>
      </c>
      <c r="M426" s="159">
        <v>0</v>
      </c>
      <c r="Q426" s="139">
        <v>386</v>
      </c>
      <c r="R426" s="164">
        <f t="shared" si="35"/>
        <v>1029375342.2835042</v>
      </c>
      <c r="S426" s="164">
        <f t="shared" si="36"/>
        <v>-7231679.2625562074</v>
      </c>
      <c r="T426" s="159" t="str">
        <f t="shared" ref="T426:T489" si="37">IF(R426&gt;S426,"TxPost-vaccination",IF(S426&gt;R426,"TxPre-vaccination","either"))</f>
        <v>TxPost-vaccination</v>
      </c>
      <c r="W426" s="139">
        <v>386</v>
      </c>
      <c r="X426" s="164">
        <f t="shared" ref="X426:Y489" si="38">J426-L426</f>
        <v>294923289.80937618</v>
      </c>
      <c r="Y426" s="159">
        <f t="shared" si="38"/>
        <v>81517.160437300656</v>
      </c>
    </row>
    <row r="427" spans="2:25" x14ac:dyDescent="0.25">
      <c r="B427" s="159">
        <v>387</v>
      </c>
      <c r="C427" s="164">
        <v>303773050.82458436</v>
      </c>
      <c r="D427" s="159">
        <v>103256.31811401855</v>
      </c>
      <c r="E427" s="164">
        <v>10035765.032393182</v>
      </c>
      <c r="F427" s="159">
        <v>0</v>
      </c>
      <c r="I427" s="159">
        <v>387</v>
      </c>
      <c r="J427" s="164">
        <v>303773050.82458436</v>
      </c>
      <c r="K427" s="159">
        <v>103256.31811401855</v>
      </c>
      <c r="L427" s="164">
        <v>10035765.032393182</v>
      </c>
      <c r="M427" s="159">
        <v>0</v>
      </c>
      <c r="Q427" s="139">
        <v>387</v>
      </c>
      <c r="R427" s="164">
        <f t="shared" si="35"/>
        <v>1382852399.2059698</v>
      </c>
      <c r="S427" s="164">
        <f t="shared" si="36"/>
        <v>-10035765.032393182</v>
      </c>
      <c r="T427" s="159" t="str">
        <f t="shared" si="37"/>
        <v>TxPost-vaccination</v>
      </c>
      <c r="W427" s="139">
        <v>387</v>
      </c>
      <c r="X427" s="164">
        <f t="shared" si="38"/>
        <v>293737285.79219121</v>
      </c>
      <c r="Y427" s="159">
        <f t="shared" si="38"/>
        <v>103256.31811401855</v>
      </c>
    </row>
    <row r="428" spans="2:25" x14ac:dyDescent="0.25">
      <c r="B428" s="159">
        <v>388</v>
      </c>
      <c r="C428" s="164">
        <v>289298513.13660389</v>
      </c>
      <c r="D428" s="159">
        <v>129499.67274460573</v>
      </c>
      <c r="E428" s="164">
        <v>10569074.507470692</v>
      </c>
      <c r="F428" s="159">
        <v>0</v>
      </c>
      <c r="I428" s="159">
        <v>388</v>
      </c>
      <c r="J428" s="164">
        <v>289298513.13660389</v>
      </c>
      <c r="K428" s="159">
        <v>129499.67274460573</v>
      </c>
      <c r="L428" s="164">
        <v>10569074.507470692</v>
      </c>
      <c r="M428" s="159">
        <v>0</v>
      </c>
      <c r="Q428" s="139">
        <v>388</v>
      </c>
      <c r="R428" s="164">
        <f t="shared" si="35"/>
        <v>1825995231.702307</v>
      </c>
      <c r="S428" s="164">
        <f t="shared" si="36"/>
        <v>-10569074.507470692</v>
      </c>
      <c r="T428" s="159" t="str">
        <f t="shared" si="37"/>
        <v>TxPost-vaccination</v>
      </c>
      <c r="W428" s="139">
        <v>388</v>
      </c>
      <c r="X428" s="164">
        <f t="shared" si="38"/>
        <v>278729438.62913322</v>
      </c>
      <c r="Y428" s="159">
        <f t="shared" si="38"/>
        <v>129499.67274460573</v>
      </c>
    </row>
    <row r="429" spans="2:25" x14ac:dyDescent="0.25">
      <c r="B429" s="159">
        <v>389</v>
      </c>
      <c r="C429" s="164">
        <v>298788281.74851424</v>
      </c>
      <c r="D429" s="159">
        <v>148114.04817244833</v>
      </c>
      <c r="E429" s="164">
        <v>10723369.859784199</v>
      </c>
      <c r="F429" s="159">
        <v>0</v>
      </c>
      <c r="I429" s="159">
        <v>389</v>
      </c>
      <c r="J429" s="164">
        <v>298788281.74851424</v>
      </c>
      <c r="K429" s="159">
        <v>148114.04817244833</v>
      </c>
      <c r="L429" s="164">
        <v>10723369.859784199</v>
      </c>
      <c r="M429" s="159">
        <v>0</v>
      </c>
      <c r="Q429" s="139">
        <v>389</v>
      </c>
      <c r="R429" s="164">
        <f t="shared" si="35"/>
        <v>2120559296.3711352</v>
      </c>
      <c r="S429" s="164">
        <f t="shared" si="36"/>
        <v>-10723369.859784199</v>
      </c>
      <c r="T429" s="159" t="str">
        <f t="shared" si="37"/>
        <v>TxPost-vaccination</v>
      </c>
      <c r="W429" s="139">
        <v>389</v>
      </c>
      <c r="X429" s="164">
        <f t="shared" si="38"/>
        <v>288064911.88873005</v>
      </c>
      <c r="Y429" s="159">
        <f t="shared" si="38"/>
        <v>148114.04817244833</v>
      </c>
    </row>
    <row r="430" spans="2:25" x14ac:dyDescent="0.25">
      <c r="B430" s="159">
        <v>390</v>
      </c>
      <c r="C430" s="164">
        <v>294661293.61101496</v>
      </c>
      <c r="D430" s="159">
        <v>72728.773024542126</v>
      </c>
      <c r="E430" s="164">
        <v>7790245.8191326158</v>
      </c>
      <c r="F430" s="159">
        <v>0</v>
      </c>
      <c r="I430" s="159">
        <v>390</v>
      </c>
      <c r="J430" s="164">
        <v>294661293.61101496</v>
      </c>
      <c r="K430" s="159">
        <v>72728.773024542126</v>
      </c>
      <c r="L430" s="164">
        <v>7790245.8191326158</v>
      </c>
      <c r="M430" s="159">
        <v>0</v>
      </c>
      <c r="Q430" s="139">
        <v>390</v>
      </c>
      <c r="R430" s="164">
        <f t="shared" si="35"/>
        <v>893316369.86945999</v>
      </c>
      <c r="S430" s="164">
        <f t="shared" si="36"/>
        <v>-7790245.8191326158</v>
      </c>
      <c r="T430" s="159" t="str">
        <f t="shared" si="37"/>
        <v>TxPost-vaccination</v>
      </c>
      <c r="W430" s="139">
        <v>390</v>
      </c>
      <c r="X430" s="164">
        <f t="shared" si="38"/>
        <v>286871047.79188234</v>
      </c>
      <c r="Y430" s="159">
        <f t="shared" si="38"/>
        <v>72728.773024542126</v>
      </c>
    </row>
    <row r="431" spans="2:25" x14ac:dyDescent="0.25">
      <c r="B431" s="159">
        <v>391</v>
      </c>
      <c r="C431" s="164">
        <v>314076810.425053</v>
      </c>
      <c r="D431" s="159">
        <v>103498.07581229039</v>
      </c>
      <c r="E431" s="164">
        <v>8789577.9828738719</v>
      </c>
      <c r="F431" s="159">
        <v>0</v>
      </c>
      <c r="I431" s="159">
        <v>391</v>
      </c>
      <c r="J431" s="164">
        <v>314076810.425053</v>
      </c>
      <c r="K431" s="159">
        <v>103498.07581229039</v>
      </c>
      <c r="L431" s="164">
        <v>8789577.9828738719</v>
      </c>
      <c r="M431" s="159">
        <v>0</v>
      </c>
      <c r="Q431" s="139">
        <v>391</v>
      </c>
      <c r="R431" s="164">
        <f t="shared" si="35"/>
        <v>1376497595.8930559</v>
      </c>
      <c r="S431" s="164">
        <f t="shared" si="36"/>
        <v>-8789577.9828738719</v>
      </c>
      <c r="T431" s="159" t="str">
        <f t="shared" si="37"/>
        <v>TxPost-vaccination</v>
      </c>
      <c r="W431" s="139">
        <v>391</v>
      </c>
      <c r="X431" s="164">
        <f t="shared" si="38"/>
        <v>305287232.44217914</v>
      </c>
      <c r="Y431" s="159">
        <f t="shared" si="38"/>
        <v>103498.07581229039</v>
      </c>
    </row>
    <row r="432" spans="2:25" x14ac:dyDescent="0.25">
      <c r="B432" s="159">
        <v>392</v>
      </c>
      <c r="C432" s="164">
        <v>324234538.6402486</v>
      </c>
      <c r="D432" s="159">
        <v>88654.959162539642</v>
      </c>
      <c r="E432" s="164">
        <v>8550248.8948996589</v>
      </c>
      <c r="F432" s="159">
        <v>0</v>
      </c>
      <c r="I432" s="159">
        <v>392</v>
      </c>
      <c r="J432" s="164">
        <v>324234538.6402486</v>
      </c>
      <c r="K432" s="159">
        <v>88654.959162539642</v>
      </c>
      <c r="L432" s="164">
        <v>8550248.8948996589</v>
      </c>
      <c r="M432" s="159">
        <v>0</v>
      </c>
      <c r="Q432" s="139">
        <v>392</v>
      </c>
      <c r="R432" s="164">
        <f t="shared" si="35"/>
        <v>1123887117.5071855</v>
      </c>
      <c r="S432" s="164">
        <f t="shared" si="36"/>
        <v>-8550248.8948996589</v>
      </c>
      <c r="T432" s="159" t="str">
        <f t="shared" si="37"/>
        <v>TxPost-vaccination</v>
      </c>
      <c r="W432" s="139">
        <v>392</v>
      </c>
      <c r="X432" s="164">
        <f t="shared" si="38"/>
        <v>315684289.74534893</v>
      </c>
      <c r="Y432" s="159">
        <f t="shared" si="38"/>
        <v>88654.959162539642</v>
      </c>
    </row>
    <row r="433" spans="2:25" x14ac:dyDescent="0.25">
      <c r="B433" s="159">
        <v>393</v>
      </c>
      <c r="C433" s="164">
        <v>282281479.96652669</v>
      </c>
      <c r="D433" s="159">
        <v>115650.7284787636</v>
      </c>
      <c r="E433" s="164">
        <v>9116855.8544867653</v>
      </c>
      <c r="F433" s="159">
        <v>0</v>
      </c>
      <c r="I433" s="159">
        <v>393</v>
      </c>
      <c r="J433" s="164">
        <v>282281479.96652669</v>
      </c>
      <c r="K433" s="159">
        <v>115650.7284787636</v>
      </c>
      <c r="L433" s="164">
        <v>9116855.8544867653</v>
      </c>
      <c r="M433" s="159">
        <v>0</v>
      </c>
      <c r="Q433" s="139">
        <v>393</v>
      </c>
      <c r="R433" s="164">
        <f t="shared" si="35"/>
        <v>1606798680.2563655</v>
      </c>
      <c r="S433" s="164">
        <f t="shared" si="36"/>
        <v>-9116855.8544867653</v>
      </c>
      <c r="T433" s="159" t="str">
        <f t="shared" si="37"/>
        <v>TxPost-vaccination</v>
      </c>
      <c r="W433" s="139">
        <v>393</v>
      </c>
      <c r="X433" s="164">
        <f t="shared" si="38"/>
        <v>273164624.11203992</v>
      </c>
      <c r="Y433" s="159">
        <f t="shared" si="38"/>
        <v>115650.7284787636</v>
      </c>
    </row>
    <row r="434" spans="2:25" x14ac:dyDescent="0.25">
      <c r="B434" s="159">
        <v>394</v>
      </c>
      <c r="C434" s="164">
        <v>329688936.08115476</v>
      </c>
      <c r="D434" s="159">
        <v>79701.508716958167</v>
      </c>
      <c r="E434" s="164">
        <v>9027160.7844566535</v>
      </c>
      <c r="F434" s="159">
        <v>0</v>
      </c>
      <c r="I434" s="159">
        <v>394</v>
      </c>
      <c r="J434" s="164">
        <v>329688936.08115476</v>
      </c>
      <c r="K434" s="159">
        <v>79701.508716958167</v>
      </c>
      <c r="L434" s="164">
        <v>9027160.7844566535</v>
      </c>
      <c r="M434" s="159">
        <v>0</v>
      </c>
      <c r="Q434" s="139">
        <v>394</v>
      </c>
      <c r="R434" s="164">
        <f t="shared" si="35"/>
        <v>972183873.86560369</v>
      </c>
      <c r="S434" s="164">
        <f t="shared" si="36"/>
        <v>-9027160.7844566535</v>
      </c>
      <c r="T434" s="159" t="str">
        <f t="shared" si="37"/>
        <v>TxPost-vaccination</v>
      </c>
      <c r="W434" s="139">
        <v>394</v>
      </c>
      <c r="X434" s="164">
        <f t="shared" si="38"/>
        <v>320661775.29669809</v>
      </c>
      <c r="Y434" s="159">
        <f t="shared" si="38"/>
        <v>79701.508716958167</v>
      </c>
    </row>
    <row r="435" spans="2:25" x14ac:dyDescent="0.25">
      <c r="B435" s="159">
        <v>395</v>
      </c>
      <c r="C435" s="164">
        <v>313829619.37759382</v>
      </c>
      <c r="D435" s="159">
        <v>94649.329723514587</v>
      </c>
      <c r="E435" s="164">
        <v>8382914.3289299663</v>
      </c>
      <c r="F435" s="159">
        <v>0</v>
      </c>
      <c r="I435" s="159">
        <v>395</v>
      </c>
      <c r="J435" s="164">
        <v>313829619.37759382</v>
      </c>
      <c r="K435" s="159">
        <v>94649.329723514587</v>
      </c>
      <c r="L435" s="164">
        <v>8382914.3289299663</v>
      </c>
      <c r="M435" s="159">
        <v>0</v>
      </c>
      <c r="Q435" s="139">
        <v>395</v>
      </c>
      <c r="R435" s="164">
        <f t="shared" si="35"/>
        <v>1232206218.9692311</v>
      </c>
      <c r="S435" s="164">
        <f t="shared" si="36"/>
        <v>-8382914.3289299663</v>
      </c>
      <c r="T435" s="159" t="str">
        <f t="shared" si="37"/>
        <v>TxPost-vaccination</v>
      </c>
      <c r="W435" s="139">
        <v>395</v>
      </c>
      <c r="X435" s="164">
        <f t="shared" si="38"/>
        <v>305446705.04866385</v>
      </c>
      <c r="Y435" s="159">
        <f t="shared" si="38"/>
        <v>94649.329723514587</v>
      </c>
    </row>
    <row r="436" spans="2:25" x14ac:dyDescent="0.25">
      <c r="B436" s="159">
        <v>396</v>
      </c>
      <c r="C436" s="164">
        <v>306480784.5098089</v>
      </c>
      <c r="D436" s="159">
        <v>74117.74384911095</v>
      </c>
      <c r="E436" s="164">
        <v>7909023.7697018515</v>
      </c>
      <c r="F436" s="159">
        <v>0</v>
      </c>
      <c r="I436" s="159">
        <v>396</v>
      </c>
      <c r="J436" s="164">
        <v>306480784.5098089</v>
      </c>
      <c r="K436" s="159">
        <v>74117.74384911095</v>
      </c>
      <c r="L436" s="164">
        <v>7909023.7697018515</v>
      </c>
      <c r="M436" s="159">
        <v>0</v>
      </c>
      <c r="Q436" s="139">
        <v>396</v>
      </c>
      <c r="R436" s="164">
        <f t="shared" si="35"/>
        <v>904184822.76777923</v>
      </c>
      <c r="S436" s="164">
        <f t="shared" si="36"/>
        <v>-7909023.7697018515</v>
      </c>
      <c r="T436" s="159" t="str">
        <f t="shared" si="37"/>
        <v>TxPost-vaccination</v>
      </c>
      <c r="W436" s="139">
        <v>396</v>
      </c>
      <c r="X436" s="164">
        <f t="shared" si="38"/>
        <v>298571760.74010706</v>
      </c>
      <c r="Y436" s="159">
        <f t="shared" si="38"/>
        <v>74117.74384911095</v>
      </c>
    </row>
    <row r="437" spans="2:25" x14ac:dyDescent="0.25">
      <c r="B437" s="159">
        <v>397</v>
      </c>
      <c r="C437" s="164">
        <v>294380995.86254543</v>
      </c>
      <c r="D437" s="159">
        <v>115646.92222434671</v>
      </c>
      <c r="E437" s="164">
        <v>10179967.968485754</v>
      </c>
      <c r="F437" s="159">
        <v>0</v>
      </c>
      <c r="I437" s="159">
        <v>397</v>
      </c>
      <c r="J437" s="164">
        <v>294380995.86254543</v>
      </c>
      <c r="K437" s="159">
        <v>115646.92222434671</v>
      </c>
      <c r="L437" s="164">
        <v>10179967.968485754</v>
      </c>
      <c r="M437" s="159">
        <v>0</v>
      </c>
      <c r="Q437" s="139">
        <v>397</v>
      </c>
      <c r="R437" s="164">
        <f t="shared" si="35"/>
        <v>1594636991.6460173</v>
      </c>
      <c r="S437" s="164">
        <f t="shared" si="36"/>
        <v>-10179967.968485754</v>
      </c>
      <c r="T437" s="159" t="str">
        <f t="shared" si="37"/>
        <v>TxPost-vaccination</v>
      </c>
      <c r="W437" s="139">
        <v>397</v>
      </c>
      <c r="X437" s="164">
        <f t="shared" si="38"/>
        <v>284201027.89405966</v>
      </c>
      <c r="Y437" s="159">
        <f t="shared" si="38"/>
        <v>115646.92222434671</v>
      </c>
    </row>
    <row r="438" spans="2:25" x14ac:dyDescent="0.25">
      <c r="B438" s="159">
        <v>398</v>
      </c>
      <c r="C438" s="164">
        <v>305046456.5565303</v>
      </c>
      <c r="D438" s="159">
        <v>74015.362262186973</v>
      </c>
      <c r="E438" s="164">
        <v>6852581.2109409263</v>
      </c>
      <c r="F438" s="159">
        <v>0</v>
      </c>
      <c r="I438" s="159">
        <v>398</v>
      </c>
      <c r="J438" s="164">
        <v>305046456.5565303</v>
      </c>
      <c r="K438" s="159">
        <v>74015.362262186973</v>
      </c>
      <c r="L438" s="164">
        <v>6852581.2109409263</v>
      </c>
      <c r="M438" s="159">
        <v>0</v>
      </c>
      <c r="Q438" s="139">
        <v>398</v>
      </c>
      <c r="R438" s="164">
        <f t="shared" si="35"/>
        <v>903946813.44161105</v>
      </c>
      <c r="S438" s="164">
        <f t="shared" si="36"/>
        <v>-6852581.2109409263</v>
      </c>
      <c r="T438" s="159" t="str">
        <f t="shared" si="37"/>
        <v>TxPost-vaccination</v>
      </c>
      <c r="W438" s="139">
        <v>398</v>
      </c>
      <c r="X438" s="164">
        <f t="shared" si="38"/>
        <v>298193875.3455894</v>
      </c>
      <c r="Y438" s="159">
        <f t="shared" si="38"/>
        <v>74015.362262186973</v>
      </c>
    </row>
    <row r="439" spans="2:25" x14ac:dyDescent="0.25">
      <c r="B439" s="159">
        <v>399</v>
      </c>
      <c r="C439" s="164">
        <v>303311091.82964611</v>
      </c>
      <c r="D439" s="159">
        <v>85552.008706727953</v>
      </c>
      <c r="E439" s="164">
        <v>8203335.3598758886</v>
      </c>
      <c r="F439" s="159">
        <v>0</v>
      </c>
      <c r="I439" s="159">
        <v>399</v>
      </c>
      <c r="J439" s="164">
        <v>303311091.82964611</v>
      </c>
      <c r="K439" s="159">
        <v>85552.008706727953</v>
      </c>
      <c r="L439" s="164">
        <v>8203335.3598758886</v>
      </c>
      <c r="M439" s="159">
        <v>0</v>
      </c>
      <c r="Q439" s="139">
        <v>399</v>
      </c>
      <c r="R439" s="164">
        <f t="shared" si="35"/>
        <v>1094125867.2014632</v>
      </c>
      <c r="S439" s="164">
        <f t="shared" si="36"/>
        <v>-8203335.3598758886</v>
      </c>
      <c r="T439" s="159" t="str">
        <f t="shared" si="37"/>
        <v>TxPost-vaccination</v>
      </c>
      <c r="W439" s="139">
        <v>399</v>
      </c>
      <c r="X439" s="164">
        <f t="shared" si="38"/>
        <v>295107756.46977019</v>
      </c>
      <c r="Y439" s="159">
        <f t="shared" si="38"/>
        <v>85552.008706727953</v>
      </c>
    </row>
    <row r="440" spans="2:25" x14ac:dyDescent="0.25">
      <c r="B440" s="159">
        <v>400</v>
      </c>
      <c r="C440" s="164">
        <v>310858109.99761605</v>
      </c>
      <c r="D440" s="159">
        <v>96064.438272903964</v>
      </c>
      <c r="E440" s="164">
        <v>9067332.7732576113</v>
      </c>
      <c r="F440" s="159">
        <v>0</v>
      </c>
      <c r="I440" s="159">
        <v>400</v>
      </c>
      <c r="J440" s="164">
        <v>310858109.99761605</v>
      </c>
      <c r="K440" s="159">
        <v>96064.438272903964</v>
      </c>
      <c r="L440" s="164">
        <v>9067332.7732576113</v>
      </c>
      <c r="M440" s="159">
        <v>0</v>
      </c>
      <c r="Q440" s="139">
        <v>400</v>
      </c>
      <c r="R440" s="164">
        <f t="shared" si="35"/>
        <v>1258292615.0462186</v>
      </c>
      <c r="S440" s="164">
        <f t="shared" si="36"/>
        <v>-9067332.7732576113</v>
      </c>
      <c r="T440" s="159" t="str">
        <f t="shared" si="37"/>
        <v>TxPost-vaccination</v>
      </c>
      <c r="W440" s="139">
        <v>400</v>
      </c>
      <c r="X440" s="164">
        <f t="shared" si="38"/>
        <v>301790777.22435844</v>
      </c>
      <c r="Y440" s="159">
        <f t="shared" si="38"/>
        <v>96064.438272903964</v>
      </c>
    </row>
    <row r="441" spans="2:25" x14ac:dyDescent="0.25">
      <c r="B441" s="159">
        <v>401</v>
      </c>
      <c r="C441" s="164">
        <v>311082565.82544595</v>
      </c>
      <c r="D441" s="159">
        <v>108112.55500863105</v>
      </c>
      <c r="E441" s="164">
        <v>8999754.6060915776</v>
      </c>
      <c r="F441" s="159">
        <v>0</v>
      </c>
      <c r="I441" s="159">
        <v>401</v>
      </c>
      <c r="J441" s="164">
        <v>311082565.82544595</v>
      </c>
      <c r="K441" s="159">
        <v>108112.55500863105</v>
      </c>
      <c r="L441" s="164">
        <v>8999754.6060915776</v>
      </c>
      <c r="M441" s="159">
        <v>0</v>
      </c>
      <c r="Q441" s="139">
        <v>401</v>
      </c>
      <c r="R441" s="164">
        <f t="shared" si="35"/>
        <v>1454866386.024982</v>
      </c>
      <c r="S441" s="164">
        <f t="shared" si="36"/>
        <v>-8999754.6060915776</v>
      </c>
      <c r="T441" s="159" t="str">
        <f t="shared" si="37"/>
        <v>TxPost-vaccination</v>
      </c>
      <c r="W441" s="139">
        <v>401</v>
      </c>
      <c r="X441" s="164">
        <f t="shared" si="38"/>
        <v>302082811.21935439</v>
      </c>
      <c r="Y441" s="159">
        <f t="shared" si="38"/>
        <v>108112.55500863105</v>
      </c>
    </row>
    <row r="442" spans="2:25" x14ac:dyDescent="0.25">
      <c r="B442" s="159">
        <v>402</v>
      </c>
      <c r="C442" s="164">
        <v>300657959.93120724</v>
      </c>
      <c r="D442" s="159">
        <v>111358.26105715618</v>
      </c>
      <c r="E442" s="164">
        <v>9359051.3177161105</v>
      </c>
      <c r="F442" s="159">
        <v>0</v>
      </c>
      <c r="I442" s="159">
        <v>402</v>
      </c>
      <c r="J442" s="164">
        <v>300657959.93120724</v>
      </c>
      <c r="K442" s="159">
        <v>111358.26105715618</v>
      </c>
      <c r="L442" s="164">
        <v>9359051.3177161105</v>
      </c>
      <c r="M442" s="159">
        <v>0</v>
      </c>
      <c r="Q442" s="139">
        <v>402</v>
      </c>
      <c r="R442" s="164">
        <f t="shared" si="35"/>
        <v>1518307509.6950698</v>
      </c>
      <c r="S442" s="164">
        <f t="shared" si="36"/>
        <v>-9359051.3177161105</v>
      </c>
      <c r="T442" s="159" t="str">
        <f t="shared" si="37"/>
        <v>TxPost-vaccination</v>
      </c>
      <c r="W442" s="139">
        <v>402</v>
      </c>
      <c r="X442" s="164">
        <f t="shared" si="38"/>
        <v>291298908.61349112</v>
      </c>
      <c r="Y442" s="159">
        <f t="shared" si="38"/>
        <v>111358.26105715618</v>
      </c>
    </row>
    <row r="443" spans="2:25" x14ac:dyDescent="0.25">
      <c r="B443" s="159">
        <v>403</v>
      </c>
      <c r="C443" s="164">
        <v>327115465.85700846</v>
      </c>
      <c r="D443" s="159">
        <v>62884.169360223626</v>
      </c>
      <c r="E443" s="164">
        <v>6181389.7513267752</v>
      </c>
      <c r="F443" s="159">
        <v>0</v>
      </c>
      <c r="I443" s="159">
        <v>403</v>
      </c>
      <c r="J443" s="164">
        <v>327115465.85700846</v>
      </c>
      <c r="K443" s="159">
        <v>62884.169360223626</v>
      </c>
      <c r="L443" s="164">
        <v>6181389.7513267752</v>
      </c>
      <c r="M443" s="159">
        <v>0</v>
      </c>
      <c r="Q443" s="139">
        <v>403</v>
      </c>
      <c r="R443" s="164">
        <f t="shared" si="35"/>
        <v>700056937.57759845</v>
      </c>
      <c r="S443" s="164">
        <f t="shared" si="36"/>
        <v>-6181389.7513267752</v>
      </c>
      <c r="T443" s="159" t="str">
        <f t="shared" si="37"/>
        <v>TxPost-vaccination</v>
      </c>
      <c r="W443" s="139">
        <v>403</v>
      </c>
      <c r="X443" s="164">
        <f t="shared" si="38"/>
        <v>320934076.10568166</v>
      </c>
      <c r="Y443" s="159">
        <f t="shared" si="38"/>
        <v>62884.169360223626</v>
      </c>
    </row>
    <row r="444" spans="2:25" x14ac:dyDescent="0.25">
      <c r="B444" s="159">
        <v>404</v>
      </c>
      <c r="C444" s="164">
        <v>306245785.14181066</v>
      </c>
      <c r="D444" s="159">
        <v>104031.63369496031</v>
      </c>
      <c r="E444" s="164">
        <v>9045613.7469561733</v>
      </c>
      <c r="F444" s="159">
        <v>0</v>
      </c>
      <c r="I444" s="159">
        <v>404</v>
      </c>
      <c r="J444" s="164">
        <v>306245785.14181066</v>
      </c>
      <c r="K444" s="159">
        <v>104031.63369496031</v>
      </c>
      <c r="L444" s="164">
        <v>9045613.7469561733</v>
      </c>
      <c r="M444" s="159">
        <v>0</v>
      </c>
      <c r="Q444" s="139">
        <v>404</v>
      </c>
      <c r="R444" s="164">
        <f t="shared" si="35"/>
        <v>1393043945.5304148</v>
      </c>
      <c r="S444" s="164">
        <f t="shared" si="36"/>
        <v>-9045613.7469561733</v>
      </c>
      <c r="T444" s="159" t="str">
        <f t="shared" si="37"/>
        <v>TxPost-vaccination</v>
      </c>
      <c r="W444" s="139">
        <v>404</v>
      </c>
      <c r="X444" s="164">
        <f t="shared" si="38"/>
        <v>297200171.39485449</v>
      </c>
      <c r="Y444" s="159">
        <f t="shared" si="38"/>
        <v>104031.63369496031</v>
      </c>
    </row>
    <row r="445" spans="2:25" x14ac:dyDescent="0.25">
      <c r="B445" s="159">
        <v>405</v>
      </c>
      <c r="C445" s="164">
        <v>309873181.90304971</v>
      </c>
      <c r="D445" s="159">
        <v>125894.34349356061</v>
      </c>
      <c r="E445" s="164">
        <v>11433454.678429751</v>
      </c>
      <c r="F445" s="159">
        <v>0</v>
      </c>
      <c r="I445" s="159">
        <v>405</v>
      </c>
      <c r="J445" s="164">
        <v>309873181.90304971</v>
      </c>
      <c r="K445" s="159">
        <v>125894.34349356061</v>
      </c>
      <c r="L445" s="164">
        <v>11433454.678429751</v>
      </c>
      <c r="M445" s="159">
        <v>0</v>
      </c>
      <c r="Q445" s="139">
        <v>405</v>
      </c>
      <c r="R445" s="164">
        <f t="shared" si="35"/>
        <v>1746529831.7765563</v>
      </c>
      <c r="S445" s="164">
        <f t="shared" si="36"/>
        <v>-11433454.678429751</v>
      </c>
      <c r="T445" s="159" t="str">
        <f t="shared" si="37"/>
        <v>TxPost-vaccination</v>
      </c>
      <c r="W445" s="139">
        <v>405</v>
      </c>
      <c r="X445" s="164">
        <f t="shared" si="38"/>
        <v>298439727.22461998</v>
      </c>
      <c r="Y445" s="159">
        <f t="shared" si="38"/>
        <v>125894.34349356061</v>
      </c>
    </row>
    <row r="446" spans="2:25" x14ac:dyDescent="0.25">
      <c r="B446" s="159">
        <v>406</v>
      </c>
      <c r="C446" s="164">
        <v>364621302.96766555</v>
      </c>
      <c r="D446" s="159">
        <v>123899.73928836931</v>
      </c>
      <c r="E446" s="164">
        <v>10096650.824975168</v>
      </c>
      <c r="F446" s="159">
        <v>0</v>
      </c>
      <c r="I446" s="159">
        <v>406</v>
      </c>
      <c r="J446" s="164">
        <v>364621302.96766555</v>
      </c>
      <c r="K446" s="159">
        <v>123899.73928836931</v>
      </c>
      <c r="L446" s="164">
        <v>10096650.824975168</v>
      </c>
      <c r="M446" s="159">
        <v>0</v>
      </c>
      <c r="Q446" s="139">
        <v>406</v>
      </c>
      <c r="R446" s="164">
        <f t="shared" si="35"/>
        <v>1659201135.7247634</v>
      </c>
      <c r="S446" s="164">
        <f t="shared" si="36"/>
        <v>-10096650.824975168</v>
      </c>
      <c r="T446" s="159" t="str">
        <f t="shared" si="37"/>
        <v>TxPost-vaccination</v>
      </c>
      <c r="W446" s="139">
        <v>406</v>
      </c>
      <c r="X446" s="164">
        <f t="shared" si="38"/>
        <v>354524652.14269036</v>
      </c>
      <c r="Y446" s="159">
        <f t="shared" si="38"/>
        <v>123899.73928836931</v>
      </c>
    </row>
    <row r="447" spans="2:25" x14ac:dyDescent="0.25">
      <c r="B447" s="159">
        <v>407</v>
      </c>
      <c r="C447" s="164">
        <v>330717544.80898815</v>
      </c>
      <c r="D447" s="159">
        <v>82749.904526573926</v>
      </c>
      <c r="E447" s="164">
        <v>6919524.0398101322</v>
      </c>
      <c r="F447" s="159">
        <v>0</v>
      </c>
      <c r="I447" s="159">
        <v>407</v>
      </c>
      <c r="J447" s="164">
        <v>330717544.80898815</v>
      </c>
      <c r="K447" s="159">
        <v>82749.904526573926</v>
      </c>
      <c r="L447" s="164">
        <v>6919524.0398101322</v>
      </c>
      <c r="M447" s="159">
        <v>0</v>
      </c>
      <c r="Q447" s="139">
        <v>407</v>
      </c>
      <c r="R447" s="164">
        <f t="shared" si="35"/>
        <v>1020948847.2465868</v>
      </c>
      <c r="S447" s="164">
        <f t="shared" si="36"/>
        <v>-6919524.0398101322</v>
      </c>
      <c r="T447" s="159" t="str">
        <f t="shared" si="37"/>
        <v>TxPost-vaccination</v>
      </c>
      <c r="W447" s="139">
        <v>407</v>
      </c>
      <c r="X447" s="164">
        <f t="shared" si="38"/>
        <v>323798020.76917803</v>
      </c>
      <c r="Y447" s="159">
        <f t="shared" si="38"/>
        <v>82749.904526573926</v>
      </c>
    </row>
    <row r="448" spans="2:25" x14ac:dyDescent="0.25">
      <c r="B448" s="159">
        <v>408</v>
      </c>
      <c r="C448" s="164">
        <v>286942728.71079081</v>
      </c>
      <c r="D448" s="159">
        <v>126348.99389385863</v>
      </c>
      <c r="E448" s="164">
        <v>9619733.7356302608</v>
      </c>
      <c r="F448" s="159">
        <v>0</v>
      </c>
      <c r="I448" s="159">
        <v>408</v>
      </c>
      <c r="J448" s="164">
        <v>286942728.71079081</v>
      </c>
      <c r="K448" s="159">
        <v>126348.99389385863</v>
      </c>
      <c r="L448" s="164">
        <v>9619733.7356302608</v>
      </c>
      <c r="M448" s="159">
        <v>0</v>
      </c>
      <c r="Q448" s="139">
        <v>408</v>
      </c>
      <c r="R448" s="164">
        <f t="shared" si="35"/>
        <v>1776886706.4219069</v>
      </c>
      <c r="S448" s="164">
        <f t="shared" si="36"/>
        <v>-9619733.7356302608</v>
      </c>
      <c r="T448" s="159" t="str">
        <f t="shared" si="37"/>
        <v>TxPost-vaccination</v>
      </c>
      <c r="W448" s="139">
        <v>408</v>
      </c>
      <c r="X448" s="164">
        <f t="shared" si="38"/>
        <v>277322994.97516054</v>
      </c>
      <c r="Y448" s="159">
        <f t="shared" si="38"/>
        <v>126348.99389385863</v>
      </c>
    </row>
    <row r="449" spans="2:25" x14ac:dyDescent="0.25">
      <c r="B449" s="159">
        <v>409</v>
      </c>
      <c r="C449" s="164">
        <v>303790624.46700585</v>
      </c>
      <c r="D449" s="159">
        <v>77173.614800729876</v>
      </c>
      <c r="E449" s="164">
        <v>6154264.4511922887</v>
      </c>
      <c r="F449" s="159">
        <v>0</v>
      </c>
      <c r="I449" s="159">
        <v>409</v>
      </c>
      <c r="J449" s="164">
        <v>303790624.46700585</v>
      </c>
      <c r="K449" s="159">
        <v>77173.614800729876</v>
      </c>
      <c r="L449" s="164">
        <v>6154264.4511922887</v>
      </c>
      <c r="M449" s="159">
        <v>0</v>
      </c>
      <c r="Q449" s="139">
        <v>409</v>
      </c>
      <c r="R449" s="164">
        <f t="shared" si="35"/>
        <v>956790666.5493561</v>
      </c>
      <c r="S449" s="164">
        <f t="shared" si="36"/>
        <v>-6154264.4511922887</v>
      </c>
      <c r="T449" s="159" t="str">
        <f t="shared" si="37"/>
        <v>TxPost-vaccination</v>
      </c>
      <c r="W449" s="139">
        <v>409</v>
      </c>
      <c r="X449" s="164">
        <f t="shared" si="38"/>
        <v>297636360.01581359</v>
      </c>
      <c r="Y449" s="159">
        <f t="shared" si="38"/>
        <v>77173.614800729876</v>
      </c>
    </row>
    <row r="450" spans="2:25" x14ac:dyDescent="0.25">
      <c r="B450" s="159">
        <v>410</v>
      </c>
      <c r="C450" s="164">
        <v>321256503.05084234</v>
      </c>
      <c r="D450" s="159">
        <v>124909.00635245199</v>
      </c>
      <c r="E450" s="164">
        <v>9215532.4707494676</v>
      </c>
      <c r="F450" s="159">
        <v>0</v>
      </c>
      <c r="I450" s="159">
        <v>410</v>
      </c>
      <c r="J450" s="164">
        <v>321256503.05084234</v>
      </c>
      <c r="K450" s="159">
        <v>124909.00635245199</v>
      </c>
      <c r="L450" s="164">
        <v>9215532.4707494676</v>
      </c>
      <c r="M450" s="159">
        <v>0</v>
      </c>
      <c r="Q450" s="139">
        <v>410</v>
      </c>
      <c r="R450" s="164">
        <f t="shared" si="35"/>
        <v>1719051663.0745537</v>
      </c>
      <c r="S450" s="164">
        <f t="shared" si="36"/>
        <v>-9215532.4707494676</v>
      </c>
      <c r="T450" s="159" t="str">
        <f t="shared" si="37"/>
        <v>TxPost-vaccination</v>
      </c>
      <c r="W450" s="139">
        <v>410</v>
      </c>
      <c r="X450" s="164">
        <f t="shared" si="38"/>
        <v>312040970.58009291</v>
      </c>
      <c r="Y450" s="159">
        <f t="shared" si="38"/>
        <v>124909.00635245199</v>
      </c>
    </row>
    <row r="451" spans="2:25" x14ac:dyDescent="0.25">
      <c r="B451" s="159">
        <v>411</v>
      </c>
      <c r="C451" s="164">
        <v>281280174.22003788</v>
      </c>
      <c r="D451" s="159">
        <v>103099.78338798718</v>
      </c>
      <c r="E451" s="164">
        <v>8536871.1660109479</v>
      </c>
      <c r="F451" s="159">
        <v>0</v>
      </c>
      <c r="I451" s="159">
        <v>411</v>
      </c>
      <c r="J451" s="164">
        <v>281280174.22003788</v>
      </c>
      <c r="K451" s="159">
        <v>103099.78338798718</v>
      </c>
      <c r="L451" s="164">
        <v>8536871.1660109479</v>
      </c>
      <c r="M451" s="159">
        <v>0</v>
      </c>
      <c r="Q451" s="139">
        <v>411</v>
      </c>
      <c r="R451" s="164">
        <f t="shared" si="35"/>
        <v>1402788381.8832455</v>
      </c>
      <c r="S451" s="164">
        <f t="shared" si="36"/>
        <v>-8536871.1660109479</v>
      </c>
      <c r="T451" s="159" t="str">
        <f t="shared" si="37"/>
        <v>TxPost-vaccination</v>
      </c>
      <c r="W451" s="139">
        <v>411</v>
      </c>
      <c r="X451" s="164">
        <f t="shared" si="38"/>
        <v>272743303.0540269</v>
      </c>
      <c r="Y451" s="159">
        <f t="shared" si="38"/>
        <v>103099.78338798718</v>
      </c>
    </row>
    <row r="452" spans="2:25" x14ac:dyDescent="0.25">
      <c r="B452" s="159">
        <v>412</v>
      </c>
      <c r="C452" s="164">
        <v>324219793.52809012</v>
      </c>
      <c r="D452" s="159">
        <v>101979.59548042587</v>
      </c>
      <c r="E452" s="164">
        <v>8135849.1838975977</v>
      </c>
      <c r="F452" s="159">
        <v>0</v>
      </c>
      <c r="I452" s="159">
        <v>412</v>
      </c>
      <c r="J452" s="164">
        <v>324219793.52809012</v>
      </c>
      <c r="K452" s="159">
        <v>101979.59548042587</v>
      </c>
      <c r="L452" s="164">
        <v>8135849.1838975977</v>
      </c>
      <c r="M452" s="159">
        <v>0</v>
      </c>
      <c r="Q452" s="139">
        <v>412</v>
      </c>
      <c r="R452" s="164">
        <f t="shared" si="35"/>
        <v>1341551214.6070089</v>
      </c>
      <c r="S452" s="164">
        <f t="shared" si="36"/>
        <v>-8135849.1838975977</v>
      </c>
      <c r="T452" s="159" t="str">
        <f t="shared" si="37"/>
        <v>TxPost-vaccination</v>
      </c>
      <c r="W452" s="139">
        <v>412</v>
      </c>
      <c r="X452" s="164">
        <f t="shared" si="38"/>
        <v>316083944.3441925</v>
      </c>
      <c r="Y452" s="159">
        <f t="shared" si="38"/>
        <v>101979.59548042587</v>
      </c>
    </row>
    <row r="453" spans="2:25" x14ac:dyDescent="0.25">
      <c r="B453" s="159">
        <v>413</v>
      </c>
      <c r="C453" s="164">
        <v>316059096.39526021</v>
      </c>
      <c r="D453" s="159">
        <v>66214.535181677304</v>
      </c>
      <c r="E453" s="164">
        <v>6898859.6763206301</v>
      </c>
      <c r="F453" s="159">
        <v>0</v>
      </c>
      <c r="I453" s="159">
        <v>413</v>
      </c>
      <c r="J453" s="164">
        <v>316059096.39526021</v>
      </c>
      <c r="K453" s="159">
        <v>66214.535181677304</v>
      </c>
      <c r="L453" s="164">
        <v>6898859.6763206301</v>
      </c>
      <c r="M453" s="159">
        <v>0</v>
      </c>
      <c r="Q453" s="139">
        <v>413</v>
      </c>
      <c r="R453" s="164">
        <f t="shared" si="35"/>
        <v>765512687.67747033</v>
      </c>
      <c r="S453" s="164">
        <f t="shared" si="36"/>
        <v>-6898859.6763206301</v>
      </c>
      <c r="T453" s="159" t="str">
        <f t="shared" si="37"/>
        <v>TxPost-vaccination</v>
      </c>
      <c r="W453" s="139">
        <v>413</v>
      </c>
      <c r="X453" s="164">
        <f t="shared" si="38"/>
        <v>309160236.7189396</v>
      </c>
      <c r="Y453" s="159">
        <f t="shared" si="38"/>
        <v>66214.535181677304</v>
      </c>
    </row>
    <row r="454" spans="2:25" x14ac:dyDescent="0.25">
      <c r="B454" s="159">
        <v>414</v>
      </c>
      <c r="C454" s="164">
        <v>300423369.27181566</v>
      </c>
      <c r="D454" s="159">
        <v>152026.63533211261</v>
      </c>
      <c r="E454" s="164">
        <v>12415199.063741665</v>
      </c>
      <c r="F454" s="159">
        <v>0</v>
      </c>
      <c r="I454" s="159">
        <v>414</v>
      </c>
      <c r="J454" s="164">
        <v>300423369.27181566</v>
      </c>
      <c r="K454" s="159">
        <v>152026.63533211261</v>
      </c>
      <c r="L454" s="164">
        <v>12415199.063741665</v>
      </c>
      <c r="M454" s="159">
        <v>0</v>
      </c>
      <c r="Q454" s="139">
        <v>414</v>
      </c>
      <c r="R454" s="164">
        <f t="shared" si="35"/>
        <v>2182833800.0426855</v>
      </c>
      <c r="S454" s="164">
        <f t="shared" si="36"/>
        <v>-12415199.063741665</v>
      </c>
      <c r="T454" s="159" t="str">
        <f t="shared" si="37"/>
        <v>TxPost-vaccination</v>
      </c>
      <c r="W454" s="139">
        <v>414</v>
      </c>
      <c r="X454" s="164">
        <f t="shared" si="38"/>
        <v>288008170.20807397</v>
      </c>
      <c r="Y454" s="159">
        <f t="shared" si="38"/>
        <v>152026.63533211261</v>
      </c>
    </row>
    <row r="455" spans="2:25" x14ac:dyDescent="0.25">
      <c r="B455" s="159">
        <v>415</v>
      </c>
      <c r="C455" s="164">
        <v>352695494.99901599</v>
      </c>
      <c r="D455" s="159">
        <v>63619.289694551917</v>
      </c>
      <c r="E455" s="164">
        <v>6501486.0473072557</v>
      </c>
      <c r="F455" s="159">
        <v>0</v>
      </c>
      <c r="I455" s="159">
        <v>415</v>
      </c>
      <c r="J455" s="164">
        <v>352695494.99901599</v>
      </c>
      <c r="K455" s="159">
        <v>63619.289694551917</v>
      </c>
      <c r="L455" s="164">
        <v>6501486.0473072557</v>
      </c>
      <c r="M455" s="159">
        <v>0</v>
      </c>
      <c r="Q455" s="139">
        <v>415</v>
      </c>
      <c r="R455" s="164">
        <f t="shared" si="35"/>
        <v>686484625.61318731</v>
      </c>
      <c r="S455" s="164">
        <f t="shared" si="36"/>
        <v>-6501486.0473072557</v>
      </c>
      <c r="T455" s="159" t="str">
        <f t="shared" si="37"/>
        <v>TxPost-vaccination</v>
      </c>
      <c r="W455" s="139">
        <v>415</v>
      </c>
      <c r="X455" s="164">
        <f t="shared" si="38"/>
        <v>346194008.95170873</v>
      </c>
      <c r="Y455" s="159">
        <f t="shared" si="38"/>
        <v>63619.289694551917</v>
      </c>
    </row>
    <row r="456" spans="2:25" x14ac:dyDescent="0.25">
      <c r="B456" s="159">
        <v>416</v>
      </c>
      <c r="C456" s="164">
        <v>289583704.75901866</v>
      </c>
      <c r="D456" s="159">
        <v>155617.54263567057</v>
      </c>
      <c r="E456" s="164">
        <v>12676401.257114086</v>
      </c>
      <c r="F456" s="159">
        <v>0</v>
      </c>
      <c r="I456" s="159">
        <v>416</v>
      </c>
      <c r="J456" s="164">
        <v>289583704.75901866</v>
      </c>
      <c r="K456" s="159">
        <v>155617.54263567057</v>
      </c>
      <c r="L456" s="164">
        <v>12676401.257114086</v>
      </c>
      <c r="M456" s="159">
        <v>0</v>
      </c>
      <c r="Q456" s="139">
        <v>416</v>
      </c>
      <c r="R456" s="164">
        <f t="shared" si="35"/>
        <v>2252328622.4916172</v>
      </c>
      <c r="S456" s="164">
        <f t="shared" si="36"/>
        <v>-12676401.257114086</v>
      </c>
      <c r="T456" s="159" t="str">
        <f t="shared" si="37"/>
        <v>TxPost-vaccination</v>
      </c>
      <c r="W456" s="139">
        <v>416</v>
      </c>
      <c r="X456" s="164">
        <f t="shared" si="38"/>
        <v>276907303.50190455</v>
      </c>
      <c r="Y456" s="159">
        <f t="shared" si="38"/>
        <v>155617.54263567057</v>
      </c>
    </row>
    <row r="457" spans="2:25" x14ac:dyDescent="0.25">
      <c r="B457" s="159">
        <v>417</v>
      </c>
      <c r="C457" s="164">
        <v>301785448.82690358</v>
      </c>
      <c r="D457" s="159">
        <v>81081.403031543567</v>
      </c>
      <c r="E457" s="164">
        <v>6572506.2721160483</v>
      </c>
      <c r="F457" s="159">
        <v>0</v>
      </c>
      <c r="I457" s="159">
        <v>417</v>
      </c>
      <c r="J457" s="164">
        <v>301785448.82690358</v>
      </c>
      <c r="K457" s="159">
        <v>81081.403031543567</v>
      </c>
      <c r="L457" s="164">
        <v>6572506.2721160483</v>
      </c>
      <c r="M457" s="159">
        <v>0</v>
      </c>
      <c r="Q457" s="139">
        <v>417</v>
      </c>
      <c r="R457" s="164">
        <f t="shared" si="35"/>
        <v>1022627045.9724784</v>
      </c>
      <c r="S457" s="164">
        <f t="shared" si="36"/>
        <v>-6572506.2721160483</v>
      </c>
      <c r="T457" s="159" t="str">
        <f t="shared" si="37"/>
        <v>TxPost-vaccination</v>
      </c>
      <c r="W457" s="139">
        <v>417</v>
      </c>
      <c r="X457" s="164">
        <f t="shared" si="38"/>
        <v>295212942.55478752</v>
      </c>
      <c r="Y457" s="159">
        <f t="shared" si="38"/>
        <v>81081.403031543567</v>
      </c>
    </row>
    <row r="458" spans="2:25" x14ac:dyDescent="0.25">
      <c r="B458" s="159">
        <v>418</v>
      </c>
      <c r="C458" s="164">
        <v>307994988.67582095</v>
      </c>
      <c r="D458" s="159">
        <v>117668.32973812913</v>
      </c>
      <c r="E458" s="164">
        <v>8947371.4345079027</v>
      </c>
      <c r="F458" s="159">
        <v>0</v>
      </c>
      <c r="I458" s="159">
        <v>418</v>
      </c>
      <c r="J458" s="164">
        <v>307994988.67582095</v>
      </c>
      <c r="K458" s="159">
        <v>117668.32973812913</v>
      </c>
      <c r="L458" s="164">
        <v>8947371.4345079027</v>
      </c>
      <c r="M458" s="159">
        <v>0</v>
      </c>
      <c r="Q458" s="139">
        <v>418</v>
      </c>
      <c r="R458" s="164">
        <f t="shared" si="35"/>
        <v>1614041388.6020122</v>
      </c>
      <c r="S458" s="164">
        <f t="shared" si="36"/>
        <v>-8947371.4345079027</v>
      </c>
      <c r="T458" s="159" t="str">
        <f t="shared" si="37"/>
        <v>TxPost-vaccination</v>
      </c>
      <c r="W458" s="139">
        <v>418</v>
      </c>
      <c r="X458" s="164">
        <f t="shared" si="38"/>
        <v>299047617.24131304</v>
      </c>
      <c r="Y458" s="159">
        <f t="shared" si="38"/>
        <v>117668.32973812913</v>
      </c>
    </row>
    <row r="459" spans="2:25" x14ac:dyDescent="0.25">
      <c r="B459" s="159">
        <v>419</v>
      </c>
      <c r="C459" s="164">
        <v>316515300.98883098</v>
      </c>
      <c r="D459" s="159">
        <v>94931.47726975847</v>
      </c>
      <c r="E459" s="164">
        <v>8471088.522552887</v>
      </c>
      <c r="F459" s="159">
        <v>0</v>
      </c>
      <c r="I459" s="159">
        <v>419</v>
      </c>
      <c r="J459" s="164">
        <v>316515300.98883098</v>
      </c>
      <c r="K459" s="159">
        <v>94931.47726975847</v>
      </c>
      <c r="L459" s="164">
        <v>8471088.522552887</v>
      </c>
      <c r="M459" s="159">
        <v>0</v>
      </c>
      <c r="Q459" s="139">
        <v>419</v>
      </c>
      <c r="R459" s="164">
        <f t="shared" si="35"/>
        <v>1234129235.7974746</v>
      </c>
      <c r="S459" s="164">
        <f t="shared" si="36"/>
        <v>-8471088.522552887</v>
      </c>
      <c r="T459" s="159" t="str">
        <f t="shared" si="37"/>
        <v>TxPost-vaccination</v>
      </c>
      <c r="W459" s="139">
        <v>419</v>
      </c>
      <c r="X459" s="164">
        <f t="shared" si="38"/>
        <v>308044212.46627808</v>
      </c>
      <c r="Y459" s="159">
        <f t="shared" si="38"/>
        <v>94931.47726975847</v>
      </c>
    </row>
    <row r="460" spans="2:25" x14ac:dyDescent="0.25">
      <c r="B460" s="159">
        <v>420</v>
      </c>
      <c r="C460" s="164">
        <v>306767424.10520035</v>
      </c>
      <c r="D460" s="159">
        <v>92955.755963628893</v>
      </c>
      <c r="E460" s="164">
        <v>8372456.4512340948</v>
      </c>
      <c r="F460" s="159">
        <v>0</v>
      </c>
      <c r="I460" s="159">
        <v>420</v>
      </c>
      <c r="J460" s="164">
        <v>306767424.10520035</v>
      </c>
      <c r="K460" s="159">
        <v>92955.755963628893</v>
      </c>
      <c r="L460" s="164">
        <v>8372456.4512340948</v>
      </c>
      <c r="M460" s="159">
        <v>0</v>
      </c>
      <c r="Q460" s="139">
        <v>420</v>
      </c>
      <c r="R460" s="164">
        <f t="shared" si="35"/>
        <v>1211604977.687815</v>
      </c>
      <c r="S460" s="164">
        <f t="shared" si="36"/>
        <v>-8372456.4512340948</v>
      </c>
      <c r="T460" s="159" t="str">
        <f t="shared" si="37"/>
        <v>TxPost-vaccination</v>
      </c>
      <c r="W460" s="139">
        <v>420</v>
      </c>
      <c r="X460" s="164">
        <f t="shared" si="38"/>
        <v>298394967.65396625</v>
      </c>
      <c r="Y460" s="159">
        <f t="shared" si="38"/>
        <v>92955.755963628893</v>
      </c>
    </row>
    <row r="461" spans="2:25" x14ac:dyDescent="0.25">
      <c r="B461" s="159">
        <v>421</v>
      </c>
      <c r="C461" s="164">
        <v>320156820.92204034</v>
      </c>
      <c r="D461" s="159">
        <v>106947.01367596135</v>
      </c>
      <c r="E461" s="164">
        <v>8608155.295253031</v>
      </c>
      <c r="F461" s="159">
        <v>0</v>
      </c>
      <c r="I461" s="159">
        <v>421</v>
      </c>
      <c r="J461" s="164">
        <v>320156820.92204034</v>
      </c>
      <c r="K461" s="159">
        <v>106947.01367596135</v>
      </c>
      <c r="L461" s="164">
        <v>8608155.295253031</v>
      </c>
      <c r="M461" s="159">
        <v>0</v>
      </c>
      <c r="Q461" s="139">
        <v>421</v>
      </c>
      <c r="R461" s="164">
        <f t="shared" si="35"/>
        <v>1426753763.9727449</v>
      </c>
      <c r="S461" s="164">
        <f t="shared" si="36"/>
        <v>-8608155.295253031</v>
      </c>
      <c r="T461" s="159" t="str">
        <f t="shared" si="37"/>
        <v>TxPost-vaccination</v>
      </c>
      <c r="W461" s="139">
        <v>421</v>
      </c>
      <c r="X461" s="164">
        <f t="shared" si="38"/>
        <v>311548665.6267873</v>
      </c>
      <c r="Y461" s="159">
        <f t="shared" si="38"/>
        <v>106947.01367596135</v>
      </c>
    </row>
    <row r="462" spans="2:25" x14ac:dyDescent="0.25">
      <c r="B462" s="159">
        <v>422</v>
      </c>
      <c r="C462" s="164">
        <v>320956848.93586636</v>
      </c>
      <c r="D462" s="159">
        <v>94670.192452317773</v>
      </c>
      <c r="E462" s="164">
        <v>9594174.336314654</v>
      </c>
      <c r="F462" s="159">
        <v>0</v>
      </c>
      <c r="I462" s="159">
        <v>422</v>
      </c>
      <c r="J462" s="164">
        <v>320956848.93586636</v>
      </c>
      <c r="K462" s="159">
        <v>94670.192452317773</v>
      </c>
      <c r="L462" s="164">
        <v>9594174.336314654</v>
      </c>
      <c r="M462" s="159">
        <v>0</v>
      </c>
      <c r="Q462" s="139">
        <v>422</v>
      </c>
      <c r="R462" s="164">
        <f t="shared" si="35"/>
        <v>1225419768.6484835</v>
      </c>
      <c r="S462" s="164">
        <f t="shared" si="36"/>
        <v>-9594174.336314654</v>
      </c>
      <c r="T462" s="159" t="str">
        <f t="shared" si="37"/>
        <v>TxPost-vaccination</v>
      </c>
      <c r="W462" s="139">
        <v>422</v>
      </c>
      <c r="X462" s="164">
        <f t="shared" si="38"/>
        <v>311362674.59955168</v>
      </c>
      <c r="Y462" s="159">
        <f t="shared" si="38"/>
        <v>94670.192452317773</v>
      </c>
    </row>
    <row r="463" spans="2:25" x14ac:dyDescent="0.25">
      <c r="B463" s="159">
        <v>423</v>
      </c>
      <c r="C463" s="164">
        <v>309788188.3760128</v>
      </c>
      <c r="D463" s="159">
        <v>86659.369129925471</v>
      </c>
      <c r="E463" s="164">
        <v>8164423.7407118771</v>
      </c>
      <c r="F463" s="159">
        <v>0</v>
      </c>
      <c r="I463" s="159">
        <v>423</v>
      </c>
      <c r="J463" s="164">
        <v>309788188.3760128</v>
      </c>
      <c r="K463" s="159">
        <v>86659.369129925471</v>
      </c>
      <c r="L463" s="164">
        <v>8164423.7407118771</v>
      </c>
      <c r="M463" s="159">
        <v>0</v>
      </c>
      <c r="Q463" s="139">
        <v>423</v>
      </c>
      <c r="R463" s="164">
        <f t="shared" si="35"/>
        <v>1105736789.9282529</v>
      </c>
      <c r="S463" s="164">
        <f t="shared" si="36"/>
        <v>-8164423.7407118771</v>
      </c>
      <c r="T463" s="159" t="str">
        <f t="shared" si="37"/>
        <v>TxPost-vaccination</v>
      </c>
      <c r="W463" s="139">
        <v>423</v>
      </c>
      <c r="X463" s="164">
        <f t="shared" si="38"/>
        <v>301623764.63530093</v>
      </c>
      <c r="Y463" s="159">
        <f t="shared" si="38"/>
        <v>86659.369129925471</v>
      </c>
    </row>
    <row r="464" spans="2:25" x14ac:dyDescent="0.25">
      <c r="B464" s="159">
        <v>424</v>
      </c>
      <c r="C464" s="164">
        <v>326123098.33933651</v>
      </c>
      <c r="D464" s="159">
        <v>68299.152337075822</v>
      </c>
      <c r="E464" s="164">
        <v>7089365.4741324242</v>
      </c>
      <c r="F464" s="159">
        <v>0</v>
      </c>
      <c r="I464" s="159">
        <v>424</v>
      </c>
      <c r="J464" s="164">
        <v>326123098.33933651</v>
      </c>
      <c r="K464" s="159">
        <v>68299.152337075822</v>
      </c>
      <c r="L464" s="164">
        <v>7089365.4741324242</v>
      </c>
      <c r="M464" s="159">
        <v>0</v>
      </c>
      <c r="Q464" s="139">
        <v>424</v>
      </c>
      <c r="R464" s="164">
        <f t="shared" si="35"/>
        <v>789499564.28576505</v>
      </c>
      <c r="S464" s="164">
        <f t="shared" si="36"/>
        <v>-7089365.4741324242</v>
      </c>
      <c r="T464" s="159" t="str">
        <f t="shared" si="37"/>
        <v>TxPost-vaccination</v>
      </c>
      <c r="W464" s="139">
        <v>424</v>
      </c>
      <c r="X464" s="164">
        <f t="shared" si="38"/>
        <v>319033732.8652041</v>
      </c>
      <c r="Y464" s="159">
        <f t="shared" si="38"/>
        <v>68299.152337075822</v>
      </c>
    </row>
    <row r="465" spans="2:25" x14ac:dyDescent="0.25">
      <c r="B465" s="159">
        <v>425</v>
      </c>
      <c r="C465" s="164">
        <v>306471674.97161543</v>
      </c>
      <c r="D465" s="159">
        <v>76835.813954565761</v>
      </c>
      <c r="E465" s="164">
        <v>8980736.4142851755</v>
      </c>
      <c r="F465" s="159">
        <v>0</v>
      </c>
      <c r="I465" s="159">
        <v>425</v>
      </c>
      <c r="J465" s="164">
        <v>306471674.97161543</v>
      </c>
      <c r="K465" s="159">
        <v>76835.813954565761</v>
      </c>
      <c r="L465" s="164">
        <v>8980736.4142851755</v>
      </c>
      <c r="M465" s="159">
        <v>0</v>
      </c>
      <c r="Q465" s="139">
        <v>425</v>
      </c>
      <c r="R465" s="164">
        <f t="shared" si="35"/>
        <v>948591856.79680288</v>
      </c>
      <c r="S465" s="164">
        <f t="shared" si="36"/>
        <v>-8980736.4142851755</v>
      </c>
      <c r="T465" s="159" t="str">
        <f t="shared" si="37"/>
        <v>TxPost-vaccination</v>
      </c>
      <c r="W465" s="139">
        <v>425</v>
      </c>
      <c r="X465" s="164">
        <f t="shared" si="38"/>
        <v>297490938.55733025</v>
      </c>
      <c r="Y465" s="159">
        <f t="shared" si="38"/>
        <v>76835.813954565761</v>
      </c>
    </row>
    <row r="466" spans="2:25" x14ac:dyDescent="0.25">
      <c r="B466" s="159">
        <v>426</v>
      </c>
      <c r="C466" s="164">
        <v>290289535.58505219</v>
      </c>
      <c r="D466" s="159">
        <v>116975.19234478314</v>
      </c>
      <c r="E466" s="164">
        <v>9292926.5847403985</v>
      </c>
      <c r="F466" s="159">
        <v>0</v>
      </c>
      <c r="I466" s="159">
        <v>426</v>
      </c>
      <c r="J466" s="164">
        <v>290289535.58505219</v>
      </c>
      <c r="K466" s="159">
        <v>116975.19234478314</v>
      </c>
      <c r="L466" s="164">
        <v>9292926.5847403985</v>
      </c>
      <c r="M466" s="159">
        <v>0</v>
      </c>
      <c r="Q466" s="139">
        <v>426</v>
      </c>
      <c r="R466" s="164">
        <f t="shared" si="35"/>
        <v>1620424888.8153377</v>
      </c>
      <c r="S466" s="164">
        <f t="shared" si="36"/>
        <v>-9292926.5847403985</v>
      </c>
      <c r="T466" s="159" t="str">
        <f t="shared" si="37"/>
        <v>TxPost-vaccination</v>
      </c>
      <c r="W466" s="139">
        <v>426</v>
      </c>
      <c r="X466" s="164">
        <f t="shared" si="38"/>
        <v>280996609.00031179</v>
      </c>
      <c r="Y466" s="159">
        <f t="shared" si="38"/>
        <v>116975.19234478314</v>
      </c>
    </row>
    <row r="467" spans="2:25" x14ac:dyDescent="0.25">
      <c r="B467" s="159">
        <v>427</v>
      </c>
      <c r="C467" s="164">
        <v>327297398.02398974</v>
      </c>
      <c r="D467" s="159">
        <v>118728.06920115961</v>
      </c>
      <c r="E467" s="164">
        <v>9850662.3626653403</v>
      </c>
      <c r="F467" s="159">
        <v>0</v>
      </c>
      <c r="I467" s="159">
        <v>427</v>
      </c>
      <c r="J467" s="164">
        <v>327297398.02398974</v>
      </c>
      <c r="K467" s="159">
        <v>118728.06920115961</v>
      </c>
      <c r="L467" s="164">
        <v>9850662.3626653403</v>
      </c>
      <c r="M467" s="159">
        <v>0</v>
      </c>
      <c r="Q467" s="139">
        <v>427</v>
      </c>
      <c r="R467" s="164">
        <f t="shared" si="35"/>
        <v>1612049140.8148553</v>
      </c>
      <c r="S467" s="164">
        <f t="shared" si="36"/>
        <v>-9850662.3626653403</v>
      </c>
      <c r="T467" s="159" t="str">
        <f t="shared" si="37"/>
        <v>TxPost-vaccination</v>
      </c>
      <c r="W467" s="139">
        <v>427</v>
      </c>
      <c r="X467" s="164">
        <f t="shared" si="38"/>
        <v>317446735.66132438</v>
      </c>
      <c r="Y467" s="159">
        <f t="shared" si="38"/>
        <v>118728.06920115961</v>
      </c>
    </row>
    <row r="468" spans="2:25" x14ac:dyDescent="0.25">
      <c r="B468" s="159">
        <v>428</v>
      </c>
      <c r="C468" s="164">
        <v>305364766.16602278</v>
      </c>
      <c r="D468" s="159">
        <v>87729.692584308126</v>
      </c>
      <c r="E468" s="164">
        <v>7855926.5340339076</v>
      </c>
      <c r="F468" s="159">
        <v>0</v>
      </c>
      <c r="I468" s="159">
        <v>428</v>
      </c>
      <c r="J468" s="164">
        <v>305364766.16602278</v>
      </c>
      <c r="K468" s="159">
        <v>87729.692584308126</v>
      </c>
      <c r="L468" s="164">
        <v>7855926.5340339076</v>
      </c>
      <c r="M468" s="159">
        <v>0</v>
      </c>
      <c r="Q468" s="139">
        <v>428</v>
      </c>
      <c r="R468" s="164">
        <f t="shared" si="35"/>
        <v>1127643256.38095</v>
      </c>
      <c r="S468" s="164">
        <f t="shared" si="36"/>
        <v>-7855926.5340339076</v>
      </c>
      <c r="T468" s="159" t="str">
        <f t="shared" si="37"/>
        <v>TxPost-vaccination</v>
      </c>
      <c r="W468" s="139">
        <v>428</v>
      </c>
      <c r="X468" s="164">
        <f t="shared" si="38"/>
        <v>297508839.63198888</v>
      </c>
      <c r="Y468" s="159">
        <f t="shared" si="38"/>
        <v>87729.692584308126</v>
      </c>
    </row>
    <row r="469" spans="2:25" x14ac:dyDescent="0.25">
      <c r="B469" s="159">
        <v>429</v>
      </c>
      <c r="C469" s="164">
        <v>295097283.17318189</v>
      </c>
      <c r="D469" s="159">
        <v>77288.405791763871</v>
      </c>
      <c r="E469" s="164">
        <v>6562144.5897121541</v>
      </c>
      <c r="F469" s="159">
        <v>0</v>
      </c>
      <c r="I469" s="159">
        <v>429</v>
      </c>
      <c r="J469" s="164">
        <v>295097283.17318189</v>
      </c>
      <c r="K469" s="159">
        <v>77288.405791763871</v>
      </c>
      <c r="L469" s="164">
        <v>6562144.5897121541</v>
      </c>
      <c r="M469" s="159">
        <v>0</v>
      </c>
      <c r="Q469" s="139">
        <v>429</v>
      </c>
      <c r="R469" s="164">
        <f t="shared" si="35"/>
        <v>967359044.74599111</v>
      </c>
      <c r="S469" s="164">
        <f t="shared" si="36"/>
        <v>-6562144.5897121541</v>
      </c>
      <c r="T469" s="159" t="str">
        <f t="shared" si="37"/>
        <v>TxPost-vaccination</v>
      </c>
      <c r="W469" s="139">
        <v>429</v>
      </c>
      <c r="X469" s="164">
        <f t="shared" si="38"/>
        <v>288535138.58346975</v>
      </c>
      <c r="Y469" s="159">
        <f t="shared" si="38"/>
        <v>77288.405791763871</v>
      </c>
    </row>
    <row r="470" spans="2:25" x14ac:dyDescent="0.25">
      <c r="B470" s="159">
        <v>430</v>
      </c>
      <c r="C470" s="164">
        <v>326530455.6808688</v>
      </c>
      <c r="D470" s="159">
        <v>68415.058566105145</v>
      </c>
      <c r="E470" s="164">
        <v>7235191.4982819445</v>
      </c>
      <c r="F470" s="159">
        <v>0</v>
      </c>
      <c r="I470" s="159">
        <v>430</v>
      </c>
      <c r="J470" s="164">
        <v>326530455.6808688</v>
      </c>
      <c r="K470" s="159">
        <v>68415.058566105145</v>
      </c>
      <c r="L470" s="164">
        <v>7235191.4982819445</v>
      </c>
      <c r="M470" s="159">
        <v>0</v>
      </c>
      <c r="Q470" s="139">
        <v>430</v>
      </c>
      <c r="R470" s="164">
        <f t="shared" si="35"/>
        <v>790985460.54138374</v>
      </c>
      <c r="S470" s="164">
        <f t="shared" si="36"/>
        <v>-7235191.4982819445</v>
      </c>
      <c r="T470" s="159" t="str">
        <f t="shared" si="37"/>
        <v>TxPost-vaccination</v>
      </c>
      <c r="W470" s="139">
        <v>430</v>
      </c>
      <c r="X470" s="164">
        <f t="shared" si="38"/>
        <v>319295264.18258685</v>
      </c>
      <c r="Y470" s="159">
        <f t="shared" si="38"/>
        <v>68415.058566105145</v>
      </c>
    </row>
    <row r="471" spans="2:25" x14ac:dyDescent="0.25">
      <c r="B471" s="159">
        <v>431</v>
      </c>
      <c r="C471" s="164">
        <v>300327680.75000358</v>
      </c>
      <c r="D471" s="159">
        <v>48301.751554055765</v>
      </c>
      <c r="E471" s="164">
        <v>6272110.6250821361</v>
      </c>
      <c r="F471" s="159">
        <v>0</v>
      </c>
      <c r="I471" s="159">
        <v>431</v>
      </c>
      <c r="J471" s="164">
        <v>300327680.75000358</v>
      </c>
      <c r="K471" s="159">
        <v>48301.751554055765</v>
      </c>
      <c r="L471" s="164">
        <v>6272110.6250821361</v>
      </c>
      <c r="M471" s="159">
        <v>0</v>
      </c>
      <c r="Q471" s="139">
        <v>431</v>
      </c>
      <c r="R471" s="164">
        <f t="shared" si="35"/>
        <v>488650320.21033669</v>
      </c>
      <c r="S471" s="164">
        <f t="shared" si="36"/>
        <v>-6272110.6250821361</v>
      </c>
      <c r="T471" s="159" t="str">
        <f t="shared" si="37"/>
        <v>TxPost-vaccination</v>
      </c>
      <c r="W471" s="139">
        <v>431</v>
      </c>
      <c r="X471" s="164">
        <f t="shared" si="38"/>
        <v>294055570.12492144</v>
      </c>
      <c r="Y471" s="159">
        <f t="shared" si="38"/>
        <v>48301.751554055765</v>
      </c>
    </row>
    <row r="472" spans="2:25" x14ac:dyDescent="0.25">
      <c r="B472" s="159">
        <v>432</v>
      </c>
      <c r="C472" s="164">
        <v>318531998.10412604</v>
      </c>
      <c r="D472" s="159">
        <v>114745.05919060801</v>
      </c>
      <c r="E472" s="164">
        <v>9981587.7986163683</v>
      </c>
      <c r="F472" s="159">
        <v>0</v>
      </c>
      <c r="I472" s="159">
        <v>432</v>
      </c>
      <c r="J472" s="164">
        <v>318531998.10412604</v>
      </c>
      <c r="K472" s="159">
        <v>114745.05919060801</v>
      </c>
      <c r="L472" s="164">
        <v>9981587.7986163683</v>
      </c>
      <c r="M472" s="159">
        <v>0</v>
      </c>
      <c r="Q472" s="139">
        <v>432</v>
      </c>
      <c r="R472" s="164">
        <f t="shared" si="35"/>
        <v>1555754637.6292765</v>
      </c>
      <c r="S472" s="164">
        <f t="shared" si="36"/>
        <v>-9981587.7986163683</v>
      </c>
      <c r="T472" s="159" t="str">
        <f t="shared" si="37"/>
        <v>TxPost-vaccination</v>
      </c>
      <c r="W472" s="139">
        <v>432</v>
      </c>
      <c r="X472" s="164">
        <f t="shared" si="38"/>
        <v>308550410.30550969</v>
      </c>
      <c r="Y472" s="159">
        <f t="shared" si="38"/>
        <v>114745.05919060801</v>
      </c>
    </row>
    <row r="473" spans="2:25" x14ac:dyDescent="0.25">
      <c r="B473" s="159">
        <v>433</v>
      </c>
      <c r="C473" s="164">
        <v>317993475.87417525</v>
      </c>
      <c r="D473" s="159">
        <v>72904.537734717218</v>
      </c>
      <c r="E473" s="164">
        <v>5918068.4084452968</v>
      </c>
      <c r="F473" s="159">
        <v>0</v>
      </c>
      <c r="I473" s="159">
        <v>433</v>
      </c>
      <c r="J473" s="164">
        <v>317993475.87417525</v>
      </c>
      <c r="K473" s="159">
        <v>72904.537734717218</v>
      </c>
      <c r="L473" s="164">
        <v>5918068.4084452968</v>
      </c>
      <c r="M473" s="159">
        <v>0</v>
      </c>
      <c r="Q473" s="139">
        <v>433</v>
      </c>
      <c r="R473" s="164">
        <f t="shared" si="35"/>
        <v>872855190.9387176</v>
      </c>
      <c r="S473" s="164">
        <f t="shared" si="36"/>
        <v>-5918068.4084452968</v>
      </c>
      <c r="T473" s="159" t="str">
        <f t="shared" si="37"/>
        <v>TxPost-vaccination</v>
      </c>
      <c r="W473" s="139">
        <v>433</v>
      </c>
      <c r="X473" s="164">
        <f t="shared" si="38"/>
        <v>312075407.46572995</v>
      </c>
      <c r="Y473" s="159">
        <f t="shared" si="38"/>
        <v>72904.537734717218</v>
      </c>
    </row>
    <row r="474" spans="2:25" x14ac:dyDescent="0.25">
      <c r="B474" s="159">
        <v>434</v>
      </c>
      <c r="C474" s="164">
        <v>304722904.52900237</v>
      </c>
      <c r="D474" s="159">
        <v>110078.92941631995</v>
      </c>
      <c r="E474" s="164">
        <v>9387526.148693813</v>
      </c>
      <c r="F474" s="159">
        <v>0</v>
      </c>
      <c r="I474" s="159">
        <v>434</v>
      </c>
      <c r="J474" s="164">
        <v>304722904.52900237</v>
      </c>
      <c r="K474" s="159">
        <v>110078.92941631995</v>
      </c>
      <c r="L474" s="164">
        <v>9387526.148693813</v>
      </c>
      <c r="M474" s="159">
        <v>0</v>
      </c>
      <c r="Q474" s="139">
        <v>434</v>
      </c>
      <c r="R474" s="164">
        <f t="shared" si="35"/>
        <v>1493345506.7489312</v>
      </c>
      <c r="S474" s="164">
        <f t="shared" si="36"/>
        <v>-9387526.148693813</v>
      </c>
      <c r="T474" s="159" t="str">
        <f t="shared" si="37"/>
        <v>TxPost-vaccination</v>
      </c>
      <c r="W474" s="139">
        <v>434</v>
      </c>
      <c r="X474" s="164">
        <f t="shared" si="38"/>
        <v>295335378.38030857</v>
      </c>
      <c r="Y474" s="159">
        <f t="shared" si="38"/>
        <v>110078.92941631995</v>
      </c>
    </row>
    <row r="475" spans="2:25" x14ac:dyDescent="0.25">
      <c r="B475" s="159">
        <v>435</v>
      </c>
      <c r="C475" s="164">
        <v>288560609.14281166</v>
      </c>
      <c r="D475" s="159">
        <v>79895.749344902433</v>
      </c>
      <c r="E475" s="164">
        <v>6955270.9859403269</v>
      </c>
      <c r="F475" s="159">
        <v>0</v>
      </c>
      <c r="I475" s="159">
        <v>435</v>
      </c>
      <c r="J475" s="164">
        <v>288560609.14281166</v>
      </c>
      <c r="K475" s="159">
        <v>79895.749344902433</v>
      </c>
      <c r="L475" s="164">
        <v>6955270.9859403269</v>
      </c>
      <c r="M475" s="159">
        <v>0</v>
      </c>
      <c r="Q475" s="139">
        <v>435</v>
      </c>
      <c r="R475" s="164">
        <f t="shared" si="35"/>
        <v>1016484996.3529705</v>
      </c>
      <c r="S475" s="164">
        <f t="shared" si="36"/>
        <v>-6955270.9859403269</v>
      </c>
      <c r="T475" s="159" t="str">
        <f t="shared" si="37"/>
        <v>TxPost-vaccination</v>
      </c>
      <c r="W475" s="139">
        <v>435</v>
      </c>
      <c r="X475" s="164">
        <f t="shared" si="38"/>
        <v>281605338.15687132</v>
      </c>
      <c r="Y475" s="159">
        <f t="shared" si="38"/>
        <v>79895.749344902433</v>
      </c>
    </row>
    <row r="476" spans="2:25" x14ac:dyDescent="0.25">
      <c r="B476" s="159">
        <v>436</v>
      </c>
      <c r="C476" s="164">
        <v>311414067.2807166</v>
      </c>
      <c r="D476" s="159">
        <v>78742.99175887114</v>
      </c>
      <c r="E476" s="164">
        <v>6109174.5862455033</v>
      </c>
      <c r="F476" s="159">
        <v>0</v>
      </c>
      <c r="I476" s="159">
        <v>436</v>
      </c>
      <c r="J476" s="164">
        <v>311414067.2807166</v>
      </c>
      <c r="K476" s="159">
        <v>78742.99175887114</v>
      </c>
      <c r="L476" s="164">
        <v>6109174.5862455033</v>
      </c>
      <c r="M476" s="159">
        <v>0</v>
      </c>
      <c r="Q476" s="139">
        <v>436</v>
      </c>
      <c r="R476" s="164">
        <f t="shared" si="35"/>
        <v>974801985.52687788</v>
      </c>
      <c r="S476" s="164">
        <f t="shared" si="36"/>
        <v>-6109174.5862455033</v>
      </c>
      <c r="T476" s="159" t="str">
        <f t="shared" si="37"/>
        <v>TxPost-vaccination</v>
      </c>
      <c r="W476" s="139">
        <v>436</v>
      </c>
      <c r="X476" s="164">
        <f t="shared" si="38"/>
        <v>305304892.69447112</v>
      </c>
      <c r="Y476" s="159">
        <f t="shared" si="38"/>
        <v>78742.99175887114</v>
      </c>
    </row>
    <row r="477" spans="2:25" x14ac:dyDescent="0.25">
      <c r="B477" s="159">
        <v>437</v>
      </c>
      <c r="C477" s="164">
        <v>328392237.800583</v>
      </c>
      <c r="D477" s="159">
        <v>92121.690869025435</v>
      </c>
      <c r="E477" s="164">
        <v>8128691.2025334593</v>
      </c>
      <c r="F477" s="159">
        <v>0</v>
      </c>
      <c r="I477" s="159">
        <v>437</v>
      </c>
      <c r="J477" s="164">
        <v>328392237.800583</v>
      </c>
      <c r="K477" s="159">
        <v>92121.690869025435</v>
      </c>
      <c r="L477" s="164">
        <v>8128691.2025334593</v>
      </c>
      <c r="M477" s="159">
        <v>0</v>
      </c>
      <c r="Q477" s="139">
        <v>437</v>
      </c>
      <c r="R477" s="164">
        <f t="shared" si="35"/>
        <v>1176356247.8850713</v>
      </c>
      <c r="S477" s="164">
        <f t="shared" si="36"/>
        <v>-8128691.2025334593</v>
      </c>
      <c r="T477" s="159" t="str">
        <f t="shared" si="37"/>
        <v>TxPost-vaccination</v>
      </c>
      <c r="W477" s="139">
        <v>437</v>
      </c>
      <c r="X477" s="164">
        <f t="shared" si="38"/>
        <v>320263546.59804952</v>
      </c>
      <c r="Y477" s="159">
        <f t="shared" si="38"/>
        <v>92121.690869025435</v>
      </c>
    </row>
    <row r="478" spans="2:25" x14ac:dyDescent="0.25">
      <c r="B478" s="159">
        <v>438</v>
      </c>
      <c r="C478" s="164">
        <v>320004471.90630692</v>
      </c>
      <c r="D478" s="159">
        <v>58691.559257922891</v>
      </c>
      <c r="E478" s="164">
        <v>6424249.0751768174</v>
      </c>
      <c r="F478" s="159">
        <v>0</v>
      </c>
      <c r="I478" s="159">
        <v>438</v>
      </c>
      <c r="J478" s="164">
        <v>320004471.90630692</v>
      </c>
      <c r="K478" s="159">
        <v>58691.559257922891</v>
      </c>
      <c r="L478" s="164">
        <v>6424249.0751768174</v>
      </c>
      <c r="M478" s="159">
        <v>0</v>
      </c>
      <c r="Q478" s="139">
        <v>438</v>
      </c>
      <c r="R478" s="164">
        <f t="shared" si="35"/>
        <v>638684345.92545843</v>
      </c>
      <c r="S478" s="164">
        <f t="shared" si="36"/>
        <v>-6424249.0751768174</v>
      </c>
      <c r="T478" s="159" t="str">
        <f t="shared" si="37"/>
        <v>TxPost-vaccination</v>
      </c>
      <c r="W478" s="139">
        <v>438</v>
      </c>
      <c r="X478" s="164">
        <f t="shared" si="38"/>
        <v>313580222.83113009</v>
      </c>
      <c r="Y478" s="159">
        <f t="shared" si="38"/>
        <v>58691.559257922891</v>
      </c>
    </row>
    <row r="479" spans="2:25" x14ac:dyDescent="0.25">
      <c r="B479" s="159">
        <v>439</v>
      </c>
      <c r="C479" s="164">
        <v>326301485.62444377</v>
      </c>
      <c r="D479" s="159">
        <v>124108.74011146108</v>
      </c>
      <c r="E479" s="164">
        <v>8315585.0437117545</v>
      </c>
      <c r="F479" s="159">
        <v>0</v>
      </c>
      <c r="I479" s="159">
        <v>439</v>
      </c>
      <c r="J479" s="164">
        <v>326301485.62444377</v>
      </c>
      <c r="K479" s="159">
        <v>124108.74011146108</v>
      </c>
      <c r="L479" s="164">
        <v>8315585.0437117545</v>
      </c>
      <c r="M479" s="159">
        <v>0</v>
      </c>
      <c r="Q479" s="139">
        <v>439</v>
      </c>
      <c r="R479" s="164">
        <f t="shared" si="35"/>
        <v>1700934846.8978491</v>
      </c>
      <c r="S479" s="164">
        <f t="shared" si="36"/>
        <v>-8315585.0437117545</v>
      </c>
      <c r="T479" s="159" t="str">
        <f t="shared" si="37"/>
        <v>TxPost-vaccination</v>
      </c>
      <c r="W479" s="139">
        <v>439</v>
      </c>
      <c r="X479" s="164">
        <f t="shared" si="38"/>
        <v>317985900.58073199</v>
      </c>
      <c r="Y479" s="159">
        <f t="shared" si="38"/>
        <v>124108.74011146108</v>
      </c>
    </row>
    <row r="480" spans="2:25" x14ac:dyDescent="0.25">
      <c r="B480" s="159">
        <v>440</v>
      </c>
      <c r="C480" s="164">
        <v>329699356.22729778</v>
      </c>
      <c r="D480" s="159">
        <v>104657.08108565061</v>
      </c>
      <c r="E480" s="164">
        <v>9178330.3739313483</v>
      </c>
      <c r="F480" s="159">
        <v>0</v>
      </c>
      <c r="I480" s="159">
        <v>440</v>
      </c>
      <c r="J480" s="164">
        <v>329699356.22729778</v>
      </c>
      <c r="K480" s="159">
        <v>104657.08108565061</v>
      </c>
      <c r="L480" s="164">
        <v>9178330.3739313483</v>
      </c>
      <c r="M480" s="159">
        <v>0</v>
      </c>
      <c r="Q480" s="139">
        <v>440</v>
      </c>
      <c r="R480" s="164">
        <f t="shared" si="35"/>
        <v>1379806654.7274437</v>
      </c>
      <c r="S480" s="164">
        <f t="shared" si="36"/>
        <v>-9178330.3739313483</v>
      </c>
      <c r="T480" s="159" t="str">
        <f t="shared" si="37"/>
        <v>TxPost-vaccination</v>
      </c>
      <c r="W480" s="139">
        <v>440</v>
      </c>
      <c r="X480" s="164">
        <f t="shared" si="38"/>
        <v>320521025.85336643</v>
      </c>
      <c r="Y480" s="159">
        <f t="shared" si="38"/>
        <v>104657.08108565061</v>
      </c>
    </row>
    <row r="481" spans="2:25" x14ac:dyDescent="0.25">
      <c r="B481" s="159">
        <v>441</v>
      </c>
      <c r="C481" s="164">
        <v>314907971.05409622</v>
      </c>
      <c r="D481" s="159">
        <v>115720.58085418152</v>
      </c>
      <c r="E481" s="164">
        <v>9461552.0182108916</v>
      </c>
      <c r="F481" s="159">
        <v>0</v>
      </c>
      <c r="I481" s="159">
        <v>441</v>
      </c>
      <c r="J481" s="164">
        <v>314907971.05409622</v>
      </c>
      <c r="K481" s="159">
        <v>115720.58085418152</v>
      </c>
      <c r="L481" s="164">
        <v>9461552.0182108916</v>
      </c>
      <c r="M481" s="159">
        <v>0</v>
      </c>
      <c r="Q481" s="139">
        <v>441</v>
      </c>
      <c r="R481" s="164">
        <f t="shared" si="35"/>
        <v>1575313182.7300313</v>
      </c>
      <c r="S481" s="164">
        <f t="shared" si="36"/>
        <v>-9461552.0182108916</v>
      </c>
      <c r="T481" s="159" t="str">
        <f t="shared" si="37"/>
        <v>TxPost-vaccination</v>
      </c>
      <c r="W481" s="139">
        <v>441</v>
      </c>
      <c r="X481" s="164">
        <f t="shared" si="38"/>
        <v>305446419.03588533</v>
      </c>
      <c r="Y481" s="159">
        <f t="shared" si="38"/>
        <v>115720.58085418152</v>
      </c>
    </row>
    <row r="482" spans="2:25" x14ac:dyDescent="0.25">
      <c r="B482" s="159">
        <v>442</v>
      </c>
      <c r="C482" s="164">
        <v>339803778.36567068</v>
      </c>
      <c r="D482" s="159">
        <v>55826.54001545308</v>
      </c>
      <c r="E482" s="164">
        <v>5352807.4359608805</v>
      </c>
      <c r="F482" s="159">
        <v>0</v>
      </c>
      <c r="I482" s="159">
        <v>442</v>
      </c>
      <c r="J482" s="164">
        <v>339803778.36567068</v>
      </c>
      <c r="K482" s="159">
        <v>55826.54001545308</v>
      </c>
      <c r="L482" s="164">
        <v>5352807.4359608805</v>
      </c>
      <c r="M482" s="159">
        <v>0</v>
      </c>
      <c r="Q482" s="139">
        <v>442</v>
      </c>
      <c r="R482" s="164">
        <f t="shared" si="35"/>
        <v>572086795.47059429</v>
      </c>
      <c r="S482" s="164">
        <f t="shared" si="36"/>
        <v>-5352807.4359608805</v>
      </c>
      <c r="T482" s="159" t="str">
        <f t="shared" si="37"/>
        <v>TxPost-vaccination</v>
      </c>
      <c r="W482" s="139">
        <v>442</v>
      </c>
      <c r="X482" s="164">
        <f t="shared" si="38"/>
        <v>334450970.92970979</v>
      </c>
      <c r="Y482" s="159">
        <f t="shared" si="38"/>
        <v>55826.54001545308</v>
      </c>
    </row>
    <row r="483" spans="2:25" x14ac:dyDescent="0.25">
      <c r="B483" s="159">
        <v>443</v>
      </c>
      <c r="C483" s="164">
        <v>304108054.40518725</v>
      </c>
      <c r="D483" s="159">
        <v>54153.334710586823</v>
      </c>
      <c r="E483" s="164">
        <v>5635118.2195989182</v>
      </c>
      <c r="F483" s="159">
        <v>0</v>
      </c>
      <c r="I483" s="159">
        <v>443</v>
      </c>
      <c r="J483" s="164">
        <v>304108054.40518725</v>
      </c>
      <c r="K483" s="159">
        <v>54153.334710586823</v>
      </c>
      <c r="L483" s="164">
        <v>5635118.2195989182</v>
      </c>
      <c r="M483" s="159">
        <v>0</v>
      </c>
      <c r="Q483" s="139">
        <v>443</v>
      </c>
      <c r="R483" s="164">
        <f t="shared" si="35"/>
        <v>580451788.47089231</v>
      </c>
      <c r="S483" s="164">
        <f t="shared" si="36"/>
        <v>-5635118.2195989182</v>
      </c>
      <c r="T483" s="159" t="str">
        <f t="shared" si="37"/>
        <v>TxPost-vaccination</v>
      </c>
      <c r="W483" s="139">
        <v>443</v>
      </c>
      <c r="X483" s="164">
        <f t="shared" si="38"/>
        <v>298472936.18558836</v>
      </c>
      <c r="Y483" s="159">
        <f t="shared" si="38"/>
        <v>54153.334710586823</v>
      </c>
    </row>
    <row r="484" spans="2:25" x14ac:dyDescent="0.25">
      <c r="B484" s="159">
        <v>444</v>
      </c>
      <c r="C484" s="164">
        <v>306912989.54333556</v>
      </c>
      <c r="D484" s="159">
        <v>56868.493216640862</v>
      </c>
      <c r="E484" s="164">
        <v>6219083.9640787495</v>
      </c>
      <c r="F484" s="159">
        <v>0</v>
      </c>
      <c r="I484" s="159">
        <v>444</v>
      </c>
      <c r="J484" s="164">
        <v>306912989.54333556</v>
      </c>
      <c r="K484" s="159">
        <v>56868.493216640862</v>
      </c>
      <c r="L484" s="164">
        <v>6219083.9640787495</v>
      </c>
      <c r="M484" s="159">
        <v>0</v>
      </c>
      <c r="Q484" s="139">
        <v>444</v>
      </c>
      <c r="R484" s="164">
        <f t="shared" si="35"/>
        <v>621997218.7226944</v>
      </c>
      <c r="S484" s="164">
        <f t="shared" si="36"/>
        <v>-6219083.9640787495</v>
      </c>
      <c r="T484" s="159" t="str">
        <f t="shared" si="37"/>
        <v>TxPost-vaccination</v>
      </c>
      <c r="W484" s="139">
        <v>444</v>
      </c>
      <c r="X484" s="164">
        <f t="shared" si="38"/>
        <v>300693905.57925683</v>
      </c>
      <c r="Y484" s="159">
        <f t="shared" si="38"/>
        <v>56868.493216640862</v>
      </c>
    </row>
    <row r="485" spans="2:25" x14ac:dyDescent="0.25">
      <c r="B485" s="159">
        <v>445</v>
      </c>
      <c r="C485" s="164">
        <v>293644636.60722822</v>
      </c>
      <c r="D485" s="159">
        <v>73331.641484782216</v>
      </c>
      <c r="E485" s="164">
        <v>6807591.0075320061</v>
      </c>
      <c r="F485" s="159">
        <v>0</v>
      </c>
      <c r="I485" s="159">
        <v>445</v>
      </c>
      <c r="J485" s="164">
        <v>293644636.60722822</v>
      </c>
      <c r="K485" s="159">
        <v>73331.641484782216</v>
      </c>
      <c r="L485" s="164">
        <v>6807591.0075320061</v>
      </c>
      <c r="M485" s="159">
        <v>0</v>
      </c>
      <c r="Q485" s="139">
        <v>445</v>
      </c>
      <c r="R485" s="164">
        <f t="shared" si="35"/>
        <v>904180494.86972189</v>
      </c>
      <c r="S485" s="164">
        <f t="shared" si="36"/>
        <v>-6807591.0075320061</v>
      </c>
      <c r="T485" s="159" t="str">
        <f t="shared" si="37"/>
        <v>TxPost-vaccination</v>
      </c>
      <c r="W485" s="139">
        <v>445</v>
      </c>
      <c r="X485" s="164">
        <f t="shared" si="38"/>
        <v>286837045.59969622</v>
      </c>
      <c r="Y485" s="159">
        <f t="shared" si="38"/>
        <v>73331.641484782216</v>
      </c>
    </row>
    <row r="486" spans="2:25" x14ac:dyDescent="0.25">
      <c r="B486" s="159">
        <v>446</v>
      </c>
      <c r="C486" s="164">
        <v>295506781.2826156</v>
      </c>
      <c r="D486" s="159">
        <v>91425.280022600055</v>
      </c>
      <c r="E486" s="164">
        <v>8229575.1002944773</v>
      </c>
      <c r="F486" s="159">
        <v>0</v>
      </c>
      <c r="I486" s="159">
        <v>446</v>
      </c>
      <c r="J486" s="164">
        <v>295506781.2826156</v>
      </c>
      <c r="K486" s="159">
        <v>91425.280022600055</v>
      </c>
      <c r="L486" s="164">
        <v>8229575.1002944773</v>
      </c>
      <c r="M486" s="159">
        <v>0</v>
      </c>
      <c r="Q486" s="139">
        <v>446</v>
      </c>
      <c r="R486" s="164">
        <f t="shared" si="35"/>
        <v>1197866281.7779424</v>
      </c>
      <c r="S486" s="164">
        <f t="shared" si="36"/>
        <v>-8229575.1002944773</v>
      </c>
      <c r="T486" s="159" t="str">
        <f t="shared" si="37"/>
        <v>TxPost-vaccination</v>
      </c>
      <c r="W486" s="139">
        <v>446</v>
      </c>
      <c r="X486" s="164">
        <f t="shared" si="38"/>
        <v>287277206.18232113</v>
      </c>
      <c r="Y486" s="159">
        <f t="shared" si="38"/>
        <v>91425.280022600055</v>
      </c>
    </row>
    <row r="487" spans="2:25" x14ac:dyDescent="0.25">
      <c r="B487" s="159">
        <v>447</v>
      </c>
      <c r="C487" s="164">
        <v>319296833.36747557</v>
      </c>
      <c r="D487" s="159">
        <v>103544.70831769722</v>
      </c>
      <c r="E487" s="164">
        <v>7870510.1326511567</v>
      </c>
      <c r="F487" s="159">
        <v>0</v>
      </c>
      <c r="I487" s="159">
        <v>447</v>
      </c>
      <c r="J487" s="164">
        <v>319296833.36747557</v>
      </c>
      <c r="K487" s="159">
        <v>103544.70831769722</v>
      </c>
      <c r="L487" s="164">
        <v>7870510.1326511567</v>
      </c>
      <c r="M487" s="159">
        <v>0</v>
      </c>
      <c r="Q487" s="139">
        <v>447</v>
      </c>
      <c r="R487" s="164">
        <f t="shared" si="35"/>
        <v>1372039284.8909235</v>
      </c>
      <c r="S487" s="164">
        <f t="shared" si="36"/>
        <v>-7870510.1326511567</v>
      </c>
      <c r="T487" s="159" t="str">
        <f t="shared" si="37"/>
        <v>TxPost-vaccination</v>
      </c>
      <c r="W487" s="139">
        <v>447</v>
      </c>
      <c r="X487" s="164">
        <f t="shared" si="38"/>
        <v>311426323.23482442</v>
      </c>
      <c r="Y487" s="159">
        <f t="shared" si="38"/>
        <v>103544.70831769722</v>
      </c>
    </row>
    <row r="488" spans="2:25" x14ac:dyDescent="0.25">
      <c r="B488" s="159">
        <v>448</v>
      </c>
      <c r="C488" s="164">
        <v>318834484.25581115</v>
      </c>
      <c r="D488" s="159">
        <v>83616.051346560198</v>
      </c>
      <c r="E488" s="164">
        <v>8581959.0657194722</v>
      </c>
      <c r="F488" s="159">
        <v>0</v>
      </c>
      <c r="I488" s="159">
        <v>448</v>
      </c>
      <c r="J488" s="164">
        <v>318834484.25581115</v>
      </c>
      <c r="K488" s="159">
        <v>83616.051346560198</v>
      </c>
      <c r="L488" s="164">
        <v>8581959.0657194722</v>
      </c>
      <c r="M488" s="159">
        <v>0</v>
      </c>
      <c r="Q488" s="139">
        <v>448</v>
      </c>
      <c r="R488" s="164">
        <f t="shared" si="35"/>
        <v>1046979858.2277341</v>
      </c>
      <c r="S488" s="164">
        <f t="shared" si="36"/>
        <v>-8581959.0657194722</v>
      </c>
      <c r="T488" s="159" t="str">
        <f t="shared" si="37"/>
        <v>TxPost-vaccination</v>
      </c>
      <c r="W488" s="139">
        <v>448</v>
      </c>
      <c r="X488" s="164">
        <f t="shared" si="38"/>
        <v>310252525.19009167</v>
      </c>
      <c r="Y488" s="159">
        <f t="shared" si="38"/>
        <v>83616.051346560198</v>
      </c>
    </row>
    <row r="489" spans="2:25" x14ac:dyDescent="0.25">
      <c r="B489" s="159">
        <v>449</v>
      </c>
      <c r="C489" s="164">
        <v>330901507.92026544</v>
      </c>
      <c r="D489" s="159">
        <v>99631.65029164408</v>
      </c>
      <c r="E489" s="164">
        <v>7536524.6377654113</v>
      </c>
      <c r="F489" s="159">
        <v>0</v>
      </c>
      <c r="I489" s="159">
        <v>449</v>
      </c>
      <c r="J489" s="164">
        <v>330901507.92026544</v>
      </c>
      <c r="K489" s="159">
        <v>99631.65029164408</v>
      </c>
      <c r="L489" s="164">
        <v>7536524.6377654113</v>
      </c>
      <c r="M489" s="159">
        <v>0</v>
      </c>
      <c r="Q489" s="139">
        <v>449</v>
      </c>
      <c r="R489" s="164">
        <f t="shared" ref="R489:R552" si="39">K489*threshold-J489</f>
        <v>1296517327.8440998</v>
      </c>
      <c r="S489" s="164">
        <f t="shared" ref="S489:S552" si="40">M489*threshold-L489</f>
        <v>-7536524.6377654113</v>
      </c>
      <c r="T489" s="159" t="str">
        <f t="shared" si="37"/>
        <v>TxPost-vaccination</v>
      </c>
      <c r="W489" s="139">
        <v>449</v>
      </c>
      <c r="X489" s="164">
        <f t="shared" si="38"/>
        <v>323364983.28250003</v>
      </c>
      <c r="Y489" s="159">
        <f t="shared" si="38"/>
        <v>99631.65029164408</v>
      </c>
    </row>
    <row r="490" spans="2:25" x14ac:dyDescent="0.25">
      <c r="B490" s="159">
        <v>450</v>
      </c>
      <c r="C490" s="164">
        <v>297057029.55710602</v>
      </c>
      <c r="D490" s="159">
        <v>117895.23364843159</v>
      </c>
      <c r="E490" s="164">
        <v>8952450.5226608962</v>
      </c>
      <c r="F490" s="159">
        <v>0</v>
      </c>
      <c r="I490" s="159">
        <v>450</v>
      </c>
      <c r="J490" s="164">
        <v>297057029.55710602</v>
      </c>
      <c r="K490" s="159">
        <v>117895.23364843159</v>
      </c>
      <c r="L490" s="164">
        <v>8952450.5226608962</v>
      </c>
      <c r="M490" s="159">
        <v>0</v>
      </c>
      <c r="Q490" s="139">
        <v>450</v>
      </c>
      <c r="R490" s="164">
        <f t="shared" si="39"/>
        <v>1628685676.9489779</v>
      </c>
      <c r="S490" s="164">
        <f t="shared" si="40"/>
        <v>-8952450.5226608962</v>
      </c>
      <c r="T490" s="159" t="str">
        <f t="shared" ref="T490:T553" si="41">IF(R490&gt;S490,"TxPost-vaccination",IF(S490&gt;R490,"TxPre-vaccination","either"))</f>
        <v>TxPost-vaccination</v>
      </c>
      <c r="W490" s="139">
        <v>450</v>
      </c>
      <c r="X490" s="164">
        <f t="shared" ref="X490:Y553" si="42">J490-L490</f>
        <v>288104579.03444511</v>
      </c>
      <c r="Y490" s="159">
        <f t="shared" si="42"/>
        <v>117895.23364843159</v>
      </c>
    </row>
    <row r="491" spans="2:25" x14ac:dyDescent="0.25">
      <c r="B491" s="159">
        <v>451</v>
      </c>
      <c r="C491" s="164">
        <v>302994077.13239104</v>
      </c>
      <c r="D491" s="159">
        <v>88867.37469308947</v>
      </c>
      <c r="E491" s="164">
        <v>7321256.7310661804</v>
      </c>
      <c r="F491" s="159">
        <v>0</v>
      </c>
      <c r="I491" s="159">
        <v>451</v>
      </c>
      <c r="J491" s="164">
        <v>302994077.13239104</v>
      </c>
      <c r="K491" s="159">
        <v>88867.37469308947</v>
      </c>
      <c r="L491" s="164">
        <v>7321256.7310661804</v>
      </c>
      <c r="M491" s="159">
        <v>0</v>
      </c>
      <c r="Q491" s="139">
        <v>451</v>
      </c>
      <c r="R491" s="164">
        <f t="shared" si="39"/>
        <v>1148597249.8918555</v>
      </c>
      <c r="S491" s="164">
        <f t="shared" si="40"/>
        <v>-7321256.7310661804</v>
      </c>
      <c r="T491" s="159" t="str">
        <f t="shared" si="41"/>
        <v>TxPost-vaccination</v>
      </c>
      <c r="W491" s="139">
        <v>451</v>
      </c>
      <c r="X491" s="164">
        <f t="shared" si="42"/>
        <v>295672820.40132487</v>
      </c>
      <c r="Y491" s="159">
        <f t="shared" si="42"/>
        <v>88867.37469308947</v>
      </c>
    </row>
    <row r="492" spans="2:25" x14ac:dyDescent="0.25">
      <c r="B492" s="159">
        <v>452</v>
      </c>
      <c r="C492" s="164">
        <v>319205651.85220832</v>
      </c>
      <c r="D492" s="159">
        <v>122978.36162902904</v>
      </c>
      <c r="E492" s="164">
        <v>9842716.8317793943</v>
      </c>
      <c r="F492" s="159">
        <v>0</v>
      </c>
      <c r="I492" s="159">
        <v>452</v>
      </c>
      <c r="J492" s="164">
        <v>319205651.85220832</v>
      </c>
      <c r="K492" s="159">
        <v>122978.36162902904</v>
      </c>
      <c r="L492" s="164">
        <v>9842716.8317793943</v>
      </c>
      <c r="M492" s="159">
        <v>0</v>
      </c>
      <c r="Q492" s="139">
        <v>452</v>
      </c>
      <c r="R492" s="164">
        <f t="shared" si="39"/>
        <v>1689566676.2250338</v>
      </c>
      <c r="S492" s="164">
        <f t="shared" si="40"/>
        <v>-9842716.8317793943</v>
      </c>
      <c r="T492" s="159" t="str">
        <f t="shared" si="41"/>
        <v>TxPost-vaccination</v>
      </c>
      <c r="W492" s="139">
        <v>452</v>
      </c>
      <c r="X492" s="164">
        <f t="shared" si="42"/>
        <v>309362935.0204289</v>
      </c>
      <c r="Y492" s="159">
        <f t="shared" si="42"/>
        <v>122978.36162902904</v>
      </c>
    </row>
    <row r="493" spans="2:25" x14ac:dyDescent="0.25">
      <c r="B493" s="159">
        <v>453</v>
      </c>
      <c r="C493" s="164">
        <v>305353230.61276197</v>
      </c>
      <c r="D493" s="159">
        <v>32320.66907282863</v>
      </c>
      <c r="E493" s="164">
        <v>3868292.7080412274</v>
      </c>
      <c r="F493" s="159">
        <v>0</v>
      </c>
      <c r="I493" s="159">
        <v>453</v>
      </c>
      <c r="J493" s="164">
        <v>305353230.61276197</v>
      </c>
      <c r="K493" s="159">
        <v>32320.66907282863</v>
      </c>
      <c r="L493" s="164">
        <v>3868292.7080412274</v>
      </c>
      <c r="M493" s="159">
        <v>0</v>
      </c>
      <c r="Q493" s="139">
        <v>453</v>
      </c>
      <c r="R493" s="164">
        <f t="shared" si="39"/>
        <v>222584081.27214915</v>
      </c>
      <c r="S493" s="164">
        <f t="shared" si="40"/>
        <v>-3868292.7080412274</v>
      </c>
      <c r="T493" s="159" t="str">
        <f t="shared" si="41"/>
        <v>TxPost-vaccination</v>
      </c>
      <c r="W493" s="139">
        <v>453</v>
      </c>
      <c r="X493" s="164">
        <f t="shared" si="42"/>
        <v>301484937.90472072</v>
      </c>
      <c r="Y493" s="159">
        <f t="shared" si="42"/>
        <v>32320.66907282863</v>
      </c>
    </row>
    <row r="494" spans="2:25" x14ac:dyDescent="0.25">
      <c r="B494" s="159">
        <v>454</v>
      </c>
      <c r="C494" s="164">
        <v>322890639.35854781</v>
      </c>
      <c r="D494" s="159">
        <v>68128.454740916073</v>
      </c>
      <c r="E494" s="164">
        <v>7286984.5021475926</v>
      </c>
      <c r="F494" s="159">
        <v>0</v>
      </c>
      <c r="I494" s="159">
        <v>454</v>
      </c>
      <c r="J494" s="164">
        <v>322890639.35854781</v>
      </c>
      <c r="K494" s="159">
        <v>68128.454740916073</v>
      </c>
      <c r="L494" s="164">
        <v>7286984.5021475926</v>
      </c>
      <c r="M494" s="159">
        <v>0</v>
      </c>
      <c r="Q494" s="139">
        <v>454</v>
      </c>
      <c r="R494" s="164">
        <f t="shared" si="39"/>
        <v>789943787.97789919</v>
      </c>
      <c r="S494" s="164">
        <f t="shared" si="40"/>
        <v>-7286984.5021475926</v>
      </c>
      <c r="T494" s="159" t="str">
        <f t="shared" si="41"/>
        <v>TxPost-vaccination</v>
      </c>
      <c r="W494" s="139">
        <v>454</v>
      </c>
      <c r="X494" s="164">
        <f t="shared" si="42"/>
        <v>315603654.85640019</v>
      </c>
      <c r="Y494" s="159">
        <f t="shared" si="42"/>
        <v>68128.454740916073</v>
      </c>
    </row>
    <row r="495" spans="2:25" x14ac:dyDescent="0.25">
      <c r="B495" s="159">
        <v>455</v>
      </c>
      <c r="C495" s="164">
        <v>322214962.72898483</v>
      </c>
      <c r="D495" s="159">
        <v>58126.058251839393</v>
      </c>
      <c r="E495" s="164">
        <v>5306832.476777887</v>
      </c>
      <c r="F495" s="159">
        <v>0</v>
      </c>
      <c r="I495" s="159">
        <v>455</v>
      </c>
      <c r="J495" s="164">
        <v>322214962.72898483</v>
      </c>
      <c r="K495" s="159">
        <v>58126.058251839393</v>
      </c>
      <c r="L495" s="164">
        <v>5306832.476777887</v>
      </c>
      <c r="M495" s="159">
        <v>0</v>
      </c>
      <c r="Q495" s="139">
        <v>455</v>
      </c>
      <c r="R495" s="164">
        <f t="shared" si="39"/>
        <v>627236760.40194964</v>
      </c>
      <c r="S495" s="164">
        <f t="shared" si="40"/>
        <v>-5306832.476777887</v>
      </c>
      <c r="T495" s="159" t="str">
        <f t="shared" si="41"/>
        <v>TxPost-vaccination</v>
      </c>
      <c r="W495" s="139">
        <v>455</v>
      </c>
      <c r="X495" s="164">
        <f t="shared" si="42"/>
        <v>316908130.25220692</v>
      </c>
      <c r="Y495" s="159">
        <f t="shared" si="42"/>
        <v>58126.058251839393</v>
      </c>
    </row>
    <row r="496" spans="2:25" x14ac:dyDescent="0.25">
      <c r="B496" s="159">
        <v>456</v>
      </c>
      <c r="C496" s="164">
        <v>331529706.27547359</v>
      </c>
      <c r="D496" s="159">
        <v>110000.33860284815</v>
      </c>
      <c r="E496" s="164">
        <v>9305601.7111800909</v>
      </c>
      <c r="F496" s="159">
        <v>0</v>
      </c>
      <c r="I496" s="159">
        <v>456</v>
      </c>
      <c r="J496" s="164">
        <v>331529706.27547359</v>
      </c>
      <c r="K496" s="159">
        <v>110000.33860284815</v>
      </c>
      <c r="L496" s="164">
        <v>9305601.7111800909</v>
      </c>
      <c r="M496" s="159">
        <v>0</v>
      </c>
      <c r="Q496" s="139">
        <v>456</v>
      </c>
      <c r="R496" s="164">
        <f t="shared" si="39"/>
        <v>1465254974.6839552</v>
      </c>
      <c r="S496" s="164">
        <f t="shared" si="40"/>
        <v>-9305601.7111800909</v>
      </c>
      <c r="T496" s="159" t="str">
        <f t="shared" si="41"/>
        <v>TxPost-vaccination</v>
      </c>
      <c r="W496" s="139">
        <v>456</v>
      </c>
      <c r="X496" s="164">
        <f t="shared" si="42"/>
        <v>322224104.5642935</v>
      </c>
      <c r="Y496" s="159">
        <f t="shared" si="42"/>
        <v>110000.33860284815</v>
      </c>
    </row>
    <row r="497" spans="2:25" x14ac:dyDescent="0.25">
      <c r="B497" s="159">
        <v>457</v>
      </c>
      <c r="C497" s="164">
        <v>307023469.37124902</v>
      </c>
      <c r="D497" s="159">
        <v>149039.51452007901</v>
      </c>
      <c r="E497" s="164">
        <v>10801962.020051142</v>
      </c>
      <c r="F497" s="159">
        <v>0</v>
      </c>
      <c r="I497" s="159">
        <v>457</v>
      </c>
      <c r="J497" s="164">
        <v>307023469.37124902</v>
      </c>
      <c r="K497" s="159">
        <v>149039.51452007901</v>
      </c>
      <c r="L497" s="164">
        <v>10801962.020051142</v>
      </c>
      <c r="M497" s="159">
        <v>0</v>
      </c>
      <c r="Q497" s="139">
        <v>457</v>
      </c>
      <c r="R497" s="164">
        <f t="shared" si="39"/>
        <v>2127441005.4533279</v>
      </c>
      <c r="S497" s="164">
        <f t="shared" si="40"/>
        <v>-10801962.020051142</v>
      </c>
      <c r="T497" s="159" t="str">
        <f t="shared" si="41"/>
        <v>TxPost-vaccination</v>
      </c>
      <c r="W497" s="139">
        <v>457</v>
      </c>
      <c r="X497" s="164">
        <f t="shared" si="42"/>
        <v>296221507.3511979</v>
      </c>
      <c r="Y497" s="159">
        <f t="shared" si="42"/>
        <v>149039.51452007901</v>
      </c>
    </row>
    <row r="498" spans="2:25" x14ac:dyDescent="0.25">
      <c r="B498" s="159">
        <v>458</v>
      </c>
      <c r="C498" s="164">
        <v>331227827.38477671</v>
      </c>
      <c r="D498" s="159">
        <v>46789.71030554497</v>
      </c>
      <c r="E498" s="164">
        <v>5074232.0208694451</v>
      </c>
      <c r="F498" s="159">
        <v>0</v>
      </c>
      <c r="I498" s="159">
        <v>458</v>
      </c>
      <c r="J498" s="164">
        <v>331227827.38477671</v>
      </c>
      <c r="K498" s="159">
        <v>46789.71030554497</v>
      </c>
      <c r="L498" s="164">
        <v>5074232.0208694451</v>
      </c>
      <c r="M498" s="159">
        <v>0</v>
      </c>
      <c r="Q498" s="139">
        <v>458</v>
      </c>
      <c r="R498" s="164">
        <f t="shared" si="39"/>
        <v>433051953.6717875</v>
      </c>
      <c r="S498" s="164">
        <f t="shared" si="40"/>
        <v>-5074232.0208694451</v>
      </c>
      <c r="T498" s="159" t="str">
        <f t="shared" si="41"/>
        <v>TxPost-vaccination</v>
      </c>
      <c r="W498" s="139">
        <v>458</v>
      </c>
      <c r="X498" s="164">
        <f t="shared" si="42"/>
        <v>326153595.36390728</v>
      </c>
      <c r="Y498" s="159">
        <f t="shared" si="42"/>
        <v>46789.71030554497</v>
      </c>
    </row>
    <row r="499" spans="2:25" x14ac:dyDescent="0.25">
      <c r="B499" s="159">
        <v>459</v>
      </c>
      <c r="C499" s="164">
        <v>325349486.02398193</v>
      </c>
      <c r="D499" s="159">
        <v>71225.802392781829</v>
      </c>
      <c r="E499" s="164">
        <v>7559797.5655579688</v>
      </c>
      <c r="F499" s="159">
        <v>0</v>
      </c>
      <c r="I499" s="159">
        <v>459</v>
      </c>
      <c r="J499" s="164">
        <v>325349486.02398193</v>
      </c>
      <c r="K499" s="159">
        <v>71225.802392781829</v>
      </c>
      <c r="L499" s="164">
        <v>7559797.5655579688</v>
      </c>
      <c r="M499" s="159">
        <v>0</v>
      </c>
      <c r="Q499" s="139">
        <v>459</v>
      </c>
      <c r="R499" s="164">
        <f t="shared" si="39"/>
        <v>838078120.23504293</v>
      </c>
      <c r="S499" s="164">
        <f t="shared" si="40"/>
        <v>-7559797.5655579688</v>
      </c>
      <c r="T499" s="159" t="str">
        <f t="shared" si="41"/>
        <v>TxPost-vaccination</v>
      </c>
      <c r="W499" s="139">
        <v>459</v>
      </c>
      <c r="X499" s="164">
        <f t="shared" si="42"/>
        <v>317789688.45842397</v>
      </c>
      <c r="Y499" s="159">
        <f t="shared" si="42"/>
        <v>71225.802392781829</v>
      </c>
    </row>
    <row r="500" spans="2:25" x14ac:dyDescent="0.25">
      <c r="B500" s="159">
        <v>460</v>
      </c>
      <c r="C500" s="164">
        <v>288564120.53425974</v>
      </c>
      <c r="D500" s="159">
        <v>123711.11201812717</v>
      </c>
      <c r="E500" s="164">
        <v>9660904.9509647917</v>
      </c>
      <c r="F500" s="159">
        <v>0</v>
      </c>
      <c r="I500" s="159">
        <v>460</v>
      </c>
      <c r="J500" s="164">
        <v>288564120.53425974</v>
      </c>
      <c r="K500" s="159">
        <v>123711.11201812717</v>
      </c>
      <c r="L500" s="164">
        <v>9660904.9509647917</v>
      </c>
      <c r="M500" s="159">
        <v>0</v>
      </c>
      <c r="Q500" s="139">
        <v>460</v>
      </c>
      <c r="R500" s="164">
        <f t="shared" si="39"/>
        <v>1732177213.1917021</v>
      </c>
      <c r="S500" s="164">
        <f t="shared" si="40"/>
        <v>-9660904.9509647917</v>
      </c>
      <c r="T500" s="159" t="str">
        <f t="shared" si="41"/>
        <v>TxPost-vaccination</v>
      </c>
      <c r="W500" s="139">
        <v>460</v>
      </c>
      <c r="X500" s="164">
        <f t="shared" si="42"/>
        <v>278903215.58329493</v>
      </c>
      <c r="Y500" s="159">
        <f t="shared" si="42"/>
        <v>123711.11201812717</v>
      </c>
    </row>
    <row r="501" spans="2:25" x14ac:dyDescent="0.25">
      <c r="B501" s="159">
        <v>461</v>
      </c>
      <c r="C501" s="164">
        <v>303426973.72799981</v>
      </c>
      <c r="D501" s="159">
        <v>56353.394762542172</v>
      </c>
      <c r="E501" s="164">
        <v>5907352.6208041785</v>
      </c>
      <c r="F501" s="159">
        <v>0</v>
      </c>
      <c r="I501" s="159">
        <v>461</v>
      </c>
      <c r="J501" s="164">
        <v>303426973.72799981</v>
      </c>
      <c r="K501" s="159">
        <v>56353.394762542172</v>
      </c>
      <c r="L501" s="164">
        <v>5907352.6208041785</v>
      </c>
      <c r="M501" s="159">
        <v>0</v>
      </c>
      <c r="Q501" s="139">
        <v>461</v>
      </c>
      <c r="R501" s="164">
        <f t="shared" si="39"/>
        <v>617069433.06009138</v>
      </c>
      <c r="S501" s="164">
        <f t="shared" si="40"/>
        <v>-5907352.6208041785</v>
      </c>
      <c r="T501" s="159" t="str">
        <f t="shared" si="41"/>
        <v>TxPost-vaccination</v>
      </c>
      <c r="W501" s="139">
        <v>461</v>
      </c>
      <c r="X501" s="164">
        <f t="shared" si="42"/>
        <v>297519621.10719562</v>
      </c>
      <c r="Y501" s="159">
        <f t="shared" si="42"/>
        <v>56353.394762542172</v>
      </c>
    </row>
    <row r="502" spans="2:25" x14ac:dyDescent="0.25">
      <c r="B502" s="159">
        <v>462</v>
      </c>
      <c r="C502" s="164">
        <v>319992881.26962024</v>
      </c>
      <c r="D502" s="159">
        <v>114237.25552432123</v>
      </c>
      <c r="E502" s="164">
        <v>9654572.7949382309</v>
      </c>
      <c r="F502" s="159">
        <v>0</v>
      </c>
      <c r="I502" s="159">
        <v>462</v>
      </c>
      <c r="J502" s="164">
        <v>319992881.26962024</v>
      </c>
      <c r="K502" s="159">
        <v>114237.25552432123</v>
      </c>
      <c r="L502" s="164">
        <v>9654572.7949382309</v>
      </c>
      <c r="M502" s="159">
        <v>0</v>
      </c>
      <c r="Q502" s="139">
        <v>462</v>
      </c>
      <c r="R502" s="164">
        <f t="shared" si="39"/>
        <v>1545999108.6462512</v>
      </c>
      <c r="S502" s="164">
        <f t="shared" si="40"/>
        <v>-9654572.7949382309</v>
      </c>
      <c r="T502" s="159" t="str">
        <f t="shared" si="41"/>
        <v>TxPost-vaccination</v>
      </c>
      <c r="W502" s="139">
        <v>462</v>
      </c>
      <c r="X502" s="164">
        <f t="shared" si="42"/>
        <v>310338308.47468203</v>
      </c>
      <c r="Y502" s="159">
        <f t="shared" si="42"/>
        <v>114237.25552432123</v>
      </c>
    </row>
    <row r="503" spans="2:25" x14ac:dyDescent="0.25">
      <c r="B503" s="159">
        <v>463</v>
      </c>
      <c r="C503" s="164">
        <v>305011788.79496378</v>
      </c>
      <c r="D503" s="159">
        <v>115546.98221166148</v>
      </c>
      <c r="E503" s="164">
        <v>9940657.1561216749</v>
      </c>
      <c r="F503" s="159">
        <v>0</v>
      </c>
      <c r="I503" s="159">
        <v>463</v>
      </c>
      <c r="J503" s="164">
        <v>305011788.79496378</v>
      </c>
      <c r="K503" s="159">
        <v>115546.98221166148</v>
      </c>
      <c r="L503" s="164">
        <v>9940657.1561216749</v>
      </c>
      <c r="M503" s="159">
        <v>0</v>
      </c>
      <c r="Q503" s="139">
        <v>463</v>
      </c>
      <c r="R503" s="164">
        <f t="shared" si="39"/>
        <v>1582373742.9767485</v>
      </c>
      <c r="S503" s="164">
        <f t="shared" si="40"/>
        <v>-9940657.1561216749</v>
      </c>
      <c r="T503" s="159" t="str">
        <f t="shared" si="41"/>
        <v>TxPost-vaccination</v>
      </c>
      <c r="W503" s="139">
        <v>463</v>
      </c>
      <c r="X503" s="164">
        <f t="shared" si="42"/>
        <v>295071131.63884211</v>
      </c>
      <c r="Y503" s="159">
        <f t="shared" si="42"/>
        <v>115546.98221166148</v>
      </c>
    </row>
    <row r="504" spans="2:25" x14ac:dyDescent="0.25">
      <c r="B504" s="159">
        <v>464</v>
      </c>
      <c r="C504" s="164">
        <v>334504865.27523696</v>
      </c>
      <c r="D504" s="159">
        <v>129506.19713338111</v>
      </c>
      <c r="E504" s="164">
        <v>11218798.04717529</v>
      </c>
      <c r="F504" s="159">
        <v>0</v>
      </c>
      <c r="I504" s="159">
        <v>464</v>
      </c>
      <c r="J504" s="164">
        <v>334504865.27523696</v>
      </c>
      <c r="K504" s="159">
        <v>129506.19713338111</v>
      </c>
      <c r="L504" s="164">
        <v>11218798.04717529</v>
      </c>
      <c r="M504" s="159">
        <v>0</v>
      </c>
      <c r="Q504" s="139">
        <v>464</v>
      </c>
      <c r="R504" s="164">
        <f t="shared" si="39"/>
        <v>1780895451.2520261</v>
      </c>
      <c r="S504" s="164">
        <f t="shared" si="40"/>
        <v>-11218798.04717529</v>
      </c>
      <c r="T504" s="159" t="str">
        <f t="shared" si="41"/>
        <v>TxPost-vaccination</v>
      </c>
      <c r="W504" s="139">
        <v>464</v>
      </c>
      <c r="X504" s="164">
        <f t="shared" si="42"/>
        <v>323286067.22806168</v>
      </c>
      <c r="Y504" s="159">
        <f t="shared" si="42"/>
        <v>129506.19713338111</v>
      </c>
    </row>
    <row r="505" spans="2:25" x14ac:dyDescent="0.25">
      <c r="B505" s="159">
        <v>465</v>
      </c>
      <c r="C505" s="164">
        <v>321370179.63463557</v>
      </c>
      <c r="D505" s="159">
        <v>104025.25110171901</v>
      </c>
      <c r="E505" s="164">
        <v>9041824.3793816362</v>
      </c>
      <c r="F505" s="159">
        <v>0</v>
      </c>
      <c r="I505" s="159">
        <v>465</v>
      </c>
      <c r="J505" s="164">
        <v>321370179.63463557</v>
      </c>
      <c r="K505" s="159">
        <v>104025.25110171901</v>
      </c>
      <c r="L505" s="164">
        <v>9041824.3793816362</v>
      </c>
      <c r="M505" s="159">
        <v>0</v>
      </c>
      <c r="Q505" s="139">
        <v>465</v>
      </c>
      <c r="R505" s="164">
        <f t="shared" si="39"/>
        <v>1377815295.4879575</v>
      </c>
      <c r="S505" s="164">
        <f t="shared" si="40"/>
        <v>-9041824.3793816362</v>
      </c>
      <c r="T505" s="159" t="str">
        <f t="shared" si="41"/>
        <v>TxPost-vaccination</v>
      </c>
      <c r="W505" s="139">
        <v>465</v>
      </c>
      <c r="X505" s="164">
        <f t="shared" si="42"/>
        <v>312328355.25525391</v>
      </c>
      <c r="Y505" s="159">
        <f t="shared" si="42"/>
        <v>104025.25110171901</v>
      </c>
    </row>
    <row r="506" spans="2:25" x14ac:dyDescent="0.25">
      <c r="B506" s="159">
        <v>466</v>
      </c>
      <c r="C506" s="164">
        <v>299097063.25675404</v>
      </c>
      <c r="D506" s="159">
        <v>78414.648536790453</v>
      </c>
      <c r="E506" s="164">
        <v>7205486.2525439532</v>
      </c>
      <c r="F506" s="159">
        <v>0</v>
      </c>
      <c r="I506" s="159">
        <v>466</v>
      </c>
      <c r="J506" s="164">
        <v>299097063.25675404</v>
      </c>
      <c r="K506" s="159">
        <v>78414.648536790453</v>
      </c>
      <c r="L506" s="164">
        <v>7205486.2525439532</v>
      </c>
      <c r="M506" s="159">
        <v>0</v>
      </c>
      <c r="Q506" s="139">
        <v>466</v>
      </c>
      <c r="R506" s="164">
        <f t="shared" si="39"/>
        <v>981755714.5007385</v>
      </c>
      <c r="S506" s="164">
        <f t="shared" si="40"/>
        <v>-7205486.2525439532</v>
      </c>
      <c r="T506" s="159" t="str">
        <f t="shared" si="41"/>
        <v>TxPost-vaccination</v>
      </c>
      <c r="W506" s="139">
        <v>466</v>
      </c>
      <c r="X506" s="164">
        <f t="shared" si="42"/>
        <v>291891577.00421011</v>
      </c>
      <c r="Y506" s="159">
        <f t="shared" si="42"/>
        <v>78414.648536790453</v>
      </c>
    </row>
    <row r="507" spans="2:25" x14ac:dyDescent="0.25">
      <c r="B507" s="159">
        <v>467</v>
      </c>
      <c r="C507" s="164">
        <v>272039098.34048104</v>
      </c>
      <c r="D507" s="159">
        <v>62363.944606734629</v>
      </c>
      <c r="E507" s="164">
        <v>5803589.3533470538</v>
      </c>
      <c r="F507" s="159">
        <v>0</v>
      </c>
      <c r="I507" s="159">
        <v>467</v>
      </c>
      <c r="J507" s="164">
        <v>272039098.34048104</v>
      </c>
      <c r="K507" s="159">
        <v>62363.944606734629</v>
      </c>
      <c r="L507" s="164">
        <v>5803589.3533470538</v>
      </c>
      <c r="M507" s="159">
        <v>0</v>
      </c>
      <c r="Q507" s="139">
        <v>467</v>
      </c>
      <c r="R507" s="164">
        <f t="shared" si="39"/>
        <v>746635768.81744456</v>
      </c>
      <c r="S507" s="164">
        <f t="shared" si="40"/>
        <v>-5803589.3533470538</v>
      </c>
      <c r="T507" s="159" t="str">
        <f t="shared" si="41"/>
        <v>TxPost-vaccination</v>
      </c>
      <c r="W507" s="139">
        <v>467</v>
      </c>
      <c r="X507" s="164">
        <f t="shared" si="42"/>
        <v>266235508.98713398</v>
      </c>
      <c r="Y507" s="159">
        <f t="shared" si="42"/>
        <v>62363.944606734629</v>
      </c>
    </row>
    <row r="508" spans="2:25" x14ac:dyDescent="0.25">
      <c r="B508" s="159">
        <v>468</v>
      </c>
      <c r="C508" s="164">
        <v>286747049.75309277</v>
      </c>
      <c r="D508" s="159">
        <v>124077.35478585506</v>
      </c>
      <c r="E508" s="164">
        <v>10450584.228161573</v>
      </c>
      <c r="F508" s="159">
        <v>0</v>
      </c>
      <c r="I508" s="159">
        <v>468</v>
      </c>
      <c r="J508" s="164">
        <v>286747049.75309277</v>
      </c>
      <c r="K508" s="159">
        <v>124077.35478585506</v>
      </c>
      <c r="L508" s="164">
        <v>10450584.228161573</v>
      </c>
      <c r="M508" s="159">
        <v>0</v>
      </c>
      <c r="Q508" s="139">
        <v>468</v>
      </c>
      <c r="R508" s="164">
        <f t="shared" si="39"/>
        <v>1739976623.6903999</v>
      </c>
      <c r="S508" s="164">
        <f t="shared" si="40"/>
        <v>-10450584.228161573</v>
      </c>
      <c r="T508" s="159" t="str">
        <f t="shared" si="41"/>
        <v>TxPost-vaccination</v>
      </c>
      <c r="W508" s="139">
        <v>468</v>
      </c>
      <c r="X508" s="164">
        <f t="shared" si="42"/>
        <v>276296465.52493119</v>
      </c>
      <c r="Y508" s="159">
        <f t="shared" si="42"/>
        <v>124077.35478585506</v>
      </c>
    </row>
    <row r="509" spans="2:25" x14ac:dyDescent="0.25">
      <c r="B509" s="159">
        <v>469</v>
      </c>
      <c r="C509" s="164">
        <v>295529698.48315781</v>
      </c>
      <c r="D509" s="159">
        <v>99539.614345773531</v>
      </c>
      <c r="E509" s="164">
        <v>8440798.5291724522</v>
      </c>
      <c r="F509" s="159">
        <v>0</v>
      </c>
      <c r="I509" s="159">
        <v>469</v>
      </c>
      <c r="J509" s="164">
        <v>295529698.48315781</v>
      </c>
      <c r="K509" s="159">
        <v>99539.614345773531</v>
      </c>
      <c r="L509" s="164">
        <v>8440798.5291724522</v>
      </c>
      <c r="M509" s="159">
        <v>0</v>
      </c>
      <c r="Q509" s="139">
        <v>469</v>
      </c>
      <c r="R509" s="164">
        <f t="shared" si="39"/>
        <v>1330385789.3848443</v>
      </c>
      <c r="S509" s="164">
        <f t="shared" si="40"/>
        <v>-8440798.5291724522</v>
      </c>
      <c r="T509" s="159" t="str">
        <f t="shared" si="41"/>
        <v>TxPost-vaccination</v>
      </c>
      <c r="W509" s="139">
        <v>469</v>
      </c>
      <c r="X509" s="164">
        <f t="shared" si="42"/>
        <v>287088899.95398533</v>
      </c>
      <c r="Y509" s="159">
        <f t="shared" si="42"/>
        <v>99539.614345773531</v>
      </c>
    </row>
    <row r="510" spans="2:25" x14ac:dyDescent="0.25">
      <c r="B510" s="159">
        <v>470</v>
      </c>
      <c r="C510" s="164">
        <v>315702266.28779197</v>
      </c>
      <c r="D510" s="159">
        <v>114455.15307800678</v>
      </c>
      <c r="E510" s="164">
        <v>8666903.0786770862</v>
      </c>
      <c r="F510" s="159">
        <v>0</v>
      </c>
      <c r="I510" s="159">
        <v>470</v>
      </c>
      <c r="J510" s="164">
        <v>315702266.28779197</v>
      </c>
      <c r="K510" s="159">
        <v>114455.15307800678</v>
      </c>
      <c r="L510" s="164">
        <v>8666903.0786770862</v>
      </c>
      <c r="M510" s="159">
        <v>0</v>
      </c>
      <c r="Q510" s="139">
        <v>470</v>
      </c>
      <c r="R510" s="164">
        <f t="shared" si="39"/>
        <v>1553848939.8218977</v>
      </c>
      <c r="S510" s="164">
        <f t="shared" si="40"/>
        <v>-8666903.0786770862</v>
      </c>
      <c r="T510" s="159" t="str">
        <f t="shared" si="41"/>
        <v>TxPost-vaccination</v>
      </c>
      <c r="W510" s="139">
        <v>470</v>
      </c>
      <c r="X510" s="164">
        <f t="shared" si="42"/>
        <v>307035363.20911491</v>
      </c>
      <c r="Y510" s="159">
        <f t="shared" si="42"/>
        <v>114455.15307800678</v>
      </c>
    </row>
    <row r="511" spans="2:25" x14ac:dyDescent="0.25">
      <c r="B511" s="159">
        <v>471</v>
      </c>
      <c r="C511" s="164">
        <v>287071046.97558302</v>
      </c>
      <c r="D511" s="159">
        <v>67336.45590635296</v>
      </c>
      <c r="E511" s="164">
        <v>6856621.9159473395</v>
      </c>
      <c r="F511" s="159">
        <v>0</v>
      </c>
      <c r="I511" s="159">
        <v>471</v>
      </c>
      <c r="J511" s="164">
        <v>287071046.97558302</v>
      </c>
      <c r="K511" s="159">
        <v>67336.45590635296</v>
      </c>
      <c r="L511" s="164">
        <v>6856621.9159473395</v>
      </c>
      <c r="M511" s="159">
        <v>0</v>
      </c>
      <c r="Q511" s="139">
        <v>471</v>
      </c>
      <c r="R511" s="164">
        <f t="shared" si="39"/>
        <v>812826589.5168047</v>
      </c>
      <c r="S511" s="164">
        <f t="shared" si="40"/>
        <v>-6856621.9159473395</v>
      </c>
      <c r="T511" s="159" t="str">
        <f t="shared" si="41"/>
        <v>TxPost-vaccination</v>
      </c>
      <c r="W511" s="139">
        <v>471</v>
      </c>
      <c r="X511" s="164">
        <f t="shared" si="42"/>
        <v>280214425.0596357</v>
      </c>
      <c r="Y511" s="159">
        <f t="shared" si="42"/>
        <v>67336.45590635296</v>
      </c>
    </row>
    <row r="512" spans="2:25" x14ac:dyDescent="0.25">
      <c r="B512" s="159">
        <v>472</v>
      </c>
      <c r="C512" s="164">
        <v>331648530.44892293</v>
      </c>
      <c r="D512" s="159">
        <v>71927.93526976151</v>
      </c>
      <c r="E512" s="164">
        <v>7278804.4143678416</v>
      </c>
      <c r="F512" s="159">
        <v>0</v>
      </c>
      <c r="I512" s="159">
        <v>472</v>
      </c>
      <c r="J512" s="164">
        <v>331648530.44892293</v>
      </c>
      <c r="K512" s="159">
        <v>71927.93526976151</v>
      </c>
      <c r="L512" s="164">
        <v>7278804.4143678416</v>
      </c>
      <c r="M512" s="159">
        <v>0</v>
      </c>
      <c r="Q512" s="139">
        <v>472</v>
      </c>
      <c r="R512" s="164">
        <f t="shared" si="39"/>
        <v>843247964.11880016</v>
      </c>
      <c r="S512" s="164">
        <f t="shared" si="40"/>
        <v>-7278804.4143678416</v>
      </c>
      <c r="T512" s="159" t="str">
        <f t="shared" si="41"/>
        <v>TxPost-vaccination</v>
      </c>
      <c r="W512" s="139">
        <v>472</v>
      </c>
      <c r="X512" s="164">
        <f t="shared" si="42"/>
        <v>324369726.03455508</v>
      </c>
      <c r="Y512" s="159">
        <f t="shared" si="42"/>
        <v>71927.93526976151</v>
      </c>
    </row>
    <row r="513" spans="2:25" x14ac:dyDescent="0.25">
      <c r="B513" s="159">
        <v>473</v>
      </c>
      <c r="C513" s="164">
        <v>285252333.10758263</v>
      </c>
      <c r="D513" s="159">
        <v>88375.706413760214</v>
      </c>
      <c r="E513" s="164">
        <v>7404242.7811358012</v>
      </c>
      <c r="F513" s="159">
        <v>0</v>
      </c>
      <c r="I513" s="159">
        <v>473</v>
      </c>
      <c r="J513" s="164">
        <v>285252333.10758263</v>
      </c>
      <c r="K513" s="159">
        <v>88375.706413760214</v>
      </c>
      <c r="L513" s="164">
        <v>7404242.7811358012</v>
      </c>
      <c r="M513" s="159">
        <v>0</v>
      </c>
      <c r="Q513" s="139">
        <v>473</v>
      </c>
      <c r="R513" s="164">
        <f t="shared" si="39"/>
        <v>1158307909.2524426</v>
      </c>
      <c r="S513" s="164">
        <f t="shared" si="40"/>
        <v>-7404242.7811358012</v>
      </c>
      <c r="T513" s="159" t="str">
        <f t="shared" si="41"/>
        <v>TxPost-vaccination</v>
      </c>
      <c r="W513" s="139">
        <v>473</v>
      </c>
      <c r="X513" s="164">
        <f t="shared" si="42"/>
        <v>277848090.32644683</v>
      </c>
      <c r="Y513" s="159">
        <f t="shared" si="42"/>
        <v>88375.706413760214</v>
      </c>
    </row>
    <row r="514" spans="2:25" x14ac:dyDescent="0.25">
      <c r="B514" s="159">
        <v>474</v>
      </c>
      <c r="C514" s="164">
        <v>303833353.14650714</v>
      </c>
      <c r="D514" s="159">
        <v>72628.627249812955</v>
      </c>
      <c r="E514" s="164">
        <v>6117497.5869472427</v>
      </c>
      <c r="F514" s="159">
        <v>0</v>
      </c>
      <c r="I514" s="159">
        <v>474</v>
      </c>
      <c r="J514" s="164">
        <v>303833353.14650714</v>
      </c>
      <c r="K514" s="159">
        <v>72628.627249812955</v>
      </c>
      <c r="L514" s="164">
        <v>6117497.5869472427</v>
      </c>
      <c r="M514" s="159">
        <v>0</v>
      </c>
      <c r="Q514" s="139">
        <v>474</v>
      </c>
      <c r="R514" s="164">
        <f t="shared" si="39"/>
        <v>882508493.60665882</v>
      </c>
      <c r="S514" s="164">
        <f t="shared" si="40"/>
        <v>-6117497.5869472427</v>
      </c>
      <c r="T514" s="159" t="str">
        <f t="shared" si="41"/>
        <v>TxPost-vaccination</v>
      </c>
      <c r="W514" s="139">
        <v>474</v>
      </c>
      <c r="X514" s="164">
        <f t="shared" si="42"/>
        <v>297715855.55955988</v>
      </c>
      <c r="Y514" s="159">
        <f t="shared" si="42"/>
        <v>72628.627249812955</v>
      </c>
    </row>
    <row r="515" spans="2:25" x14ac:dyDescent="0.25">
      <c r="B515" s="159">
        <v>475</v>
      </c>
      <c r="C515" s="164">
        <v>304335611.48349983</v>
      </c>
      <c r="D515" s="159">
        <v>80399.254205275429</v>
      </c>
      <c r="E515" s="164">
        <v>7752217.5945001384</v>
      </c>
      <c r="F515" s="159">
        <v>0</v>
      </c>
      <c r="I515" s="159">
        <v>475</v>
      </c>
      <c r="J515" s="164">
        <v>304335611.48349983</v>
      </c>
      <c r="K515" s="159">
        <v>80399.254205275429</v>
      </c>
      <c r="L515" s="164">
        <v>7752217.5945001384</v>
      </c>
      <c r="M515" s="159">
        <v>0</v>
      </c>
      <c r="Q515" s="139">
        <v>475</v>
      </c>
      <c r="R515" s="164">
        <f t="shared" si="39"/>
        <v>1008934421.6040297</v>
      </c>
      <c r="S515" s="164">
        <f t="shared" si="40"/>
        <v>-7752217.5945001384</v>
      </c>
      <c r="T515" s="159" t="str">
        <f t="shared" si="41"/>
        <v>TxPost-vaccination</v>
      </c>
      <c r="W515" s="139">
        <v>475</v>
      </c>
      <c r="X515" s="164">
        <f t="shared" si="42"/>
        <v>296583393.8889997</v>
      </c>
      <c r="Y515" s="159">
        <f t="shared" si="42"/>
        <v>80399.254205275429</v>
      </c>
    </row>
    <row r="516" spans="2:25" x14ac:dyDescent="0.25">
      <c r="B516" s="159">
        <v>476</v>
      </c>
      <c r="C516" s="164">
        <v>314001325.77648723</v>
      </c>
      <c r="D516" s="159">
        <v>66308.415364790213</v>
      </c>
      <c r="E516" s="164">
        <v>7295011.65726035</v>
      </c>
      <c r="F516" s="159">
        <v>0</v>
      </c>
      <c r="I516" s="159">
        <v>476</v>
      </c>
      <c r="J516" s="164">
        <v>314001325.77648723</v>
      </c>
      <c r="K516" s="159">
        <v>66308.415364790213</v>
      </c>
      <c r="L516" s="164">
        <v>7295011.65726035</v>
      </c>
      <c r="M516" s="159">
        <v>0</v>
      </c>
      <c r="Q516" s="139">
        <v>476</v>
      </c>
      <c r="R516" s="164">
        <f t="shared" si="39"/>
        <v>769103930.62010562</v>
      </c>
      <c r="S516" s="164">
        <f t="shared" si="40"/>
        <v>-7295011.65726035</v>
      </c>
      <c r="T516" s="159" t="str">
        <f t="shared" si="41"/>
        <v>TxPost-vaccination</v>
      </c>
      <c r="W516" s="139">
        <v>476</v>
      </c>
      <c r="X516" s="164">
        <f t="shared" si="42"/>
        <v>306706314.11922687</v>
      </c>
      <c r="Y516" s="159">
        <f t="shared" si="42"/>
        <v>66308.415364790213</v>
      </c>
    </row>
    <row r="517" spans="2:25" x14ac:dyDescent="0.25">
      <c r="B517" s="159">
        <v>477</v>
      </c>
      <c r="C517" s="164">
        <v>310141394.13973516</v>
      </c>
      <c r="D517" s="159">
        <v>71837.426549946831</v>
      </c>
      <c r="E517" s="164">
        <v>6493455.2769591575</v>
      </c>
      <c r="F517" s="159">
        <v>0</v>
      </c>
      <c r="I517" s="159">
        <v>477</v>
      </c>
      <c r="J517" s="164">
        <v>310141394.13973516</v>
      </c>
      <c r="K517" s="159">
        <v>71837.426549946831</v>
      </c>
      <c r="L517" s="164">
        <v>6493455.2769591575</v>
      </c>
      <c r="M517" s="159">
        <v>0</v>
      </c>
      <c r="Q517" s="139">
        <v>477</v>
      </c>
      <c r="R517" s="164">
        <f t="shared" si="39"/>
        <v>863276698.78557634</v>
      </c>
      <c r="S517" s="164">
        <f t="shared" si="40"/>
        <v>-6493455.2769591575</v>
      </c>
      <c r="T517" s="159" t="str">
        <f t="shared" si="41"/>
        <v>TxPost-vaccination</v>
      </c>
      <c r="W517" s="139">
        <v>477</v>
      </c>
      <c r="X517" s="164">
        <f t="shared" si="42"/>
        <v>303647938.86277598</v>
      </c>
      <c r="Y517" s="159">
        <f t="shared" si="42"/>
        <v>71837.426549946831</v>
      </c>
    </row>
    <row r="518" spans="2:25" x14ac:dyDescent="0.25">
      <c r="B518" s="159">
        <v>478</v>
      </c>
      <c r="C518" s="164">
        <v>307190702.68658412</v>
      </c>
      <c r="D518" s="159">
        <v>104406.94586117726</v>
      </c>
      <c r="E518" s="164">
        <v>9532368.3978033848</v>
      </c>
      <c r="F518" s="159">
        <v>0</v>
      </c>
      <c r="I518" s="159">
        <v>478</v>
      </c>
      <c r="J518" s="164">
        <v>307190702.68658412</v>
      </c>
      <c r="K518" s="159">
        <v>104406.94586117726</v>
      </c>
      <c r="L518" s="164">
        <v>9532368.3978033848</v>
      </c>
      <c r="M518" s="159">
        <v>0</v>
      </c>
      <c r="Q518" s="139">
        <v>478</v>
      </c>
      <c r="R518" s="164">
        <f t="shared" si="39"/>
        <v>1398229510.4859819</v>
      </c>
      <c r="S518" s="164">
        <f t="shared" si="40"/>
        <v>-9532368.3978033848</v>
      </c>
      <c r="T518" s="159" t="str">
        <f t="shared" si="41"/>
        <v>TxPost-vaccination</v>
      </c>
      <c r="W518" s="139">
        <v>478</v>
      </c>
      <c r="X518" s="164">
        <f t="shared" si="42"/>
        <v>297658334.28878075</v>
      </c>
      <c r="Y518" s="159">
        <f t="shared" si="42"/>
        <v>104406.94586117726</v>
      </c>
    </row>
    <row r="519" spans="2:25" x14ac:dyDescent="0.25">
      <c r="B519" s="159">
        <v>479</v>
      </c>
      <c r="C519" s="164">
        <v>291671853.7593661</v>
      </c>
      <c r="D519" s="159">
        <v>104696.97231808834</v>
      </c>
      <c r="E519" s="164">
        <v>8686850.1068291981</v>
      </c>
      <c r="F519" s="159">
        <v>0</v>
      </c>
      <c r="I519" s="159">
        <v>479</v>
      </c>
      <c r="J519" s="164">
        <v>291671853.7593661</v>
      </c>
      <c r="K519" s="159">
        <v>104696.97231808834</v>
      </c>
      <c r="L519" s="164">
        <v>8686850.1068291981</v>
      </c>
      <c r="M519" s="159">
        <v>0</v>
      </c>
      <c r="Q519" s="139">
        <v>479</v>
      </c>
      <c r="R519" s="164">
        <f t="shared" si="39"/>
        <v>1418485754.7837019</v>
      </c>
      <c r="S519" s="164">
        <f t="shared" si="40"/>
        <v>-8686850.1068291981</v>
      </c>
      <c r="T519" s="159" t="str">
        <f t="shared" si="41"/>
        <v>TxPost-vaccination</v>
      </c>
      <c r="W519" s="139">
        <v>479</v>
      </c>
      <c r="X519" s="164">
        <f t="shared" si="42"/>
        <v>282985003.65253687</v>
      </c>
      <c r="Y519" s="159">
        <f t="shared" si="42"/>
        <v>104696.97231808834</v>
      </c>
    </row>
    <row r="520" spans="2:25" x14ac:dyDescent="0.25">
      <c r="B520" s="159">
        <v>480</v>
      </c>
      <c r="C520" s="164">
        <v>313208308.13534051</v>
      </c>
      <c r="D520" s="159">
        <v>73040.422739104164</v>
      </c>
      <c r="E520" s="164">
        <v>6241790.8860654216</v>
      </c>
      <c r="F520" s="159">
        <v>0</v>
      </c>
      <c r="I520" s="159">
        <v>480</v>
      </c>
      <c r="J520" s="164">
        <v>313208308.13534051</v>
      </c>
      <c r="K520" s="159">
        <v>73040.422739104164</v>
      </c>
      <c r="L520" s="164">
        <v>6241790.8860654216</v>
      </c>
      <c r="M520" s="159">
        <v>0</v>
      </c>
      <c r="Q520" s="139">
        <v>480</v>
      </c>
      <c r="R520" s="164">
        <f t="shared" si="39"/>
        <v>879859952.70204067</v>
      </c>
      <c r="S520" s="164">
        <f t="shared" si="40"/>
        <v>-6241790.8860654216</v>
      </c>
      <c r="T520" s="159" t="str">
        <f t="shared" si="41"/>
        <v>TxPost-vaccination</v>
      </c>
      <c r="W520" s="139">
        <v>480</v>
      </c>
      <c r="X520" s="164">
        <f t="shared" si="42"/>
        <v>306966517.24927509</v>
      </c>
      <c r="Y520" s="159">
        <f t="shared" si="42"/>
        <v>73040.422739104164</v>
      </c>
    </row>
    <row r="521" spans="2:25" x14ac:dyDescent="0.25">
      <c r="B521" s="159">
        <v>481</v>
      </c>
      <c r="C521" s="164">
        <v>297686844.92605186</v>
      </c>
      <c r="D521" s="159">
        <v>97587.207761853206</v>
      </c>
      <c r="E521" s="164">
        <v>8566265.4009446464</v>
      </c>
      <c r="F521" s="159">
        <v>0</v>
      </c>
      <c r="I521" s="159">
        <v>481</v>
      </c>
      <c r="J521" s="164">
        <v>297686844.92605186</v>
      </c>
      <c r="K521" s="159">
        <v>97587.207761853206</v>
      </c>
      <c r="L521" s="164">
        <v>8566265.4009446464</v>
      </c>
      <c r="M521" s="159">
        <v>0</v>
      </c>
      <c r="Q521" s="139">
        <v>481</v>
      </c>
      <c r="R521" s="164">
        <f t="shared" si="39"/>
        <v>1296337338.9191685</v>
      </c>
      <c r="S521" s="164">
        <f t="shared" si="40"/>
        <v>-8566265.4009446464</v>
      </c>
      <c r="T521" s="159" t="str">
        <f t="shared" si="41"/>
        <v>TxPost-vaccination</v>
      </c>
      <c r="W521" s="139">
        <v>481</v>
      </c>
      <c r="X521" s="164">
        <f t="shared" si="42"/>
        <v>289120579.5251072</v>
      </c>
      <c r="Y521" s="159">
        <f t="shared" si="42"/>
        <v>97587.207761853206</v>
      </c>
    </row>
    <row r="522" spans="2:25" x14ac:dyDescent="0.25">
      <c r="B522" s="159">
        <v>482</v>
      </c>
      <c r="C522" s="164">
        <v>350320457.07447588</v>
      </c>
      <c r="D522" s="159">
        <v>65095.314424559176</v>
      </c>
      <c r="E522" s="164">
        <v>7262487.0767961415</v>
      </c>
      <c r="F522" s="159">
        <v>0</v>
      </c>
      <c r="I522" s="159">
        <v>482</v>
      </c>
      <c r="J522" s="164">
        <v>350320457.07447588</v>
      </c>
      <c r="K522" s="159">
        <v>65095.314424559176</v>
      </c>
      <c r="L522" s="164">
        <v>7262487.0767961415</v>
      </c>
      <c r="M522" s="159">
        <v>0</v>
      </c>
      <c r="Q522" s="139">
        <v>482</v>
      </c>
      <c r="R522" s="164">
        <f t="shared" si="39"/>
        <v>712969576.80962753</v>
      </c>
      <c r="S522" s="164">
        <f t="shared" si="40"/>
        <v>-7262487.0767961415</v>
      </c>
      <c r="T522" s="159" t="str">
        <f t="shared" si="41"/>
        <v>TxPost-vaccination</v>
      </c>
      <c r="W522" s="139">
        <v>482</v>
      </c>
      <c r="X522" s="164">
        <f t="shared" si="42"/>
        <v>343057969.99767977</v>
      </c>
      <c r="Y522" s="159">
        <f t="shared" si="42"/>
        <v>65095.314424559176</v>
      </c>
    </row>
    <row r="523" spans="2:25" x14ac:dyDescent="0.25">
      <c r="B523" s="159">
        <v>483</v>
      </c>
      <c r="C523" s="164">
        <v>308821311.23878413</v>
      </c>
      <c r="D523" s="159">
        <v>103788.801233677</v>
      </c>
      <c r="E523" s="164">
        <v>8993218.4531259257</v>
      </c>
      <c r="F523" s="159">
        <v>0</v>
      </c>
      <c r="I523" s="159">
        <v>483</v>
      </c>
      <c r="J523" s="164">
        <v>308821311.23878413</v>
      </c>
      <c r="K523" s="159">
        <v>103788.801233677</v>
      </c>
      <c r="L523" s="164">
        <v>8993218.4531259257</v>
      </c>
      <c r="M523" s="159">
        <v>0</v>
      </c>
      <c r="Q523" s="139">
        <v>483</v>
      </c>
      <c r="R523" s="164">
        <f t="shared" si="39"/>
        <v>1386501907.5843384</v>
      </c>
      <c r="S523" s="164">
        <f t="shared" si="40"/>
        <v>-8993218.4531259257</v>
      </c>
      <c r="T523" s="159" t="str">
        <f t="shared" si="41"/>
        <v>TxPost-vaccination</v>
      </c>
      <c r="W523" s="139">
        <v>483</v>
      </c>
      <c r="X523" s="164">
        <f t="shared" si="42"/>
        <v>299828092.78565818</v>
      </c>
      <c r="Y523" s="159">
        <f t="shared" si="42"/>
        <v>103788.801233677</v>
      </c>
    </row>
    <row r="524" spans="2:25" x14ac:dyDescent="0.25">
      <c r="B524" s="159">
        <v>484</v>
      </c>
      <c r="C524" s="164">
        <v>321112569.68247628</v>
      </c>
      <c r="D524" s="159">
        <v>95099.980962882837</v>
      </c>
      <c r="E524" s="164">
        <v>8841129.2916065287</v>
      </c>
      <c r="F524" s="159">
        <v>0</v>
      </c>
      <c r="I524" s="159">
        <v>484</v>
      </c>
      <c r="J524" s="164">
        <v>321112569.68247628</v>
      </c>
      <c r="K524" s="159">
        <v>95099.980962882837</v>
      </c>
      <c r="L524" s="164">
        <v>8841129.2916065287</v>
      </c>
      <c r="M524" s="159">
        <v>0</v>
      </c>
      <c r="Q524" s="139">
        <v>484</v>
      </c>
      <c r="R524" s="164">
        <f t="shared" si="39"/>
        <v>1232284366.3994722</v>
      </c>
      <c r="S524" s="164">
        <f t="shared" si="40"/>
        <v>-8841129.2916065287</v>
      </c>
      <c r="T524" s="159" t="str">
        <f t="shared" si="41"/>
        <v>TxPost-vaccination</v>
      </c>
      <c r="W524" s="139">
        <v>484</v>
      </c>
      <c r="X524" s="164">
        <f t="shared" si="42"/>
        <v>312271440.39086974</v>
      </c>
      <c r="Y524" s="159">
        <f t="shared" si="42"/>
        <v>95099.980962882837</v>
      </c>
    </row>
    <row r="525" spans="2:25" x14ac:dyDescent="0.25">
      <c r="B525" s="159">
        <v>485</v>
      </c>
      <c r="C525" s="164">
        <v>307149037.90674841</v>
      </c>
      <c r="D525" s="159">
        <v>105241.12123856609</v>
      </c>
      <c r="E525" s="164">
        <v>7576700.3262092276</v>
      </c>
      <c r="F525" s="159">
        <v>0</v>
      </c>
      <c r="I525" s="159">
        <v>485</v>
      </c>
      <c r="J525" s="164">
        <v>307149037.90674841</v>
      </c>
      <c r="K525" s="159">
        <v>105241.12123856609</v>
      </c>
      <c r="L525" s="164">
        <v>7576700.3262092276</v>
      </c>
      <c r="M525" s="159">
        <v>0</v>
      </c>
      <c r="Q525" s="139">
        <v>485</v>
      </c>
      <c r="R525" s="164">
        <f t="shared" si="39"/>
        <v>1411896892.7714453</v>
      </c>
      <c r="S525" s="164">
        <f t="shared" si="40"/>
        <v>-7576700.3262092276</v>
      </c>
      <c r="T525" s="159" t="str">
        <f t="shared" si="41"/>
        <v>TxPost-vaccination</v>
      </c>
      <c r="W525" s="139">
        <v>485</v>
      </c>
      <c r="X525" s="164">
        <f t="shared" si="42"/>
        <v>299572337.58053917</v>
      </c>
      <c r="Y525" s="159">
        <f t="shared" si="42"/>
        <v>105241.12123856609</v>
      </c>
    </row>
    <row r="526" spans="2:25" x14ac:dyDescent="0.25">
      <c r="B526" s="159">
        <v>486</v>
      </c>
      <c r="C526" s="164">
        <v>319699074.17913961</v>
      </c>
      <c r="D526" s="159">
        <v>77504.120503799175</v>
      </c>
      <c r="E526" s="164">
        <v>6885360.4262160156</v>
      </c>
      <c r="F526" s="159">
        <v>0</v>
      </c>
      <c r="I526" s="159">
        <v>486</v>
      </c>
      <c r="J526" s="164">
        <v>319699074.17913961</v>
      </c>
      <c r="K526" s="159">
        <v>77504.120503799175</v>
      </c>
      <c r="L526" s="164">
        <v>6885360.4262160156</v>
      </c>
      <c r="M526" s="159">
        <v>0</v>
      </c>
      <c r="Q526" s="139">
        <v>486</v>
      </c>
      <c r="R526" s="164">
        <f t="shared" si="39"/>
        <v>946280814.62144113</v>
      </c>
      <c r="S526" s="164">
        <f t="shared" si="40"/>
        <v>-6885360.4262160156</v>
      </c>
      <c r="T526" s="159" t="str">
        <f t="shared" si="41"/>
        <v>TxPost-vaccination</v>
      </c>
      <c r="W526" s="139">
        <v>486</v>
      </c>
      <c r="X526" s="164">
        <f t="shared" si="42"/>
        <v>312813713.75292361</v>
      </c>
      <c r="Y526" s="159">
        <f t="shared" si="42"/>
        <v>77504.120503799175</v>
      </c>
    </row>
    <row r="527" spans="2:25" x14ac:dyDescent="0.25">
      <c r="B527" s="159">
        <v>487</v>
      </c>
      <c r="C527" s="164">
        <v>302847337.75461257</v>
      </c>
      <c r="D527" s="159">
        <v>80656.185387734993</v>
      </c>
      <c r="E527" s="164">
        <v>7028998.3627289226</v>
      </c>
      <c r="F527" s="159">
        <v>0</v>
      </c>
      <c r="I527" s="159">
        <v>487</v>
      </c>
      <c r="J527" s="164">
        <v>302847337.75461257</v>
      </c>
      <c r="K527" s="159">
        <v>80656.185387734993</v>
      </c>
      <c r="L527" s="164">
        <v>7028998.3627289226</v>
      </c>
      <c r="M527" s="159">
        <v>0</v>
      </c>
      <c r="Q527" s="139">
        <v>487</v>
      </c>
      <c r="R527" s="164">
        <f t="shared" si="39"/>
        <v>1014619500.7115885</v>
      </c>
      <c r="S527" s="164">
        <f t="shared" si="40"/>
        <v>-7028998.3627289226</v>
      </c>
      <c r="T527" s="159" t="str">
        <f t="shared" si="41"/>
        <v>TxPost-vaccination</v>
      </c>
      <c r="W527" s="139">
        <v>487</v>
      </c>
      <c r="X527" s="164">
        <f t="shared" si="42"/>
        <v>295818339.39188367</v>
      </c>
      <c r="Y527" s="159">
        <f t="shared" si="42"/>
        <v>80656.185387734993</v>
      </c>
    </row>
    <row r="528" spans="2:25" x14ac:dyDescent="0.25">
      <c r="B528" s="159">
        <v>488</v>
      </c>
      <c r="C528" s="164">
        <v>313161214.02251905</v>
      </c>
      <c r="D528" s="159">
        <v>83287.904876017026</v>
      </c>
      <c r="E528" s="164">
        <v>7154230.7346076686</v>
      </c>
      <c r="F528" s="159">
        <v>0</v>
      </c>
      <c r="I528" s="159">
        <v>488</v>
      </c>
      <c r="J528" s="164">
        <v>313161214.02251905</v>
      </c>
      <c r="K528" s="159">
        <v>83287.904876017026</v>
      </c>
      <c r="L528" s="164">
        <v>7154230.7346076686</v>
      </c>
      <c r="M528" s="159">
        <v>0</v>
      </c>
      <c r="Q528" s="139">
        <v>488</v>
      </c>
      <c r="R528" s="164">
        <f t="shared" si="39"/>
        <v>1047293067.2205637</v>
      </c>
      <c r="S528" s="164">
        <f t="shared" si="40"/>
        <v>-7154230.7346076686</v>
      </c>
      <c r="T528" s="159" t="str">
        <f t="shared" si="41"/>
        <v>TxPost-vaccination</v>
      </c>
      <c r="W528" s="139">
        <v>488</v>
      </c>
      <c r="X528" s="164">
        <f t="shared" si="42"/>
        <v>306006983.28791136</v>
      </c>
      <c r="Y528" s="159">
        <f t="shared" si="42"/>
        <v>83287.904876017026</v>
      </c>
    </row>
    <row r="529" spans="2:25" x14ac:dyDescent="0.25">
      <c r="B529" s="159">
        <v>489</v>
      </c>
      <c r="C529" s="164">
        <v>305781404.74970537</v>
      </c>
      <c r="D529" s="159">
        <v>90122.342537678007</v>
      </c>
      <c r="E529" s="164">
        <v>8237594.0856545251</v>
      </c>
      <c r="F529" s="159">
        <v>0</v>
      </c>
      <c r="I529" s="159">
        <v>489</v>
      </c>
      <c r="J529" s="164">
        <v>305781404.74970537</v>
      </c>
      <c r="K529" s="159">
        <v>90122.342537678007</v>
      </c>
      <c r="L529" s="164">
        <v>8237594.0856545251</v>
      </c>
      <c r="M529" s="159">
        <v>0</v>
      </c>
      <c r="Q529" s="139">
        <v>489</v>
      </c>
      <c r="R529" s="164">
        <f t="shared" si="39"/>
        <v>1166309013.7036557</v>
      </c>
      <c r="S529" s="164">
        <f t="shared" si="40"/>
        <v>-8237594.0856545251</v>
      </c>
      <c r="T529" s="159" t="str">
        <f t="shared" si="41"/>
        <v>TxPost-vaccination</v>
      </c>
      <c r="W529" s="139">
        <v>489</v>
      </c>
      <c r="X529" s="164">
        <f t="shared" si="42"/>
        <v>297543810.66405088</v>
      </c>
      <c r="Y529" s="159">
        <f t="shared" si="42"/>
        <v>90122.342537678007</v>
      </c>
    </row>
    <row r="530" spans="2:25" x14ac:dyDescent="0.25">
      <c r="B530" s="159">
        <v>490</v>
      </c>
      <c r="C530" s="164">
        <v>343598040.78346318</v>
      </c>
      <c r="D530" s="159">
        <v>156852.20011059375</v>
      </c>
      <c r="E530" s="164">
        <v>13112520.373849018</v>
      </c>
      <c r="F530" s="159">
        <v>0</v>
      </c>
      <c r="I530" s="159">
        <v>490</v>
      </c>
      <c r="J530" s="164">
        <v>343598040.78346318</v>
      </c>
      <c r="K530" s="159">
        <v>156852.20011059375</v>
      </c>
      <c r="L530" s="164">
        <v>13112520.373849018</v>
      </c>
      <c r="M530" s="159">
        <v>0</v>
      </c>
      <c r="Q530" s="139">
        <v>490</v>
      </c>
      <c r="R530" s="164">
        <f t="shared" si="39"/>
        <v>2218481621.0895095</v>
      </c>
      <c r="S530" s="164">
        <f t="shared" si="40"/>
        <v>-13112520.373849018</v>
      </c>
      <c r="T530" s="159" t="str">
        <f t="shared" si="41"/>
        <v>TxPost-vaccination</v>
      </c>
      <c r="W530" s="139">
        <v>490</v>
      </c>
      <c r="X530" s="164">
        <f t="shared" si="42"/>
        <v>330485520.40961415</v>
      </c>
      <c r="Y530" s="159">
        <f t="shared" si="42"/>
        <v>156852.20011059375</v>
      </c>
    </row>
    <row r="531" spans="2:25" x14ac:dyDescent="0.25">
      <c r="B531" s="159">
        <v>491</v>
      </c>
      <c r="C531" s="164">
        <v>330683690.38627398</v>
      </c>
      <c r="D531" s="159">
        <v>94233.230938101347</v>
      </c>
      <c r="E531" s="164">
        <v>7804111.028003999</v>
      </c>
      <c r="F531" s="159">
        <v>0</v>
      </c>
      <c r="I531" s="159">
        <v>491</v>
      </c>
      <c r="J531" s="164">
        <v>330683690.38627398</v>
      </c>
      <c r="K531" s="159">
        <v>94233.230938101347</v>
      </c>
      <c r="L531" s="164">
        <v>7804111.028003999</v>
      </c>
      <c r="M531" s="159">
        <v>0</v>
      </c>
      <c r="Q531" s="139">
        <v>491</v>
      </c>
      <c r="R531" s="164">
        <f t="shared" si="39"/>
        <v>1208555442.3058925</v>
      </c>
      <c r="S531" s="164">
        <f t="shared" si="40"/>
        <v>-7804111.028003999</v>
      </c>
      <c r="T531" s="159" t="str">
        <f t="shared" si="41"/>
        <v>TxPost-vaccination</v>
      </c>
      <c r="W531" s="139">
        <v>491</v>
      </c>
      <c r="X531" s="164">
        <f t="shared" si="42"/>
        <v>322879579.35826999</v>
      </c>
      <c r="Y531" s="159">
        <f t="shared" si="42"/>
        <v>94233.230938101347</v>
      </c>
    </row>
    <row r="532" spans="2:25" x14ac:dyDescent="0.25">
      <c r="B532" s="159">
        <v>492</v>
      </c>
      <c r="C532" s="164">
        <v>322269430.71979624</v>
      </c>
      <c r="D532" s="159">
        <v>69602.447890407682</v>
      </c>
      <c r="E532" s="164">
        <v>6532280.2866993072</v>
      </c>
      <c r="F532" s="159">
        <v>0</v>
      </c>
      <c r="I532" s="159">
        <v>492</v>
      </c>
      <c r="J532" s="164">
        <v>322269430.71979624</v>
      </c>
      <c r="K532" s="159">
        <v>69602.447890407682</v>
      </c>
      <c r="L532" s="164">
        <v>6532280.2866993072</v>
      </c>
      <c r="M532" s="159">
        <v>0</v>
      </c>
      <c r="Q532" s="139">
        <v>492</v>
      </c>
      <c r="R532" s="164">
        <f t="shared" si="39"/>
        <v>814641725.32934833</v>
      </c>
      <c r="S532" s="164">
        <f t="shared" si="40"/>
        <v>-6532280.2866993072</v>
      </c>
      <c r="T532" s="159" t="str">
        <f t="shared" si="41"/>
        <v>TxPost-vaccination</v>
      </c>
      <c r="W532" s="139">
        <v>492</v>
      </c>
      <c r="X532" s="164">
        <f t="shared" si="42"/>
        <v>315737150.43309695</v>
      </c>
      <c r="Y532" s="159">
        <f t="shared" si="42"/>
        <v>69602.447890407682</v>
      </c>
    </row>
    <row r="533" spans="2:25" x14ac:dyDescent="0.25">
      <c r="B533" s="159">
        <v>493</v>
      </c>
      <c r="C533" s="164">
        <v>324000071.06563133</v>
      </c>
      <c r="D533" s="159">
        <v>104530.56076354068</v>
      </c>
      <c r="E533" s="164">
        <v>9723269.1308620144</v>
      </c>
      <c r="F533" s="159">
        <v>0</v>
      </c>
      <c r="I533" s="159">
        <v>493</v>
      </c>
      <c r="J533" s="164">
        <v>324000071.06563133</v>
      </c>
      <c r="K533" s="159">
        <v>104530.56076354068</v>
      </c>
      <c r="L533" s="164">
        <v>9723269.1308620144</v>
      </c>
      <c r="M533" s="159">
        <v>0</v>
      </c>
      <c r="Q533" s="139">
        <v>493</v>
      </c>
      <c r="R533" s="164">
        <f t="shared" si="39"/>
        <v>1383439311.9179187</v>
      </c>
      <c r="S533" s="164">
        <f t="shared" si="40"/>
        <v>-9723269.1308620144</v>
      </c>
      <c r="T533" s="159" t="str">
        <f t="shared" si="41"/>
        <v>TxPost-vaccination</v>
      </c>
      <c r="W533" s="139">
        <v>493</v>
      </c>
      <c r="X533" s="164">
        <f t="shared" si="42"/>
        <v>314276801.93476933</v>
      </c>
      <c r="Y533" s="159">
        <f t="shared" si="42"/>
        <v>104530.56076354068</v>
      </c>
    </row>
    <row r="534" spans="2:25" x14ac:dyDescent="0.25">
      <c r="B534" s="159">
        <v>494</v>
      </c>
      <c r="C534" s="164">
        <v>317706082.05283612</v>
      </c>
      <c r="D534" s="159">
        <v>59809.47193859877</v>
      </c>
      <c r="E534" s="164">
        <v>5094081.6840974353</v>
      </c>
      <c r="F534" s="159">
        <v>0</v>
      </c>
      <c r="I534" s="159">
        <v>494</v>
      </c>
      <c r="J534" s="164">
        <v>317706082.05283612</v>
      </c>
      <c r="K534" s="159">
        <v>59809.47193859877</v>
      </c>
      <c r="L534" s="164">
        <v>5094081.6840974353</v>
      </c>
      <c r="M534" s="159">
        <v>0</v>
      </c>
      <c r="Q534" s="139">
        <v>494</v>
      </c>
      <c r="R534" s="164">
        <f t="shared" si="39"/>
        <v>659243119.38139105</v>
      </c>
      <c r="S534" s="164">
        <f t="shared" si="40"/>
        <v>-5094081.6840974353</v>
      </c>
      <c r="T534" s="159" t="str">
        <f t="shared" si="41"/>
        <v>TxPost-vaccination</v>
      </c>
      <c r="W534" s="139">
        <v>494</v>
      </c>
      <c r="X534" s="164">
        <f t="shared" si="42"/>
        <v>312612000.36873871</v>
      </c>
      <c r="Y534" s="159">
        <f t="shared" si="42"/>
        <v>59809.47193859877</v>
      </c>
    </row>
    <row r="535" spans="2:25" x14ac:dyDescent="0.25">
      <c r="B535" s="159">
        <v>495</v>
      </c>
      <c r="C535" s="164">
        <v>330371098.63944274</v>
      </c>
      <c r="D535" s="159">
        <v>97974.428922366918</v>
      </c>
      <c r="E535" s="164">
        <v>9486311.8482097536</v>
      </c>
      <c r="F535" s="159">
        <v>0</v>
      </c>
      <c r="I535" s="159">
        <v>495</v>
      </c>
      <c r="J535" s="164">
        <v>330371098.63944274</v>
      </c>
      <c r="K535" s="159">
        <v>97974.428922366918</v>
      </c>
      <c r="L535" s="164">
        <v>9486311.8482097536</v>
      </c>
      <c r="M535" s="159">
        <v>0</v>
      </c>
      <c r="Q535" s="139">
        <v>495</v>
      </c>
      <c r="R535" s="164">
        <f t="shared" si="39"/>
        <v>1269978093.4574919</v>
      </c>
      <c r="S535" s="164">
        <f t="shared" si="40"/>
        <v>-9486311.8482097536</v>
      </c>
      <c r="T535" s="159" t="str">
        <f t="shared" si="41"/>
        <v>TxPost-vaccination</v>
      </c>
      <c r="W535" s="139">
        <v>495</v>
      </c>
      <c r="X535" s="164">
        <f t="shared" si="42"/>
        <v>320884786.791233</v>
      </c>
      <c r="Y535" s="159">
        <f t="shared" si="42"/>
        <v>97974.428922366918</v>
      </c>
    </row>
    <row r="536" spans="2:25" x14ac:dyDescent="0.25">
      <c r="B536" s="159">
        <v>496</v>
      </c>
      <c r="C536" s="164">
        <v>308810775.61675805</v>
      </c>
      <c r="D536" s="159">
        <v>97496.552997785708</v>
      </c>
      <c r="E536" s="164">
        <v>7834739.6294675078</v>
      </c>
      <c r="F536" s="159">
        <v>0</v>
      </c>
      <c r="I536" s="159">
        <v>496</v>
      </c>
      <c r="J536" s="164">
        <v>308810775.61675805</v>
      </c>
      <c r="K536" s="159">
        <v>97496.552997785708</v>
      </c>
      <c r="L536" s="164">
        <v>7834739.6294675078</v>
      </c>
      <c r="M536" s="159">
        <v>0</v>
      </c>
      <c r="Q536" s="139">
        <v>496</v>
      </c>
      <c r="R536" s="164">
        <f t="shared" si="39"/>
        <v>1283732621.0472467</v>
      </c>
      <c r="S536" s="164">
        <f t="shared" si="40"/>
        <v>-7834739.6294675078</v>
      </c>
      <c r="T536" s="159" t="str">
        <f t="shared" si="41"/>
        <v>TxPost-vaccination</v>
      </c>
      <c r="W536" s="139">
        <v>496</v>
      </c>
      <c r="X536" s="164">
        <f t="shared" si="42"/>
        <v>300976035.98729056</v>
      </c>
      <c r="Y536" s="159">
        <f t="shared" si="42"/>
        <v>97496.552997785708</v>
      </c>
    </row>
    <row r="537" spans="2:25" x14ac:dyDescent="0.25">
      <c r="B537" s="159">
        <v>497</v>
      </c>
      <c r="C537" s="164">
        <v>299164488.44080955</v>
      </c>
      <c r="D537" s="159">
        <v>101617.95144469525</v>
      </c>
      <c r="E537" s="164">
        <v>7712907.3301522033</v>
      </c>
      <c r="F537" s="159">
        <v>0</v>
      </c>
      <c r="I537" s="159">
        <v>497</v>
      </c>
      <c r="J537" s="164">
        <v>299164488.44080955</v>
      </c>
      <c r="K537" s="159">
        <v>101617.95144469525</v>
      </c>
      <c r="L537" s="164">
        <v>7712907.3301522033</v>
      </c>
      <c r="M537" s="159">
        <v>0</v>
      </c>
      <c r="Q537" s="139">
        <v>497</v>
      </c>
      <c r="R537" s="164">
        <f t="shared" si="39"/>
        <v>1360699297.3019369</v>
      </c>
      <c r="S537" s="164">
        <f t="shared" si="40"/>
        <v>-7712907.3301522033</v>
      </c>
      <c r="T537" s="159" t="str">
        <f t="shared" si="41"/>
        <v>TxPost-vaccination</v>
      </c>
      <c r="W537" s="139">
        <v>497</v>
      </c>
      <c r="X537" s="164">
        <f t="shared" si="42"/>
        <v>291451581.11065733</v>
      </c>
      <c r="Y537" s="159">
        <f t="shared" si="42"/>
        <v>101617.95144469525</v>
      </c>
    </row>
    <row r="538" spans="2:25" x14ac:dyDescent="0.25">
      <c r="B538" s="159">
        <v>498</v>
      </c>
      <c r="C538" s="164">
        <v>328339169.26600492</v>
      </c>
      <c r="D538" s="159">
        <v>72100.231164753641</v>
      </c>
      <c r="E538" s="164">
        <v>7447125.6309006047</v>
      </c>
      <c r="F538" s="159">
        <v>0</v>
      </c>
      <c r="I538" s="159">
        <v>498</v>
      </c>
      <c r="J538" s="164">
        <v>328339169.26600492</v>
      </c>
      <c r="K538" s="159">
        <v>72100.231164753641</v>
      </c>
      <c r="L538" s="164">
        <v>7447125.6309006047</v>
      </c>
      <c r="M538" s="159">
        <v>0</v>
      </c>
      <c r="Q538" s="139">
        <v>498</v>
      </c>
      <c r="R538" s="164">
        <f t="shared" si="39"/>
        <v>849371667.77235162</v>
      </c>
      <c r="S538" s="164">
        <f t="shared" si="40"/>
        <v>-7447125.6309006047</v>
      </c>
      <c r="T538" s="159" t="str">
        <f t="shared" si="41"/>
        <v>TxPost-vaccination</v>
      </c>
      <c r="W538" s="139">
        <v>498</v>
      </c>
      <c r="X538" s="164">
        <f t="shared" si="42"/>
        <v>320892043.6351043</v>
      </c>
      <c r="Y538" s="159">
        <f t="shared" si="42"/>
        <v>72100.231164753641</v>
      </c>
    </row>
    <row r="539" spans="2:25" x14ac:dyDescent="0.25">
      <c r="B539" s="159">
        <v>499</v>
      </c>
      <c r="C539" s="164">
        <v>335026611.00009251</v>
      </c>
      <c r="D539" s="159">
        <v>76274.868026951692</v>
      </c>
      <c r="E539" s="164">
        <v>6915672.3893875564</v>
      </c>
      <c r="F539" s="159">
        <v>0</v>
      </c>
      <c r="I539" s="159">
        <v>499</v>
      </c>
      <c r="J539" s="164">
        <v>335026611.00009251</v>
      </c>
      <c r="K539" s="159">
        <v>76274.868026951692</v>
      </c>
      <c r="L539" s="164">
        <v>6915672.3893875564</v>
      </c>
      <c r="M539" s="159">
        <v>0</v>
      </c>
      <c r="Q539" s="139">
        <v>499</v>
      </c>
      <c r="R539" s="164">
        <f t="shared" si="39"/>
        <v>910874230.34041238</v>
      </c>
      <c r="S539" s="164">
        <f t="shared" si="40"/>
        <v>-6915672.3893875564</v>
      </c>
      <c r="T539" s="159" t="str">
        <f t="shared" si="41"/>
        <v>TxPost-vaccination</v>
      </c>
      <c r="W539" s="139">
        <v>499</v>
      </c>
      <c r="X539" s="164">
        <f t="shared" si="42"/>
        <v>328110938.61070496</v>
      </c>
      <c r="Y539" s="159">
        <f t="shared" si="42"/>
        <v>76274.868026951692</v>
      </c>
    </row>
    <row r="540" spans="2:25" x14ac:dyDescent="0.25">
      <c r="B540" s="159">
        <v>500</v>
      </c>
      <c r="C540" s="164">
        <v>307984251.27087897</v>
      </c>
      <c r="D540" s="159">
        <v>74214.519188925857</v>
      </c>
      <c r="E540" s="164">
        <v>7578186.6845536996</v>
      </c>
      <c r="F540" s="159">
        <v>0</v>
      </c>
      <c r="I540" s="159">
        <v>500</v>
      </c>
      <c r="J540" s="164">
        <v>307984251.27087897</v>
      </c>
      <c r="K540" s="159">
        <v>74214.519188925857</v>
      </c>
      <c r="L540" s="164">
        <v>7578186.6845536996</v>
      </c>
      <c r="M540" s="159">
        <v>0</v>
      </c>
      <c r="Q540" s="139">
        <v>500</v>
      </c>
      <c r="R540" s="164">
        <f t="shared" si="39"/>
        <v>904262118.85055709</v>
      </c>
      <c r="S540" s="164">
        <f t="shared" si="40"/>
        <v>-7578186.6845536996</v>
      </c>
      <c r="T540" s="159" t="str">
        <f t="shared" si="41"/>
        <v>TxPost-vaccination</v>
      </c>
      <c r="W540" s="139">
        <v>500</v>
      </c>
      <c r="X540" s="164">
        <f t="shared" si="42"/>
        <v>300406064.58632529</v>
      </c>
      <c r="Y540" s="159">
        <f t="shared" si="42"/>
        <v>74214.519188925857</v>
      </c>
    </row>
    <row r="541" spans="2:25" x14ac:dyDescent="0.25">
      <c r="B541" s="159">
        <v>501</v>
      </c>
      <c r="C541" s="164">
        <v>308440030.87131423</v>
      </c>
      <c r="D541" s="159">
        <v>116681.35599824994</v>
      </c>
      <c r="E541" s="164">
        <v>8037700.0126907192</v>
      </c>
      <c r="F541" s="159">
        <v>0</v>
      </c>
      <c r="I541" s="159">
        <v>501</v>
      </c>
      <c r="J541" s="164">
        <v>308440030.87131423</v>
      </c>
      <c r="K541" s="159">
        <v>116681.35599824994</v>
      </c>
      <c r="L541" s="164">
        <v>8037700.0126907192</v>
      </c>
      <c r="M541" s="159">
        <v>0</v>
      </c>
      <c r="Q541" s="139">
        <v>501</v>
      </c>
      <c r="R541" s="164">
        <f t="shared" si="39"/>
        <v>1597474766.0655084</v>
      </c>
      <c r="S541" s="164">
        <f t="shared" si="40"/>
        <v>-8037700.0126907192</v>
      </c>
      <c r="T541" s="159" t="str">
        <f t="shared" si="41"/>
        <v>TxPost-vaccination</v>
      </c>
      <c r="W541" s="139">
        <v>501</v>
      </c>
      <c r="X541" s="164">
        <f t="shared" si="42"/>
        <v>300402330.8586235</v>
      </c>
      <c r="Y541" s="159">
        <f t="shared" si="42"/>
        <v>116681.35599824994</v>
      </c>
    </row>
    <row r="542" spans="2:25" x14ac:dyDescent="0.25">
      <c r="B542" s="159">
        <v>502</v>
      </c>
      <c r="C542" s="164">
        <v>291912908.90749109</v>
      </c>
      <c r="D542" s="159">
        <v>74177.158196822653</v>
      </c>
      <c r="E542" s="164">
        <v>8219560.4304031134</v>
      </c>
      <c r="F542" s="159">
        <v>0</v>
      </c>
      <c r="I542" s="159">
        <v>502</v>
      </c>
      <c r="J542" s="164">
        <v>291912908.90749109</v>
      </c>
      <c r="K542" s="159">
        <v>74177.158196822653</v>
      </c>
      <c r="L542" s="164">
        <v>8219560.4304031134</v>
      </c>
      <c r="M542" s="159">
        <v>0</v>
      </c>
      <c r="Q542" s="139">
        <v>502</v>
      </c>
      <c r="R542" s="164">
        <f t="shared" si="39"/>
        <v>919723193.47178066</v>
      </c>
      <c r="S542" s="164">
        <f t="shared" si="40"/>
        <v>-8219560.4304031134</v>
      </c>
      <c r="T542" s="159" t="str">
        <f t="shared" si="41"/>
        <v>TxPost-vaccination</v>
      </c>
      <c r="W542" s="139">
        <v>502</v>
      </c>
      <c r="X542" s="164">
        <f t="shared" si="42"/>
        <v>283693348.47708797</v>
      </c>
      <c r="Y542" s="159">
        <f t="shared" si="42"/>
        <v>74177.158196822653</v>
      </c>
    </row>
    <row r="543" spans="2:25" x14ac:dyDescent="0.25">
      <c r="B543" s="159">
        <v>503</v>
      </c>
      <c r="C543" s="164">
        <v>285896732.91118252</v>
      </c>
      <c r="D543" s="159">
        <v>66854.220761085482</v>
      </c>
      <c r="E543" s="164">
        <v>6111749.6223557321</v>
      </c>
      <c r="F543" s="159">
        <v>0</v>
      </c>
      <c r="I543" s="159">
        <v>503</v>
      </c>
      <c r="J543" s="164">
        <v>285896732.91118252</v>
      </c>
      <c r="K543" s="159">
        <v>66854.220761085482</v>
      </c>
      <c r="L543" s="164">
        <v>6111749.6223557321</v>
      </c>
      <c r="M543" s="159">
        <v>0</v>
      </c>
      <c r="Q543" s="139">
        <v>503</v>
      </c>
      <c r="R543" s="164">
        <f t="shared" si="39"/>
        <v>806123903.08609569</v>
      </c>
      <c r="S543" s="164">
        <f t="shared" si="40"/>
        <v>-6111749.6223557321</v>
      </c>
      <c r="T543" s="159" t="str">
        <f t="shared" si="41"/>
        <v>TxPost-vaccination</v>
      </c>
      <c r="W543" s="139">
        <v>503</v>
      </c>
      <c r="X543" s="164">
        <f t="shared" si="42"/>
        <v>279784983.28882676</v>
      </c>
      <c r="Y543" s="159">
        <f t="shared" si="42"/>
        <v>66854.220761085482</v>
      </c>
    </row>
    <row r="544" spans="2:25" x14ac:dyDescent="0.25">
      <c r="B544" s="159">
        <v>504</v>
      </c>
      <c r="C544" s="164">
        <v>295831297.84413761</v>
      </c>
      <c r="D544" s="159">
        <v>81098.522723951944</v>
      </c>
      <c r="E544" s="164">
        <v>6687893.4526696438</v>
      </c>
      <c r="F544" s="159">
        <v>0</v>
      </c>
      <c r="I544" s="159">
        <v>504</v>
      </c>
      <c r="J544" s="164">
        <v>295831297.84413761</v>
      </c>
      <c r="K544" s="159">
        <v>81098.522723951944</v>
      </c>
      <c r="L544" s="164">
        <v>6687893.4526696438</v>
      </c>
      <c r="M544" s="159">
        <v>0</v>
      </c>
      <c r="Q544" s="139">
        <v>504</v>
      </c>
      <c r="R544" s="164">
        <f t="shared" si="39"/>
        <v>1028860836.1041124</v>
      </c>
      <c r="S544" s="164">
        <f t="shared" si="40"/>
        <v>-6687893.4526696438</v>
      </c>
      <c r="T544" s="159" t="str">
        <f t="shared" si="41"/>
        <v>TxPost-vaccination</v>
      </c>
      <c r="W544" s="139">
        <v>504</v>
      </c>
      <c r="X544" s="164">
        <f t="shared" si="42"/>
        <v>289143404.39146799</v>
      </c>
      <c r="Y544" s="159">
        <f t="shared" si="42"/>
        <v>81098.522723951944</v>
      </c>
    </row>
    <row r="545" spans="2:25" x14ac:dyDescent="0.25">
      <c r="B545" s="159">
        <v>505</v>
      </c>
      <c r="C545" s="164">
        <v>304631447.75785989</v>
      </c>
      <c r="D545" s="159">
        <v>133498.16272498897</v>
      </c>
      <c r="E545" s="164">
        <v>10722816.843264073</v>
      </c>
      <c r="F545" s="159">
        <v>0</v>
      </c>
      <c r="I545" s="159">
        <v>505</v>
      </c>
      <c r="J545" s="164">
        <v>304631447.75785989</v>
      </c>
      <c r="K545" s="159">
        <v>133498.16272498897</v>
      </c>
      <c r="L545" s="164">
        <v>10722816.843264073</v>
      </c>
      <c r="M545" s="159">
        <v>0</v>
      </c>
      <c r="Q545" s="139">
        <v>505</v>
      </c>
      <c r="R545" s="164">
        <f t="shared" si="39"/>
        <v>1875975055.5231993</v>
      </c>
      <c r="S545" s="164">
        <f t="shared" si="40"/>
        <v>-10722816.843264073</v>
      </c>
      <c r="T545" s="159" t="str">
        <f t="shared" si="41"/>
        <v>TxPost-vaccination</v>
      </c>
      <c r="W545" s="139">
        <v>505</v>
      </c>
      <c r="X545" s="164">
        <f t="shared" si="42"/>
        <v>293908630.91459584</v>
      </c>
      <c r="Y545" s="159">
        <f t="shared" si="42"/>
        <v>133498.16272498897</v>
      </c>
    </row>
    <row r="546" spans="2:25" x14ac:dyDescent="0.25">
      <c r="B546" s="159">
        <v>506</v>
      </c>
      <c r="C546" s="164">
        <v>309706080.73619121</v>
      </c>
      <c r="D546" s="159">
        <v>81684.448656566688</v>
      </c>
      <c r="E546" s="164">
        <v>6220004.4107599305</v>
      </c>
      <c r="F546" s="159">
        <v>0</v>
      </c>
      <c r="I546" s="159">
        <v>506</v>
      </c>
      <c r="J546" s="164">
        <v>309706080.73619121</v>
      </c>
      <c r="K546" s="159">
        <v>81684.448656566688</v>
      </c>
      <c r="L546" s="164">
        <v>6220004.4107599305</v>
      </c>
      <c r="M546" s="159">
        <v>0</v>
      </c>
      <c r="Q546" s="139">
        <v>506</v>
      </c>
      <c r="R546" s="164">
        <f t="shared" si="39"/>
        <v>1024556775.9322867</v>
      </c>
      <c r="S546" s="164">
        <f t="shared" si="40"/>
        <v>-6220004.4107599305</v>
      </c>
      <c r="T546" s="159" t="str">
        <f t="shared" si="41"/>
        <v>TxPost-vaccination</v>
      </c>
      <c r="W546" s="139">
        <v>506</v>
      </c>
      <c r="X546" s="164">
        <f t="shared" si="42"/>
        <v>303486076.32543129</v>
      </c>
      <c r="Y546" s="159">
        <f t="shared" si="42"/>
        <v>81684.448656566688</v>
      </c>
    </row>
    <row r="547" spans="2:25" x14ac:dyDescent="0.25">
      <c r="B547" s="159">
        <v>507</v>
      </c>
      <c r="C547" s="164">
        <v>317661420.47376925</v>
      </c>
      <c r="D547" s="159">
        <v>105153.5528981113</v>
      </c>
      <c r="E547" s="164">
        <v>9189846.3609248474</v>
      </c>
      <c r="F547" s="159">
        <v>0</v>
      </c>
      <c r="I547" s="159">
        <v>507</v>
      </c>
      <c r="J547" s="164">
        <v>317661420.47376925</v>
      </c>
      <c r="K547" s="159">
        <v>105153.5528981113</v>
      </c>
      <c r="L547" s="164">
        <v>9189846.3609248474</v>
      </c>
      <c r="M547" s="159">
        <v>0</v>
      </c>
      <c r="Q547" s="139">
        <v>507</v>
      </c>
      <c r="R547" s="164">
        <f t="shared" si="39"/>
        <v>1399954137.7649879</v>
      </c>
      <c r="S547" s="164">
        <f t="shared" si="40"/>
        <v>-9189846.3609248474</v>
      </c>
      <c r="T547" s="159" t="str">
        <f t="shared" si="41"/>
        <v>TxPost-vaccination</v>
      </c>
      <c r="W547" s="139">
        <v>507</v>
      </c>
      <c r="X547" s="164">
        <f t="shared" si="42"/>
        <v>308471574.11284441</v>
      </c>
      <c r="Y547" s="159">
        <f t="shared" si="42"/>
        <v>105153.5528981113</v>
      </c>
    </row>
    <row r="548" spans="2:25" x14ac:dyDescent="0.25">
      <c r="B548" s="159">
        <v>508</v>
      </c>
      <c r="C548" s="164">
        <v>313785857.5269165</v>
      </c>
      <c r="D548" s="159">
        <v>79237.298362702757</v>
      </c>
      <c r="E548" s="164">
        <v>6800275.8049859405</v>
      </c>
      <c r="F548" s="159">
        <v>0</v>
      </c>
      <c r="I548" s="159">
        <v>508</v>
      </c>
      <c r="J548" s="164">
        <v>313785857.5269165</v>
      </c>
      <c r="K548" s="159">
        <v>79237.298362702757</v>
      </c>
      <c r="L548" s="164">
        <v>6800275.8049859405</v>
      </c>
      <c r="M548" s="159">
        <v>0</v>
      </c>
      <c r="Q548" s="139">
        <v>508</v>
      </c>
      <c r="R548" s="164">
        <f t="shared" si="39"/>
        <v>980504375.27632689</v>
      </c>
      <c r="S548" s="164">
        <f t="shared" si="40"/>
        <v>-6800275.8049859405</v>
      </c>
      <c r="T548" s="159" t="str">
        <f t="shared" si="41"/>
        <v>TxPost-vaccination</v>
      </c>
      <c r="W548" s="139">
        <v>508</v>
      </c>
      <c r="X548" s="164">
        <f t="shared" si="42"/>
        <v>306985581.72193056</v>
      </c>
      <c r="Y548" s="159">
        <f t="shared" si="42"/>
        <v>79237.298362702757</v>
      </c>
    </row>
    <row r="549" spans="2:25" x14ac:dyDescent="0.25">
      <c r="B549" s="159">
        <v>509</v>
      </c>
      <c r="C549" s="164">
        <v>310563667.50147986</v>
      </c>
      <c r="D549" s="159">
        <v>132342.09578675526</v>
      </c>
      <c r="E549" s="164">
        <v>10647229.456069982</v>
      </c>
      <c r="F549" s="159">
        <v>0</v>
      </c>
      <c r="I549" s="159">
        <v>509</v>
      </c>
      <c r="J549" s="164">
        <v>310563667.50147986</v>
      </c>
      <c r="K549" s="159">
        <v>132342.09578675526</v>
      </c>
      <c r="L549" s="164">
        <v>10647229.456069982</v>
      </c>
      <c r="M549" s="159">
        <v>0</v>
      </c>
      <c r="Q549" s="139">
        <v>509</v>
      </c>
      <c r="R549" s="164">
        <f t="shared" si="39"/>
        <v>1851159226.9546859</v>
      </c>
      <c r="S549" s="164">
        <f t="shared" si="40"/>
        <v>-10647229.456069982</v>
      </c>
      <c r="T549" s="159" t="str">
        <f t="shared" si="41"/>
        <v>TxPost-vaccination</v>
      </c>
      <c r="W549" s="139">
        <v>509</v>
      </c>
      <c r="X549" s="164">
        <f t="shared" si="42"/>
        <v>299916438.04540986</v>
      </c>
      <c r="Y549" s="159">
        <f t="shared" si="42"/>
        <v>132342.09578675526</v>
      </c>
    </row>
    <row r="550" spans="2:25" x14ac:dyDescent="0.25">
      <c r="B550" s="159">
        <v>510</v>
      </c>
      <c r="C550" s="164">
        <v>302007797.55729073</v>
      </c>
      <c r="D550" s="159">
        <v>70383.773689863548</v>
      </c>
      <c r="E550" s="164">
        <v>8330702.2891995423</v>
      </c>
      <c r="F550" s="159">
        <v>0</v>
      </c>
      <c r="I550" s="159">
        <v>510</v>
      </c>
      <c r="J550" s="164">
        <v>302007797.55729073</v>
      </c>
      <c r="K550" s="159">
        <v>70383.773689863548</v>
      </c>
      <c r="L550" s="164">
        <v>8330702.2891995423</v>
      </c>
      <c r="M550" s="159">
        <v>0</v>
      </c>
      <c r="Q550" s="139">
        <v>510</v>
      </c>
      <c r="R550" s="164">
        <f t="shared" si="39"/>
        <v>847665812.18183112</v>
      </c>
      <c r="S550" s="164">
        <f t="shared" si="40"/>
        <v>-8330702.2891995423</v>
      </c>
      <c r="T550" s="159" t="str">
        <f t="shared" si="41"/>
        <v>TxPost-vaccination</v>
      </c>
      <c r="W550" s="139">
        <v>510</v>
      </c>
      <c r="X550" s="164">
        <f t="shared" si="42"/>
        <v>293677095.2680912</v>
      </c>
      <c r="Y550" s="159">
        <f t="shared" si="42"/>
        <v>70383.773689863548</v>
      </c>
    </row>
    <row r="551" spans="2:25" x14ac:dyDescent="0.25">
      <c r="B551" s="159">
        <v>511</v>
      </c>
      <c r="C551" s="164">
        <v>297339881.50508124</v>
      </c>
      <c r="D551" s="159">
        <v>91307.696090253274</v>
      </c>
      <c r="E551" s="164">
        <v>7665050.5432430459</v>
      </c>
      <c r="F551" s="159">
        <v>0</v>
      </c>
      <c r="I551" s="159">
        <v>511</v>
      </c>
      <c r="J551" s="164">
        <v>297339881.50508124</v>
      </c>
      <c r="K551" s="159">
        <v>91307.696090253274</v>
      </c>
      <c r="L551" s="164">
        <v>7665050.5432430459</v>
      </c>
      <c r="M551" s="159">
        <v>0</v>
      </c>
      <c r="Q551" s="139">
        <v>511</v>
      </c>
      <c r="R551" s="164">
        <f t="shared" si="39"/>
        <v>1194112523.7552271</v>
      </c>
      <c r="S551" s="164">
        <f t="shared" si="40"/>
        <v>-7665050.5432430459</v>
      </c>
      <c r="T551" s="159" t="str">
        <f t="shared" si="41"/>
        <v>TxPost-vaccination</v>
      </c>
      <c r="W551" s="139">
        <v>511</v>
      </c>
      <c r="X551" s="164">
        <f t="shared" si="42"/>
        <v>289674830.96183819</v>
      </c>
      <c r="Y551" s="159">
        <f t="shared" si="42"/>
        <v>91307.696090253274</v>
      </c>
    </row>
    <row r="552" spans="2:25" x14ac:dyDescent="0.25">
      <c r="B552" s="159">
        <v>512</v>
      </c>
      <c r="C552" s="164">
        <v>305017894.58934659</v>
      </c>
      <c r="D552" s="159">
        <v>71554.916442326357</v>
      </c>
      <c r="E552" s="164">
        <v>6086037.2862441642</v>
      </c>
      <c r="F552" s="159">
        <v>0</v>
      </c>
      <c r="I552" s="159">
        <v>512</v>
      </c>
      <c r="J552" s="164">
        <v>305017894.58934659</v>
      </c>
      <c r="K552" s="159">
        <v>71554.916442326357</v>
      </c>
      <c r="L552" s="164">
        <v>6086037.2862441642</v>
      </c>
      <c r="M552" s="159">
        <v>0</v>
      </c>
      <c r="Q552" s="139">
        <v>512</v>
      </c>
      <c r="R552" s="164">
        <f t="shared" si="39"/>
        <v>863785577.68991971</v>
      </c>
      <c r="S552" s="164">
        <f t="shared" si="40"/>
        <v>-6086037.2862441642</v>
      </c>
      <c r="T552" s="159" t="str">
        <f t="shared" si="41"/>
        <v>TxPost-vaccination</v>
      </c>
      <c r="W552" s="139">
        <v>512</v>
      </c>
      <c r="X552" s="164">
        <f t="shared" si="42"/>
        <v>298931857.30310243</v>
      </c>
      <c r="Y552" s="159">
        <f t="shared" si="42"/>
        <v>71554.916442326357</v>
      </c>
    </row>
    <row r="553" spans="2:25" x14ac:dyDescent="0.25">
      <c r="B553" s="159">
        <v>513</v>
      </c>
      <c r="C553" s="164">
        <v>323706597.02362579</v>
      </c>
      <c r="D553" s="159">
        <v>126785.29840778536</v>
      </c>
      <c r="E553" s="164">
        <v>10946508.461269801</v>
      </c>
      <c r="F553" s="159">
        <v>0</v>
      </c>
      <c r="I553" s="159">
        <v>513</v>
      </c>
      <c r="J553" s="164">
        <v>323706597.02362579</v>
      </c>
      <c r="K553" s="159">
        <v>126785.29840778536</v>
      </c>
      <c r="L553" s="164">
        <v>10946508.461269801</v>
      </c>
      <c r="M553" s="159">
        <v>0</v>
      </c>
      <c r="Q553" s="139">
        <v>513</v>
      </c>
      <c r="R553" s="164">
        <f t="shared" ref="R553:R616" si="43">K553*threshold-J553</f>
        <v>1747249591.3246908</v>
      </c>
      <c r="S553" s="164">
        <f t="shared" ref="S553:S616" si="44">M553*threshold-L553</f>
        <v>-10946508.461269801</v>
      </c>
      <c r="T553" s="159" t="str">
        <f t="shared" si="41"/>
        <v>TxPost-vaccination</v>
      </c>
      <c r="W553" s="139">
        <v>513</v>
      </c>
      <c r="X553" s="164">
        <f t="shared" si="42"/>
        <v>312760088.562356</v>
      </c>
      <c r="Y553" s="159">
        <f t="shared" si="42"/>
        <v>126785.29840778536</v>
      </c>
    </row>
    <row r="554" spans="2:25" x14ac:dyDescent="0.25">
      <c r="B554" s="159">
        <v>514</v>
      </c>
      <c r="C554" s="164">
        <v>308082289.75243956</v>
      </c>
      <c r="D554" s="159">
        <v>114560.05628905928</v>
      </c>
      <c r="E554" s="164">
        <v>8812434.8352014795</v>
      </c>
      <c r="F554" s="159">
        <v>0</v>
      </c>
      <c r="I554" s="159">
        <v>514</v>
      </c>
      <c r="J554" s="164">
        <v>308082289.75243956</v>
      </c>
      <c r="K554" s="159">
        <v>114560.05628905928</v>
      </c>
      <c r="L554" s="164">
        <v>8812434.8352014795</v>
      </c>
      <c r="M554" s="159">
        <v>0</v>
      </c>
      <c r="Q554" s="139">
        <v>514</v>
      </c>
      <c r="R554" s="164">
        <f t="shared" si="43"/>
        <v>1563182442.7426834</v>
      </c>
      <c r="S554" s="164">
        <f t="shared" si="44"/>
        <v>-8812434.8352014795</v>
      </c>
      <c r="T554" s="159" t="str">
        <f t="shared" ref="T554:T617" si="45">IF(R554&gt;S554,"TxPost-vaccination",IF(S554&gt;R554,"TxPre-vaccination","either"))</f>
        <v>TxPost-vaccination</v>
      </c>
      <c r="W554" s="139">
        <v>514</v>
      </c>
      <c r="X554" s="164">
        <f t="shared" ref="X554:Y617" si="46">J554-L554</f>
        <v>299269854.91723806</v>
      </c>
      <c r="Y554" s="159">
        <f t="shared" si="46"/>
        <v>114560.05628905928</v>
      </c>
    </row>
    <row r="555" spans="2:25" x14ac:dyDescent="0.25">
      <c r="B555" s="159">
        <v>515</v>
      </c>
      <c r="C555" s="164">
        <v>322716512.09958673</v>
      </c>
      <c r="D555" s="159">
        <v>128923.55883888694</v>
      </c>
      <c r="E555" s="164">
        <v>10402896.533977034</v>
      </c>
      <c r="F555" s="159">
        <v>0</v>
      </c>
      <c r="I555" s="159">
        <v>515</v>
      </c>
      <c r="J555" s="164">
        <v>322716512.09958673</v>
      </c>
      <c r="K555" s="159">
        <v>128923.55883888694</v>
      </c>
      <c r="L555" s="164">
        <v>10402896.533977034</v>
      </c>
      <c r="M555" s="159">
        <v>0</v>
      </c>
      <c r="Q555" s="139">
        <v>515</v>
      </c>
      <c r="R555" s="164">
        <f t="shared" si="43"/>
        <v>1783166783.158613</v>
      </c>
      <c r="S555" s="164">
        <f t="shared" si="44"/>
        <v>-10402896.533977034</v>
      </c>
      <c r="T555" s="159" t="str">
        <f t="shared" si="45"/>
        <v>TxPost-vaccination</v>
      </c>
      <c r="W555" s="139">
        <v>515</v>
      </c>
      <c r="X555" s="164">
        <f t="shared" si="46"/>
        <v>312313615.56560969</v>
      </c>
      <c r="Y555" s="159">
        <f t="shared" si="46"/>
        <v>128923.55883888694</v>
      </c>
    </row>
    <row r="556" spans="2:25" x14ac:dyDescent="0.25">
      <c r="B556" s="159">
        <v>516</v>
      </c>
      <c r="C556" s="164">
        <v>312452101.58846444</v>
      </c>
      <c r="D556" s="159">
        <v>77857.83072732338</v>
      </c>
      <c r="E556" s="164">
        <v>7446563.7879658127</v>
      </c>
      <c r="F556" s="159">
        <v>0</v>
      </c>
      <c r="I556" s="159">
        <v>516</v>
      </c>
      <c r="J556" s="164">
        <v>312452101.58846444</v>
      </c>
      <c r="K556" s="159">
        <v>77857.83072732338</v>
      </c>
      <c r="L556" s="164">
        <v>7446563.7879658127</v>
      </c>
      <c r="M556" s="159">
        <v>0</v>
      </c>
      <c r="Q556" s="139">
        <v>516</v>
      </c>
      <c r="R556" s="164">
        <f t="shared" si="43"/>
        <v>959305415.89216614</v>
      </c>
      <c r="S556" s="164">
        <f t="shared" si="44"/>
        <v>-7446563.7879658127</v>
      </c>
      <c r="T556" s="159" t="str">
        <f t="shared" si="45"/>
        <v>TxPost-vaccination</v>
      </c>
      <c r="W556" s="139">
        <v>516</v>
      </c>
      <c r="X556" s="164">
        <f t="shared" si="46"/>
        <v>305005537.8004986</v>
      </c>
      <c r="Y556" s="159">
        <f t="shared" si="46"/>
        <v>77857.83072732338</v>
      </c>
    </row>
    <row r="557" spans="2:25" x14ac:dyDescent="0.25">
      <c r="B557" s="159">
        <v>517</v>
      </c>
      <c r="C557" s="164">
        <v>314220936.25797874</v>
      </c>
      <c r="D557" s="159">
        <v>79805.830094791832</v>
      </c>
      <c r="E557" s="164">
        <v>6422960.5327369645</v>
      </c>
      <c r="F557" s="159">
        <v>0</v>
      </c>
      <c r="I557" s="159">
        <v>517</v>
      </c>
      <c r="J557" s="164">
        <v>314220936.25797874</v>
      </c>
      <c r="K557" s="159">
        <v>79805.830094791832</v>
      </c>
      <c r="L557" s="164">
        <v>6422960.5327369645</v>
      </c>
      <c r="M557" s="159">
        <v>0</v>
      </c>
      <c r="Q557" s="139">
        <v>517</v>
      </c>
      <c r="R557" s="164">
        <f t="shared" si="43"/>
        <v>989355896.20333648</v>
      </c>
      <c r="S557" s="164">
        <f t="shared" si="44"/>
        <v>-6422960.5327369645</v>
      </c>
      <c r="T557" s="159" t="str">
        <f t="shared" si="45"/>
        <v>TxPost-vaccination</v>
      </c>
      <c r="W557" s="139">
        <v>517</v>
      </c>
      <c r="X557" s="164">
        <f t="shared" si="46"/>
        <v>307797975.72524178</v>
      </c>
      <c r="Y557" s="159">
        <f t="shared" si="46"/>
        <v>79805.830094791832</v>
      </c>
    </row>
    <row r="558" spans="2:25" x14ac:dyDescent="0.25">
      <c r="B558" s="159">
        <v>518</v>
      </c>
      <c r="C558" s="164">
        <v>318139073.96964085</v>
      </c>
      <c r="D558" s="159">
        <v>113758.07989931313</v>
      </c>
      <c r="E558" s="164">
        <v>9216309.5118130222</v>
      </c>
      <c r="F558" s="159">
        <v>0</v>
      </c>
      <c r="I558" s="159">
        <v>518</v>
      </c>
      <c r="J558" s="164">
        <v>318139073.96964085</v>
      </c>
      <c r="K558" s="159">
        <v>113758.07989931313</v>
      </c>
      <c r="L558" s="164">
        <v>9216309.5118130222</v>
      </c>
      <c r="M558" s="159">
        <v>0</v>
      </c>
      <c r="Q558" s="139">
        <v>518</v>
      </c>
      <c r="R558" s="164">
        <f t="shared" si="43"/>
        <v>1540025890.7439518</v>
      </c>
      <c r="S558" s="164">
        <f t="shared" si="44"/>
        <v>-9216309.5118130222</v>
      </c>
      <c r="T558" s="159" t="str">
        <f t="shared" si="45"/>
        <v>TxPost-vaccination</v>
      </c>
      <c r="W558" s="139">
        <v>518</v>
      </c>
      <c r="X558" s="164">
        <f t="shared" si="46"/>
        <v>308922764.45782781</v>
      </c>
      <c r="Y558" s="159">
        <f t="shared" si="46"/>
        <v>113758.07989931313</v>
      </c>
    </row>
    <row r="559" spans="2:25" x14ac:dyDescent="0.25">
      <c r="B559" s="159">
        <v>519</v>
      </c>
      <c r="C559" s="164">
        <v>311497516.64040387</v>
      </c>
      <c r="D559" s="159">
        <v>72511.53505547253</v>
      </c>
      <c r="E559" s="164">
        <v>6673697.516431259</v>
      </c>
      <c r="F559" s="159">
        <v>0</v>
      </c>
      <c r="I559" s="159">
        <v>519</v>
      </c>
      <c r="J559" s="164">
        <v>311497516.64040387</v>
      </c>
      <c r="K559" s="159">
        <v>72511.53505547253</v>
      </c>
      <c r="L559" s="164">
        <v>6673697.516431259</v>
      </c>
      <c r="M559" s="159">
        <v>0</v>
      </c>
      <c r="Q559" s="139">
        <v>519</v>
      </c>
      <c r="R559" s="164">
        <f t="shared" si="43"/>
        <v>872931704.53612268</v>
      </c>
      <c r="S559" s="164">
        <f t="shared" si="44"/>
        <v>-6673697.516431259</v>
      </c>
      <c r="T559" s="159" t="str">
        <f t="shared" si="45"/>
        <v>TxPost-vaccination</v>
      </c>
      <c r="W559" s="139">
        <v>519</v>
      </c>
      <c r="X559" s="164">
        <f t="shared" si="46"/>
        <v>304823819.12397259</v>
      </c>
      <c r="Y559" s="159">
        <f t="shared" si="46"/>
        <v>72511.53505547253</v>
      </c>
    </row>
    <row r="560" spans="2:25" x14ac:dyDescent="0.25">
      <c r="B560" s="159">
        <v>520</v>
      </c>
      <c r="C560" s="164">
        <v>351601245.34584188</v>
      </c>
      <c r="D560" s="159">
        <v>70882.107535066942</v>
      </c>
      <c r="E560" s="164">
        <v>6339061.8164186087</v>
      </c>
      <c r="F560" s="159">
        <v>0</v>
      </c>
      <c r="I560" s="159">
        <v>520</v>
      </c>
      <c r="J560" s="164">
        <v>351601245.34584188</v>
      </c>
      <c r="K560" s="159">
        <v>70882.107535066942</v>
      </c>
      <c r="L560" s="164">
        <v>6339061.8164186087</v>
      </c>
      <c r="M560" s="159">
        <v>0</v>
      </c>
      <c r="Q560" s="139">
        <v>520</v>
      </c>
      <c r="R560" s="164">
        <f t="shared" si="43"/>
        <v>806212326.78283119</v>
      </c>
      <c r="S560" s="164">
        <f t="shared" si="44"/>
        <v>-6339061.8164186087</v>
      </c>
      <c r="T560" s="159" t="str">
        <f t="shared" si="45"/>
        <v>TxPost-vaccination</v>
      </c>
      <c r="W560" s="139">
        <v>520</v>
      </c>
      <c r="X560" s="164">
        <f t="shared" si="46"/>
        <v>345262183.5294233</v>
      </c>
      <c r="Y560" s="159">
        <f t="shared" si="46"/>
        <v>70882.107535066942</v>
      </c>
    </row>
    <row r="561" spans="2:25" x14ac:dyDescent="0.25">
      <c r="B561" s="159">
        <v>521</v>
      </c>
      <c r="C561" s="164">
        <v>297300683.08217967</v>
      </c>
      <c r="D561" s="159">
        <v>89827.073143014713</v>
      </c>
      <c r="E561" s="164">
        <v>6972966.9576914608</v>
      </c>
      <c r="F561" s="159">
        <v>0</v>
      </c>
      <c r="I561" s="159">
        <v>521</v>
      </c>
      <c r="J561" s="164">
        <v>297300683.08217967</v>
      </c>
      <c r="K561" s="159">
        <v>89827.073143014713</v>
      </c>
      <c r="L561" s="164">
        <v>6972966.9576914608</v>
      </c>
      <c r="M561" s="159">
        <v>0</v>
      </c>
      <c r="Q561" s="139">
        <v>521</v>
      </c>
      <c r="R561" s="164">
        <f t="shared" si="43"/>
        <v>1169966699.9894209</v>
      </c>
      <c r="S561" s="164">
        <f t="shared" si="44"/>
        <v>-6972966.9576914608</v>
      </c>
      <c r="T561" s="159" t="str">
        <f t="shared" si="45"/>
        <v>TxPost-vaccination</v>
      </c>
      <c r="W561" s="139">
        <v>521</v>
      </c>
      <c r="X561" s="164">
        <f t="shared" si="46"/>
        <v>290327716.12448823</v>
      </c>
      <c r="Y561" s="159">
        <f t="shared" si="46"/>
        <v>89827.073143014713</v>
      </c>
    </row>
    <row r="562" spans="2:25" x14ac:dyDescent="0.25">
      <c r="B562" s="159">
        <v>522</v>
      </c>
      <c r="C562" s="164">
        <v>308457851.97226554</v>
      </c>
      <c r="D562" s="159">
        <v>78046.522635712099</v>
      </c>
      <c r="E562" s="164">
        <v>7061288.2122237813</v>
      </c>
      <c r="F562" s="159">
        <v>0</v>
      </c>
      <c r="I562" s="159">
        <v>522</v>
      </c>
      <c r="J562" s="164">
        <v>308457851.97226554</v>
      </c>
      <c r="K562" s="159">
        <v>78046.522635712099</v>
      </c>
      <c r="L562" s="164">
        <v>7061288.2122237813</v>
      </c>
      <c r="M562" s="159">
        <v>0</v>
      </c>
      <c r="Q562" s="139">
        <v>522</v>
      </c>
      <c r="R562" s="164">
        <f t="shared" si="43"/>
        <v>966381826.2973237</v>
      </c>
      <c r="S562" s="164">
        <f t="shared" si="44"/>
        <v>-7061288.2122237813</v>
      </c>
      <c r="T562" s="159" t="str">
        <f t="shared" si="45"/>
        <v>TxPost-vaccination</v>
      </c>
      <c r="W562" s="139">
        <v>522</v>
      </c>
      <c r="X562" s="164">
        <f t="shared" si="46"/>
        <v>301396563.76004177</v>
      </c>
      <c r="Y562" s="159">
        <f t="shared" si="46"/>
        <v>78046.522635712099</v>
      </c>
    </row>
    <row r="563" spans="2:25" x14ac:dyDescent="0.25">
      <c r="B563" s="159">
        <v>523</v>
      </c>
      <c r="C563" s="164">
        <v>311565690.20246458</v>
      </c>
      <c r="D563" s="159">
        <v>113326.5963243372</v>
      </c>
      <c r="E563" s="164">
        <v>8813853.135953825</v>
      </c>
      <c r="F563" s="159">
        <v>0</v>
      </c>
      <c r="I563" s="159">
        <v>523</v>
      </c>
      <c r="J563" s="164">
        <v>311565690.20246458</v>
      </c>
      <c r="K563" s="159">
        <v>113326.5963243372</v>
      </c>
      <c r="L563" s="164">
        <v>8813853.135953825</v>
      </c>
      <c r="M563" s="159">
        <v>0</v>
      </c>
      <c r="Q563" s="139">
        <v>523</v>
      </c>
      <c r="R563" s="164">
        <f t="shared" si="43"/>
        <v>1539551268.2281518</v>
      </c>
      <c r="S563" s="164">
        <f t="shared" si="44"/>
        <v>-8813853.135953825</v>
      </c>
      <c r="T563" s="159" t="str">
        <f t="shared" si="45"/>
        <v>TxPost-vaccination</v>
      </c>
      <c r="W563" s="139">
        <v>523</v>
      </c>
      <c r="X563" s="164">
        <f t="shared" si="46"/>
        <v>302751837.06651074</v>
      </c>
      <c r="Y563" s="159">
        <f t="shared" si="46"/>
        <v>113326.5963243372</v>
      </c>
    </row>
    <row r="564" spans="2:25" x14ac:dyDescent="0.25">
      <c r="B564" s="159">
        <v>524</v>
      </c>
      <c r="C564" s="164">
        <v>297716640.36061162</v>
      </c>
      <c r="D564" s="159">
        <v>90720.550943637063</v>
      </c>
      <c r="E564" s="164">
        <v>7728823.9401219115</v>
      </c>
      <c r="F564" s="159">
        <v>0</v>
      </c>
      <c r="I564" s="159">
        <v>524</v>
      </c>
      <c r="J564" s="164">
        <v>297716640.36061162</v>
      </c>
      <c r="K564" s="159">
        <v>90720.550943637063</v>
      </c>
      <c r="L564" s="164">
        <v>7728823.9401219115</v>
      </c>
      <c r="M564" s="159">
        <v>0</v>
      </c>
      <c r="Q564" s="139">
        <v>524</v>
      </c>
      <c r="R564" s="164">
        <f t="shared" si="43"/>
        <v>1184145127.1040382</v>
      </c>
      <c r="S564" s="164">
        <f t="shared" si="44"/>
        <v>-7728823.9401219115</v>
      </c>
      <c r="T564" s="159" t="str">
        <f t="shared" si="45"/>
        <v>TxPost-vaccination</v>
      </c>
      <c r="W564" s="139">
        <v>524</v>
      </c>
      <c r="X564" s="164">
        <f t="shared" si="46"/>
        <v>289987816.42048973</v>
      </c>
      <c r="Y564" s="159">
        <f t="shared" si="46"/>
        <v>90720.550943637063</v>
      </c>
    </row>
    <row r="565" spans="2:25" x14ac:dyDescent="0.25">
      <c r="B565" s="159">
        <v>525</v>
      </c>
      <c r="C565" s="164">
        <v>328397625.47572058</v>
      </c>
      <c r="D565" s="159">
        <v>119757.1499521409</v>
      </c>
      <c r="E565" s="164">
        <v>9150552.7499406505</v>
      </c>
      <c r="F565" s="159">
        <v>0</v>
      </c>
      <c r="I565" s="159">
        <v>525</v>
      </c>
      <c r="J565" s="164">
        <v>328397625.47572058</v>
      </c>
      <c r="K565" s="159">
        <v>119757.1499521409</v>
      </c>
      <c r="L565" s="164">
        <v>9150552.7499406505</v>
      </c>
      <c r="M565" s="159">
        <v>0</v>
      </c>
      <c r="Q565" s="139">
        <v>525</v>
      </c>
      <c r="R565" s="164">
        <f t="shared" si="43"/>
        <v>1627758284.6097829</v>
      </c>
      <c r="S565" s="164">
        <f t="shared" si="44"/>
        <v>-9150552.7499406505</v>
      </c>
      <c r="T565" s="159" t="str">
        <f t="shared" si="45"/>
        <v>TxPost-vaccination</v>
      </c>
      <c r="W565" s="139">
        <v>525</v>
      </c>
      <c r="X565" s="164">
        <f t="shared" si="46"/>
        <v>319247072.72577995</v>
      </c>
      <c r="Y565" s="159">
        <f t="shared" si="46"/>
        <v>119757.1499521409</v>
      </c>
    </row>
    <row r="566" spans="2:25" x14ac:dyDescent="0.25">
      <c r="B566" s="159">
        <v>526</v>
      </c>
      <c r="C566" s="164">
        <v>338353798.16676563</v>
      </c>
      <c r="D566" s="159">
        <v>69573.236959882663</v>
      </c>
      <c r="E566" s="164">
        <v>6041512.5681359228</v>
      </c>
      <c r="F566" s="159">
        <v>0</v>
      </c>
      <c r="I566" s="159">
        <v>526</v>
      </c>
      <c r="J566" s="164">
        <v>338353798.16676563</v>
      </c>
      <c r="K566" s="159">
        <v>69573.236959882663</v>
      </c>
      <c r="L566" s="164">
        <v>6041512.5681359228</v>
      </c>
      <c r="M566" s="159">
        <v>0</v>
      </c>
      <c r="Q566" s="139">
        <v>526</v>
      </c>
      <c r="R566" s="164">
        <f t="shared" si="43"/>
        <v>798080216.14672089</v>
      </c>
      <c r="S566" s="164">
        <f t="shared" si="44"/>
        <v>-6041512.5681359228</v>
      </c>
      <c r="T566" s="159" t="str">
        <f t="shared" si="45"/>
        <v>TxPost-vaccination</v>
      </c>
      <c r="W566" s="139">
        <v>526</v>
      </c>
      <c r="X566" s="164">
        <f t="shared" si="46"/>
        <v>332312285.59862971</v>
      </c>
      <c r="Y566" s="159">
        <f t="shared" si="46"/>
        <v>69573.236959882663</v>
      </c>
    </row>
    <row r="567" spans="2:25" x14ac:dyDescent="0.25">
      <c r="B567" s="159">
        <v>527</v>
      </c>
      <c r="C567" s="164">
        <v>330407388.07598126</v>
      </c>
      <c r="D567" s="159">
        <v>82638.13640794692</v>
      </c>
      <c r="E567" s="164">
        <v>7658859.7096087672</v>
      </c>
      <c r="F567" s="159">
        <v>0</v>
      </c>
      <c r="I567" s="159">
        <v>527</v>
      </c>
      <c r="J567" s="164">
        <v>330407388.07598126</v>
      </c>
      <c r="K567" s="159">
        <v>82638.13640794692</v>
      </c>
      <c r="L567" s="164">
        <v>7658859.7096087672</v>
      </c>
      <c r="M567" s="159">
        <v>0</v>
      </c>
      <c r="Q567" s="139">
        <v>527</v>
      </c>
      <c r="R567" s="164">
        <f t="shared" si="43"/>
        <v>1019433343.750549</v>
      </c>
      <c r="S567" s="164">
        <f t="shared" si="44"/>
        <v>-7658859.7096087672</v>
      </c>
      <c r="T567" s="159" t="str">
        <f t="shared" si="45"/>
        <v>TxPost-vaccination</v>
      </c>
      <c r="W567" s="139">
        <v>527</v>
      </c>
      <c r="X567" s="164">
        <f t="shared" si="46"/>
        <v>322748528.36637247</v>
      </c>
      <c r="Y567" s="159">
        <f t="shared" si="46"/>
        <v>82638.13640794692</v>
      </c>
    </row>
    <row r="568" spans="2:25" x14ac:dyDescent="0.25">
      <c r="B568" s="159">
        <v>528</v>
      </c>
      <c r="C568" s="164">
        <v>298240723.07106197</v>
      </c>
      <c r="D568" s="159">
        <v>120886.74192226901</v>
      </c>
      <c r="E568" s="164">
        <v>9116646.4772255551</v>
      </c>
      <c r="F568" s="159">
        <v>0</v>
      </c>
      <c r="I568" s="159">
        <v>528</v>
      </c>
      <c r="J568" s="164">
        <v>298240723.07106197</v>
      </c>
      <c r="K568" s="159">
        <v>120886.74192226901</v>
      </c>
      <c r="L568" s="164">
        <v>9116646.4772255551</v>
      </c>
      <c r="M568" s="159">
        <v>0</v>
      </c>
      <c r="Q568" s="139">
        <v>528</v>
      </c>
      <c r="R568" s="164">
        <f t="shared" si="43"/>
        <v>1676366344.2875919</v>
      </c>
      <c r="S568" s="164">
        <f t="shared" si="44"/>
        <v>-9116646.4772255551</v>
      </c>
      <c r="T568" s="159" t="str">
        <f t="shared" si="45"/>
        <v>TxPost-vaccination</v>
      </c>
      <c r="W568" s="139">
        <v>528</v>
      </c>
      <c r="X568" s="164">
        <f t="shared" si="46"/>
        <v>289124076.59383643</v>
      </c>
      <c r="Y568" s="159">
        <f t="shared" si="46"/>
        <v>120886.74192226901</v>
      </c>
    </row>
    <row r="569" spans="2:25" x14ac:dyDescent="0.25">
      <c r="B569" s="159">
        <v>529</v>
      </c>
      <c r="C569" s="164">
        <v>294873962.87723678</v>
      </c>
      <c r="D569" s="159">
        <v>112032.56318085437</v>
      </c>
      <c r="E569" s="164">
        <v>10229118.330981856</v>
      </c>
      <c r="F569" s="159">
        <v>0</v>
      </c>
      <c r="I569" s="159">
        <v>529</v>
      </c>
      <c r="J569" s="164">
        <v>294873962.87723678</v>
      </c>
      <c r="K569" s="159">
        <v>112032.56318085437</v>
      </c>
      <c r="L569" s="164">
        <v>10229118.330981856</v>
      </c>
      <c r="M569" s="159">
        <v>0</v>
      </c>
      <c r="Q569" s="139">
        <v>529</v>
      </c>
      <c r="R569" s="164">
        <f t="shared" si="43"/>
        <v>1535105797.6283951</v>
      </c>
      <c r="S569" s="164">
        <f t="shared" si="44"/>
        <v>-10229118.330981856</v>
      </c>
      <c r="T569" s="159" t="str">
        <f t="shared" si="45"/>
        <v>TxPost-vaccination</v>
      </c>
      <c r="W569" s="139">
        <v>529</v>
      </c>
      <c r="X569" s="164">
        <f t="shared" si="46"/>
        <v>284644844.54625493</v>
      </c>
      <c r="Y569" s="159">
        <f t="shared" si="46"/>
        <v>112032.56318085437</v>
      </c>
    </row>
    <row r="570" spans="2:25" x14ac:dyDescent="0.25">
      <c r="B570" s="159">
        <v>530</v>
      </c>
      <c r="C570" s="164">
        <v>310211379.80416</v>
      </c>
      <c r="D570" s="159">
        <v>93676.111154863684</v>
      </c>
      <c r="E570" s="164">
        <v>7479382.2802255759</v>
      </c>
      <c r="F570" s="159">
        <v>0</v>
      </c>
      <c r="I570" s="159">
        <v>530</v>
      </c>
      <c r="J570" s="164">
        <v>310211379.80416</v>
      </c>
      <c r="K570" s="159">
        <v>93676.111154863684</v>
      </c>
      <c r="L570" s="164">
        <v>7479382.2802255759</v>
      </c>
      <c r="M570" s="159">
        <v>0</v>
      </c>
      <c r="Q570" s="139">
        <v>530</v>
      </c>
      <c r="R570" s="164">
        <f t="shared" si="43"/>
        <v>1219927560.0641003</v>
      </c>
      <c r="S570" s="164">
        <f t="shared" si="44"/>
        <v>-7479382.2802255759</v>
      </c>
      <c r="T570" s="159" t="str">
        <f t="shared" si="45"/>
        <v>TxPost-vaccination</v>
      </c>
      <c r="W570" s="139">
        <v>530</v>
      </c>
      <c r="X570" s="164">
        <f t="shared" si="46"/>
        <v>302731997.52393442</v>
      </c>
      <c r="Y570" s="159">
        <f t="shared" si="46"/>
        <v>93676.111154863684</v>
      </c>
    </row>
    <row r="571" spans="2:25" x14ac:dyDescent="0.25">
      <c r="B571" s="159">
        <v>531</v>
      </c>
      <c r="C571" s="164">
        <v>318381299.1703313</v>
      </c>
      <c r="D571" s="159">
        <v>101103.40128663668</v>
      </c>
      <c r="E571" s="164">
        <v>8389269.4961527996</v>
      </c>
      <c r="F571" s="159">
        <v>0</v>
      </c>
      <c r="I571" s="159">
        <v>531</v>
      </c>
      <c r="J571" s="164">
        <v>318381299.1703313</v>
      </c>
      <c r="K571" s="159">
        <v>101103.40128663668</v>
      </c>
      <c r="L571" s="164">
        <v>8389269.4961527996</v>
      </c>
      <c r="M571" s="159">
        <v>0</v>
      </c>
      <c r="Q571" s="139">
        <v>531</v>
      </c>
      <c r="R571" s="164">
        <f t="shared" si="43"/>
        <v>1333077641.1571398</v>
      </c>
      <c r="S571" s="164">
        <f t="shared" si="44"/>
        <v>-8389269.4961527996</v>
      </c>
      <c r="T571" s="159" t="str">
        <f t="shared" si="45"/>
        <v>TxPost-vaccination</v>
      </c>
      <c r="W571" s="139">
        <v>531</v>
      </c>
      <c r="X571" s="164">
        <f t="shared" si="46"/>
        <v>309992029.67417848</v>
      </c>
      <c r="Y571" s="159">
        <f t="shared" si="46"/>
        <v>101103.40128663668</v>
      </c>
    </row>
    <row r="572" spans="2:25" x14ac:dyDescent="0.25">
      <c r="B572" s="159">
        <v>532</v>
      </c>
      <c r="C572" s="164">
        <v>315429843.09482181</v>
      </c>
      <c r="D572" s="159">
        <v>98699.387434247008</v>
      </c>
      <c r="E572" s="164">
        <v>9121301.696418345</v>
      </c>
      <c r="F572" s="159">
        <v>0</v>
      </c>
      <c r="I572" s="159">
        <v>532</v>
      </c>
      <c r="J572" s="164">
        <v>315429843.09482181</v>
      </c>
      <c r="K572" s="159">
        <v>98699.387434247008</v>
      </c>
      <c r="L572" s="164">
        <v>9121301.696418345</v>
      </c>
      <c r="M572" s="159">
        <v>0</v>
      </c>
      <c r="Q572" s="139">
        <v>532</v>
      </c>
      <c r="R572" s="164">
        <f t="shared" si="43"/>
        <v>1296761079.3551459</v>
      </c>
      <c r="S572" s="164">
        <f t="shared" si="44"/>
        <v>-9121301.696418345</v>
      </c>
      <c r="T572" s="159" t="str">
        <f t="shared" si="45"/>
        <v>TxPost-vaccination</v>
      </c>
      <c r="W572" s="139">
        <v>532</v>
      </c>
      <c r="X572" s="164">
        <f t="shared" si="46"/>
        <v>306308541.39840347</v>
      </c>
      <c r="Y572" s="159">
        <f t="shared" si="46"/>
        <v>98699.387434247008</v>
      </c>
    </row>
    <row r="573" spans="2:25" x14ac:dyDescent="0.25">
      <c r="B573" s="159">
        <v>533</v>
      </c>
      <c r="C573" s="164">
        <v>310205396.3423121</v>
      </c>
      <c r="D573" s="159">
        <v>87112.527961840198</v>
      </c>
      <c r="E573" s="164">
        <v>7234462.7409879332</v>
      </c>
      <c r="F573" s="159">
        <v>0</v>
      </c>
      <c r="I573" s="159">
        <v>533</v>
      </c>
      <c r="J573" s="164">
        <v>310205396.3423121</v>
      </c>
      <c r="K573" s="159">
        <v>87112.527961840198</v>
      </c>
      <c r="L573" s="164">
        <v>7234462.7409879332</v>
      </c>
      <c r="M573" s="159">
        <v>0</v>
      </c>
      <c r="Q573" s="139">
        <v>533</v>
      </c>
      <c r="R573" s="164">
        <f t="shared" si="43"/>
        <v>1112721639.6062086</v>
      </c>
      <c r="S573" s="164">
        <f t="shared" si="44"/>
        <v>-7234462.7409879332</v>
      </c>
      <c r="T573" s="159" t="str">
        <f t="shared" si="45"/>
        <v>TxPost-vaccination</v>
      </c>
      <c r="W573" s="139">
        <v>533</v>
      </c>
      <c r="X573" s="164">
        <f t="shared" si="46"/>
        <v>302970933.60132414</v>
      </c>
      <c r="Y573" s="159">
        <f t="shared" si="46"/>
        <v>87112.527961840198</v>
      </c>
    </row>
    <row r="574" spans="2:25" x14ac:dyDescent="0.25">
      <c r="B574" s="159">
        <v>534</v>
      </c>
      <c r="C574" s="164">
        <v>334597031.27244622</v>
      </c>
      <c r="D574" s="159">
        <v>108488.37703070483</v>
      </c>
      <c r="E574" s="164">
        <v>9847761.1349915508</v>
      </c>
      <c r="F574" s="159">
        <v>0</v>
      </c>
      <c r="I574" s="159">
        <v>534</v>
      </c>
      <c r="J574" s="164">
        <v>334597031.27244622</v>
      </c>
      <c r="K574" s="159">
        <v>108488.37703070483</v>
      </c>
      <c r="L574" s="164">
        <v>9847761.1349915508</v>
      </c>
      <c r="M574" s="159">
        <v>0</v>
      </c>
      <c r="Q574" s="139">
        <v>534</v>
      </c>
      <c r="R574" s="164">
        <f t="shared" si="43"/>
        <v>1437490731.2453506</v>
      </c>
      <c r="S574" s="164">
        <f t="shared" si="44"/>
        <v>-9847761.1349915508</v>
      </c>
      <c r="T574" s="159" t="str">
        <f t="shared" si="45"/>
        <v>TxPost-vaccination</v>
      </c>
      <c r="W574" s="139">
        <v>534</v>
      </c>
      <c r="X574" s="164">
        <f t="shared" si="46"/>
        <v>324749270.13745469</v>
      </c>
      <c r="Y574" s="159">
        <f t="shared" si="46"/>
        <v>108488.37703070483</v>
      </c>
    </row>
    <row r="575" spans="2:25" x14ac:dyDescent="0.25">
      <c r="B575" s="159">
        <v>535</v>
      </c>
      <c r="C575" s="164">
        <v>347996897.72980124</v>
      </c>
      <c r="D575" s="159">
        <v>91127.824386306704</v>
      </c>
      <c r="E575" s="164">
        <v>7992101.6688532308</v>
      </c>
      <c r="F575" s="159">
        <v>0</v>
      </c>
      <c r="I575" s="159">
        <v>535</v>
      </c>
      <c r="J575" s="164">
        <v>347996897.72980124</v>
      </c>
      <c r="K575" s="159">
        <v>91127.824386306704</v>
      </c>
      <c r="L575" s="164">
        <v>7992101.6688532308</v>
      </c>
      <c r="M575" s="159">
        <v>0</v>
      </c>
      <c r="Q575" s="139">
        <v>535</v>
      </c>
      <c r="R575" s="164">
        <f t="shared" si="43"/>
        <v>1140517419.1001058</v>
      </c>
      <c r="S575" s="164">
        <f t="shared" si="44"/>
        <v>-7992101.6688532308</v>
      </c>
      <c r="T575" s="159" t="str">
        <f t="shared" si="45"/>
        <v>TxPost-vaccination</v>
      </c>
      <c r="W575" s="139">
        <v>535</v>
      </c>
      <c r="X575" s="164">
        <f t="shared" si="46"/>
        <v>340004796.06094801</v>
      </c>
      <c r="Y575" s="159">
        <f t="shared" si="46"/>
        <v>91127.824386306704</v>
      </c>
    </row>
    <row r="576" spans="2:25" x14ac:dyDescent="0.25">
      <c r="B576" s="159">
        <v>536</v>
      </c>
      <c r="C576" s="164">
        <v>312795628.73205203</v>
      </c>
      <c r="D576" s="159">
        <v>123431.6165586276</v>
      </c>
      <c r="E576" s="164">
        <v>9969789.0222024694</v>
      </c>
      <c r="F576" s="159">
        <v>0</v>
      </c>
      <c r="I576" s="159">
        <v>536</v>
      </c>
      <c r="J576" s="164">
        <v>312795628.73205203</v>
      </c>
      <c r="K576" s="159">
        <v>123431.6165586276</v>
      </c>
      <c r="L576" s="164">
        <v>9969789.0222024694</v>
      </c>
      <c r="M576" s="159">
        <v>0</v>
      </c>
      <c r="Q576" s="139">
        <v>536</v>
      </c>
      <c r="R576" s="164">
        <f t="shared" si="43"/>
        <v>1703380326.6832149</v>
      </c>
      <c r="S576" s="164">
        <f t="shared" si="44"/>
        <v>-9969789.0222024694</v>
      </c>
      <c r="T576" s="159" t="str">
        <f t="shared" si="45"/>
        <v>TxPost-vaccination</v>
      </c>
      <c r="W576" s="139">
        <v>536</v>
      </c>
      <c r="X576" s="164">
        <f t="shared" si="46"/>
        <v>302825839.70984954</v>
      </c>
      <c r="Y576" s="159">
        <f t="shared" si="46"/>
        <v>123431.6165586276</v>
      </c>
    </row>
    <row r="577" spans="2:25" x14ac:dyDescent="0.25">
      <c r="B577" s="159">
        <v>537</v>
      </c>
      <c r="C577" s="164">
        <v>314960671.63174856</v>
      </c>
      <c r="D577" s="159">
        <v>133244.59719365111</v>
      </c>
      <c r="E577" s="164">
        <v>9722111.683149714</v>
      </c>
      <c r="F577" s="159">
        <v>0</v>
      </c>
      <c r="I577" s="159">
        <v>537</v>
      </c>
      <c r="J577" s="164">
        <v>314960671.63174856</v>
      </c>
      <c r="K577" s="159">
        <v>133244.59719365111</v>
      </c>
      <c r="L577" s="164">
        <v>9722111.683149714</v>
      </c>
      <c r="M577" s="159">
        <v>0</v>
      </c>
      <c r="Q577" s="139">
        <v>537</v>
      </c>
      <c r="R577" s="164">
        <f t="shared" si="43"/>
        <v>1861504002.0139298</v>
      </c>
      <c r="S577" s="164">
        <f t="shared" si="44"/>
        <v>-9722111.683149714</v>
      </c>
      <c r="T577" s="159" t="str">
        <f t="shared" si="45"/>
        <v>TxPost-vaccination</v>
      </c>
      <c r="W577" s="139">
        <v>537</v>
      </c>
      <c r="X577" s="164">
        <f t="shared" si="46"/>
        <v>305238559.94859886</v>
      </c>
      <c r="Y577" s="159">
        <f t="shared" si="46"/>
        <v>133244.59719365111</v>
      </c>
    </row>
    <row r="578" spans="2:25" x14ac:dyDescent="0.25">
      <c r="B578" s="159">
        <v>538</v>
      </c>
      <c r="C578" s="164">
        <v>320309753.27136689</v>
      </c>
      <c r="D578" s="159">
        <v>67745.555177788105</v>
      </c>
      <c r="E578" s="164">
        <v>7186340.0952254655</v>
      </c>
      <c r="F578" s="159">
        <v>0</v>
      </c>
      <c r="I578" s="159">
        <v>538</v>
      </c>
      <c r="J578" s="164">
        <v>320309753.27136689</v>
      </c>
      <c r="K578" s="159">
        <v>67745.555177788105</v>
      </c>
      <c r="L578" s="164">
        <v>7186340.0952254655</v>
      </c>
      <c r="M578" s="159">
        <v>0</v>
      </c>
      <c r="Q578" s="139">
        <v>538</v>
      </c>
      <c r="R578" s="164">
        <f t="shared" si="43"/>
        <v>786270256.32316422</v>
      </c>
      <c r="S578" s="164">
        <f t="shared" si="44"/>
        <v>-7186340.0952254655</v>
      </c>
      <c r="T578" s="159" t="str">
        <f t="shared" si="45"/>
        <v>TxPost-vaccination</v>
      </c>
      <c r="W578" s="139">
        <v>538</v>
      </c>
      <c r="X578" s="164">
        <f t="shared" si="46"/>
        <v>313123413.17614144</v>
      </c>
      <c r="Y578" s="159">
        <f t="shared" si="46"/>
        <v>67745.555177788105</v>
      </c>
    </row>
    <row r="579" spans="2:25" x14ac:dyDescent="0.25">
      <c r="B579" s="159">
        <v>539</v>
      </c>
      <c r="C579" s="164">
        <v>315924380.023206</v>
      </c>
      <c r="D579" s="159">
        <v>117504.52369430421</v>
      </c>
      <c r="E579" s="164">
        <v>9506186.7980177421</v>
      </c>
      <c r="F579" s="159">
        <v>0</v>
      </c>
      <c r="I579" s="159">
        <v>539</v>
      </c>
      <c r="J579" s="164">
        <v>315924380.023206</v>
      </c>
      <c r="K579" s="159">
        <v>117504.52369430421</v>
      </c>
      <c r="L579" s="164">
        <v>9506186.7980177421</v>
      </c>
      <c r="M579" s="159">
        <v>0</v>
      </c>
      <c r="Q579" s="139">
        <v>539</v>
      </c>
      <c r="R579" s="164">
        <f t="shared" si="43"/>
        <v>1603436331.0345817</v>
      </c>
      <c r="S579" s="164">
        <f t="shared" si="44"/>
        <v>-9506186.7980177421</v>
      </c>
      <c r="T579" s="159" t="str">
        <f t="shared" si="45"/>
        <v>TxPost-vaccination</v>
      </c>
      <c r="W579" s="139">
        <v>539</v>
      </c>
      <c r="X579" s="164">
        <f t="shared" si="46"/>
        <v>306418193.22518826</v>
      </c>
      <c r="Y579" s="159">
        <f t="shared" si="46"/>
        <v>117504.52369430421</v>
      </c>
    </row>
    <row r="580" spans="2:25" x14ac:dyDescent="0.25">
      <c r="B580" s="159">
        <v>540</v>
      </c>
      <c r="C580" s="164">
        <v>300157757.21661079</v>
      </c>
      <c r="D580" s="159">
        <v>73561.334716338839</v>
      </c>
      <c r="E580" s="164">
        <v>6265116.031752985</v>
      </c>
      <c r="F580" s="159">
        <v>0</v>
      </c>
      <c r="I580" s="159">
        <v>540</v>
      </c>
      <c r="J580" s="164">
        <v>300157757.21661079</v>
      </c>
      <c r="K580" s="159">
        <v>73561.334716338839</v>
      </c>
      <c r="L580" s="164">
        <v>6265116.031752985</v>
      </c>
      <c r="M580" s="159">
        <v>0</v>
      </c>
      <c r="Q580" s="139">
        <v>540</v>
      </c>
      <c r="R580" s="164">
        <f t="shared" si="43"/>
        <v>901419265.2547034</v>
      </c>
      <c r="S580" s="164">
        <f t="shared" si="44"/>
        <v>-6265116.031752985</v>
      </c>
      <c r="T580" s="159" t="str">
        <f t="shared" si="45"/>
        <v>TxPost-vaccination</v>
      </c>
      <c r="W580" s="139">
        <v>540</v>
      </c>
      <c r="X580" s="164">
        <f t="shared" si="46"/>
        <v>293892641.18485779</v>
      </c>
      <c r="Y580" s="159">
        <f t="shared" si="46"/>
        <v>73561.334716338839</v>
      </c>
    </row>
    <row r="581" spans="2:25" x14ac:dyDescent="0.25">
      <c r="B581" s="159">
        <v>541</v>
      </c>
      <c r="C581" s="164">
        <v>323569126.9941715</v>
      </c>
      <c r="D581" s="159">
        <v>81407.248984451129</v>
      </c>
      <c r="E581" s="164">
        <v>7418731.750534161</v>
      </c>
      <c r="F581" s="159">
        <v>0</v>
      </c>
      <c r="I581" s="159">
        <v>541</v>
      </c>
      <c r="J581" s="164">
        <v>323569126.9941715</v>
      </c>
      <c r="K581" s="159">
        <v>81407.248984451129</v>
      </c>
      <c r="L581" s="164">
        <v>7418731.750534161</v>
      </c>
      <c r="M581" s="159">
        <v>0</v>
      </c>
      <c r="Q581" s="139">
        <v>541</v>
      </c>
      <c r="R581" s="164">
        <f t="shared" si="43"/>
        <v>1006165851.5718356</v>
      </c>
      <c r="S581" s="164">
        <f t="shared" si="44"/>
        <v>-7418731.750534161</v>
      </c>
      <c r="T581" s="159" t="str">
        <f t="shared" si="45"/>
        <v>TxPost-vaccination</v>
      </c>
      <c r="W581" s="139">
        <v>541</v>
      </c>
      <c r="X581" s="164">
        <f t="shared" si="46"/>
        <v>316150395.24363732</v>
      </c>
      <c r="Y581" s="159">
        <f t="shared" si="46"/>
        <v>81407.248984451129</v>
      </c>
    </row>
    <row r="582" spans="2:25" x14ac:dyDescent="0.25">
      <c r="B582" s="159">
        <v>542</v>
      </c>
      <c r="C582" s="164">
        <v>302542639.82935053</v>
      </c>
      <c r="D582" s="159">
        <v>104896.24848470013</v>
      </c>
      <c r="E582" s="164">
        <v>8916188.7314412333</v>
      </c>
      <c r="F582" s="159">
        <v>0</v>
      </c>
      <c r="I582" s="159">
        <v>542</v>
      </c>
      <c r="J582" s="164">
        <v>302542639.82935053</v>
      </c>
      <c r="K582" s="159">
        <v>104896.24848470013</v>
      </c>
      <c r="L582" s="164">
        <v>8916188.7314412333</v>
      </c>
      <c r="M582" s="159">
        <v>0</v>
      </c>
      <c r="Q582" s="139">
        <v>542</v>
      </c>
      <c r="R582" s="164">
        <f t="shared" si="43"/>
        <v>1410870016.543535</v>
      </c>
      <c r="S582" s="164">
        <f t="shared" si="44"/>
        <v>-8916188.7314412333</v>
      </c>
      <c r="T582" s="159" t="str">
        <f t="shared" si="45"/>
        <v>TxPost-vaccination</v>
      </c>
      <c r="W582" s="139">
        <v>542</v>
      </c>
      <c r="X582" s="164">
        <f t="shared" si="46"/>
        <v>293626451.09790927</v>
      </c>
      <c r="Y582" s="159">
        <f t="shared" si="46"/>
        <v>104896.24848470013</v>
      </c>
    </row>
    <row r="583" spans="2:25" x14ac:dyDescent="0.25">
      <c r="B583" s="159">
        <v>543</v>
      </c>
      <c r="C583" s="164">
        <v>315082744.66476977</v>
      </c>
      <c r="D583" s="159">
        <v>51882.103621293791</v>
      </c>
      <c r="E583" s="164">
        <v>5231485.1275016489</v>
      </c>
      <c r="F583" s="159">
        <v>0</v>
      </c>
      <c r="I583" s="159">
        <v>543</v>
      </c>
      <c r="J583" s="164">
        <v>315082744.66476977</v>
      </c>
      <c r="K583" s="159">
        <v>51882.103621293791</v>
      </c>
      <c r="L583" s="164">
        <v>5231485.1275016489</v>
      </c>
      <c r="M583" s="159">
        <v>0</v>
      </c>
      <c r="Q583" s="139">
        <v>543</v>
      </c>
      <c r="R583" s="164">
        <f t="shared" si="43"/>
        <v>532378001.24494052</v>
      </c>
      <c r="S583" s="164">
        <f t="shared" si="44"/>
        <v>-5231485.1275016489</v>
      </c>
      <c r="T583" s="159" t="str">
        <f t="shared" si="45"/>
        <v>TxPost-vaccination</v>
      </c>
      <c r="W583" s="139">
        <v>543</v>
      </c>
      <c r="X583" s="164">
        <f t="shared" si="46"/>
        <v>309851259.5372681</v>
      </c>
      <c r="Y583" s="159">
        <f t="shared" si="46"/>
        <v>51882.103621293791</v>
      </c>
    </row>
    <row r="584" spans="2:25" x14ac:dyDescent="0.25">
      <c r="B584" s="159">
        <v>544</v>
      </c>
      <c r="C584" s="164">
        <v>296380587.82503468</v>
      </c>
      <c r="D584" s="159">
        <v>113773.53672632732</v>
      </c>
      <c r="E584" s="164">
        <v>9762087.6419300288</v>
      </c>
      <c r="F584" s="159">
        <v>0</v>
      </c>
      <c r="I584" s="159">
        <v>544</v>
      </c>
      <c r="J584" s="164">
        <v>296380587.82503468</v>
      </c>
      <c r="K584" s="159">
        <v>113773.53672632732</v>
      </c>
      <c r="L584" s="164">
        <v>9762087.6419300288</v>
      </c>
      <c r="M584" s="159">
        <v>0</v>
      </c>
      <c r="Q584" s="139">
        <v>544</v>
      </c>
      <c r="R584" s="164">
        <f t="shared" si="43"/>
        <v>1562036854.2022469</v>
      </c>
      <c r="S584" s="164">
        <f t="shared" si="44"/>
        <v>-9762087.6419300288</v>
      </c>
      <c r="T584" s="159" t="str">
        <f t="shared" si="45"/>
        <v>TxPost-vaccination</v>
      </c>
      <c r="W584" s="139">
        <v>544</v>
      </c>
      <c r="X584" s="164">
        <f t="shared" si="46"/>
        <v>286618500.18310463</v>
      </c>
      <c r="Y584" s="159">
        <f t="shared" si="46"/>
        <v>113773.53672632732</v>
      </c>
    </row>
    <row r="585" spans="2:25" x14ac:dyDescent="0.25">
      <c r="B585" s="159">
        <v>545</v>
      </c>
      <c r="C585" s="164">
        <v>315712467.2468425</v>
      </c>
      <c r="D585" s="159">
        <v>64949.700324252124</v>
      </c>
      <c r="E585" s="164">
        <v>6746475.9248580746</v>
      </c>
      <c r="F585" s="159">
        <v>0</v>
      </c>
      <c r="I585" s="159">
        <v>545</v>
      </c>
      <c r="J585" s="164">
        <v>315712467.2468425</v>
      </c>
      <c r="K585" s="159">
        <v>64949.700324252124</v>
      </c>
      <c r="L585" s="164">
        <v>6746475.9248580746</v>
      </c>
      <c r="M585" s="159">
        <v>0</v>
      </c>
      <c r="Q585" s="139">
        <v>545</v>
      </c>
      <c r="R585" s="164">
        <f t="shared" si="43"/>
        <v>745199054.09733117</v>
      </c>
      <c r="S585" s="164">
        <f t="shared" si="44"/>
        <v>-6746475.9248580746</v>
      </c>
      <c r="T585" s="159" t="str">
        <f t="shared" si="45"/>
        <v>TxPost-vaccination</v>
      </c>
      <c r="W585" s="139">
        <v>545</v>
      </c>
      <c r="X585" s="164">
        <f t="shared" si="46"/>
        <v>308965991.32198441</v>
      </c>
      <c r="Y585" s="159">
        <f t="shared" si="46"/>
        <v>64949.700324252124</v>
      </c>
    </row>
    <row r="586" spans="2:25" x14ac:dyDescent="0.25">
      <c r="B586" s="159">
        <v>546</v>
      </c>
      <c r="C586" s="164">
        <v>325313751.45754564</v>
      </c>
      <c r="D586" s="159">
        <v>79767.289277595235</v>
      </c>
      <c r="E586" s="164">
        <v>8445089.0017909687</v>
      </c>
      <c r="F586" s="159">
        <v>0</v>
      </c>
      <c r="I586" s="159">
        <v>546</v>
      </c>
      <c r="J586" s="164">
        <v>325313751.45754564</v>
      </c>
      <c r="K586" s="159">
        <v>79767.289277595235</v>
      </c>
      <c r="L586" s="164">
        <v>8445089.0017909687</v>
      </c>
      <c r="M586" s="159">
        <v>0</v>
      </c>
      <c r="Q586" s="139">
        <v>546</v>
      </c>
      <c r="R586" s="164">
        <f t="shared" si="43"/>
        <v>977633541.57861817</v>
      </c>
      <c r="S586" s="164">
        <f t="shared" si="44"/>
        <v>-8445089.0017909687</v>
      </c>
      <c r="T586" s="159" t="str">
        <f t="shared" si="45"/>
        <v>TxPost-vaccination</v>
      </c>
      <c r="W586" s="139">
        <v>546</v>
      </c>
      <c r="X586" s="164">
        <f t="shared" si="46"/>
        <v>316868662.4557547</v>
      </c>
      <c r="Y586" s="159">
        <f t="shared" si="46"/>
        <v>79767.289277595235</v>
      </c>
    </row>
    <row r="587" spans="2:25" x14ac:dyDescent="0.25">
      <c r="B587" s="159">
        <v>547</v>
      </c>
      <c r="C587" s="164">
        <v>298844369.49678099</v>
      </c>
      <c r="D587" s="159">
        <v>73069.14725253392</v>
      </c>
      <c r="E587" s="164">
        <v>7778253.5010232581</v>
      </c>
      <c r="F587" s="159">
        <v>0</v>
      </c>
      <c r="I587" s="159">
        <v>547</v>
      </c>
      <c r="J587" s="164">
        <v>298844369.49678099</v>
      </c>
      <c r="K587" s="159">
        <v>73069.14725253392</v>
      </c>
      <c r="L587" s="164">
        <v>7778253.5010232581</v>
      </c>
      <c r="M587" s="159">
        <v>0</v>
      </c>
      <c r="Q587" s="139">
        <v>547</v>
      </c>
      <c r="R587" s="164">
        <f t="shared" si="43"/>
        <v>894693087.76630342</v>
      </c>
      <c r="S587" s="164">
        <f t="shared" si="44"/>
        <v>-7778253.5010232581</v>
      </c>
      <c r="T587" s="159" t="str">
        <f t="shared" si="45"/>
        <v>TxPost-vaccination</v>
      </c>
      <c r="W587" s="139">
        <v>547</v>
      </c>
      <c r="X587" s="164">
        <f t="shared" si="46"/>
        <v>291066115.99575776</v>
      </c>
      <c r="Y587" s="159">
        <f t="shared" si="46"/>
        <v>73069.14725253392</v>
      </c>
    </row>
    <row r="588" spans="2:25" x14ac:dyDescent="0.25">
      <c r="B588" s="159">
        <v>548</v>
      </c>
      <c r="C588" s="164">
        <v>343443820.86784881</v>
      </c>
      <c r="D588" s="159">
        <v>67897.256367309223</v>
      </c>
      <c r="E588" s="164">
        <v>7827445.7289245278</v>
      </c>
      <c r="F588" s="159">
        <v>0</v>
      </c>
      <c r="I588" s="159">
        <v>548</v>
      </c>
      <c r="J588" s="164">
        <v>343443820.86784881</v>
      </c>
      <c r="K588" s="159">
        <v>67897.256367309223</v>
      </c>
      <c r="L588" s="164">
        <v>7827445.7289245278</v>
      </c>
      <c r="M588" s="159">
        <v>0</v>
      </c>
      <c r="Q588" s="139">
        <v>548</v>
      </c>
      <c r="R588" s="164">
        <f t="shared" si="43"/>
        <v>765614129.94829059</v>
      </c>
      <c r="S588" s="164">
        <f t="shared" si="44"/>
        <v>-7827445.7289245278</v>
      </c>
      <c r="T588" s="159" t="str">
        <f t="shared" si="45"/>
        <v>TxPost-vaccination</v>
      </c>
      <c r="W588" s="139">
        <v>548</v>
      </c>
      <c r="X588" s="164">
        <f t="shared" si="46"/>
        <v>335616375.1389243</v>
      </c>
      <c r="Y588" s="159">
        <f t="shared" si="46"/>
        <v>67897.256367309223</v>
      </c>
    </row>
    <row r="589" spans="2:25" x14ac:dyDescent="0.25">
      <c r="B589" s="159">
        <v>549</v>
      </c>
      <c r="C589" s="164">
        <v>305180490.07895362</v>
      </c>
      <c r="D589" s="159">
        <v>140446.7967683067</v>
      </c>
      <c r="E589" s="164">
        <v>11039240.405799946</v>
      </c>
      <c r="F589" s="159">
        <v>0</v>
      </c>
      <c r="I589" s="159">
        <v>549</v>
      </c>
      <c r="J589" s="164">
        <v>305180490.07895362</v>
      </c>
      <c r="K589" s="159">
        <v>140446.7967683067</v>
      </c>
      <c r="L589" s="164">
        <v>11039240.405799946</v>
      </c>
      <c r="M589" s="159">
        <v>0</v>
      </c>
      <c r="Q589" s="139">
        <v>549</v>
      </c>
      <c r="R589" s="164">
        <f t="shared" si="43"/>
        <v>1988927474.7539992</v>
      </c>
      <c r="S589" s="164">
        <f t="shared" si="44"/>
        <v>-11039240.405799946</v>
      </c>
      <c r="T589" s="159" t="str">
        <f t="shared" si="45"/>
        <v>TxPost-vaccination</v>
      </c>
      <c r="W589" s="139">
        <v>549</v>
      </c>
      <c r="X589" s="164">
        <f t="shared" si="46"/>
        <v>294141249.6731537</v>
      </c>
      <c r="Y589" s="159">
        <f t="shared" si="46"/>
        <v>140446.7967683067</v>
      </c>
    </row>
    <row r="590" spans="2:25" x14ac:dyDescent="0.25">
      <c r="B590" s="159">
        <v>550</v>
      </c>
      <c r="C590" s="164">
        <v>308951247.12103945</v>
      </c>
      <c r="D590" s="159">
        <v>50876.952797456048</v>
      </c>
      <c r="E590" s="164">
        <v>5026003.3073344035</v>
      </c>
      <c r="F590" s="159">
        <v>0</v>
      </c>
      <c r="I590" s="159">
        <v>550</v>
      </c>
      <c r="J590" s="164">
        <v>308951247.12103945</v>
      </c>
      <c r="K590" s="159">
        <v>50876.952797456048</v>
      </c>
      <c r="L590" s="164">
        <v>5026003.3073344035</v>
      </c>
      <c r="M590" s="159">
        <v>0</v>
      </c>
      <c r="Q590" s="139">
        <v>550</v>
      </c>
      <c r="R590" s="164">
        <f t="shared" si="43"/>
        <v>522091007.48887545</v>
      </c>
      <c r="S590" s="164">
        <f t="shared" si="44"/>
        <v>-5026003.3073344035</v>
      </c>
      <c r="T590" s="159" t="str">
        <f t="shared" si="45"/>
        <v>TxPost-vaccination</v>
      </c>
      <c r="W590" s="139">
        <v>550</v>
      </c>
      <c r="X590" s="164">
        <f t="shared" si="46"/>
        <v>303925243.81370503</v>
      </c>
      <c r="Y590" s="159">
        <f t="shared" si="46"/>
        <v>50876.952797456048</v>
      </c>
    </row>
    <row r="591" spans="2:25" x14ac:dyDescent="0.25">
      <c r="B591" s="159">
        <v>551</v>
      </c>
      <c r="C591" s="164">
        <v>315185572.56453437</v>
      </c>
      <c r="D591" s="159">
        <v>96275.389186055691</v>
      </c>
      <c r="E591" s="164">
        <v>7768256.2239289442</v>
      </c>
      <c r="F591" s="159">
        <v>0</v>
      </c>
      <c r="I591" s="159">
        <v>551</v>
      </c>
      <c r="J591" s="164">
        <v>315185572.56453437</v>
      </c>
      <c r="K591" s="159">
        <v>96275.389186055691</v>
      </c>
      <c r="L591" s="164">
        <v>7768256.2239289442</v>
      </c>
      <c r="M591" s="159">
        <v>0</v>
      </c>
      <c r="Q591" s="139">
        <v>551</v>
      </c>
      <c r="R591" s="164">
        <f t="shared" si="43"/>
        <v>1257410899.77426</v>
      </c>
      <c r="S591" s="164">
        <f t="shared" si="44"/>
        <v>-7768256.2239289442</v>
      </c>
      <c r="T591" s="159" t="str">
        <f t="shared" si="45"/>
        <v>TxPost-vaccination</v>
      </c>
      <c r="W591" s="139">
        <v>551</v>
      </c>
      <c r="X591" s="164">
        <f t="shared" si="46"/>
        <v>307417316.34060544</v>
      </c>
      <c r="Y591" s="159">
        <f t="shared" si="46"/>
        <v>96275.389186055691</v>
      </c>
    </row>
    <row r="592" spans="2:25" x14ac:dyDescent="0.25">
      <c r="B592" s="159">
        <v>552</v>
      </c>
      <c r="C592" s="164">
        <v>293315627.33484423</v>
      </c>
      <c r="D592" s="159">
        <v>60785.982424973598</v>
      </c>
      <c r="E592" s="164">
        <v>6293725.2678899635</v>
      </c>
      <c r="F592" s="159">
        <v>0</v>
      </c>
      <c r="I592" s="159">
        <v>552</v>
      </c>
      <c r="J592" s="164">
        <v>293315627.33484423</v>
      </c>
      <c r="K592" s="159">
        <v>60785.982424973598</v>
      </c>
      <c r="L592" s="164">
        <v>6293725.2678899635</v>
      </c>
      <c r="M592" s="159">
        <v>0</v>
      </c>
      <c r="Q592" s="139">
        <v>552</v>
      </c>
      <c r="R592" s="164">
        <f t="shared" si="43"/>
        <v>699584243.9336766</v>
      </c>
      <c r="S592" s="164">
        <f t="shared" si="44"/>
        <v>-6293725.2678899635</v>
      </c>
      <c r="T592" s="159" t="str">
        <f t="shared" si="45"/>
        <v>TxPost-vaccination</v>
      </c>
      <c r="W592" s="139">
        <v>552</v>
      </c>
      <c r="X592" s="164">
        <f t="shared" si="46"/>
        <v>287021902.06695426</v>
      </c>
      <c r="Y592" s="159">
        <f t="shared" si="46"/>
        <v>60785.982424973598</v>
      </c>
    </row>
    <row r="593" spans="2:25" x14ac:dyDescent="0.25">
      <c r="B593" s="159">
        <v>553</v>
      </c>
      <c r="C593" s="164">
        <v>322742792.89505255</v>
      </c>
      <c r="D593" s="159">
        <v>122003.63499000225</v>
      </c>
      <c r="E593" s="164">
        <v>10059661.514533335</v>
      </c>
      <c r="F593" s="159">
        <v>0</v>
      </c>
      <c r="I593" s="159">
        <v>553</v>
      </c>
      <c r="J593" s="164">
        <v>322742792.89505255</v>
      </c>
      <c r="K593" s="159">
        <v>122003.63499000225</v>
      </c>
      <c r="L593" s="164">
        <v>10059661.514533335</v>
      </c>
      <c r="M593" s="159">
        <v>0</v>
      </c>
      <c r="Q593" s="139">
        <v>553</v>
      </c>
      <c r="R593" s="164">
        <f t="shared" si="43"/>
        <v>1670108003.3453679</v>
      </c>
      <c r="S593" s="164">
        <f t="shared" si="44"/>
        <v>-10059661.514533335</v>
      </c>
      <c r="T593" s="159" t="str">
        <f t="shared" si="45"/>
        <v>TxPost-vaccination</v>
      </c>
      <c r="W593" s="139">
        <v>553</v>
      </c>
      <c r="X593" s="164">
        <f t="shared" si="46"/>
        <v>312683131.38051921</v>
      </c>
      <c r="Y593" s="159">
        <f t="shared" si="46"/>
        <v>122003.63499000225</v>
      </c>
    </row>
    <row r="594" spans="2:25" x14ac:dyDescent="0.25">
      <c r="B594" s="159">
        <v>554</v>
      </c>
      <c r="C594" s="164">
        <v>322489378.63671702</v>
      </c>
      <c r="D594" s="159">
        <v>99750.558335342823</v>
      </c>
      <c r="E594" s="164">
        <v>9243515.5261500068</v>
      </c>
      <c r="F594" s="159">
        <v>0</v>
      </c>
      <c r="I594" s="159">
        <v>554</v>
      </c>
      <c r="J594" s="164">
        <v>322489378.63671702</v>
      </c>
      <c r="K594" s="159">
        <v>99750.558335342823</v>
      </c>
      <c r="L594" s="164">
        <v>9243515.5261500068</v>
      </c>
      <c r="M594" s="159">
        <v>0</v>
      </c>
      <c r="Q594" s="139">
        <v>554</v>
      </c>
      <c r="R594" s="164">
        <f t="shared" si="43"/>
        <v>1306871743.4339852</v>
      </c>
      <c r="S594" s="164">
        <f t="shared" si="44"/>
        <v>-9243515.5261500068</v>
      </c>
      <c r="T594" s="159" t="str">
        <f t="shared" si="45"/>
        <v>TxPost-vaccination</v>
      </c>
      <c r="W594" s="139">
        <v>554</v>
      </c>
      <c r="X594" s="164">
        <f t="shared" si="46"/>
        <v>313245863.11056703</v>
      </c>
      <c r="Y594" s="159">
        <f t="shared" si="46"/>
        <v>99750.558335342823</v>
      </c>
    </row>
    <row r="595" spans="2:25" x14ac:dyDescent="0.25">
      <c r="B595" s="159">
        <v>555</v>
      </c>
      <c r="C595" s="164">
        <v>331425639.98328477</v>
      </c>
      <c r="D595" s="159">
        <v>68053.559065338661</v>
      </c>
      <c r="E595" s="164">
        <v>6005568.9131705463</v>
      </c>
      <c r="F595" s="159">
        <v>0</v>
      </c>
      <c r="I595" s="159">
        <v>555</v>
      </c>
      <c r="J595" s="164">
        <v>331425639.98328477</v>
      </c>
      <c r="K595" s="159">
        <v>68053.559065338661</v>
      </c>
      <c r="L595" s="164">
        <v>6005568.9131705463</v>
      </c>
      <c r="M595" s="159">
        <v>0</v>
      </c>
      <c r="Q595" s="139">
        <v>555</v>
      </c>
      <c r="R595" s="164">
        <f t="shared" si="43"/>
        <v>780185414.73216081</v>
      </c>
      <c r="S595" s="164">
        <f t="shared" si="44"/>
        <v>-6005568.9131705463</v>
      </c>
      <c r="T595" s="159" t="str">
        <f t="shared" si="45"/>
        <v>TxPost-vaccination</v>
      </c>
      <c r="W595" s="139">
        <v>555</v>
      </c>
      <c r="X595" s="164">
        <f t="shared" si="46"/>
        <v>325420071.07011425</v>
      </c>
      <c r="Y595" s="159">
        <f t="shared" si="46"/>
        <v>68053.559065338661</v>
      </c>
    </row>
    <row r="596" spans="2:25" x14ac:dyDescent="0.25">
      <c r="B596" s="159">
        <v>556</v>
      </c>
      <c r="C596" s="164">
        <v>327875554.42996579</v>
      </c>
      <c r="D596" s="159">
        <v>112647.12102278224</v>
      </c>
      <c r="E596" s="164">
        <v>9351003.934117388</v>
      </c>
      <c r="F596" s="159">
        <v>0</v>
      </c>
      <c r="I596" s="159">
        <v>556</v>
      </c>
      <c r="J596" s="164">
        <v>327875554.42996579</v>
      </c>
      <c r="K596" s="159">
        <v>112647.12102278224</v>
      </c>
      <c r="L596" s="164">
        <v>9351003.934117388</v>
      </c>
      <c r="M596" s="159">
        <v>0</v>
      </c>
      <c r="Q596" s="139">
        <v>556</v>
      </c>
      <c r="R596" s="164">
        <f t="shared" si="43"/>
        <v>1512142612.5929976</v>
      </c>
      <c r="S596" s="164">
        <f t="shared" si="44"/>
        <v>-9351003.934117388</v>
      </c>
      <c r="T596" s="159" t="str">
        <f t="shared" si="45"/>
        <v>TxPost-vaccination</v>
      </c>
      <c r="W596" s="139">
        <v>556</v>
      </c>
      <c r="X596" s="164">
        <f t="shared" si="46"/>
        <v>318524550.49584842</v>
      </c>
      <c r="Y596" s="159">
        <f t="shared" si="46"/>
        <v>112647.12102278224</v>
      </c>
    </row>
    <row r="597" spans="2:25" x14ac:dyDescent="0.25">
      <c r="B597" s="159">
        <v>557</v>
      </c>
      <c r="C597" s="164">
        <v>309628444.91037363</v>
      </c>
      <c r="D597" s="159">
        <v>104115.18947793839</v>
      </c>
      <c r="E597" s="164">
        <v>9673419.0696157031</v>
      </c>
      <c r="F597" s="159">
        <v>0</v>
      </c>
      <c r="I597" s="159">
        <v>557</v>
      </c>
      <c r="J597" s="164">
        <v>309628444.91037363</v>
      </c>
      <c r="K597" s="159">
        <v>104115.18947793839</v>
      </c>
      <c r="L597" s="164">
        <v>9673419.0696157031</v>
      </c>
      <c r="M597" s="159">
        <v>0</v>
      </c>
      <c r="Q597" s="139">
        <v>557</v>
      </c>
      <c r="R597" s="164">
        <f t="shared" si="43"/>
        <v>1391026115.6593542</v>
      </c>
      <c r="S597" s="164">
        <f t="shared" si="44"/>
        <v>-9673419.0696157031</v>
      </c>
      <c r="T597" s="159" t="str">
        <f t="shared" si="45"/>
        <v>TxPost-vaccination</v>
      </c>
      <c r="W597" s="139">
        <v>557</v>
      </c>
      <c r="X597" s="164">
        <f t="shared" si="46"/>
        <v>299955025.84075791</v>
      </c>
      <c r="Y597" s="159">
        <f t="shared" si="46"/>
        <v>104115.18947793839</v>
      </c>
    </row>
    <row r="598" spans="2:25" x14ac:dyDescent="0.25">
      <c r="B598" s="159">
        <v>558</v>
      </c>
      <c r="C598" s="164">
        <v>310536009.95123088</v>
      </c>
      <c r="D598" s="159">
        <v>82850.58293342781</v>
      </c>
      <c r="E598" s="164">
        <v>8080613.4657780491</v>
      </c>
      <c r="F598" s="159">
        <v>0</v>
      </c>
      <c r="I598" s="159">
        <v>558</v>
      </c>
      <c r="J598" s="164">
        <v>310536009.95123088</v>
      </c>
      <c r="K598" s="159">
        <v>82850.58293342781</v>
      </c>
      <c r="L598" s="164">
        <v>8080613.4657780491</v>
      </c>
      <c r="M598" s="159">
        <v>0</v>
      </c>
      <c r="Q598" s="139">
        <v>558</v>
      </c>
      <c r="R598" s="164">
        <f t="shared" si="43"/>
        <v>1042774899.0343469</v>
      </c>
      <c r="S598" s="164">
        <f t="shared" si="44"/>
        <v>-8080613.4657780491</v>
      </c>
      <c r="T598" s="159" t="str">
        <f t="shared" si="45"/>
        <v>TxPost-vaccination</v>
      </c>
      <c r="W598" s="139">
        <v>558</v>
      </c>
      <c r="X598" s="164">
        <f t="shared" si="46"/>
        <v>302455396.48545283</v>
      </c>
      <c r="Y598" s="159">
        <f t="shared" si="46"/>
        <v>82850.58293342781</v>
      </c>
    </row>
    <row r="599" spans="2:25" x14ac:dyDescent="0.25">
      <c r="B599" s="159">
        <v>559</v>
      </c>
      <c r="C599" s="164">
        <v>306255847.84438848</v>
      </c>
      <c r="D599" s="159">
        <v>114391.3084448919</v>
      </c>
      <c r="E599" s="164">
        <v>10487194.708039897</v>
      </c>
      <c r="F599" s="159">
        <v>0</v>
      </c>
      <c r="I599" s="159">
        <v>559</v>
      </c>
      <c r="J599" s="164">
        <v>306255847.84438848</v>
      </c>
      <c r="K599" s="159">
        <v>114391.3084448919</v>
      </c>
      <c r="L599" s="164">
        <v>10487194.708039897</v>
      </c>
      <c r="M599" s="159">
        <v>0</v>
      </c>
      <c r="Q599" s="139">
        <v>559</v>
      </c>
      <c r="R599" s="164">
        <f t="shared" si="43"/>
        <v>1562252497.3050592</v>
      </c>
      <c r="S599" s="164">
        <f t="shared" si="44"/>
        <v>-10487194.708039897</v>
      </c>
      <c r="T599" s="159" t="str">
        <f t="shared" si="45"/>
        <v>TxPost-vaccination</v>
      </c>
      <c r="W599" s="139">
        <v>559</v>
      </c>
      <c r="X599" s="164">
        <f t="shared" si="46"/>
        <v>295768653.13634861</v>
      </c>
      <c r="Y599" s="159">
        <f t="shared" si="46"/>
        <v>114391.3084448919</v>
      </c>
    </row>
    <row r="600" spans="2:25" x14ac:dyDescent="0.25">
      <c r="B600" s="159">
        <v>560</v>
      </c>
      <c r="C600" s="164">
        <v>289739881.15527004</v>
      </c>
      <c r="D600" s="159">
        <v>58445.70542783603</v>
      </c>
      <c r="E600" s="164">
        <v>5600706.4973788355</v>
      </c>
      <c r="F600" s="159">
        <v>0</v>
      </c>
      <c r="I600" s="159">
        <v>560</v>
      </c>
      <c r="J600" s="164">
        <v>289739881.15527004</v>
      </c>
      <c r="K600" s="159">
        <v>58445.70542783603</v>
      </c>
      <c r="L600" s="164">
        <v>5600706.4973788355</v>
      </c>
      <c r="M600" s="159">
        <v>0</v>
      </c>
      <c r="Q600" s="139">
        <v>560</v>
      </c>
      <c r="R600" s="164">
        <f t="shared" si="43"/>
        <v>664933072.71401978</v>
      </c>
      <c r="S600" s="164">
        <f t="shared" si="44"/>
        <v>-5600706.4973788355</v>
      </c>
      <c r="T600" s="159" t="str">
        <f t="shared" si="45"/>
        <v>TxPost-vaccination</v>
      </c>
      <c r="W600" s="139">
        <v>560</v>
      </c>
      <c r="X600" s="164">
        <f t="shared" si="46"/>
        <v>284139174.65789121</v>
      </c>
      <c r="Y600" s="159">
        <f t="shared" si="46"/>
        <v>58445.70542783603</v>
      </c>
    </row>
    <row r="601" spans="2:25" x14ac:dyDescent="0.25">
      <c r="B601" s="159">
        <v>561</v>
      </c>
      <c r="C601" s="164">
        <v>300995217.12679076</v>
      </c>
      <c r="D601" s="159">
        <v>111853.75919879903</v>
      </c>
      <c r="E601" s="164">
        <v>10306255.614181668</v>
      </c>
      <c r="F601" s="159">
        <v>0</v>
      </c>
      <c r="I601" s="159">
        <v>561</v>
      </c>
      <c r="J601" s="164">
        <v>300995217.12679076</v>
      </c>
      <c r="K601" s="159">
        <v>111853.75919879903</v>
      </c>
      <c r="L601" s="164">
        <v>10306255.614181668</v>
      </c>
      <c r="M601" s="159">
        <v>0</v>
      </c>
      <c r="Q601" s="139">
        <v>561</v>
      </c>
      <c r="R601" s="164">
        <f t="shared" si="43"/>
        <v>1526063895.497824</v>
      </c>
      <c r="S601" s="164">
        <f t="shared" si="44"/>
        <v>-10306255.614181668</v>
      </c>
      <c r="T601" s="159" t="str">
        <f t="shared" si="45"/>
        <v>TxPost-vaccination</v>
      </c>
      <c r="W601" s="139">
        <v>561</v>
      </c>
      <c r="X601" s="164">
        <f t="shared" si="46"/>
        <v>290688961.51260912</v>
      </c>
      <c r="Y601" s="159">
        <f t="shared" si="46"/>
        <v>111853.75919879903</v>
      </c>
    </row>
    <row r="602" spans="2:25" x14ac:dyDescent="0.25">
      <c r="B602" s="159">
        <v>562</v>
      </c>
      <c r="C602" s="164">
        <v>325503511.19847941</v>
      </c>
      <c r="D602" s="159">
        <v>63172.472272244253</v>
      </c>
      <c r="E602" s="164">
        <v>6419988.2149809701</v>
      </c>
      <c r="F602" s="159">
        <v>0</v>
      </c>
      <c r="I602" s="159">
        <v>562</v>
      </c>
      <c r="J602" s="164">
        <v>325503511.19847941</v>
      </c>
      <c r="K602" s="159">
        <v>63172.472272244253</v>
      </c>
      <c r="L602" s="164">
        <v>6419988.2149809701</v>
      </c>
      <c r="M602" s="159">
        <v>0</v>
      </c>
      <c r="Q602" s="139">
        <v>562</v>
      </c>
      <c r="R602" s="164">
        <f t="shared" si="43"/>
        <v>706378134.61096179</v>
      </c>
      <c r="S602" s="164">
        <f t="shared" si="44"/>
        <v>-6419988.2149809701</v>
      </c>
      <c r="T602" s="159" t="str">
        <f t="shared" si="45"/>
        <v>TxPost-vaccination</v>
      </c>
      <c r="W602" s="139">
        <v>562</v>
      </c>
      <c r="X602" s="164">
        <f t="shared" si="46"/>
        <v>319083522.98349845</v>
      </c>
      <c r="Y602" s="159">
        <f t="shared" si="46"/>
        <v>63172.472272244253</v>
      </c>
    </row>
    <row r="603" spans="2:25" x14ac:dyDescent="0.25">
      <c r="B603" s="159">
        <v>563</v>
      </c>
      <c r="C603" s="164">
        <v>312822387.37019688</v>
      </c>
      <c r="D603" s="159">
        <v>70847.936217730778</v>
      </c>
      <c r="E603" s="164">
        <v>6573741.4138028771</v>
      </c>
      <c r="F603" s="159">
        <v>0</v>
      </c>
      <c r="I603" s="159">
        <v>563</v>
      </c>
      <c r="J603" s="164">
        <v>312822387.37019688</v>
      </c>
      <c r="K603" s="159">
        <v>70847.936217730778</v>
      </c>
      <c r="L603" s="164">
        <v>6573741.4138028771</v>
      </c>
      <c r="M603" s="159">
        <v>0</v>
      </c>
      <c r="Q603" s="139">
        <v>563</v>
      </c>
      <c r="R603" s="164">
        <f t="shared" si="43"/>
        <v>844433018.29919386</v>
      </c>
      <c r="S603" s="164">
        <f t="shared" si="44"/>
        <v>-6573741.4138028771</v>
      </c>
      <c r="T603" s="159" t="str">
        <f t="shared" si="45"/>
        <v>TxPost-vaccination</v>
      </c>
      <c r="W603" s="139">
        <v>563</v>
      </c>
      <c r="X603" s="164">
        <f t="shared" si="46"/>
        <v>306248645.95639402</v>
      </c>
      <c r="Y603" s="159">
        <f t="shared" si="46"/>
        <v>70847.936217730778</v>
      </c>
    </row>
    <row r="604" spans="2:25" x14ac:dyDescent="0.25">
      <c r="B604" s="159">
        <v>564</v>
      </c>
      <c r="C604" s="164">
        <v>328355829.20629048</v>
      </c>
      <c r="D604" s="159">
        <v>61638.10237448012</v>
      </c>
      <c r="E604" s="164">
        <v>6695855.9646423608</v>
      </c>
      <c r="F604" s="159">
        <v>0</v>
      </c>
      <c r="I604" s="159">
        <v>564</v>
      </c>
      <c r="J604" s="164">
        <v>328355829.20629048</v>
      </c>
      <c r="K604" s="159">
        <v>61638.10237448012</v>
      </c>
      <c r="L604" s="164">
        <v>6695855.9646423608</v>
      </c>
      <c r="M604" s="159">
        <v>0</v>
      </c>
      <c r="Q604" s="139">
        <v>564</v>
      </c>
      <c r="R604" s="164">
        <f t="shared" si="43"/>
        <v>678462872.59548116</v>
      </c>
      <c r="S604" s="164">
        <f t="shared" si="44"/>
        <v>-6695855.9646423608</v>
      </c>
      <c r="T604" s="159" t="str">
        <f t="shared" si="45"/>
        <v>TxPost-vaccination</v>
      </c>
      <c r="W604" s="139">
        <v>564</v>
      </c>
      <c r="X604" s="164">
        <f t="shared" si="46"/>
        <v>321659973.24164814</v>
      </c>
      <c r="Y604" s="159">
        <f t="shared" si="46"/>
        <v>61638.10237448012</v>
      </c>
    </row>
    <row r="605" spans="2:25" x14ac:dyDescent="0.25">
      <c r="B605" s="159">
        <v>565</v>
      </c>
      <c r="C605" s="164">
        <v>346576671.9423328</v>
      </c>
      <c r="D605" s="159">
        <v>130349.95662437446</v>
      </c>
      <c r="E605" s="164">
        <v>10332528.834500022</v>
      </c>
      <c r="F605" s="159">
        <v>0</v>
      </c>
      <c r="I605" s="159">
        <v>565</v>
      </c>
      <c r="J605" s="164">
        <v>346576671.9423328</v>
      </c>
      <c r="K605" s="159">
        <v>130349.95662437446</v>
      </c>
      <c r="L605" s="164">
        <v>10332528.834500022</v>
      </c>
      <c r="M605" s="159">
        <v>0</v>
      </c>
      <c r="Q605" s="139">
        <v>565</v>
      </c>
      <c r="R605" s="164">
        <f t="shared" si="43"/>
        <v>1782605912.4132559</v>
      </c>
      <c r="S605" s="164">
        <f t="shared" si="44"/>
        <v>-10332528.834500022</v>
      </c>
      <c r="T605" s="159" t="str">
        <f t="shared" si="45"/>
        <v>TxPost-vaccination</v>
      </c>
      <c r="W605" s="139">
        <v>565</v>
      </c>
      <c r="X605" s="164">
        <f t="shared" si="46"/>
        <v>336244143.10783279</v>
      </c>
      <c r="Y605" s="159">
        <f t="shared" si="46"/>
        <v>130349.95662437446</v>
      </c>
    </row>
    <row r="606" spans="2:25" x14ac:dyDescent="0.25">
      <c r="B606" s="159">
        <v>566</v>
      </c>
      <c r="C606" s="164">
        <v>313747462.87727964</v>
      </c>
      <c r="D606" s="159">
        <v>51450.693429727784</v>
      </c>
      <c r="E606" s="164">
        <v>5539531.1042668857</v>
      </c>
      <c r="F606" s="159">
        <v>0</v>
      </c>
      <c r="I606" s="159">
        <v>566</v>
      </c>
      <c r="J606" s="164">
        <v>313747462.87727964</v>
      </c>
      <c r="K606" s="159">
        <v>51450.693429727784</v>
      </c>
      <c r="L606" s="164">
        <v>5539531.1042668857</v>
      </c>
      <c r="M606" s="159">
        <v>0</v>
      </c>
      <c r="Q606" s="139">
        <v>566</v>
      </c>
      <c r="R606" s="164">
        <f t="shared" si="43"/>
        <v>526666475.42019022</v>
      </c>
      <c r="S606" s="164">
        <f t="shared" si="44"/>
        <v>-5539531.1042668857</v>
      </c>
      <c r="T606" s="159" t="str">
        <f t="shared" si="45"/>
        <v>TxPost-vaccination</v>
      </c>
      <c r="W606" s="139">
        <v>566</v>
      </c>
      <c r="X606" s="164">
        <f t="shared" si="46"/>
        <v>308207931.77301276</v>
      </c>
      <c r="Y606" s="159">
        <f t="shared" si="46"/>
        <v>51450.693429727784</v>
      </c>
    </row>
    <row r="607" spans="2:25" x14ac:dyDescent="0.25">
      <c r="B607" s="159">
        <v>567</v>
      </c>
      <c r="C607" s="164">
        <v>311271203.64592361</v>
      </c>
      <c r="D607" s="159">
        <v>78361.032462896343</v>
      </c>
      <c r="E607" s="164">
        <v>7161758.5337226121</v>
      </c>
      <c r="F607" s="159">
        <v>0</v>
      </c>
      <c r="I607" s="159">
        <v>567</v>
      </c>
      <c r="J607" s="164">
        <v>311271203.64592361</v>
      </c>
      <c r="K607" s="159">
        <v>78361.032462896343</v>
      </c>
      <c r="L607" s="164">
        <v>7161758.5337226121</v>
      </c>
      <c r="M607" s="159">
        <v>0</v>
      </c>
      <c r="Q607" s="139">
        <v>567</v>
      </c>
      <c r="R607" s="164">
        <f t="shared" si="43"/>
        <v>968705790.07808566</v>
      </c>
      <c r="S607" s="164">
        <f t="shared" si="44"/>
        <v>-7161758.5337226121</v>
      </c>
      <c r="T607" s="159" t="str">
        <f t="shared" si="45"/>
        <v>TxPost-vaccination</v>
      </c>
      <c r="W607" s="139">
        <v>567</v>
      </c>
      <c r="X607" s="164">
        <f t="shared" si="46"/>
        <v>304109445.11220098</v>
      </c>
      <c r="Y607" s="159">
        <f t="shared" si="46"/>
        <v>78361.032462896343</v>
      </c>
    </row>
    <row r="608" spans="2:25" x14ac:dyDescent="0.25">
      <c r="B608" s="159">
        <v>568</v>
      </c>
      <c r="C608" s="164">
        <v>312738481.06818169</v>
      </c>
      <c r="D608" s="159">
        <v>103314.19545268004</v>
      </c>
      <c r="E608" s="164">
        <v>8618650.0371193029</v>
      </c>
      <c r="F608" s="159">
        <v>0</v>
      </c>
      <c r="I608" s="159">
        <v>568</v>
      </c>
      <c r="J608" s="164">
        <v>312738481.06818169</v>
      </c>
      <c r="K608" s="159">
        <v>103314.19545268004</v>
      </c>
      <c r="L608" s="164">
        <v>8618650.0371193029</v>
      </c>
      <c r="M608" s="159">
        <v>0</v>
      </c>
      <c r="Q608" s="139">
        <v>568</v>
      </c>
      <c r="R608" s="164">
        <f t="shared" si="43"/>
        <v>1374832358.0111928</v>
      </c>
      <c r="S608" s="164">
        <f t="shared" si="44"/>
        <v>-8618650.0371193029</v>
      </c>
      <c r="T608" s="159" t="str">
        <f t="shared" si="45"/>
        <v>TxPost-vaccination</v>
      </c>
      <c r="W608" s="139">
        <v>568</v>
      </c>
      <c r="X608" s="164">
        <f t="shared" si="46"/>
        <v>304119831.03106236</v>
      </c>
      <c r="Y608" s="159">
        <f t="shared" si="46"/>
        <v>103314.19545268004</v>
      </c>
    </row>
    <row r="609" spans="2:25" x14ac:dyDescent="0.25">
      <c r="B609" s="159">
        <v>569</v>
      </c>
      <c r="C609" s="164">
        <v>308774277.06422007</v>
      </c>
      <c r="D609" s="159">
        <v>104965.95500659406</v>
      </c>
      <c r="E609" s="164">
        <v>10393220.381208863</v>
      </c>
      <c r="F609" s="159">
        <v>0</v>
      </c>
      <c r="I609" s="159">
        <v>569</v>
      </c>
      <c r="J609" s="164">
        <v>308774277.06422007</v>
      </c>
      <c r="K609" s="159">
        <v>104965.95500659406</v>
      </c>
      <c r="L609" s="164">
        <v>10393220.381208863</v>
      </c>
      <c r="M609" s="159">
        <v>0</v>
      </c>
      <c r="Q609" s="139">
        <v>569</v>
      </c>
      <c r="R609" s="164">
        <f t="shared" si="43"/>
        <v>1405776990.4465289</v>
      </c>
      <c r="S609" s="164">
        <f t="shared" si="44"/>
        <v>-10393220.381208863</v>
      </c>
      <c r="T609" s="159" t="str">
        <f t="shared" si="45"/>
        <v>TxPost-vaccination</v>
      </c>
      <c r="W609" s="139">
        <v>569</v>
      </c>
      <c r="X609" s="164">
        <f t="shared" si="46"/>
        <v>298381056.68301123</v>
      </c>
      <c r="Y609" s="159">
        <f t="shared" si="46"/>
        <v>104965.95500659406</v>
      </c>
    </row>
    <row r="610" spans="2:25" x14ac:dyDescent="0.25">
      <c r="B610" s="159">
        <v>570</v>
      </c>
      <c r="C610" s="164">
        <v>319206216.47857487</v>
      </c>
      <c r="D610" s="159">
        <v>117940.98822704406</v>
      </c>
      <c r="E610" s="164">
        <v>9042346.6271548085</v>
      </c>
      <c r="F610" s="159">
        <v>0</v>
      </c>
      <c r="I610" s="159">
        <v>570</v>
      </c>
      <c r="J610" s="164">
        <v>319206216.47857487</v>
      </c>
      <c r="K610" s="159">
        <v>117940.98822704406</v>
      </c>
      <c r="L610" s="164">
        <v>9042346.6271548085</v>
      </c>
      <c r="M610" s="159">
        <v>0</v>
      </c>
      <c r="Q610" s="139">
        <v>570</v>
      </c>
      <c r="R610" s="164">
        <f t="shared" si="43"/>
        <v>1607283861.5990772</v>
      </c>
      <c r="S610" s="164">
        <f t="shared" si="44"/>
        <v>-9042346.6271548085</v>
      </c>
      <c r="T610" s="159" t="str">
        <f t="shared" si="45"/>
        <v>TxPost-vaccination</v>
      </c>
      <c r="W610" s="139">
        <v>570</v>
      </c>
      <c r="X610" s="164">
        <f t="shared" si="46"/>
        <v>310163869.85142004</v>
      </c>
      <c r="Y610" s="159">
        <f t="shared" si="46"/>
        <v>117940.98822704406</v>
      </c>
    </row>
    <row r="611" spans="2:25" x14ac:dyDescent="0.25">
      <c r="B611" s="159">
        <v>571</v>
      </c>
      <c r="C611" s="164">
        <v>280895159.49329233</v>
      </c>
      <c r="D611" s="159">
        <v>103119.57165726123</v>
      </c>
      <c r="E611" s="164">
        <v>10438076.516322676</v>
      </c>
      <c r="F611" s="159">
        <v>0</v>
      </c>
      <c r="I611" s="159">
        <v>571</v>
      </c>
      <c r="J611" s="164">
        <v>280895159.49329233</v>
      </c>
      <c r="K611" s="159">
        <v>103119.57165726123</v>
      </c>
      <c r="L611" s="164">
        <v>10438076.516322676</v>
      </c>
      <c r="M611" s="159">
        <v>0</v>
      </c>
      <c r="Q611" s="139">
        <v>571</v>
      </c>
      <c r="R611" s="164">
        <f t="shared" si="43"/>
        <v>1403496625.2431564</v>
      </c>
      <c r="S611" s="164">
        <f t="shared" si="44"/>
        <v>-10438076.516322676</v>
      </c>
      <c r="T611" s="159" t="str">
        <f t="shared" si="45"/>
        <v>TxPost-vaccination</v>
      </c>
      <c r="W611" s="139">
        <v>571</v>
      </c>
      <c r="X611" s="164">
        <f t="shared" si="46"/>
        <v>270457082.97696966</v>
      </c>
      <c r="Y611" s="159">
        <f t="shared" si="46"/>
        <v>103119.57165726123</v>
      </c>
    </row>
    <row r="612" spans="2:25" x14ac:dyDescent="0.25">
      <c r="B612" s="159">
        <v>572</v>
      </c>
      <c r="C612" s="164">
        <v>305426616.08650202</v>
      </c>
      <c r="D612" s="159">
        <v>67354.453702999075</v>
      </c>
      <c r="E612" s="164">
        <v>5719664.3440840086</v>
      </c>
      <c r="F612" s="159">
        <v>0</v>
      </c>
      <c r="I612" s="159">
        <v>572</v>
      </c>
      <c r="J612" s="164">
        <v>305426616.08650202</v>
      </c>
      <c r="K612" s="159">
        <v>67354.453702999075</v>
      </c>
      <c r="L612" s="164">
        <v>5719664.3440840086</v>
      </c>
      <c r="M612" s="159">
        <v>0</v>
      </c>
      <c r="Q612" s="139">
        <v>572</v>
      </c>
      <c r="R612" s="164">
        <f t="shared" si="43"/>
        <v>794765002.82189918</v>
      </c>
      <c r="S612" s="164">
        <f t="shared" si="44"/>
        <v>-5719664.3440840086</v>
      </c>
      <c r="T612" s="159" t="str">
        <f t="shared" si="45"/>
        <v>TxPost-vaccination</v>
      </c>
      <c r="W612" s="139">
        <v>572</v>
      </c>
      <c r="X612" s="164">
        <f t="shared" si="46"/>
        <v>299706951.74241799</v>
      </c>
      <c r="Y612" s="159">
        <f t="shared" si="46"/>
        <v>67354.453702999075</v>
      </c>
    </row>
    <row r="613" spans="2:25" x14ac:dyDescent="0.25">
      <c r="B613" s="159">
        <v>573</v>
      </c>
      <c r="C613" s="164">
        <v>316318727.43431151</v>
      </c>
      <c r="D613" s="159">
        <v>77414.080804765472</v>
      </c>
      <c r="E613" s="164">
        <v>5873288.5042203097</v>
      </c>
      <c r="F613" s="159">
        <v>0</v>
      </c>
      <c r="I613" s="159">
        <v>573</v>
      </c>
      <c r="J613" s="164">
        <v>316318727.43431151</v>
      </c>
      <c r="K613" s="159">
        <v>77414.080804765472</v>
      </c>
      <c r="L613" s="164">
        <v>5873288.5042203097</v>
      </c>
      <c r="M613" s="159">
        <v>0</v>
      </c>
      <c r="Q613" s="139">
        <v>573</v>
      </c>
      <c r="R613" s="164">
        <f t="shared" si="43"/>
        <v>948190420.87622344</v>
      </c>
      <c r="S613" s="164">
        <f t="shared" si="44"/>
        <v>-5873288.5042203097</v>
      </c>
      <c r="T613" s="159" t="str">
        <f t="shared" si="45"/>
        <v>TxPost-vaccination</v>
      </c>
      <c r="W613" s="139">
        <v>573</v>
      </c>
      <c r="X613" s="164">
        <f t="shared" si="46"/>
        <v>310445438.9300912</v>
      </c>
      <c r="Y613" s="159">
        <f t="shared" si="46"/>
        <v>77414.080804765472</v>
      </c>
    </row>
    <row r="614" spans="2:25" x14ac:dyDescent="0.25">
      <c r="B614" s="159">
        <v>574</v>
      </c>
      <c r="C614" s="164">
        <v>314429666.33225232</v>
      </c>
      <c r="D614" s="159">
        <v>95962.208375514499</v>
      </c>
      <c r="E614" s="164">
        <v>7588276.6190481251</v>
      </c>
      <c r="F614" s="159">
        <v>0</v>
      </c>
      <c r="I614" s="159">
        <v>574</v>
      </c>
      <c r="J614" s="164">
        <v>314429666.33225232</v>
      </c>
      <c r="K614" s="159">
        <v>95962.208375514499</v>
      </c>
      <c r="L614" s="164">
        <v>7588276.6190481251</v>
      </c>
      <c r="M614" s="159">
        <v>0</v>
      </c>
      <c r="Q614" s="139">
        <v>574</v>
      </c>
      <c r="R614" s="164">
        <f t="shared" si="43"/>
        <v>1253051199.1829801</v>
      </c>
      <c r="S614" s="164">
        <f t="shared" si="44"/>
        <v>-7588276.6190481251</v>
      </c>
      <c r="T614" s="159" t="str">
        <f t="shared" si="45"/>
        <v>TxPost-vaccination</v>
      </c>
      <c r="W614" s="139">
        <v>574</v>
      </c>
      <c r="X614" s="164">
        <f t="shared" si="46"/>
        <v>306841389.71320421</v>
      </c>
      <c r="Y614" s="159">
        <f t="shared" si="46"/>
        <v>95962.208375514499</v>
      </c>
    </row>
    <row r="615" spans="2:25" x14ac:dyDescent="0.25">
      <c r="B615" s="159">
        <v>575</v>
      </c>
      <c r="C615" s="164">
        <v>312920340.80705774</v>
      </c>
      <c r="D615" s="159">
        <v>87113.411635895041</v>
      </c>
      <c r="E615" s="164">
        <v>7314743.3119043754</v>
      </c>
      <c r="F615" s="159">
        <v>0</v>
      </c>
      <c r="I615" s="159">
        <v>575</v>
      </c>
      <c r="J615" s="164">
        <v>312920340.80705774</v>
      </c>
      <c r="K615" s="159">
        <v>87113.411635895041</v>
      </c>
      <c r="L615" s="164">
        <v>7314743.3119043754</v>
      </c>
      <c r="M615" s="159">
        <v>0</v>
      </c>
      <c r="Q615" s="139">
        <v>575</v>
      </c>
      <c r="R615" s="164">
        <f t="shared" si="43"/>
        <v>1110021129.3879833</v>
      </c>
      <c r="S615" s="164">
        <f t="shared" si="44"/>
        <v>-7314743.3119043754</v>
      </c>
      <c r="T615" s="159" t="str">
        <f t="shared" si="45"/>
        <v>TxPost-vaccination</v>
      </c>
      <c r="W615" s="139">
        <v>575</v>
      </c>
      <c r="X615" s="164">
        <f t="shared" si="46"/>
        <v>305605597.49515337</v>
      </c>
      <c r="Y615" s="159">
        <f t="shared" si="46"/>
        <v>87113.411635895041</v>
      </c>
    </row>
    <row r="616" spans="2:25" x14ac:dyDescent="0.25">
      <c r="B616" s="159">
        <v>576</v>
      </c>
      <c r="C616" s="164">
        <v>325202438.23844445</v>
      </c>
      <c r="D616" s="159">
        <v>93572.062703587566</v>
      </c>
      <c r="E616" s="164">
        <v>9376197.5535327606</v>
      </c>
      <c r="F616" s="159">
        <v>0</v>
      </c>
      <c r="I616" s="159">
        <v>576</v>
      </c>
      <c r="J616" s="164">
        <v>325202438.23844445</v>
      </c>
      <c r="K616" s="159">
        <v>93572.062703587566</v>
      </c>
      <c r="L616" s="164">
        <v>9376197.5535327606</v>
      </c>
      <c r="M616" s="159">
        <v>0</v>
      </c>
      <c r="Q616" s="139">
        <v>576</v>
      </c>
      <c r="R616" s="164">
        <f t="shared" si="43"/>
        <v>1203236937.1947875</v>
      </c>
      <c r="S616" s="164">
        <f t="shared" si="44"/>
        <v>-9376197.5535327606</v>
      </c>
      <c r="T616" s="159" t="str">
        <f t="shared" si="45"/>
        <v>TxPost-vaccination</v>
      </c>
      <c r="W616" s="139">
        <v>576</v>
      </c>
      <c r="X616" s="164">
        <f t="shared" si="46"/>
        <v>315826240.68491167</v>
      </c>
      <c r="Y616" s="159">
        <f t="shared" si="46"/>
        <v>93572.062703587566</v>
      </c>
    </row>
    <row r="617" spans="2:25" x14ac:dyDescent="0.25">
      <c r="B617" s="159">
        <v>577</v>
      </c>
      <c r="C617" s="164">
        <v>264114971.24394754</v>
      </c>
      <c r="D617" s="159">
        <v>80489.189610919857</v>
      </c>
      <c r="E617" s="164">
        <v>7794328.4634995228</v>
      </c>
      <c r="F617" s="159">
        <v>0</v>
      </c>
      <c r="I617" s="159">
        <v>577</v>
      </c>
      <c r="J617" s="164">
        <v>264114971.24394754</v>
      </c>
      <c r="K617" s="159">
        <v>80489.189610919857</v>
      </c>
      <c r="L617" s="164">
        <v>7794328.4634995228</v>
      </c>
      <c r="M617" s="159">
        <v>0</v>
      </c>
      <c r="Q617" s="139">
        <v>577</v>
      </c>
      <c r="R617" s="164">
        <f t="shared" ref="R617:R680" si="47">K617*threshold-J617</f>
        <v>1050624098.7682881</v>
      </c>
      <c r="S617" s="164">
        <f t="shared" ref="S617:S680" si="48">M617*threshold-L617</f>
        <v>-7794328.4634995228</v>
      </c>
      <c r="T617" s="159" t="str">
        <f t="shared" si="45"/>
        <v>TxPost-vaccination</v>
      </c>
      <c r="W617" s="139">
        <v>577</v>
      </c>
      <c r="X617" s="164">
        <f t="shared" si="46"/>
        <v>256320642.78044802</v>
      </c>
      <c r="Y617" s="159">
        <f t="shared" si="46"/>
        <v>80489.189610919857</v>
      </c>
    </row>
    <row r="618" spans="2:25" x14ac:dyDescent="0.25">
      <c r="B618" s="159">
        <v>578</v>
      </c>
      <c r="C618" s="164">
        <v>317787051.00516999</v>
      </c>
      <c r="D618" s="159">
        <v>61228.641543797887</v>
      </c>
      <c r="E618" s="164">
        <v>6196821.811450989</v>
      </c>
      <c r="F618" s="159">
        <v>0</v>
      </c>
      <c r="I618" s="159">
        <v>578</v>
      </c>
      <c r="J618" s="164">
        <v>317787051.00516999</v>
      </c>
      <c r="K618" s="159">
        <v>61228.641543797887</v>
      </c>
      <c r="L618" s="164">
        <v>6196821.811450989</v>
      </c>
      <c r="M618" s="159">
        <v>0</v>
      </c>
      <c r="Q618" s="139">
        <v>578</v>
      </c>
      <c r="R618" s="164">
        <f t="shared" si="47"/>
        <v>682343371.85703373</v>
      </c>
      <c r="S618" s="164">
        <f t="shared" si="48"/>
        <v>-6196821.811450989</v>
      </c>
      <c r="T618" s="159" t="str">
        <f t="shared" ref="T618:T681" si="49">IF(R618&gt;S618,"TxPost-vaccination",IF(S618&gt;R618,"TxPre-vaccination","either"))</f>
        <v>TxPost-vaccination</v>
      </c>
      <c r="W618" s="139">
        <v>578</v>
      </c>
      <c r="X618" s="164">
        <f t="shared" ref="X618:Y681" si="50">J618-L618</f>
        <v>311590229.19371897</v>
      </c>
      <c r="Y618" s="159">
        <f t="shared" si="50"/>
        <v>61228.641543797887</v>
      </c>
    </row>
    <row r="619" spans="2:25" x14ac:dyDescent="0.25">
      <c r="B619" s="159">
        <v>579</v>
      </c>
      <c r="C619" s="164">
        <v>304793517.44060397</v>
      </c>
      <c r="D619" s="159">
        <v>64794.105418497602</v>
      </c>
      <c r="E619" s="164">
        <v>6097658.2047143504</v>
      </c>
      <c r="F619" s="159">
        <v>0</v>
      </c>
      <c r="I619" s="159">
        <v>579</v>
      </c>
      <c r="J619" s="164">
        <v>304793517.44060397</v>
      </c>
      <c r="K619" s="159">
        <v>64794.105418497602</v>
      </c>
      <c r="L619" s="164">
        <v>6097658.2047143504</v>
      </c>
      <c r="M619" s="159">
        <v>0</v>
      </c>
      <c r="Q619" s="139">
        <v>579</v>
      </c>
      <c r="R619" s="164">
        <f t="shared" si="47"/>
        <v>753576461.33519244</v>
      </c>
      <c r="S619" s="164">
        <f t="shared" si="48"/>
        <v>-6097658.2047143504</v>
      </c>
      <c r="T619" s="159" t="str">
        <f t="shared" si="49"/>
        <v>TxPost-vaccination</v>
      </c>
      <c r="W619" s="139">
        <v>579</v>
      </c>
      <c r="X619" s="164">
        <f t="shared" si="50"/>
        <v>298695859.23588961</v>
      </c>
      <c r="Y619" s="159">
        <f t="shared" si="50"/>
        <v>64794.105418497602</v>
      </c>
    </row>
    <row r="620" spans="2:25" x14ac:dyDescent="0.25">
      <c r="B620" s="159">
        <v>580</v>
      </c>
      <c r="C620" s="164">
        <v>348366090.55556142</v>
      </c>
      <c r="D620" s="159">
        <v>82520.57650207894</v>
      </c>
      <c r="E620" s="164">
        <v>6855508.9372382881</v>
      </c>
      <c r="F620" s="159">
        <v>0</v>
      </c>
      <c r="I620" s="159">
        <v>580</v>
      </c>
      <c r="J620" s="164">
        <v>348366090.55556142</v>
      </c>
      <c r="K620" s="159">
        <v>82520.57650207894</v>
      </c>
      <c r="L620" s="164">
        <v>6855508.9372382881</v>
      </c>
      <c r="M620" s="159">
        <v>0</v>
      </c>
      <c r="Q620" s="139">
        <v>580</v>
      </c>
      <c r="R620" s="164">
        <f t="shared" si="47"/>
        <v>999554375.92777503</v>
      </c>
      <c r="S620" s="164">
        <f t="shared" si="48"/>
        <v>-6855508.9372382881</v>
      </c>
      <c r="T620" s="159" t="str">
        <f t="shared" si="49"/>
        <v>TxPost-vaccination</v>
      </c>
      <c r="W620" s="139">
        <v>580</v>
      </c>
      <c r="X620" s="164">
        <f t="shared" si="50"/>
        <v>341510581.61832315</v>
      </c>
      <c r="Y620" s="159">
        <f t="shared" si="50"/>
        <v>82520.57650207894</v>
      </c>
    </row>
    <row r="621" spans="2:25" x14ac:dyDescent="0.25">
      <c r="B621" s="159">
        <v>581</v>
      </c>
      <c r="C621" s="164">
        <v>307286437.50220448</v>
      </c>
      <c r="D621" s="159">
        <v>88227.756256799665</v>
      </c>
      <c r="E621" s="164">
        <v>9026134.1642657872</v>
      </c>
      <c r="F621" s="159">
        <v>0</v>
      </c>
      <c r="I621" s="159">
        <v>581</v>
      </c>
      <c r="J621" s="164">
        <v>307286437.50220448</v>
      </c>
      <c r="K621" s="159">
        <v>88227.756256799665</v>
      </c>
      <c r="L621" s="164">
        <v>9026134.1642657872</v>
      </c>
      <c r="M621" s="159">
        <v>0</v>
      </c>
      <c r="Q621" s="139">
        <v>581</v>
      </c>
      <c r="R621" s="164">
        <f t="shared" si="47"/>
        <v>1133857134.3370867</v>
      </c>
      <c r="S621" s="164">
        <f t="shared" si="48"/>
        <v>-9026134.1642657872</v>
      </c>
      <c r="T621" s="159" t="str">
        <f t="shared" si="49"/>
        <v>TxPost-vaccination</v>
      </c>
      <c r="W621" s="139">
        <v>581</v>
      </c>
      <c r="X621" s="164">
        <f t="shared" si="50"/>
        <v>298260303.33793867</v>
      </c>
      <c r="Y621" s="159">
        <f t="shared" si="50"/>
        <v>88227.756256799665</v>
      </c>
    </row>
    <row r="622" spans="2:25" x14ac:dyDescent="0.25">
      <c r="B622" s="159">
        <v>582</v>
      </c>
      <c r="C622" s="164">
        <v>295906432.23197818</v>
      </c>
      <c r="D622" s="159">
        <v>111711.57966001026</v>
      </c>
      <c r="E622" s="164">
        <v>9671231.5302337706</v>
      </c>
      <c r="F622" s="159">
        <v>0</v>
      </c>
      <c r="I622" s="159">
        <v>582</v>
      </c>
      <c r="J622" s="164">
        <v>295906432.23197818</v>
      </c>
      <c r="K622" s="159">
        <v>111711.57966001026</v>
      </c>
      <c r="L622" s="164">
        <v>9671231.5302337706</v>
      </c>
      <c r="M622" s="159">
        <v>0</v>
      </c>
      <c r="Q622" s="139">
        <v>582</v>
      </c>
      <c r="R622" s="164">
        <f t="shared" si="47"/>
        <v>1528830269.2029412</v>
      </c>
      <c r="S622" s="164">
        <f t="shared" si="48"/>
        <v>-9671231.5302337706</v>
      </c>
      <c r="T622" s="159" t="str">
        <f t="shared" si="49"/>
        <v>TxPost-vaccination</v>
      </c>
      <c r="W622" s="139">
        <v>582</v>
      </c>
      <c r="X622" s="164">
        <f t="shared" si="50"/>
        <v>286235200.70174444</v>
      </c>
      <c r="Y622" s="159">
        <f t="shared" si="50"/>
        <v>111711.57966001026</v>
      </c>
    </row>
    <row r="623" spans="2:25" x14ac:dyDescent="0.25">
      <c r="B623" s="159">
        <v>583</v>
      </c>
      <c r="C623" s="164">
        <v>319973047.18091851</v>
      </c>
      <c r="D623" s="159">
        <v>88121.593577770647</v>
      </c>
      <c r="E623" s="164">
        <v>7148152.8072796697</v>
      </c>
      <c r="F623" s="159">
        <v>0</v>
      </c>
      <c r="I623" s="159">
        <v>583</v>
      </c>
      <c r="J623" s="164">
        <v>319973047.18091851</v>
      </c>
      <c r="K623" s="159">
        <v>88121.593577770647</v>
      </c>
      <c r="L623" s="164">
        <v>7148152.8072796697</v>
      </c>
      <c r="M623" s="159">
        <v>0</v>
      </c>
      <c r="Q623" s="139">
        <v>583</v>
      </c>
      <c r="R623" s="164">
        <f t="shared" si="47"/>
        <v>1119436425.6747537</v>
      </c>
      <c r="S623" s="164">
        <f t="shared" si="48"/>
        <v>-7148152.8072796697</v>
      </c>
      <c r="T623" s="159" t="str">
        <f t="shared" si="49"/>
        <v>TxPost-vaccination</v>
      </c>
      <c r="W623" s="139">
        <v>583</v>
      </c>
      <c r="X623" s="164">
        <f t="shared" si="50"/>
        <v>312824894.37363887</v>
      </c>
      <c r="Y623" s="159">
        <f t="shared" si="50"/>
        <v>88121.593577770647</v>
      </c>
    </row>
    <row r="624" spans="2:25" x14ac:dyDescent="0.25">
      <c r="B624" s="159">
        <v>584</v>
      </c>
      <c r="C624" s="164">
        <v>305660500.33686554</v>
      </c>
      <c r="D624" s="159">
        <v>92126.93447871106</v>
      </c>
      <c r="E624" s="164">
        <v>8538866.5640081335</v>
      </c>
      <c r="F624" s="159">
        <v>0</v>
      </c>
      <c r="I624" s="159">
        <v>584</v>
      </c>
      <c r="J624" s="164">
        <v>305660500.33686554</v>
      </c>
      <c r="K624" s="159">
        <v>92126.93447871106</v>
      </c>
      <c r="L624" s="164">
        <v>8538866.5640081335</v>
      </c>
      <c r="M624" s="159">
        <v>0</v>
      </c>
      <c r="Q624" s="139">
        <v>584</v>
      </c>
      <c r="R624" s="164">
        <f t="shared" si="47"/>
        <v>1199173636.3356471</v>
      </c>
      <c r="S624" s="164">
        <f t="shared" si="48"/>
        <v>-8538866.5640081335</v>
      </c>
      <c r="T624" s="159" t="str">
        <f t="shared" si="49"/>
        <v>TxPost-vaccination</v>
      </c>
      <c r="W624" s="139">
        <v>584</v>
      </c>
      <c r="X624" s="164">
        <f t="shared" si="50"/>
        <v>297121633.77285743</v>
      </c>
      <c r="Y624" s="159">
        <f t="shared" si="50"/>
        <v>92126.93447871106</v>
      </c>
    </row>
    <row r="625" spans="2:25" x14ac:dyDescent="0.25">
      <c r="B625" s="159">
        <v>585</v>
      </c>
      <c r="C625" s="164">
        <v>333743968.8128863</v>
      </c>
      <c r="D625" s="159">
        <v>101640.12428731781</v>
      </c>
      <c r="E625" s="164">
        <v>8049590.8566501485</v>
      </c>
      <c r="F625" s="159">
        <v>0</v>
      </c>
      <c r="I625" s="159">
        <v>585</v>
      </c>
      <c r="J625" s="164">
        <v>333743968.8128863</v>
      </c>
      <c r="K625" s="159">
        <v>101640.12428731781</v>
      </c>
      <c r="L625" s="164">
        <v>8049590.8566501485</v>
      </c>
      <c r="M625" s="159">
        <v>0</v>
      </c>
      <c r="Q625" s="139">
        <v>585</v>
      </c>
      <c r="R625" s="164">
        <f t="shared" si="47"/>
        <v>1326481996.0327935</v>
      </c>
      <c r="S625" s="164">
        <f t="shared" si="48"/>
        <v>-8049590.8566501485</v>
      </c>
      <c r="T625" s="159" t="str">
        <f t="shared" si="49"/>
        <v>TxPost-vaccination</v>
      </c>
      <c r="W625" s="139">
        <v>585</v>
      </c>
      <c r="X625" s="164">
        <f t="shared" si="50"/>
        <v>325694377.95623612</v>
      </c>
      <c r="Y625" s="159">
        <f t="shared" si="50"/>
        <v>101640.12428731781</v>
      </c>
    </row>
    <row r="626" spans="2:25" x14ac:dyDescent="0.25">
      <c r="B626" s="159">
        <v>586</v>
      </c>
      <c r="C626" s="164">
        <v>302427938.21488363</v>
      </c>
      <c r="D626" s="159">
        <v>61297.693937040778</v>
      </c>
      <c r="E626" s="164">
        <v>6586002.9360104445</v>
      </c>
      <c r="F626" s="159">
        <v>0</v>
      </c>
      <c r="I626" s="159">
        <v>586</v>
      </c>
      <c r="J626" s="164">
        <v>302427938.21488363</v>
      </c>
      <c r="K626" s="159">
        <v>61297.693937040778</v>
      </c>
      <c r="L626" s="164">
        <v>6586002.9360104445</v>
      </c>
      <c r="M626" s="159">
        <v>0</v>
      </c>
      <c r="Q626" s="139">
        <v>586</v>
      </c>
      <c r="R626" s="164">
        <f t="shared" si="47"/>
        <v>698830411.01498675</v>
      </c>
      <c r="S626" s="164">
        <f t="shared" si="48"/>
        <v>-6586002.9360104445</v>
      </c>
      <c r="T626" s="159" t="str">
        <f t="shared" si="49"/>
        <v>TxPost-vaccination</v>
      </c>
      <c r="W626" s="139">
        <v>586</v>
      </c>
      <c r="X626" s="164">
        <f t="shared" si="50"/>
        <v>295841935.27887321</v>
      </c>
      <c r="Y626" s="159">
        <f t="shared" si="50"/>
        <v>61297.693937040778</v>
      </c>
    </row>
    <row r="627" spans="2:25" x14ac:dyDescent="0.25">
      <c r="B627" s="159">
        <v>587</v>
      </c>
      <c r="C627" s="164">
        <v>300861885.04006338</v>
      </c>
      <c r="D627" s="159">
        <v>132157.70210655266</v>
      </c>
      <c r="E627" s="164">
        <v>9697744.3618802689</v>
      </c>
      <c r="F627" s="159">
        <v>0</v>
      </c>
      <c r="I627" s="159">
        <v>587</v>
      </c>
      <c r="J627" s="164">
        <v>300861885.04006338</v>
      </c>
      <c r="K627" s="159">
        <v>132157.70210655266</v>
      </c>
      <c r="L627" s="164">
        <v>9697744.3618802689</v>
      </c>
      <c r="M627" s="159">
        <v>0</v>
      </c>
      <c r="Q627" s="139">
        <v>587</v>
      </c>
      <c r="R627" s="164">
        <f t="shared" si="47"/>
        <v>1857849057.4161186</v>
      </c>
      <c r="S627" s="164">
        <f t="shared" si="48"/>
        <v>-9697744.3618802689</v>
      </c>
      <c r="T627" s="159" t="str">
        <f t="shared" si="49"/>
        <v>TxPost-vaccination</v>
      </c>
      <c r="W627" s="139">
        <v>587</v>
      </c>
      <c r="X627" s="164">
        <f t="shared" si="50"/>
        <v>291164140.67818314</v>
      </c>
      <c r="Y627" s="159">
        <f t="shared" si="50"/>
        <v>132157.70210655266</v>
      </c>
    </row>
    <row r="628" spans="2:25" x14ac:dyDescent="0.25">
      <c r="B628" s="159">
        <v>588</v>
      </c>
      <c r="C628" s="164">
        <v>318806945.74841434</v>
      </c>
      <c r="D628" s="159">
        <v>124946.25988115999</v>
      </c>
      <c r="E628" s="164">
        <v>10349129.050008658</v>
      </c>
      <c r="F628" s="159">
        <v>0</v>
      </c>
      <c r="I628" s="159">
        <v>588</v>
      </c>
      <c r="J628" s="164">
        <v>318806945.74841434</v>
      </c>
      <c r="K628" s="159">
        <v>124946.25988115999</v>
      </c>
      <c r="L628" s="164">
        <v>10349129.050008658</v>
      </c>
      <c r="M628" s="159">
        <v>0</v>
      </c>
      <c r="Q628" s="139">
        <v>588</v>
      </c>
      <c r="R628" s="164">
        <f t="shared" si="47"/>
        <v>1722109732.7738016</v>
      </c>
      <c r="S628" s="164">
        <f t="shared" si="48"/>
        <v>-10349129.050008658</v>
      </c>
      <c r="T628" s="159" t="str">
        <f t="shared" si="49"/>
        <v>TxPost-vaccination</v>
      </c>
      <c r="W628" s="139">
        <v>588</v>
      </c>
      <c r="X628" s="164">
        <f t="shared" si="50"/>
        <v>308457816.69840568</v>
      </c>
      <c r="Y628" s="159">
        <f t="shared" si="50"/>
        <v>124946.25988115999</v>
      </c>
    </row>
    <row r="629" spans="2:25" x14ac:dyDescent="0.25">
      <c r="B629" s="159">
        <v>589</v>
      </c>
      <c r="C629" s="164">
        <v>317700066.53012949</v>
      </c>
      <c r="D629" s="159">
        <v>137550.90891698789</v>
      </c>
      <c r="E629" s="164">
        <v>13737355.594000036</v>
      </c>
      <c r="F629" s="159">
        <v>0</v>
      </c>
      <c r="I629" s="159">
        <v>589</v>
      </c>
      <c r="J629" s="164">
        <v>317700066.53012949</v>
      </c>
      <c r="K629" s="159">
        <v>137550.90891698789</v>
      </c>
      <c r="L629" s="164">
        <v>13737355.594000036</v>
      </c>
      <c r="M629" s="159">
        <v>0</v>
      </c>
      <c r="Q629" s="139">
        <v>589</v>
      </c>
      <c r="R629" s="164">
        <f t="shared" si="47"/>
        <v>1929105435.4639373</v>
      </c>
      <c r="S629" s="164">
        <f t="shared" si="48"/>
        <v>-13737355.594000036</v>
      </c>
      <c r="T629" s="159" t="str">
        <f t="shared" si="49"/>
        <v>TxPost-vaccination</v>
      </c>
      <c r="W629" s="139">
        <v>589</v>
      </c>
      <c r="X629" s="164">
        <f t="shared" si="50"/>
        <v>303962710.93612945</v>
      </c>
      <c r="Y629" s="159">
        <f t="shared" si="50"/>
        <v>137550.90891698789</v>
      </c>
    </row>
    <row r="630" spans="2:25" x14ac:dyDescent="0.25">
      <c r="B630" s="159">
        <v>590</v>
      </c>
      <c r="C630" s="164">
        <v>316428937.8719995</v>
      </c>
      <c r="D630" s="159">
        <v>97141.031907809462</v>
      </c>
      <c r="E630" s="164">
        <v>8893919.7351491153</v>
      </c>
      <c r="F630" s="159">
        <v>0</v>
      </c>
      <c r="I630" s="159">
        <v>590</v>
      </c>
      <c r="J630" s="164">
        <v>316428937.8719995</v>
      </c>
      <c r="K630" s="159">
        <v>97141.031907809462</v>
      </c>
      <c r="L630" s="164">
        <v>8893919.7351491153</v>
      </c>
      <c r="M630" s="159">
        <v>0</v>
      </c>
      <c r="Q630" s="139">
        <v>590</v>
      </c>
      <c r="R630" s="164">
        <f t="shared" si="47"/>
        <v>1270307250.7748222</v>
      </c>
      <c r="S630" s="164">
        <f t="shared" si="48"/>
        <v>-8893919.7351491153</v>
      </c>
      <c r="T630" s="159" t="str">
        <f t="shared" si="49"/>
        <v>TxPost-vaccination</v>
      </c>
      <c r="W630" s="139">
        <v>590</v>
      </c>
      <c r="X630" s="164">
        <f t="shared" si="50"/>
        <v>307535018.13685036</v>
      </c>
      <c r="Y630" s="159">
        <f t="shared" si="50"/>
        <v>97141.031907809462</v>
      </c>
    </row>
    <row r="631" spans="2:25" x14ac:dyDescent="0.25">
      <c r="B631" s="159">
        <v>591</v>
      </c>
      <c r="C631" s="164">
        <v>315915600.40327078</v>
      </c>
      <c r="D631" s="159">
        <v>97092.016923079078</v>
      </c>
      <c r="E631" s="164">
        <v>8491368.5019096565</v>
      </c>
      <c r="F631" s="159">
        <v>0</v>
      </c>
      <c r="I631" s="159">
        <v>591</v>
      </c>
      <c r="J631" s="164">
        <v>315915600.40327078</v>
      </c>
      <c r="K631" s="159">
        <v>97092.016923079078</v>
      </c>
      <c r="L631" s="164">
        <v>8491368.5019096565</v>
      </c>
      <c r="M631" s="159">
        <v>0</v>
      </c>
      <c r="Q631" s="139">
        <v>591</v>
      </c>
      <c r="R631" s="164">
        <f t="shared" si="47"/>
        <v>1270019960.0380416</v>
      </c>
      <c r="S631" s="164">
        <f t="shared" si="48"/>
        <v>-8491368.5019096565</v>
      </c>
      <c r="T631" s="159" t="str">
        <f t="shared" si="49"/>
        <v>TxPost-vaccination</v>
      </c>
      <c r="W631" s="139">
        <v>591</v>
      </c>
      <c r="X631" s="164">
        <f t="shared" si="50"/>
        <v>307424231.90136111</v>
      </c>
      <c r="Y631" s="159">
        <f t="shared" si="50"/>
        <v>97092.016923079078</v>
      </c>
    </row>
    <row r="632" spans="2:25" x14ac:dyDescent="0.25">
      <c r="B632" s="159">
        <v>592</v>
      </c>
      <c r="C632" s="164">
        <v>322347062.98836887</v>
      </c>
      <c r="D632" s="159">
        <v>98326.801505346826</v>
      </c>
      <c r="E632" s="164">
        <v>8308536.9308900367</v>
      </c>
      <c r="F632" s="159">
        <v>0</v>
      </c>
      <c r="I632" s="159">
        <v>592</v>
      </c>
      <c r="J632" s="164">
        <v>322347062.98836887</v>
      </c>
      <c r="K632" s="159">
        <v>98326.801505346826</v>
      </c>
      <c r="L632" s="164">
        <v>8308536.9308900367</v>
      </c>
      <c r="M632" s="159">
        <v>0</v>
      </c>
      <c r="Q632" s="139">
        <v>592</v>
      </c>
      <c r="R632" s="164">
        <f t="shared" si="47"/>
        <v>1283757908.2918854</v>
      </c>
      <c r="S632" s="164">
        <f t="shared" si="48"/>
        <v>-8308536.9308900367</v>
      </c>
      <c r="T632" s="159" t="str">
        <f t="shared" si="49"/>
        <v>TxPost-vaccination</v>
      </c>
      <c r="W632" s="139">
        <v>592</v>
      </c>
      <c r="X632" s="164">
        <f t="shared" si="50"/>
        <v>314038526.05747885</v>
      </c>
      <c r="Y632" s="159">
        <f t="shared" si="50"/>
        <v>98326.801505346826</v>
      </c>
    </row>
    <row r="633" spans="2:25" x14ac:dyDescent="0.25">
      <c r="B633" s="159">
        <v>593</v>
      </c>
      <c r="C633" s="164">
        <v>332956901.18850487</v>
      </c>
      <c r="D633" s="159">
        <v>87756.942770113674</v>
      </c>
      <c r="E633" s="164">
        <v>7458747.7968390891</v>
      </c>
      <c r="F633" s="159">
        <v>0</v>
      </c>
      <c r="I633" s="159">
        <v>593</v>
      </c>
      <c r="J633" s="164">
        <v>332956901.18850487</v>
      </c>
      <c r="K633" s="159">
        <v>87756.942770113674</v>
      </c>
      <c r="L633" s="164">
        <v>7458747.7968390891</v>
      </c>
      <c r="M633" s="159">
        <v>0</v>
      </c>
      <c r="Q633" s="139">
        <v>593</v>
      </c>
      <c r="R633" s="164">
        <f t="shared" si="47"/>
        <v>1100496235.5920291</v>
      </c>
      <c r="S633" s="164">
        <f t="shared" si="48"/>
        <v>-7458747.7968390891</v>
      </c>
      <c r="T633" s="159" t="str">
        <f t="shared" si="49"/>
        <v>TxPost-vaccination</v>
      </c>
      <c r="W633" s="139">
        <v>593</v>
      </c>
      <c r="X633" s="164">
        <f t="shared" si="50"/>
        <v>325498153.39166576</v>
      </c>
      <c r="Y633" s="159">
        <f t="shared" si="50"/>
        <v>87756.942770113674</v>
      </c>
    </row>
    <row r="634" spans="2:25" x14ac:dyDescent="0.25">
      <c r="B634" s="159">
        <v>594</v>
      </c>
      <c r="C634" s="164">
        <v>295020073.42608589</v>
      </c>
      <c r="D634" s="159">
        <v>67712.942745351233</v>
      </c>
      <c r="E634" s="164">
        <v>5969393.7983143637</v>
      </c>
      <c r="F634" s="159">
        <v>0</v>
      </c>
      <c r="I634" s="159">
        <v>594</v>
      </c>
      <c r="J634" s="164">
        <v>295020073.42608589</v>
      </c>
      <c r="K634" s="159">
        <v>67712.942745351233</v>
      </c>
      <c r="L634" s="164">
        <v>5969393.7983143637</v>
      </c>
      <c r="M634" s="159">
        <v>0</v>
      </c>
      <c r="Q634" s="139">
        <v>594</v>
      </c>
      <c r="R634" s="164">
        <f t="shared" si="47"/>
        <v>811027233.08993053</v>
      </c>
      <c r="S634" s="164">
        <f t="shared" si="48"/>
        <v>-5969393.7983143637</v>
      </c>
      <c r="T634" s="159" t="str">
        <f t="shared" si="49"/>
        <v>TxPost-vaccination</v>
      </c>
      <c r="W634" s="139">
        <v>594</v>
      </c>
      <c r="X634" s="164">
        <f t="shared" si="50"/>
        <v>289050679.6277715</v>
      </c>
      <c r="Y634" s="159">
        <f t="shared" si="50"/>
        <v>67712.942745351233</v>
      </c>
    </row>
    <row r="635" spans="2:25" x14ac:dyDescent="0.25">
      <c r="B635" s="159">
        <v>595</v>
      </c>
      <c r="C635" s="164">
        <v>304406528.53324687</v>
      </c>
      <c r="D635" s="159">
        <v>136392.95942613026</v>
      </c>
      <c r="E635" s="164">
        <v>10617295.445941269</v>
      </c>
      <c r="F635" s="159">
        <v>0</v>
      </c>
      <c r="I635" s="159">
        <v>595</v>
      </c>
      <c r="J635" s="164">
        <v>304406528.53324687</v>
      </c>
      <c r="K635" s="159">
        <v>136392.95942613026</v>
      </c>
      <c r="L635" s="164">
        <v>10617295.445941269</v>
      </c>
      <c r="M635" s="159">
        <v>0</v>
      </c>
      <c r="Q635" s="139">
        <v>595</v>
      </c>
      <c r="R635" s="164">
        <f t="shared" si="47"/>
        <v>1923484614.3513479</v>
      </c>
      <c r="S635" s="164">
        <f t="shared" si="48"/>
        <v>-10617295.445941269</v>
      </c>
      <c r="T635" s="159" t="str">
        <f t="shared" si="49"/>
        <v>TxPost-vaccination</v>
      </c>
      <c r="W635" s="139">
        <v>595</v>
      </c>
      <c r="X635" s="164">
        <f t="shared" si="50"/>
        <v>293789233.08730561</v>
      </c>
      <c r="Y635" s="159">
        <f t="shared" si="50"/>
        <v>136392.95942613026</v>
      </c>
    </row>
    <row r="636" spans="2:25" x14ac:dyDescent="0.25">
      <c r="B636" s="159">
        <v>596</v>
      </c>
      <c r="C636" s="164">
        <v>307108112.97833562</v>
      </c>
      <c r="D636" s="159">
        <v>99532.647861271602</v>
      </c>
      <c r="E636" s="164">
        <v>9638212.3597860374</v>
      </c>
      <c r="F636" s="159">
        <v>0</v>
      </c>
      <c r="I636" s="159">
        <v>596</v>
      </c>
      <c r="J636" s="164">
        <v>307108112.97833562</v>
      </c>
      <c r="K636" s="159">
        <v>99532.647861271602</v>
      </c>
      <c r="L636" s="164">
        <v>9638212.3597860374</v>
      </c>
      <c r="M636" s="159">
        <v>0</v>
      </c>
      <c r="Q636" s="139">
        <v>596</v>
      </c>
      <c r="R636" s="164">
        <f t="shared" si="47"/>
        <v>1318693581.8523705</v>
      </c>
      <c r="S636" s="164">
        <f t="shared" si="48"/>
        <v>-9638212.3597860374</v>
      </c>
      <c r="T636" s="159" t="str">
        <f t="shared" si="49"/>
        <v>TxPost-vaccination</v>
      </c>
      <c r="W636" s="139">
        <v>596</v>
      </c>
      <c r="X636" s="164">
        <f t="shared" si="50"/>
        <v>297469900.61854959</v>
      </c>
      <c r="Y636" s="159">
        <f t="shared" si="50"/>
        <v>99532.647861271602</v>
      </c>
    </row>
    <row r="637" spans="2:25" x14ac:dyDescent="0.25">
      <c r="B637" s="159">
        <v>597</v>
      </c>
      <c r="C637" s="164">
        <v>286030334.57479012</v>
      </c>
      <c r="D637" s="159">
        <v>124569.94133912749</v>
      </c>
      <c r="E637" s="164">
        <v>10236530.952322023</v>
      </c>
      <c r="F637" s="159">
        <v>0</v>
      </c>
      <c r="I637" s="159">
        <v>597</v>
      </c>
      <c r="J637" s="164">
        <v>286030334.57479012</v>
      </c>
      <c r="K637" s="159">
        <v>124569.94133912749</v>
      </c>
      <c r="L637" s="164">
        <v>10236530.952322023</v>
      </c>
      <c r="M637" s="159">
        <v>0</v>
      </c>
      <c r="Q637" s="139">
        <v>597</v>
      </c>
      <c r="R637" s="164">
        <f t="shared" si="47"/>
        <v>1748739422.9463348</v>
      </c>
      <c r="S637" s="164">
        <f t="shared" si="48"/>
        <v>-10236530.952322023</v>
      </c>
      <c r="T637" s="159" t="str">
        <f t="shared" si="49"/>
        <v>TxPost-vaccination</v>
      </c>
      <c r="W637" s="139">
        <v>597</v>
      </c>
      <c r="X637" s="164">
        <f t="shared" si="50"/>
        <v>275793803.62246811</v>
      </c>
      <c r="Y637" s="159">
        <f t="shared" si="50"/>
        <v>124569.94133912749</v>
      </c>
    </row>
    <row r="638" spans="2:25" x14ac:dyDescent="0.25">
      <c r="B638" s="159">
        <v>598</v>
      </c>
      <c r="C638" s="164">
        <v>285332026.622091</v>
      </c>
      <c r="D638" s="159">
        <v>81515.629440454504</v>
      </c>
      <c r="E638" s="164">
        <v>7453646.4424980041</v>
      </c>
      <c r="F638" s="159">
        <v>0</v>
      </c>
      <c r="I638" s="159">
        <v>598</v>
      </c>
      <c r="J638" s="164">
        <v>285332026.622091</v>
      </c>
      <c r="K638" s="159">
        <v>81515.629440454504</v>
      </c>
      <c r="L638" s="164">
        <v>7453646.4424980041</v>
      </c>
      <c r="M638" s="159">
        <v>0</v>
      </c>
      <c r="Q638" s="139">
        <v>598</v>
      </c>
      <c r="R638" s="164">
        <f t="shared" si="47"/>
        <v>1046173276.8859632</v>
      </c>
      <c r="S638" s="164">
        <f t="shared" si="48"/>
        <v>-7453646.4424980041</v>
      </c>
      <c r="T638" s="159" t="str">
        <f t="shared" si="49"/>
        <v>TxPost-vaccination</v>
      </c>
      <c r="W638" s="139">
        <v>598</v>
      </c>
      <c r="X638" s="164">
        <f t="shared" si="50"/>
        <v>277878380.17959297</v>
      </c>
      <c r="Y638" s="159">
        <f t="shared" si="50"/>
        <v>81515.629440454504</v>
      </c>
    </row>
    <row r="639" spans="2:25" x14ac:dyDescent="0.25">
      <c r="B639" s="159">
        <v>599</v>
      </c>
      <c r="C639" s="164">
        <v>319145085.22095472</v>
      </c>
      <c r="D639" s="159">
        <v>62341.266535323324</v>
      </c>
      <c r="E639" s="164">
        <v>5585529.8113303091</v>
      </c>
      <c r="F639" s="159">
        <v>0</v>
      </c>
      <c r="I639" s="159">
        <v>599</v>
      </c>
      <c r="J639" s="164">
        <v>319145085.22095472</v>
      </c>
      <c r="K639" s="159">
        <v>62341.266535323324</v>
      </c>
      <c r="L639" s="164">
        <v>5585529.8113303091</v>
      </c>
      <c r="M639" s="159">
        <v>0</v>
      </c>
      <c r="Q639" s="139">
        <v>599</v>
      </c>
      <c r="R639" s="164">
        <f t="shared" si="47"/>
        <v>699159350.24718618</v>
      </c>
      <c r="S639" s="164">
        <f t="shared" si="48"/>
        <v>-5585529.8113303091</v>
      </c>
      <c r="T639" s="159" t="str">
        <f t="shared" si="49"/>
        <v>TxPost-vaccination</v>
      </c>
      <c r="W639" s="139">
        <v>599</v>
      </c>
      <c r="X639" s="164">
        <f t="shared" si="50"/>
        <v>313559555.4096244</v>
      </c>
      <c r="Y639" s="159">
        <f t="shared" si="50"/>
        <v>62341.266535323324</v>
      </c>
    </row>
    <row r="640" spans="2:25" x14ac:dyDescent="0.25">
      <c r="B640" s="159">
        <v>600</v>
      </c>
      <c r="C640" s="164">
        <v>310685543.37898844</v>
      </c>
      <c r="D640" s="159">
        <v>86067.540047883682</v>
      </c>
      <c r="E640" s="164">
        <v>7182927.9326420901</v>
      </c>
      <c r="F640" s="159">
        <v>0</v>
      </c>
      <c r="I640" s="159">
        <v>600</v>
      </c>
      <c r="J640" s="164">
        <v>310685543.37898844</v>
      </c>
      <c r="K640" s="159">
        <v>86067.540047883682</v>
      </c>
      <c r="L640" s="164">
        <v>7182927.9326420901</v>
      </c>
      <c r="M640" s="159">
        <v>0</v>
      </c>
      <c r="Q640" s="139">
        <v>600</v>
      </c>
      <c r="R640" s="164">
        <f t="shared" si="47"/>
        <v>1095172288.0613182</v>
      </c>
      <c r="S640" s="164">
        <f t="shared" si="48"/>
        <v>-7182927.9326420901</v>
      </c>
      <c r="T640" s="159" t="str">
        <f t="shared" si="49"/>
        <v>TxPost-vaccination</v>
      </c>
      <c r="W640" s="139">
        <v>600</v>
      </c>
      <c r="X640" s="164">
        <f t="shared" si="50"/>
        <v>303502615.44634634</v>
      </c>
      <c r="Y640" s="159">
        <f t="shared" si="50"/>
        <v>86067.540047883682</v>
      </c>
    </row>
    <row r="641" spans="2:25" x14ac:dyDescent="0.25">
      <c r="B641" s="159">
        <v>601</v>
      </c>
      <c r="C641" s="164">
        <v>301588677.49512708</v>
      </c>
      <c r="D641" s="159">
        <v>100102.63370015071</v>
      </c>
      <c r="E641" s="164">
        <v>7545257.6525800973</v>
      </c>
      <c r="F641" s="159">
        <v>0</v>
      </c>
      <c r="I641" s="159">
        <v>601</v>
      </c>
      <c r="J641" s="164">
        <v>301588677.49512708</v>
      </c>
      <c r="K641" s="159">
        <v>100102.63370015071</v>
      </c>
      <c r="L641" s="164">
        <v>7545257.6525800973</v>
      </c>
      <c r="M641" s="159">
        <v>0</v>
      </c>
      <c r="Q641" s="139">
        <v>601</v>
      </c>
      <c r="R641" s="164">
        <f t="shared" si="47"/>
        <v>1333523368.8914905</v>
      </c>
      <c r="S641" s="164">
        <f t="shared" si="48"/>
        <v>-7545257.6525800973</v>
      </c>
      <c r="T641" s="159" t="str">
        <f t="shared" si="49"/>
        <v>TxPost-vaccination</v>
      </c>
      <c r="W641" s="139">
        <v>601</v>
      </c>
      <c r="X641" s="164">
        <f t="shared" si="50"/>
        <v>294043419.842547</v>
      </c>
      <c r="Y641" s="159">
        <f t="shared" si="50"/>
        <v>100102.63370015071</v>
      </c>
    </row>
    <row r="642" spans="2:25" x14ac:dyDescent="0.25">
      <c r="B642" s="159">
        <v>602</v>
      </c>
      <c r="C642" s="164">
        <v>302636049.18955046</v>
      </c>
      <c r="D642" s="159">
        <v>111455.04039843747</v>
      </c>
      <c r="E642" s="164">
        <v>9090670.9846382998</v>
      </c>
      <c r="F642" s="159">
        <v>0</v>
      </c>
      <c r="I642" s="159">
        <v>602</v>
      </c>
      <c r="J642" s="164">
        <v>302636049.18955046</v>
      </c>
      <c r="K642" s="159">
        <v>111455.04039843747</v>
      </c>
      <c r="L642" s="164">
        <v>9090670.9846382998</v>
      </c>
      <c r="M642" s="159">
        <v>0</v>
      </c>
      <c r="Q642" s="139">
        <v>602</v>
      </c>
      <c r="R642" s="164">
        <f t="shared" si="47"/>
        <v>1517910248.6419504</v>
      </c>
      <c r="S642" s="164">
        <f t="shared" si="48"/>
        <v>-9090670.9846382998</v>
      </c>
      <c r="T642" s="159" t="str">
        <f t="shared" si="49"/>
        <v>TxPost-vaccination</v>
      </c>
      <c r="W642" s="139">
        <v>602</v>
      </c>
      <c r="X642" s="164">
        <f t="shared" si="50"/>
        <v>293545378.20491219</v>
      </c>
      <c r="Y642" s="159">
        <f t="shared" si="50"/>
        <v>111455.04039843747</v>
      </c>
    </row>
    <row r="643" spans="2:25" x14ac:dyDescent="0.25">
      <c r="B643" s="159">
        <v>603</v>
      </c>
      <c r="C643" s="164">
        <v>308608451.83754581</v>
      </c>
      <c r="D643" s="159">
        <v>67946.016293307141</v>
      </c>
      <c r="E643" s="164">
        <v>6220014.0587971145</v>
      </c>
      <c r="F643" s="159">
        <v>0</v>
      </c>
      <c r="I643" s="159">
        <v>603</v>
      </c>
      <c r="J643" s="164">
        <v>308608451.83754581</v>
      </c>
      <c r="K643" s="159">
        <v>67946.016293307141</v>
      </c>
      <c r="L643" s="164">
        <v>6220014.0587971145</v>
      </c>
      <c r="M643" s="159">
        <v>0</v>
      </c>
      <c r="Q643" s="139">
        <v>603</v>
      </c>
      <c r="R643" s="164">
        <f t="shared" si="47"/>
        <v>801245960.96398878</v>
      </c>
      <c r="S643" s="164">
        <f t="shared" si="48"/>
        <v>-6220014.0587971145</v>
      </c>
      <c r="T643" s="159" t="str">
        <f t="shared" si="49"/>
        <v>TxPost-vaccination</v>
      </c>
      <c r="W643" s="139">
        <v>603</v>
      </c>
      <c r="X643" s="164">
        <f t="shared" si="50"/>
        <v>302388437.77874869</v>
      </c>
      <c r="Y643" s="159">
        <f t="shared" si="50"/>
        <v>67946.016293307141</v>
      </c>
    </row>
    <row r="644" spans="2:25" x14ac:dyDescent="0.25">
      <c r="B644" s="159">
        <v>604</v>
      </c>
      <c r="C644" s="164">
        <v>291687733.95221037</v>
      </c>
      <c r="D644" s="159">
        <v>119512.75372777881</v>
      </c>
      <c r="E644" s="164">
        <v>9994995.4701959565</v>
      </c>
      <c r="F644" s="159">
        <v>0</v>
      </c>
      <c r="I644" s="159">
        <v>604</v>
      </c>
      <c r="J644" s="164">
        <v>291687733.95221037</v>
      </c>
      <c r="K644" s="159">
        <v>119512.75372777881</v>
      </c>
      <c r="L644" s="164">
        <v>9994995.4701959565</v>
      </c>
      <c r="M644" s="159">
        <v>0</v>
      </c>
      <c r="Q644" s="139">
        <v>604</v>
      </c>
      <c r="R644" s="164">
        <f t="shared" si="47"/>
        <v>1660476121.2215025</v>
      </c>
      <c r="S644" s="164">
        <f t="shared" si="48"/>
        <v>-9994995.4701959565</v>
      </c>
      <c r="T644" s="159" t="str">
        <f t="shared" si="49"/>
        <v>TxPost-vaccination</v>
      </c>
      <c r="W644" s="139">
        <v>604</v>
      </c>
      <c r="X644" s="164">
        <f t="shared" si="50"/>
        <v>281692738.48201442</v>
      </c>
      <c r="Y644" s="159">
        <f t="shared" si="50"/>
        <v>119512.75372777881</v>
      </c>
    </row>
    <row r="645" spans="2:25" x14ac:dyDescent="0.25">
      <c r="B645" s="159">
        <v>605</v>
      </c>
      <c r="C645" s="164">
        <v>321403543.93326932</v>
      </c>
      <c r="D645" s="159">
        <v>65787.62556092038</v>
      </c>
      <c r="E645" s="164">
        <v>6447815.8501550592</v>
      </c>
      <c r="F645" s="159">
        <v>0</v>
      </c>
      <c r="I645" s="159">
        <v>605</v>
      </c>
      <c r="J645" s="164">
        <v>321403543.93326932</v>
      </c>
      <c r="K645" s="159">
        <v>65787.62556092038</v>
      </c>
      <c r="L645" s="164">
        <v>6447815.8501550592</v>
      </c>
      <c r="M645" s="159">
        <v>0</v>
      </c>
      <c r="Q645" s="139">
        <v>605</v>
      </c>
      <c r="R645" s="164">
        <f t="shared" si="47"/>
        <v>753194946.45261455</v>
      </c>
      <c r="S645" s="164">
        <f t="shared" si="48"/>
        <v>-6447815.8501550592</v>
      </c>
      <c r="T645" s="159" t="str">
        <f t="shared" si="49"/>
        <v>TxPost-vaccination</v>
      </c>
      <c r="W645" s="139">
        <v>605</v>
      </c>
      <c r="X645" s="164">
        <f t="shared" si="50"/>
        <v>314955728.08311427</v>
      </c>
      <c r="Y645" s="159">
        <f t="shared" si="50"/>
        <v>65787.62556092038</v>
      </c>
    </row>
    <row r="646" spans="2:25" x14ac:dyDescent="0.25">
      <c r="B646" s="159">
        <v>606</v>
      </c>
      <c r="C646" s="164">
        <v>265973242.71954137</v>
      </c>
      <c r="D646" s="159">
        <v>87805.607066832366</v>
      </c>
      <c r="E646" s="164">
        <v>8270693.8661345067</v>
      </c>
      <c r="F646" s="159">
        <v>0</v>
      </c>
      <c r="I646" s="159">
        <v>606</v>
      </c>
      <c r="J646" s="164">
        <v>265973242.71954137</v>
      </c>
      <c r="K646" s="159">
        <v>87805.607066832366</v>
      </c>
      <c r="L646" s="164">
        <v>8270693.8661345067</v>
      </c>
      <c r="M646" s="159">
        <v>0</v>
      </c>
      <c r="Q646" s="139">
        <v>606</v>
      </c>
      <c r="R646" s="164">
        <f t="shared" si="47"/>
        <v>1168274794.0037057</v>
      </c>
      <c r="S646" s="164">
        <f t="shared" si="48"/>
        <v>-8270693.8661345067</v>
      </c>
      <c r="T646" s="159" t="str">
        <f t="shared" si="49"/>
        <v>TxPost-vaccination</v>
      </c>
      <c r="W646" s="139">
        <v>606</v>
      </c>
      <c r="X646" s="164">
        <f t="shared" si="50"/>
        <v>257702548.85340688</v>
      </c>
      <c r="Y646" s="159">
        <f t="shared" si="50"/>
        <v>87805.607066832366</v>
      </c>
    </row>
    <row r="647" spans="2:25" x14ac:dyDescent="0.25">
      <c r="B647" s="159">
        <v>607</v>
      </c>
      <c r="C647" s="164">
        <v>311627140.80023086</v>
      </c>
      <c r="D647" s="159">
        <v>95126.89272086951</v>
      </c>
      <c r="E647" s="164">
        <v>8732642.7227542698</v>
      </c>
      <c r="F647" s="159">
        <v>0</v>
      </c>
      <c r="I647" s="159">
        <v>607</v>
      </c>
      <c r="J647" s="164">
        <v>311627140.80023086</v>
      </c>
      <c r="K647" s="159">
        <v>95126.89272086951</v>
      </c>
      <c r="L647" s="164">
        <v>8732642.7227542698</v>
      </c>
      <c r="M647" s="159">
        <v>0</v>
      </c>
      <c r="Q647" s="139">
        <v>607</v>
      </c>
      <c r="R647" s="164">
        <f t="shared" si="47"/>
        <v>1242209381.5148358</v>
      </c>
      <c r="S647" s="164">
        <f t="shared" si="48"/>
        <v>-8732642.7227542698</v>
      </c>
      <c r="T647" s="159" t="str">
        <f t="shared" si="49"/>
        <v>TxPost-vaccination</v>
      </c>
      <c r="W647" s="139">
        <v>607</v>
      </c>
      <c r="X647" s="164">
        <f t="shared" si="50"/>
        <v>302894498.07747662</v>
      </c>
      <c r="Y647" s="159">
        <f t="shared" si="50"/>
        <v>95126.89272086951</v>
      </c>
    </row>
    <row r="648" spans="2:25" x14ac:dyDescent="0.25">
      <c r="B648" s="159">
        <v>608</v>
      </c>
      <c r="C648" s="164">
        <v>295525891.85367274</v>
      </c>
      <c r="D648" s="159">
        <v>83886.919478649623</v>
      </c>
      <c r="E648" s="164">
        <v>8273936.9828891996</v>
      </c>
      <c r="F648" s="159">
        <v>0</v>
      </c>
      <c r="I648" s="159">
        <v>608</v>
      </c>
      <c r="J648" s="164">
        <v>295525891.85367274</v>
      </c>
      <c r="K648" s="159">
        <v>83886.919478649623</v>
      </c>
      <c r="L648" s="164">
        <v>8273936.9828891996</v>
      </c>
      <c r="M648" s="159">
        <v>0</v>
      </c>
      <c r="Q648" s="139">
        <v>608</v>
      </c>
      <c r="R648" s="164">
        <f t="shared" si="47"/>
        <v>1074712907.1040981</v>
      </c>
      <c r="S648" s="164">
        <f t="shared" si="48"/>
        <v>-8273936.9828891996</v>
      </c>
      <c r="T648" s="159" t="str">
        <f t="shared" si="49"/>
        <v>TxPost-vaccination</v>
      </c>
      <c r="W648" s="139">
        <v>608</v>
      </c>
      <c r="X648" s="164">
        <f t="shared" si="50"/>
        <v>287251954.87078357</v>
      </c>
      <c r="Y648" s="159">
        <f t="shared" si="50"/>
        <v>83886.919478649623</v>
      </c>
    </row>
    <row r="649" spans="2:25" x14ac:dyDescent="0.25">
      <c r="B649" s="159">
        <v>609</v>
      </c>
      <c r="C649" s="164">
        <v>342880089.37709767</v>
      </c>
      <c r="D649" s="159">
        <v>91311.368983618959</v>
      </c>
      <c r="E649" s="164">
        <v>8310675.4558748305</v>
      </c>
      <c r="F649" s="159">
        <v>0</v>
      </c>
      <c r="I649" s="159">
        <v>609</v>
      </c>
      <c r="J649" s="164">
        <v>342880089.37709767</v>
      </c>
      <c r="K649" s="159">
        <v>91311.368983618959</v>
      </c>
      <c r="L649" s="164">
        <v>8310675.4558748305</v>
      </c>
      <c r="M649" s="159">
        <v>0</v>
      </c>
      <c r="Q649" s="139">
        <v>609</v>
      </c>
      <c r="R649" s="164">
        <f t="shared" si="47"/>
        <v>1148632310.2306652</v>
      </c>
      <c r="S649" s="164">
        <f t="shared" si="48"/>
        <v>-8310675.4558748305</v>
      </c>
      <c r="T649" s="159" t="str">
        <f t="shared" si="49"/>
        <v>TxPost-vaccination</v>
      </c>
      <c r="W649" s="139">
        <v>609</v>
      </c>
      <c r="X649" s="164">
        <f t="shared" si="50"/>
        <v>334569413.92122281</v>
      </c>
      <c r="Y649" s="159">
        <f t="shared" si="50"/>
        <v>91311.368983618959</v>
      </c>
    </row>
    <row r="650" spans="2:25" x14ac:dyDescent="0.25">
      <c r="B650" s="159">
        <v>610</v>
      </c>
      <c r="C650" s="164">
        <v>314697162.10004544</v>
      </c>
      <c r="D650" s="159">
        <v>87768.091986383777</v>
      </c>
      <c r="E650" s="164">
        <v>6965604.6186438184</v>
      </c>
      <c r="F650" s="159">
        <v>0</v>
      </c>
      <c r="I650" s="159">
        <v>610</v>
      </c>
      <c r="J650" s="164">
        <v>314697162.10004544</v>
      </c>
      <c r="K650" s="159">
        <v>87768.091986383777</v>
      </c>
      <c r="L650" s="164">
        <v>6965604.6186438184</v>
      </c>
      <c r="M650" s="159">
        <v>0</v>
      </c>
      <c r="Q650" s="139">
        <v>610</v>
      </c>
      <c r="R650" s="164">
        <f t="shared" si="47"/>
        <v>1118938089.9471622</v>
      </c>
      <c r="S650" s="164">
        <f t="shared" si="48"/>
        <v>-6965604.6186438184</v>
      </c>
      <c r="T650" s="159" t="str">
        <f t="shared" si="49"/>
        <v>TxPost-vaccination</v>
      </c>
      <c r="W650" s="139">
        <v>610</v>
      </c>
      <c r="X650" s="164">
        <f t="shared" si="50"/>
        <v>307731557.48140162</v>
      </c>
      <c r="Y650" s="159">
        <f t="shared" si="50"/>
        <v>87768.091986383777</v>
      </c>
    </row>
    <row r="651" spans="2:25" x14ac:dyDescent="0.25">
      <c r="B651" s="159">
        <v>611</v>
      </c>
      <c r="C651" s="164">
        <v>319549981.7340517</v>
      </c>
      <c r="D651" s="159">
        <v>83314.866924946095</v>
      </c>
      <c r="E651" s="164">
        <v>10224229.661048379</v>
      </c>
      <c r="F651" s="159">
        <v>0</v>
      </c>
      <c r="I651" s="159">
        <v>611</v>
      </c>
      <c r="J651" s="164">
        <v>319549981.7340517</v>
      </c>
      <c r="K651" s="159">
        <v>83314.866924946095</v>
      </c>
      <c r="L651" s="164">
        <v>10224229.661048379</v>
      </c>
      <c r="M651" s="159">
        <v>0</v>
      </c>
      <c r="Q651" s="139">
        <v>611</v>
      </c>
      <c r="R651" s="164">
        <f t="shared" si="47"/>
        <v>1041344707.2123013</v>
      </c>
      <c r="S651" s="164">
        <f t="shared" si="48"/>
        <v>-10224229.661048379</v>
      </c>
      <c r="T651" s="159" t="str">
        <f t="shared" si="49"/>
        <v>TxPost-vaccination</v>
      </c>
      <c r="W651" s="139">
        <v>611</v>
      </c>
      <c r="X651" s="164">
        <f t="shared" si="50"/>
        <v>309325752.07300335</v>
      </c>
      <c r="Y651" s="159">
        <f t="shared" si="50"/>
        <v>83314.866924946095</v>
      </c>
    </row>
    <row r="652" spans="2:25" x14ac:dyDescent="0.25">
      <c r="B652" s="159">
        <v>612</v>
      </c>
      <c r="C652" s="164">
        <v>306696653.9846549</v>
      </c>
      <c r="D652" s="159">
        <v>85454.594306412429</v>
      </c>
      <c r="E652" s="164">
        <v>7497268.1160862036</v>
      </c>
      <c r="F652" s="159">
        <v>0</v>
      </c>
      <c r="I652" s="159">
        <v>612</v>
      </c>
      <c r="J652" s="164">
        <v>306696653.9846549</v>
      </c>
      <c r="K652" s="159">
        <v>85454.594306412429</v>
      </c>
      <c r="L652" s="164">
        <v>7497268.1160862036</v>
      </c>
      <c r="M652" s="159">
        <v>0</v>
      </c>
      <c r="Q652" s="139">
        <v>612</v>
      </c>
      <c r="R652" s="164">
        <f t="shared" si="47"/>
        <v>1089149103.5609415</v>
      </c>
      <c r="S652" s="164">
        <f t="shared" si="48"/>
        <v>-7497268.1160862036</v>
      </c>
      <c r="T652" s="159" t="str">
        <f t="shared" si="49"/>
        <v>TxPost-vaccination</v>
      </c>
      <c r="W652" s="139">
        <v>612</v>
      </c>
      <c r="X652" s="164">
        <f t="shared" si="50"/>
        <v>299199385.86856872</v>
      </c>
      <c r="Y652" s="159">
        <f t="shared" si="50"/>
        <v>85454.594306412429</v>
      </c>
    </row>
    <row r="653" spans="2:25" x14ac:dyDescent="0.25">
      <c r="B653" s="159">
        <v>613</v>
      </c>
      <c r="C653" s="164">
        <v>314980438.41376549</v>
      </c>
      <c r="D653" s="159">
        <v>106327.54797183487</v>
      </c>
      <c r="E653" s="164">
        <v>9335845.1165700108</v>
      </c>
      <c r="F653" s="159">
        <v>0</v>
      </c>
      <c r="I653" s="159">
        <v>613</v>
      </c>
      <c r="J653" s="164">
        <v>314980438.41376549</v>
      </c>
      <c r="K653" s="159">
        <v>106327.54797183487</v>
      </c>
      <c r="L653" s="164">
        <v>9335845.1165700108</v>
      </c>
      <c r="M653" s="159">
        <v>0</v>
      </c>
      <c r="Q653" s="139">
        <v>613</v>
      </c>
      <c r="R653" s="164">
        <f t="shared" si="47"/>
        <v>1421811573.1957791</v>
      </c>
      <c r="S653" s="164">
        <f t="shared" si="48"/>
        <v>-9335845.1165700108</v>
      </c>
      <c r="T653" s="159" t="str">
        <f t="shared" si="49"/>
        <v>TxPost-vaccination</v>
      </c>
      <c r="W653" s="139">
        <v>613</v>
      </c>
      <c r="X653" s="164">
        <f t="shared" si="50"/>
        <v>305644593.29719549</v>
      </c>
      <c r="Y653" s="159">
        <f t="shared" si="50"/>
        <v>106327.54797183487</v>
      </c>
    </row>
    <row r="654" spans="2:25" x14ac:dyDescent="0.25">
      <c r="B654" s="159">
        <v>614</v>
      </c>
      <c r="C654" s="164">
        <v>303320281.77193779</v>
      </c>
      <c r="D654" s="159">
        <v>131340.25268797687</v>
      </c>
      <c r="E654" s="164">
        <v>10101033.252788926</v>
      </c>
      <c r="F654" s="159">
        <v>0</v>
      </c>
      <c r="I654" s="159">
        <v>614</v>
      </c>
      <c r="J654" s="164">
        <v>303320281.77193779</v>
      </c>
      <c r="K654" s="159">
        <v>131340.25268797687</v>
      </c>
      <c r="L654" s="164">
        <v>10101033.252788926</v>
      </c>
      <c r="M654" s="159">
        <v>0</v>
      </c>
      <c r="Q654" s="139">
        <v>614</v>
      </c>
      <c r="R654" s="164">
        <f t="shared" si="47"/>
        <v>1842038150.9428046</v>
      </c>
      <c r="S654" s="164">
        <f t="shared" si="48"/>
        <v>-10101033.252788926</v>
      </c>
      <c r="T654" s="159" t="str">
        <f t="shared" si="49"/>
        <v>TxPost-vaccination</v>
      </c>
      <c r="W654" s="139">
        <v>614</v>
      </c>
      <c r="X654" s="164">
        <f t="shared" si="50"/>
        <v>293219248.51914889</v>
      </c>
      <c r="Y654" s="159">
        <f t="shared" si="50"/>
        <v>131340.25268797687</v>
      </c>
    </row>
    <row r="655" spans="2:25" x14ac:dyDescent="0.25">
      <c r="B655" s="159">
        <v>615</v>
      </c>
      <c r="C655" s="164">
        <v>310319780.09333265</v>
      </c>
      <c r="D655" s="159">
        <v>81807.252852785867</v>
      </c>
      <c r="E655" s="164">
        <v>7657342.4575654082</v>
      </c>
      <c r="F655" s="159">
        <v>0</v>
      </c>
      <c r="I655" s="159">
        <v>615</v>
      </c>
      <c r="J655" s="164">
        <v>310319780.09333265</v>
      </c>
      <c r="K655" s="159">
        <v>81807.252852785867</v>
      </c>
      <c r="L655" s="164">
        <v>7657342.4575654082</v>
      </c>
      <c r="M655" s="159">
        <v>0</v>
      </c>
      <c r="Q655" s="139">
        <v>615</v>
      </c>
      <c r="R655" s="164">
        <f t="shared" si="47"/>
        <v>1025949004.0234309</v>
      </c>
      <c r="S655" s="164">
        <f t="shared" si="48"/>
        <v>-7657342.4575654082</v>
      </c>
      <c r="T655" s="159" t="str">
        <f t="shared" si="49"/>
        <v>TxPost-vaccination</v>
      </c>
      <c r="W655" s="139">
        <v>615</v>
      </c>
      <c r="X655" s="164">
        <f t="shared" si="50"/>
        <v>302662437.63576722</v>
      </c>
      <c r="Y655" s="159">
        <f t="shared" si="50"/>
        <v>81807.252852785867</v>
      </c>
    </row>
    <row r="656" spans="2:25" x14ac:dyDescent="0.25">
      <c r="B656" s="159">
        <v>616</v>
      </c>
      <c r="C656" s="164">
        <v>295936677.72943878</v>
      </c>
      <c r="D656" s="159">
        <v>76111.794429785718</v>
      </c>
      <c r="E656" s="164">
        <v>7139883.8483190918</v>
      </c>
      <c r="F656" s="159">
        <v>0</v>
      </c>
      <c r="I656" s="159">
        <v>616</v>
      </c>
      <c r="J656" s="164">
        <v>295936677.72943878</v>
      </c>
      <c r="K656" s="159">
        <v>76111.794429785718</v>
      </c>
      <c r="L656" s="164">
        <v>7139883.8483190918</v>
      </c>
      <c r="M656" s="159">
        <v>0</v>
      </c>
      <c r="Q656" s="139">
        <v>616</v>
      </c>
      <c r="R656" s="164">
        <f t="shared" si="47"/>
        <v>947300461.43543315</v>
      </c>
      <c r="S656" s="164">
        <f t="shared" si="48"/>
        <v>-7139883.8483190918</v>
      </c>
      <c r="T656" s="159" t="str">
        <f t="shared" si="49"/>
        <v>TxPost-vaccination</v>
      </c>
      <c r="W656" s="139">
        <v>616</v>
      </c>
      <c r="X656" s="164">
        <f t="shared" si="50"/>
        <v>288796793.88111967</v>
      </c>
      <c r="Y656" s="159">
        <f t="shared" si="50"/>
        <v>76111.794429785718</v>
      </c>
    </row>
    <row r="657" spans="2:25" x14ac:dyDescent="0.25">
      <c r="B657" s="159">
        <v>617</v>
      </c>
      <c r="C657" s="164">
        <v>312300113.80606985</v>
      </c>
      <c r="D657" s="159">
        <v>90572.710715871275</v>
      </c>
      <c r="E657" s="164">
        <v>7915052.2147206655</v>
      </c>
      <c r="F657" s="159">
        <v>0</v>
      </c>
      <c r="I657" s="159">
        <v>617</v>
      </c>
      <c r="J657" s="164">
        <v>312300113.80606985</v>
      </c>
      <c r="K657" s="159">
        <v>90572.710715871275</v>
      </c>
      <c r="L657" s="164">
        <v>7915052.2147206655</v>
      </c>
      <c r="M657" s="159">
        <v>0</v>
      </c>
      <c r="Q657" s="139">
        <v>617</v>
      </c>
      <c r="R657" s="164">
        <f t="shared" si="47"/>
        <v>1167146778.7604384</v>
      </c>
      <c r="S657" s="164">
        <f t="shared" si="48"/>
        <v>-7915052.2147206655</v>
      </c>
      <c r="T657" s="159" t="str">
        <f t="shared" si="49"/>
        <v>TxPost-vaccination</v>
      </c>
      <c r="W657" s="139">
        <v>617</v>
      </c>
      <c r="X657" s="164">
        <f t="shared" si="50"/>
        <v>304385061.59134918</v>
      </c>
      <c r="Y657" s="159">
        <f t="shared" si="50"/>
        <v>90572.710715871275</v>
      </c>
    </row>
    <row r="658" spans="2:25" x14ac:dyDescent="0.25">
      <c r="B658" s="159">
        <v>618</v>
      </c>
      <c r="C658" s="164">
        <v>311293308.6275301</v>
      </c>
      <c r="D658" s="159">
        <v>108686.79317774386</v>
      </c>
      <c r="E658" s="164">
        <v>9603018.0265619401</v>
      </c>
      <c r="F658" s="159">
        <v>0</v>
      </c>
      <c r="I658" s="159">
        <v>618</v>
      </c>
      <c r="J658" s="164">
        <v>311293308.6275301</v>
      </c>
      <c r="K658" s="159">
        <v>108686.79317774386</v>
      </c>
      <c r="L658" s="164">
        <v>9603018.0265619401</v>
      </c>
      <c r="M658" s="159">
        <v>0</v>
      </c>
      <c r="Q658" s="139">
        <v>618</v>
      </c>
      <c r="R658" s="164">
        <f t="shared" si="47"/>
        <v>1464035453.8542931</v>
      </c>
      <c r="S658" s="164">
        <f t="shared" si="48"/>
        <v>-9603018.0265619401</v>
      </c>
      <c r="T658" s="159" t="str">
        <f t="shared" si="49"/>
        <v>TxPost-vaccination</v>
      </c>
      <c r="W658" s="139">
        <v>618</v>
      </c>
      <c r="X658" s="164">
        <f t="shared" si="50"/>
        <v>301690290.60096818</v>
      </c>
      <c r="Y658" s="159">
        <f t="shared" si="50"/>
        <v>108686.79317774386</v>
      </c>
    </row>
    <row r="659" spans="2:25" x14ac:dyDescent="0.25">
      <c r="B659" s="159">
        <v>619</v>
      </c>
      <c r="C659" s="164">
        <v>288319700.85004652</v>
      </c>
      <c r="D659" s="159">
        <v>119561.97966834446</v>
      </c>
      <c r="E659" s="164">
        <v>9492823.30430815</v>
      </c>
      <c r="F659" s="159">
        <v>0</v>
      </c>
      <c r="I659" s="159">
        <v>619</v>
      </c>
      <c r="J659" s="164">
        <v>288319700.85004652</v>
      </c>
      <c r="K659" s="159">
        <v>119561.97966834446</v>
      </c>
      <c r="L659" s="164">
        <v>9492823.30430815</v>
      </c>
      <c r="M659" s="159">
        <v>0</v>
      </c>
      <c r="Q659" s="139">
        <v>619</v>
      </c>
      <c r="R659" s="164">
        <f t="shared" si="47"/>
        <v>1664648228.3568702</v>
      </c>
      <c r="S659" s="164">
        <f t="shared" si="48"/>
        <v>-9492823.30430815</v>
      </c>
      <c r="T659" s="159" t="str">
        <f t="shared" si="49"/>
        <v>TxPost-vaccination</v>
      </c>
      <c r="W659" s="139">
        <v>619</v>
      </c>
      <c r="X659" s="164">
        <f t="shared" si="50"/>
        <v>278826877.54573834</v>
      </c>
      <c r="Y659" s="159">
        <f t="shared" si="50"/>
        <v>119561.97966834446</v>
      </c>
    </row>
    <row r="660" spans="2:25" x14ac:dyDescent="0.25">
      <c r="B660" s="159">
        <v>620</v>
      </c>
      <c r="C660" s="164">
        <v>326185682.60162836</v>
      </c>
      <c r="D660" s="159">
        <v>123640.75768482797</v>
      </c>
      <c r="E660" s="164">
        <v>10734815.544963064</v>
      </c>
      <c r="F660" s="159">
        <v>0</v>
      </c>
      <c r="I660" s="159">
        <v>620</v>
      </c>
      <c r="J660" s="164">
        <v>326185682.60162836</v>
      </c>
      <c r="K660" s="159">
        <v>123640.75768482797</v>
      </c>
      <c r="L660" s="164">
        <v>10734815.544963064</v>
      </c>
      <c r="M660" s="159">
        <v>0</v>
      </c>
      <c r="Q660" s="139">
        <v>620</v>
      </c>
      <c r="R660" s="164">
        <f t="shared" si="47"/>
        <v>1693406458.4044137</v>
      </c>
      <c r="S660" s="164">
        <f t="shared" si="48"/>
        <v>-10734815.544963064</v>
      </c>
      <c r="T660" s="159" t="str">
        <f t="shared" si="49"/>
        <v>TxPost-vaccination</v>
      </c>
      <c r="W660" s="139">
        <v>620</v>
      </c>
      <c r="X660" s="164">
        <f t="shared" si="50"/>
        <v>315450867.0566653</v>
      </c>
      <c r="Y660" s="159">
        <f t="shared" si="50"/>
        <v>123640.75768482797</v>
      </c>
    </row>
    <row r="661" spans="2:25" x14ac:dyDescent="0.25">
      <c r="B661" s="159">
        <v>621</v>
      </c>
      <c r="C661" s="164">
        <v>318356968.08305889</v>
      </c>
      <c r="D661" s="159">
        <v>133221.78713749224</v>
      </c>
      <c r="E661" s="164">
        <v>10603616.354930837</v>
      </c>
      <c r="F661" s="159">
        <v>0</v>
      </c>
      <c r="I661" s="159">
        <v>621</v>
      </c>
      <c r="J661" s="164">
        <v>318356968.08305889</v>
      </c>
      <c r="K661" s="159">
        <v>133221.78713749224</v>
      </c>
      <c r="L661" s="164">
        <v>10603616.354930837</v>
      </c>
      <c r="M661" s="159">
        <v>0</v>
      </c>
      <c r="Q661" s="139">
        <v>621</v>
      </c>
      <c r="R661" s="164">
        <f t="shared" si="47"/>
        <v>1857735117.9869933</v>
      </c>
      <c r="S661" s="164">
        <f t="shared" si="48"/>
        <v>-10603616.354930837</v>
      </c>
      <c r="T661" s="159" t="str">
        <f t="shared" si="49"/>
        <v>TxPost-vaccination</v>
      </c>
      <c r="W661" s="139">
        <v>621</v>
      </c>
      <c r="X661" s="164">
        <f t="shared" si="50"/>
        <v>307753351.72812808</v>
      </c>
      <c r="Y661" s="159">
        <f t="shared" si="50"/>
        <v>133221.78713749224</v>
      </c>
    </row>
    <row r="662" spans="2:25" x14ac:dyDescent="0.25">
      <c r="B662" s="159">
        <v>622</v>
      </c>
      <c r="C662" s="164">
        <v>287689175.62374872</v>
      </c>
      <c r="D662" s="159">
        <v>90854.576432913542</v>
      </c>
      <c r="E662" s="164">
        <v>7902911.9787992053</v>
      </c>
      <c r="F662" s="159">
        <v>0</v>
      </c>
      <c r="I662" s="159">
        <v>622</v>
      </c>
      <c r="J662" s="164">
        <v>287689175.62374872</v>
      </c>
      <c r="K662" s="159">
        <v>90854.576432913542</v>
      </c>
      <c r="L662" s="164">
        <v>7902911.9787992053</v>
      </c>
      <c r="M662" s="159">
        <v>0</v>
      </c>
      <c r="Q662" s="139">
        <v>622</v>
      </c>
      <c r="R662" s="164">
        <f t="shared" si="47"/>
        <v>1196361811.8837552</v>
      </c>
      <c r="S662" s="164">
        <f t="shared" si="48"/>
        <v>-7902911.9787992053</v>
      </c>
      <c r="T662" s="159" t="str">
        <f t="shared" si="49"/>
        <v>TxPost-vaccination</v>
      </c>
      <c r="W662" s="139">
        <v>622</v>
      </c>
      <c r="X662" s="164">
        <f t="shared" si="50"/>
        <v>279786263.6449495</v>
      </c>
      <c r="Y662" s="159">
        <f t="shared" si="50"/>
        <v>90854.576432913542</v>
      </c>
    </row>
    <row r="663" spans="2:25" x14ac:dyDescent="0.25">
      <c r="B663" s="159">
        <v>623</v>
      </c>
      <c r="C663" s="164">
        <v>301803380.55355942</v>
      </c>
      <c r="D663" s="159">
        <v>110256.35961571764</v>
      </c>
      <c r="E663" s="164">
        <v>11119302.967910664</v>
      </c>
      <c r="F663" s="159">
        <v>0</v>
      </c>
      <c r="I663" s="159">
        <v>623</v>
      </c>
      <c r="J663" s="164">
        <v>301803380.55355942</v>
      </c>
      <c r="K663" s="159">
        <v>110256.35961571764</v>
      </c>
      <c r="L663" s="164">
        <v>11119302.967910664</v>
      </c>
      <c r="M663" s="159">
        <v>0</v>
      </c>
      <c r="Q663" s="139">
        <v>623</v>
      </c>
      <c r="R663" s="164">
        <f t="shared" si="47"/>
        <v>1499163238.7505183</v>
      </c>
      <c r="S663" s="164">
        <f t="shared" si="48"/>
        <v>-11119302.967910664</v>
      </c>
      <c r="T663" s="159" t="str">
        <f t="shared" si="49"/>
        <v>TxPost-vaccination</v>
      </c>
      <c r="W663" s="139">
        <v>623</v>
      </c>
      <c r="X663" s="164">
        <f t="shared" si="50"/>
        <v>290684077.58564878</v>
      </c>
      <c r="Y663" s="159">
        <f t="shared" si="50"/>
        <v>110256.35961571764</v>
      </c>
    </row>
    <row r="664" spans="2:25" x14ac:dyDescent="0.25">
      <c r="B664" s="159">
        <v>624</v>
      </c>
      <c r="C664" s="164">
        <v>338439918.23257262</v>
      </c>
      <c r="D664" s="159">
        <v>96583.439774188999</v>
      </c>
      <c r="E664" s="164">
        <v>9928100.4895914588</v>
      </c>
      <c r="F664" s="159">
        <v>0</v>
      </c>
      <c r="I664" s="159">
        <v>624</v>
      </c>
      <c r="J664" s="164">
        <v>338439918.23257262</v>
      </c>
      <c r="K664" s="159">
        <v>96583.439774188999</v>
      </c>
      <c r="L664" s="164">
        <v>9928100.4895914588</v>
      </c>
      <c r="M664" s="159">
        <v>0</v>
      </c>
      <c r="Q664" s="139">
        <v>624</v>
      </c>
      <c r="R664" s="164">
        <f t="shared" si="47"/>
        <v>1239188362.0510762</v>
      </c>
      <c r="S664" s="164">
        <f t="shared" si="48"/>
        <v>-9928100.4895914588</v>
      </c>
      <c r="T664" s="159" t="str">
        <f t="shared" si="49"/>
        <v>TxPost-vaccination</v>
      </c>
      <c r="W664" s="139">
        <v>624</v>
      </c>
      <c r="X664" s="164">
        <f t="shared" si="50"/>
        <v>328511817.74298114</v>
      </c>
      <c r="Y664" s="159">
        <f t="shared" si="50"/>
        <v>96583.439774188999</v>
      </c>
    </row>
    <row r="665" spans="2:25" x14ac:dyDescent="0.25">
      <c r="B665" s="159">
        <v>625</v>
      </c>
      <c r="C665" s="164">
        <v>310518704.73469532</v>
      </c>
      <c r="D665" s="159">
        <v>66636.509805812413</v>
      </c>
      <c r="E665" s="164">
        <v>7783722.0340267485</v>
      </c>
      <c r="F665" s="159">
        <v>0</v>
      </c>
      <c r="I665" s="159">
        <v>625</v>
      </c>
      <c r="J665" s="164">
        <v>310518704.73469532</v>
      </c>
      <c r="K665" s="159">
        <v>66636.509805812413</v>
      </c>
      <c r="L665" s="164">
        <v>7783722.0340267485</v>
      </c>
      <c r="M665" s="159">
        <v>0</v>
      </c>
      <c r="Q665" s="139">
        <v>625</v>
      </c>
      <c r="R665" s="164">
        <f t="shared" si="47"/>
        <v>777945763.0336467</v>
      </c>
      <c r="S665" s="164">
        <f t="shared" si="48"/>
        <v>-7783722.0340267485</v>
      </c>
      <c r="T665" s="159" t="str">
        <f t="shared" si="49"/>
        <v>TxPost-vaccination</v>
      </c>
      <c r="W665" s="139">
        <v>625</v>
      </c>
      <c r="X665" s="164">
        <f t="shared" si="50"/>
        <v>302734982.70066857</v>
      </c>
      <c r="Y665" s="159">
        <f t="shared" si="50"/>
        <v>66636.509805812413</v>
      </c>
    </row>
    <row r="666" spans="2:25" x14ac:dyDescent="0.25">
      <c r="B666" s="159">
        <v>626</v>
      </c>
      <c r="C666" s="164">
        <v>297365843.70520276</v>
      </c>
      <c r="D666" s="159">
        <v>129308.63130454089</v>
      </c>
      <c r="E666" s="164">
        <v>10057478.487769755</v>
      </c>
      <c r="F666" s="159">
        <v>0</v>
      </c>
      <c r="I666" s="159">
        <v>626</v>
      </c>
      <c r="J666" s="164">
        <v>297365843.70520276</v>
      </c>
      <c r="K666" s="159">
        <v>129308.63130454089</v>
      </c>
      <c r="L666" s="164">
        <v>10057478.487769755</v>
      </c>
      <c r="M666" s="159">
        <v>0</v>
      </c>
      <c r="Q666" s="139">
        <v>626</v>
      </c>
      <c r="R666" s="164">
        <f t="shared" si="47"/>
        <v>1814807362.2581298</v>
      </c>
      <c r="S666" s="164">
        <f t="shared" si="48"/>
        <v>-10057478.487769755</v>
      </c>
      <c r="T666" s="159" t="str">
        <f t="shared" si="49"/>
        <v>TxPost-vaccination</v>
      </c>
      <c r="W666" s="139">
        <v>626</v>
      </c>
      <c r="X666" s="164">
        <f t="shared" si="50"/>
        <v>287308365.21743298</v>
      </c>
      <c r="Y666" s="159">
        <f t="shared" si="50"/>
        <v>129308.63130454089</v>
      </c>
    </row>
    <row r="667" spans="2:25" x14ac:dyDescent="0.25">
      <c r="B667" s="159">
        <v>627</v>
      </c>
      <c r="C667" s="164">
        <v>323484744.83210284</v>
      </c>
      <c r="D667" s="159">
        <v>99598.633848321697</v>
      </c>
      <c r="E667" s="164">
        <v>9288550.4215008132</v>
      </c>
      <c r="F667" s="159">
        <v>0</v>
      </c>
      <c r="I667" s="159">
        <v>627</v>
      </c>
      <c r="J667" s="164">
        <v>323484744.83210284</v>
      </c>
      <c r="K667" s="159">
        <v>99598.633848321697</v>
      </c>
      <c r="L667" s="164">
        <v>9288550.4215008132</v>
      </c>
      <c r="M667" s="159">
        <v>0</v>
      </c>
      <c r="Q667" s="139">
        <v>627</v>
      </c>
      <c r="R667" s="164">
        <f t="shared" si="47"/>
        <v>1303394788.5961523</v>
      </c>
      <c r="S667" s="164">
        <f t="shared" si="48"/>
        <v>-9288550.4215008132</v>
      </c>
      <c r="T667" s="159" t="str">
        <f t="shared" si="49"/>
        <v>TxPost-vaccination</v>
      </c>
      <c r="W667" s="139">
        <v>627</v>
      </c>
      <c r="X667" s="164">
        <f t="shared" si="50"/>
        <v>314196194.41060203</v>
      </c>
      <c r="Y667" s="159">
        <f t="shared" si="50"/>
        <v>99598.633848321697</v>
      </c>
    </row>
    <row r="668" spans="2:25" x14ac:dyDescent="0.25">
      <c r="B668" s="159">
        <v>628</v>
      </c>
      <c r="C668" s="164">
        <v>280455222.28067362</v>
      </c>
      <c r="D668" s="159">
        <v>79552.365223627465</v>
      </c>
      <c r="E668" s="164">
        <v>8096389.2888637697</v>
      </c>
      <c r="F668" s="159">
        <v>0</v>
      </c>
      <c r="I668" s="159">
        <v>628</v>
      </c>
      <c r="J668" s="164">
        <v>280455222.28067362</v>
      </c>
      <c r="K668" s="159">
        <v>79552.365223627465</v>
      </c>
      <c r="L668" s="164">
        <v>8096389.2888637697</v>
      </c>
      <c r="M668" s="159">
        <v>0</v>
      </c>
      <c r="Q668" s="139">
        <v>628</v>
      </c>
      <c r="R668" s="164">
        <f t="shared" si="47"/>
        <v>1018981424.7643605</v>
      </c>
      <c r="S668" s="164">
        <f t="shared" si="48"/>
        <v>-8096389.2888637697</v>
      </c>
      <c r="T668" s="159" t="str">
        <f t="shared" si="49"/>
        <v>TxPost-vaccination</v>
      </c>
      <c r="W668" s="139">
        <v>628</v>
      </c>
      <c r="X668" s="164">
        <f t="shared" si="50"/>
        <v>272358832.99180984</v>
      </c>
      <c r="Y668" s="159">
        <f t="shared" si="50"/>
        <v>79552.365223627465</v>
      </c>
    </row>
    <row r="669" spans="2:25" x14ac:dyDescent="0.25">
      <c r="B669" s="159">
        <v>629</v>
      </c>
      <c r="C669" s="164">
        <v>320035279.76759261</v>
      </c>
      <c r="D669" s="159">
        <v>89170.514902697367</v>
      </c>
      <c r="E669" s="164">
        <v>8461295.4712315071</v>
      </c>
      <c r="F669" s="159">
        <v>0</v>
      </c>
      <c r="I669" s="159">
        <v>629</v>
      </c>
      <c r="J669" s="164">
        <v>320035279.76759261</v>
      </c>
      <c r="K669" s="159">
        <v>89170.514902697367</v>
      </c>
      <c r="L669" s="164">
        <v>8461295.4712315071</v>
      </c>
      <c r="M669" s="159">
        <v>0</v>
      </c>
      <c r="Q669" s="139">
        <v>629</v>
      </c>
      <c r="R669" s="164">
        <f t="shared" si="47"/>
        <v>1136507647.3310211</v>
      </c>
      <c r="S669" s="164">
        <f t="shared" si="48"/>
        <v>-8461295.4712315071</v>
      </c>
      <c r="T669" s="159" t="str">
        <f t="shared" si="49"/>
        <v>TxPost-vaccination</v>
      </c>
      <c r="W669" s="139">
        <v>629</v>
      </c>
      <c r="X669" s="164">
        <f t="shared" si="50"/>
        <v>311573984.29636109</v>
      </c>
      <c r="Y669" s="159">
        <f t="shared" si="50"/>
        <v>89170.514902697367</v>
      </c>
    </row>
    <row r="670" spans="2:25" x14ac:dyDescent="0.25">
      <c r="B670" s="159">
        <v>630</v>
      </c>
      <c r="C670" s="164">
        <v>301521881.93918061</v>
      </c>
      <c r="D670" s="159">
        <v>75463.479033761891</v>
      </c>
      <c r="E670" s="164">
        <v>6685017.6141049592</v>
      </c>
      <c r="F670" s="159">
        <v>0</v>
      </c>
      <c r="I670" s="159">
        <v>630</v>
      </c>
      <c r="J670" s="164">
        <v>301521881.93918061</v>
      </c>
      <c r="K670" s="159">
        <v>75463.479033761891</v>
      </c>
      <c r="L670" s="164">
        <v>6685017.6141049592</v>
      </c>
      <c r="M670" s="159">
        <v>0</v>
      </c>
      <c r="Q670" s="139">
        <v>630</v>
      </c>
      <c r="R670" s="164">
        <f t="shared" si="47"/>
        <v>931125442.80510569</v>
      </c>
      <c r="S670" s="164">
        <f t="shared" si="48"/>
        <v>-6685017.6141049592</v>
      </c>
      <c r="T670" s="159" t="str">
        <f t="shared" si="49"/>
        <v>TxPost-vaccination</v>
      </c>
      <c r="W670" s="139">
        <v>630</v>
      </c>
      <c r="X670" s="164">
        <f t="shared" si="50"/>
        <v>294836864.32507563</v>
      </c>
      <c r="Y670" s="159">
        <f t="shared" si="50"/>
        <v>75463.479033761891</v>
      </c>
    </row>
    <row r="671" spans="2:25" x14ac:dyDescent="0.25">
      <c r="B671" s="159">
        <v>631</v>
      </c>
      <c r="C671" s="164">
        <v>294449541.42495894</v>
      </c>
      <c r="D671" s="159">
        <v>100216.77350772508</v>
      </c>
      <c r="E671" s="164">
        <v>9713165.9475473091</v>
      </c>
      <c r="F671" s="159">
        <v>0</v>
      </c>
      <c r="I671" s="159">
        <v>631</v>
      </c>
      <c r="J671" s="164">
        <v>294449541.42495894</v>
      </c>
      <c r="K671" s="159">
        <v>100216.77350772508</v>
      </c>
      <c r="L671" s="164">
        <v>9713165.9475473091</v>
      </c>
      <c r="M671" s="159">
        <v>0</v>
      </c>
      <c r="Q671" s="139">
        <v>631</v>
      </c>
      <c r="R671" s="164">
        <f t="shared" si="47"/>
        <v>1342526905.2020772</v>
      </c>
      <c r="S671" s="164">
        <f t="shared" si="48"/>
        <v>-9713165.9475473091</v>
      </c>
      <c r="T671" s="159" t="str">
        <f t="shared" si="49"/>
        <v>TxPost-vaccination</v>
      </c>
      <c r="W671" s="139">
        <v>631</v>
      </c>
      <c r="X671" s="164">
        <f t="shared" si="50"/>
        <v>284736375.47741163</v>
      </c>
      <c r="Y671" s="159">
        <f t="shared" si="50"/>
        <v>100216.77350772508</v>
      </c>
    </row>
    <row r="672" spans="2:25" x14ac:dyDescent="0.25">
      <c r="B672" s="159">
        <v>632</v>
      </c>
      <c r="C672" s="164">
        <v>321584130.24051416</v>
      </c>
      <c r="D672" s="159">
        <v>102968.6758948465</v>
      </c>
      <c r="E672" s="164">
        <v>8892616.916388642</v>
      </c>
      <c r="F672" s="159">
        <v>0</v>
      </c>
      <c r="I672" s="159">
        <v>632</v>
      </c>
      <c r="J672" s="164">
        <v>321584130.24051416</v>
      </c>
      <c r="K672" s="159">
        <v>102968.6758948465</v>
      </c>
      <c r="L672" s="164">
        <v>8892616.916388642</v>
      </c>
      <c r="M672" s="159">
        <v>0</v>
      </c>
      <c r="Q672" s="139">
        <v>632</v>
      </c>
      <c r="R672" s="164">
        <f t="shared" si="47"/>
        <v>1360342869.4073415</v>
      </c>
      <c r="S672" s="164">
        <f t="shared" si="48"/>
        <v>-8892616.916388642</v>
      </c>
      <c r="T672" s="159" t="str">
        <f t="shared" si="49"/>
        <v>TxPost-vaccination</v>
      </c>
      <c r="W672" s="139">
        <v>632</v>
      </c>
      <c r="X672" s="164">
        <f t="shared" si="50"/>
        <v>312691513.32412553</v>
      </c>
      <c r="Y672" s="159">
        <f t="shared" si="50"/>
        <v>102968.6758948465</v>
      </c>
    </row>
    <row r="673" spans="2:25" x14ac:dyDescent="0.25">
      <c r="B673" s="159">
        <v>633</v>
      </c>
      <c r="C673" s="164">
        <v>327377880.97805089</v>
      </c>
      <c r="D673" s="159">
        <v>115636.72445572482</v>
      </c>
      <c r="E673" s="164">
        <v>9700894.9373028893</v>
      </c>
      <c r="F673" s="159">
        <v>0</v>
      </c>
      <c r="I673" s="159">
        <v>633</v>
      </c>
      <c r="J673" s="164">
        <v>327377880.97805089</v>
      </c>
      <c r="K673" s="159">
        <v>115636.72445572482</v>
      </c>
      <c r="L673" s="164">
        <v>9700894.9373028893</v>
      </c>
      <c r="M673" s="159">
        <v>0</v>
      </c>
      <c r="Q673" s="139">
        <v>633</v>
      </c>
      <c r="R673" s="164">
        <f t="shared" si="47"/>
        <v>1561473532.5483541</v>
      </c>
      <c r="S673" s="164">
        <f t="shared" si="48"/>
        <v>-9700894.9373028893</v>
      </c>
      <c r="T673" s="159" t="str">
        <f t="shared" si="49"/>
        <v>TxPost-vaccination</v>
      </c>
      <c r="W673" s="139">
        <v>633</v>
      </c>
      <c r="X673" s="164">
        <f t="shared" si="50"/>
        <v>317676986.040748</v>
      </c>
      <c r="Y673" s="159">
        <f t="shared" si="50"/>
        <v>115636.72445572482</v>
      </c>
    </row>
    <row r="674" spans="2:25" x14ac:dyDescent="0.25">
      <c r="B674" s="159">
        <v>634</v>
      </c>
      <c r="C674" s="164">
        <v>322733580.72753131</v>
      </c>
      <c r="D674" s="159">
        <v>118767.42907899694</v>
      </c>
      <c r="E674" s="164">
        <v>9339842.6769658793</v>
      </c>
      <c r="F674" s="159">
        <v>0</v>
      </c>
      <c r="I674" s="159">
        <v>634</v>
      </c>
      <c r="J674" s="164">
        <v>322733580.72753131</v>
      </c>
      <c r="K674" s="159">
        <v>118767.42907899694</v>
      </c>
      <c r="L674" s="164">
        <v>9339842.6769658793</v>
      </c>
      <c r="M674" s="159">
        <v>0</v>
      </c>
      <c r="Q674" s="139">
        <v>634</v>
      </c>
      <c r="R674" s="164">
        <f t="shared" si="47"/>
        <v>1617255876.3644829</v>
      </c>
      <c r="S674" s="164">
        <f t="shared" si="48"/>
        <v>-9339842.6769658793</v>
      </c>
      <c r="T674" s="159" t="str">
        <f t="shared" si="49"/>
        <v>TxPost-vaccination</v>
      </c>
      <c r="W674" s="139">
        <v>634</v>
      </c>
      <c r="X674" s="164">
        <f t="shared" si="50"/>
        <v>313393738.05056542</v>
      </c>
      <c r="Y674" s="159">
        <f t="shared" si="50"/>
        <v>118767.42907899694</v>
      </c>
    </row>
    <row r="675" spans="2:25" x14ac:dyDescent="0.25">
      <c r="B675" s="159">
        <v>635</v>
      </c>
      <c r="C675" s="164">
        <v>356914042.36976099</v>
      </c>
      <c r="D675" s="159">
        <v>89581.323742004213</v>
      </c>
      <c r="E675" s="164">
        <v>7878539.3234233055</v>
      </c>
      <c r="F675" s="159">
        <v>0</v>
      </c>
      <c r="I675" s="159">
        <v>635</v>
      </c>
      <c r="J675" s="164">
        <v>356914042.36976099</v>
      </c>
      <c r="K675" s="159">
        <v>89581.323742004213</v>
      </c>
      <c r="L675" s="164">
        <v>7878539.3234233055</v>
      </c>
      <c r="M675" s="159">
        <v>0</v>
      </c>
      <c r="Q675" s="139">
        <v>635</v>
      </c>
      <c r="R675" s="164">
        <f t="shared" si="47"/>
        <v>1106339182.5210648</v>
      </c>
      <c r="S675" s="164">
        <f t="shared" si="48"/>
        <v>-7878539.3234233055</v>
      </c>
      <c r="T675" s="159" t="str">
        <f t="shared" si="49"/>
        <v>TxPost-vaccination</v>
      </c>
      <c r="W675" s="139">
        <v>635</v>
      </c>
      <c r="X675" s="164">
        <f t="shared" si="50"/>
        <v>349035503.04633766</v>
      </c>
      <c r="Y675" s="159">
        <f t="shared" si="50"/>
        <v>89581.323742004213</v>
      </c>
    </row>
    <row r="676" spans="2:25" x14ac:dyDescent="0.25">
      <c r="B676" s="159">
        <v>636</v>
      </c>
      <c r="C676" s="164">
        <v>314675375.01925766</v>
      </c>
      <c r="D676" s="159">
        <v>105395.36773936014</v>
      </c>
      <c r="E676" s="164">
        <v>10076092.55007066</v>
      </c>
      <c r="F676" s="159">
        <v>0</v>
      </c>
      <c r="I676" s="159">
        <v>636</v>
      </c>
      <c r="J676" s="164">
        <v>314675375.01925766</v>
      </c>
      <c r="K676" s="159">
        <v>105395.36773936014</v>
      </c>
      <c r="L676" s="164">
        <v>10076092.55007066</v>
      </c>
      <c r="M676" s="159">
        <v>0</v>
      </c>
      <c r="Q676" s="139">
        <v>636</v>
      </c>
      <c r="R676" s="164">
        <f t="shared" si="47"/>
        <v>1406890072.9007783</v>
      </c>
      <c r="S676" s="164">
        <f t="shared" si="48"/>
        <v>-10076092.55007066</v>
      </c>
      <c r="T676" s="159" t="str">
        <f t="shared" si="49"/>
        <v>TxPost-vaccination</v>
      </c>
      <c r="W676" s="139">
        <v>636</v>
      </c>
      <c r="X676" s="164">
        <f t="shared" si="50"/>
        <v>304599282.46918702</v>
      </c>
      <c r="Y676" s="159">
        <f t="shared" si="50"/>
        <v>105395.36773936014</v>
      </c>
    </row>
    <row r="677" spans="2:25" x14ac:dyDescent="0.25">
      <c r="B677" s="159">
        <v>637</v>
      </c>
      <c r="C677" s="164">
        <v>318426528.58007056</v>
      </c>
      <c r="D677" s="159">
        <v>75564.374804080944</v>
      </c>
      <c r="E677" s="164">
        <v>7851040.4105953956</v>
      </c>
      <c r="F677" s="159">
        <v>0</v>
      </c>
      <c r="I677" s="159">
        <v>637</v>
      </c>
      <c r="J677" s="164">
        <v>318426528.58007056</v>
      </c>
      <c r="K677" s="159">
        <v>75564.374804080944</v>
      </c>
      <c r="L677" s="164">
        <v>7851040.4105953956</v>
      </c>
      <c r="M677" s="159">
        <v>0</v>
      </c>
      <c r="Q677" s="139">
        <v>637</v>
      </c>
      <c r="R677" s="164">
        <f t="shared" si="47"/>
        <v>915868863.58642077</v>
      </c>
      <c r="S677" s="164">
        <f t="shared" si="48"/>
        <v>-7851040.4105953956</v>
      </c>
      <c r="T677" s="159" t="str">
        <f t="shared" si="49"/>
        <v>TxPost-vaccination</v>
      </c>
      <c r="W677" s="139">
        <v>637</v>
      </c>
      <c r="X677" s="164">
        <f t="shared" si="50"/>
        <v>310575488.16947514</v>
      </c>
      <c r="Y677" s="159">
        <f t="shared" si="50"/>
        <v>75564.374804080944</v>
      </c>
    </row>
    <row r="678" spans="2:25" x14ac:dyDescent="0.25">
      <c r="B678" s="159">
        <v>638</v>
      </c>
      <c r="C678" s="164">
        <v>329937823.90322047</v>
      </c>
      <c r="D678" s="159">
        <v>88182.96583516059</v>
      </c>
      <c r="E678" s="164">
        <v>7677925.7090389989</v>
      </c>
      <c r="F678" s="159">
        <v>0</v>
      </c>
      <c r="I678" s="159">
        <v>638</v>
      </c>
      <c r="J678" s="164">
        <v>329937823.90322047</v>
      </c>
      <c r="K678" s="159">
        <v>88182.96583516059</v>
      </c>
      <c r="L678" s="164">
        <v>7677925.7090389989</v>
      </c>
      <c r="M678" s="159">
        <v>0</v>
      </c>
      <c r="Q678" s="139">
        <v>638</v>
      </c>
      <c r="R678" s="164">
        <f t="shared" si="47"/>
        <v>1110474125.247659</v>
      </c>
      <c r="S678" s="164">
        <f t="shared" si="48"/>
        <v>-7677925.7090389989</v>
      </c>
      <c r="T678" s="159" t="str">
        <f t="shared" si="49"/>
        <v>TxPost-vaccination</v>
      </c>
      <c r="W678" s="139">
        <v>638</v>
      </c>
      <c r="X678" s="164">
        <f t="shared" si="50"/>
        <v>322259898.1941815</v>
      </c>
      <c r="Y678" s="159">
        <f t="shared" si="50"/>
        <v>88182.96583516059</v>
      </c>
    </row>
    <row r="679" spans="2:25" x14ac:dyDescent="0.25">
      <c r="B679" s="159">
        <v>639</v>
      </c>
      <c r="C679" s="164">
        <v>317220801.86283177</v>
      </c>
      <c r="D679" s="159">
        <v>109205.60735457556</v>
      </c>
      <c r="E679" s="164">
        <v>8342747.9553778935</v>
      </c>
      <c r="F679" s="159">
        <v>0</v>
      </c>
      <c r="I679" s="159">
        <v>639</v>
      </c>
      <c r="J679" s="164">
        <v>317220801.86283177</v>
      </c>
      <c r="K679" s="159">
        <v>109205.60735457556</v>
      </c>
      <c r="L679" s="164">
        <v>8342747.9553778935</v>
      </c>
      <c r="M679" s="159">
        <v>0</v>
      </c>
      <c r="Q679" s="139">
        <v>639</v>
      </c>
      <c r="R679" s="164">
        <f t="shared" si="47"/>
        <v>1466582456.034514</v>
      </c>
      <c r="S679" s="164">
        <f t="shared" si="48"/>
        <v>-8342747.9553778935</v>
      </c>
      <c r="T679" s="159" t="str">
        <f t="shared" si="49"/>
        <v>TxPost-vaccination</v>
      </c>
      <c r="W679" s="139">
        <v>639</v>
      </c>
      <c r="X679" s="164">
        <f t="shared" si="50"/>
        <v>308878053.90745389</v>
      </c>
      <c r="Y679" s="159">
        <f t="shared" si="50"/>
        <v>109205.60735457556</v>
      </c>
    </row>
    <row r="680" spans="2:25" x14ac:dyDescent="0.25">
      <c r="B680" s="159">
        <v>640</v>
      </c>
      <c r="C680" s="164">
        <v>306834138.62131357</v>
      </c>
      <c r="D680" s="159">
        <v>104092.22377795241</v>
      </c>
      <c r="E680" s="164">
        <v>7965450.0384188946</v>
      </c>
      <c r="F680" s="159">
        <v>0</v>
      </c>
      <c r="I680" s="159">
        <v>640</v>
      </c>
      <c r="J680" s="164">
        <v>306834138.62131357</v>
      </c>
      <c r="K680" s="159">
        <v>104092.22377795241</v>
      </c>
      <c r="L680" s="164">
        <v>7965450.0384188946</v>
      </c>
      <c r="M680" s="159">
        <v>0</v>
      </c>
      <c r="Q680" s="139">
        <v>640</v>
      </c>
      <c r="R680" s="164">
        <f t="shared" si="47"/>
        <v>1393445292.0311213</v>
      </c>
      <c r="S680" s="164">
        <f t="shared" si="48"/>
        <v>-7965450.0384188946</v>
      </c>
      <c r="T680" s="159" t="str">
        <f t="shared" si="49"/>
        <v>TxPost-vaccination</v>
      </c>
      <c r="W680" s="139">
        <v>640</v>
      </c>
      <c r="X680" s="164">
        <f t="shared" si="50"/>
        <v>298868688.58289468</v>
      </c>
      <c r="Y680" s="159">
        <f t="shared" si="50"/>
        <v>104092.22377795241</v>
      </c>
    </row>
    <row r="681" spans="2:25" x14ac:dyDescent="0.25">
      <c r="B681" s="159">
        <v>641</v>
      </c>
      <c r="C681" s="164">
        <v>323942834.54357064</v>
      </c>
      <c r="D681" s="159">
        <v>97510.205488254374</v>
      </c>
      <c r="E681" s="164">
        <v>7651858.2447446249</v>
      </c>
      <c r="F681" s="159">
        <v>0</v>
      </c>
      <c r="I681" s="159">
        <v>641</v>
      </c>
      <c r="J681" s="164">
        <v>323942834.54357064</v>
      </c>
      <c r="K681" s="159">
        <v>97510.205488254374</v>
      </c>
      <c r="L681" s="164">
        <v>7651858.2447446249</v>
      </c>
      <c r="M681" s="159">
        <v>0</v>
      </c>
      <c r="Q681" s="139">
        <v>641</v>
      </c>
      <c r="R681" s="164">
        <f t="shared" ref="R681:R744" si="51">K681*threshold-J681</f>
        <v>1268823566.7588072</v>
      </c>
      <c r="S681" s="164">
        <f t="shared" ref="S681:S744" si="52">M681*threshold-L681</f>
        <v>-7651858.2447446249</v>
      </c>
      <c r="T681" s="159" t="str">
        <f t="shared" si="49"/>
        <v>TxPost-vaccination</v>
      </c>
      <c r="W681" s="139">
        <v>641</v>
      </c>
      <c r="X681" s="164">
        <f t="shared" si="50"/>
        <v>316290976.29882604</v>
      </c>
      <c r="Y681" s="159">
        <f t="shared" si="50"/>
        <v>97510.205488254374</v>
      </c>
    </row>
    <row r="682" spans="2:25" x14ac:dyDescent="0.25">
      <c r="B682" s="159">
        <v>642</v>
      </c>
      <c r="C682" s="164">
        <v>317844584.79075336</v>
      </c>
      <c r="D682" s="159">
        <v>55021.018424809321</v>
      </c>
      <c r="E682" s="164">
        <v>6318798.3307189075</v>
      </c>
      <c r="F682" s="159">
        <v>0</v>
      </c>
      <c r="I682" s="159">
        <v>642</v>
      </c>
      <c r="J682" s="164">
        <v>317844584.79075336</v>
      </c>
      <c r="K682" s="159">
        <v>55021.018424809321</v>
      </c>
      <c r="L682" s="164">
        <v>6318798.3307189075</v>
      </c>
      <c r="M682" s="159">
        <v>0</v>
      </c>
      <c r="Q682" s="139">
        <v>642</v>
      </c>
      <c r="R682" s="164">
        <f t="shared" si="51"/>
        <v>580888312.69074714</v>
      </c>
      <c r="S682" s="164">
        <f t="shared" si="52"/>
        <v>-6318798.3307189075</v>
      </c>
      <c r="T682" s="159" t="str">
        <f t="shared" ref="T682:T745" si="53">IF(R682&gt;S682,"TxPost-vaccination",IF(S682&gt;R682,"TxPre-vaccination","either"))</f>
        <v>TxPost-vaccination</v>
      </c>
      <c r="W682" s="139">
        <v>642</v>
      </c>
      <c r="X682" s="164">
        <f t="shared" ref="X682:Y745" si="54">J682-L682</f>
        <v>311525786.46003443</v>
      </c>
      <c r="Y682" s="159">
        <f t="shared" si="54"/>
        <v>55021.018424809321</v>
      </c>
    </row>
    <row r="683" spans="2:25" x14ac:dyDescent="0.25">
      <c r="B683" s="159">
        <v>643</v>
      </c>
      <c r="C683" s="164">
        <v>291201737.61094791</v>
      </c>
      <c r="D683" s="159">
        <v>111538.39919433322</v>
      </c>
      <c r="E683" s="164">
        <v>8432265.6052617878</v>
      </c>
      <c r="F683" s="159">
        <v>0</v>
      </c>
      <c r="I683" s="159">
        <v>643</v>
      </c>
      <c r="J683" s="164">
        <v>291201737.61094791</v>
      </c>
      <c r="K683" s="159">
        <v>111538.39919433322</v>
      </c>
      <c r="L683" s="164">
        <v>8432265.6052617878</v>
      </c>
      <c r="M683" s="159">
        <v>0</v>
      </c>
      <c r="Q683" s="139">
        <v>643</v>
      </c>
      <c r="R683" s="164">
        <f t="shared" si="51"/>
        <v>1530706172.4609432</v>
      </c>
      <c r="S683" s="164">
        <f t="shared" si="52"/>
        <v>-8432265.6052617878</v>
      </c>
      <c r="T683" s="159" t="str">
        <f t="shared" si="53"/>
        <v>TxPost-vaccination</v>
      </c>
      <c r="W683" s="139">
        <v>643</v>
      </c>
      <c r="X683" s="164">
        <f t="shared" si="54"/>
        <v>282769472.0056861</v>
      </c>
      <c r="Y683" s="159">
        <f t="shared" si="54"/>
        <v>111538.39919433322</v>
      </c>
    </row>
    <row r="684" spans="2:25" x14ac:dyDescent="0.25">
      <c r="B684" s="159">
        <v>644</v>
      </c>
      <c r="C684" s="164">
        <v>303334985.61285418</v>
      </c>
      <c r="D684" s="159">
        <v>117550.91199514399</v>
      </c>
      <c r="E684" s="164">
        <v>9278199.247533178</v>
      </c>
      <c r="F684" s="159">
        <v>0</v>
      </c>
      <c r="I684" s="159">
        <v>644</v>
      </c>
      <c r="J684" s="164">
        <v>303334985.61285418</v>
      </c>
      <c r="K684" s="159">
        <v>117550.91199514399</v>
      </c>
      <c r="L684" s="164">
        <v>9278199.247533178</v>
      </c>
      <c r="M684" s="159">
        <v>0</v>
      </c>
      <c r="Q684" s="139">
        <v>644</v>
      </c>
      <c r="R684" s="164">
        <f t="shared" si="51"/>
        <v>1616783448.4609106</v>
      </c>
      <c r="S684" s="164">
        <f t="shared" si="52"/>
        <v>-9278199.247533178</v>
      </c>
      <c r="T684" s="159" t="str">
        <f t="shared" si="53"/>
        <v>TxPost-vaccination</v>
      </c>
      <c r="W684" s="139">
        <v>644</v>
      </c>
      <c r="X684" s="164">
        <f t="shared" si="54"/>
        <v>294056786.36532098</v>
      </c>
      <c r="Y684" s="159">
        <f t="shared" si="54"/>
        <v>117550.91199514399</v>
      </c>
    </row>
    <row r="685" spans="2:25" x14ac:dyDescent="0.25">
      <c r="B685" s="159">
        <v>645</v>
      </c>
      <c r="C685" s="164">
        <v>334118368.27527422</v>
      </c>
      <c r="D685" s="159">
        <v>72377.060558538942</v>
      </c>
      <c r="E685" s="164">
        <v>6515269.7455615457</v>
      </c>
      <c r="F685" s="159">
        <v>0</v>
      </c>
      <c r="I685" s="159">
        <v>645</v>
      </c>
      <c r="J685" s="164">
        <v>334118368.27527422</v>
      </c>
      <c r="K685" s="159">
        <v>72377.060558538942</v>
      </c>
      <c r="L685" s="164">
        <v>6515269.7455615457</v>
      </c>
      <c r="M685" s="159">
        <v>0</v>
      </c>
      <c r="Q685" s="139">
        <v>645</v>
      </c>
      <c r="R685" s="164">
        <f t="shared" si="51"/>
        <v>848114298.60752082</v>
      </c>
      <c r="S685" s="164">
        <f t="shared" si="52"/>
        <v>-6515269.7455615457</v>
      </c>
      <c r="T685" s="159" t="str">
        <f t="shared" si="53"/>
        <v>TxPost-vaccination</v>
      </c>
      <c r="W685" s="139">
        <v>645</v>
      </c>
      <c r="X685" s="164">
        <f t="shared" si="54"/>
        <v>327603098.52971268</v>
      </c>
      <c r="Y685" s="159">
        <f t="shared" si="54"/>
        <v>72377.060558538942</v>
      </c>
    </row>
    <row r="686" spans="2:25" x14ac:dyDescent="0.25">
      <c r="B686" s="159">
        <v>646</v>
      </c>
      <c r="C686" s="164">
        <v>355038119.2603088</v>
      </c>
      <c r="D686" s="159">
        <v>103097.54223306471</v>
      </c>
      <c r="E686" s="164">
        <v>8827947.9554168638</v>
      </c>
      <c r="F686" s="159">
        <v>0</v>
      </c>
      <c r="I686" s="159">
        <v>646</v>
      </c>
      <c r="J686" s="164">
        <v>355038119.2603088</v>
      </c>
      <c r="K686" s="159">
        <v>103097.54223306471</v>
      </c>
      <c r="L686" s="164">
        <v>8827947.9554168638</v>
      </c>
      <c r="M686" s="159">
        <v>0</v>
      </c>
      <c r="Q686" s="139">
        <v>646</v>
      </c>
      <c r="R686" s="164">
        <f t="shared" si="51"/>
        <v>1328993829.0208218</v>
      </c>
      <c r="S686" s="164">
        <f t="shared" si="52"/>
        <v>-8827947.9554168638</v>
      </c>
      <c r="T686" s="159" t="str">
        <f t="shared" si="53"/>
        <v>TxPost-vaccination</v>
      </c>
      <c r="W686" s="139">
        <v>646</v>
      </c>
      <c r="X686" s="164">
        <f t="shared" si="54"/>
        <v>346210171.30489194</v>
      </c>
      <c r="Y686" s="159">
        <f t="shared" si="54"/>
        <v>103097.54223306471</v>
      </c>
    </row>
    <row r="687" spans="2:25" x14ac:dyDescent="0.25">
      <c r="B687" s="159">
        <v>647</v>
      </c>
      <c r="C687" s="164">
        <v>326549949.59940213</v>
      </c>
      <c r="D687" s="159">
        <v>85902.686272837949</v>
      </c>
      <c r="E687" s="164">
        <v>8214464.5326832868</v>
      </c>
      <c r="F687" s="159">
        <v>0</v>
      </c>
      <c r="I687" s="159">
        <v>647</v>
      </c>
      <c r="J687" s="164">
        <v>326549949.59940213</v>
      </c>
      <c r="K687" s="159">
        <v>85902.686272837949</v>
      </c>
      <c r="L687" s="164">
        <v>8214464.5326832868</v>
      </c>
      <c r="M687" s="159">
        <v>0</v>
      </c>
      <c r="Q687" s="139">
        <v>647</v>
      </c>
      <c r="R687" s="164">
        <f t="shared" si="51"/>
        <v>1076615101.6062005</v>
      </c>
      <c r="S687" s="164">
        <f t="shared" si="52"/>
        <v>-8214464.5326832868</v>
      </c>
      <c r="T687" s="159" t="str">
        <f t="shared" si="53"/>
        <v>TxPost-vaccination</v>
      </c>
      <c r="W687" s="139">
        <v>647</v>
      </c>
      <c r="X687" s="164">
        <f t="shared" si="54"/>
        <v>318335485.06671882</v>
      </c>
      <c r="Y687" s="159">
        <f t="shared" si="54"/>
        <v>85902.686272837949</v>
      </c>
    </row>
    <row r="688" spans="2:25" x14ac:dyDescent="0.25">
      <c r="B688" s="159">
        <v>648</v>
      </c>
      <c r="C688" s="164">
        <v>306730283.55505615</v>
      </c>
      <c r="D688" s="159">
        <v>119544.93789602317</v>
      </c>
      <c r="E688" s="164">
        <v>9710418.8038538191</v>
      </c>
      <c r="F688" s="159">
        <v>0</v>
      </c>
      <c r="I688" s="159">
        <v>648</v>
      </c>
      <c r="J688" s="164">
        <v>306730283.55505615</v>
      </c>
      <c r="K688" s="159">
        <v>119544.93789602317</v>
      </c>
      <c r="L688" s="164">
        <v>9710418.8038538191</v>
      </c>
      <c r="M688" s="159">
        <v>0</v>
      </c>
      <c r="Q688" s="139">
        <v>648</v>
      </c>
      <c r="R688" s="164">
        <f t="shared" si="51"/>
        <v>1645959279.2774274</v>
      </c>
      <c r="S688" s="164">
        <f t="shared" si="52"/>
        <v>-9710418.8038538191</v>
      </c>
      <c r="T688" s="159" t="str">
        <f t="shared" si="53"/>
        <v>TxPost-vaccination</v>
      </c>
      <c r="W688" s="139">
        <v>648</v>
      </c>
      <c r="X688" s="164">
        <f t="shared" si="54"/>
        <v>297019864.75120234</v>
      </c>
      <c r="Y688" s="159">
        <f t="shared" si="54"/>
        <v>119544.93789602317</v>
      </c>
    </row>
    <row r="689" spans="2:25" x14ac:dyDescent="0.25">
      <c r="B689" s="159">
        <v>649</v>
      </c>
      <c r="C689" s="164">
        <v>320771540.1670469</v>
      </c>
      <c r="D689" s="159">
        <v>74933.521646563575</v>
      </c>
      <c r="E689" s="164">
        <v>7651775.2753673531</v>
      </c>
      <c r="F689" s="159">
        <v>0</v>
      </c>
      <c r="I689" s="159">
        <v>649</v>
      </c>
      <c r="J689" s="164">
        <v>320771540.1670469</v>
      </c>
      <c r="K689" s="159">
        <v>74933.521646563575</v>
      </c>
      <c r="L689" s="164">
        <v>7651775.2753673531</v>
      </c>
      <c r="M689" s="159">
        <v>0</v>
      </c>
      <c r="Q689" s="139">
        <v>649</v>
      </c>
      <c r="R689" s="164">
        <f t="shared" si="51"/>
        <v>903219271.9976083</v>
      </c>
      <c r="S689" s="164">
        <f t="shared" si="52"/>
        <v>-7651775.2753673531</v>
      </c>
      <c r="T689" s="159" t="str">
        <f t="shared" si="53"/>
        <v>TxPost-vaccination</v>
      </c>
      <c r="W689" s="139">
        <v>649</v>
      </c>
      <c r="X689" s="164">
        <f t="shared" si="54"/>
        <v>313119764.89167953</v>
      </c>
      <c r="Y689" s="159">
        <f t="shared" si="54"/>
        <v>74933.521646563575</v>
      </c>
    </row>
    <row r="690" spans="2:25" x14ac:dyDescent="0.25">
      <c r="B690" s="159">
        <v>650</v>
      </c>
      <c r="C690" s="164">
        <v>293556673.99798113</v>
      </c>
      <c r="D690" s="159">
        <v>125758.14604818495</v>
      </c>
      <c r="E690" s="164">
        <v>10057367.478430346</v>
      </c>
      <c r="F690" s="159">
        <v>0</v>
      </c>
      <c r="I690" s="159">
        <v>650</v>
      </c>
      <c r="J690" s="164">
        <v>293556673.99798113</v>
      </c>
      <c r="K690" s="159">
        <v>125758.14604818495</v>
      </c>
      <c r="L690" s="164">
        <v>10057367.478430346</v>
      </c>
      <c r="M690" s="159">
        <v>0</v>
      </c>
      <c r="Q690" s="139">
        <v>650</v>
      </c>
      <c r="R690" s="164">
        <f t="shared" si="51"/>
        <v>1760621642.1348262</v>
      </c>
      <c r="S690" s="164">
        <f t="shared" si="52"/>
        <v>-10057367.478430346</v>
      </c>
      <c r="T690" s="159" t="str">
        <f t="shared" si="53"/>
        <v>TxPost-vaccination</v>
      </c>
      <c r="W690" s="139">
        <v>650</v>
      </c>
      <c r="X690" s="164">
        <f t="shared" si="54"/>
        <v>283499306.5195508</v>
      </c>
      <c r="Y690" s="159">
        <f t="shared" si="54"/>
        <v>125758.14604818495</v>
      </c>
    </row>
    <row r="691" spans="2:25" x14ac:dyDescent="0.25">
      <c r="B691" s="159">
        <v>651</v>
      </c>
      <c r="C691" s="164">
        <v>339142261.07880843</v>
      </c>
      <c r="D691" s="159">
        <v>129562.75131786574</v>
      </c>
      <c r="E691" s="164">
        <v>10514547.065334342</v>
      </c>
      <c r="F691" s="159">
        <v>0</v>
      </c>
      <c r="I691" s="159">
        <v>651</v>
      </c>
      <c r="J691" s="164">
        <v>339142261.07880843</v>
      </c>
      <c r="K691" s="159">
        <v>129562.75131786574</v>
      </c>
      <c r="L691" s="164">
        <v>10514547.065334342</v>
      </c>
      <c r="M691" s="159">
        <v>0</v>
      </c>
      <c r="Q691" s="139">
        <v>651</v>
      </c>
      <c r="R691" s="164">
        <f t="shared" si="51"/>
        <v>1777181831.6260262</v>
      </c>
      <c r="S691" s="164">
        <f t="shared" si="52"/>
        <v>-10514547.065334342</v>
      </c>
      <c r="T691" s="159" t="str">
        <f t="shared" si="53"/>
        <v>TxPost-vaccination</v>
      </c>
      <c r="W691" s="139">
        <v>651</v>
      </c>
      <c r="X691" s="164">
        <f t="shared" si="54"/>
        <v>328627714.01347411</v>
      </c>
      <c r="Y691" s="159">
        <f t="shared" si="54"/>
        <v>129562.75131786574</v>
      </c>
    </row>
    <row r="692" spans="2:25" x14ac:dyDescent="0.25">
      <c r="B692" s="159">
        <v>652</v>
      </c>
      <c r="C692" s="164">
        <v>298419939.4991045</v>
      </c>
      <c r="D692" s="159">
        <v>52934.181136113926</v>
      </c>
      <c r="E692" s="164">
        <v>8687906.7058569733</v>
      </c>
      <c r="F692" s="159">
        <v>0</v>
      </c>
      <c r="I692" s="159">
        <v>652</v>
      </c>
      <c r="J692" s="164">
        <v>298419939.4991045</v>
      </c>
      <c r="K692" s="159">
        <v>52934.181136113926</v>
      </c>
      <c r="L692" s="164">
        <v>8687906.7058569733</v>
      </c>
      <c r="M692" s="159">
        <v>0</v>
      </c>
      <c r="Q692" s="139">
        <v>652</v>
      </c>
      <c r="R692" s="164">
        <f t="shared" si="51"/>
        <v>566225814.98258615</v>
      </c>
      <c r="S692" s="164">
        <f t="shared" si="52"/>
        <v>-8687906.7058569733</v>
      </c>
      <c r="T692" s="159" t="str">
        <f t="shared" si="53"/>
        <v>TxPost-vaccination</v>
      </c>
      <c r="W692" s="139">
        <v>652</v>
      </c>
      <c r="X692" s="164">
        <f t="shared" si="54"/>
        <v>289732032.79324752</v>
      </c>
      <c r="Y692" s="159">
        <f t="shared" si="54"/>
        <v>52934.181136113926</v>
      </c>
    </row>
    <row r="693" spans="2:25" x14ac:dyDescent="0.25">
      <c r="B693" s="159">
        <v>653</v>
      </c>
      <c r="C693" s="164">
        <v>279253654.80377877</v>
      </c>
      <c r="D693" s="159">
        <v>120516.0145383434</v>
      </c>
      <c r="E693" s="164">
        <v>9496548.6163733006</v>
      </c>
      <c r="F693" s="159">
        <v>0</v>
      </c>
      <c r="I693" s="159">
        <v>653</v>
      </c>
      <c r="J693" s="164">
        <v>279253654.80377877</v>
      </c>
      <c r="K693" s="159">
        <v>120516.0145383434</v>
      </c>
      <c r="L693" s="164">
        <v>9496548.6163733006</v>
      </c>
      <c r="M693" s="159">
        <v>0</v>
      </c>
      <c r="Q693" s="139">
        <v>653</v>
      </c>
      <c r="R693" s="164">
        <f t="shared" si="51"/>
        <v>1689297819.5202513</v>
      </c>
      <c r="S693" s="164">
        <f t="shared" si="52"/>
        <v>-9496548.6163733006</v>
      </c>
      <c r="T693" s="159" t="str">
        <f t="shared" si="53"/>
        <v>TxPost-vaccination</v>
      </c>
      <c r="W693" s="139">
        <v>653</v>
      </c>
      <c r="X693" s="164">
        <f t="shared" si="54"/>
        <v>269757106.18740547</v>
      </c>
      <c r="Y693" s="159">
        <f t="shared" si="54"/>
        <v>120516.0145383434</v>
      </c>
    </row>
    <row r="694" spans="2:25" x14ac:dyDescent="0.25">
      <c r="B694" s="159">
        <v>654</v>
      </c>
      <c r="C694" s="164">
        <v>292209402.91405684</v>
      </c>
      <c r="D694" s="159">
        <v>58653.412606584185</v>
      </c>
      <c r="E694" s="164">
        <v>7430023.7331800377</v>
      </c>
      <c r="F694" s="159">
        <v>0</v>
      </c>
      <c r="I694" s="159">
        <v>654</v>
      </c>
      <c r="J694" s="164">
        <v>292209402.91405684</v>
      </c>
      <c r="K694" s="159">
        <v>58653.412606584185</v>
      </c>
      <c r="L694" s="164">
        <v>7430023.7331800377</v>
      </c>
      <c r="M694" s="159">
        <v>0</v>
      </c>
      <c r="Q694" s="139">
        <v>654</v>
      </c>
      <c r="R694" s="164">
        <f t="shared" si="51"/>
        <v>665856313.9379673</v>
      </c>
      <c r="S694" s="164">
        <f t="shared" si="52"/>
        <v>-7430023.7331800377</v>
      </c>
      <c r="T694" s="159" t="str">
        <f t="shared" si="53"/>
        <v>TxPost-vaccination</v>
      </c>
      <c r="W694" s="139">
        <v>654</v>
      </c>
      <c r="X694" s="164">
        <f t="shared" si="54"/>
        <v>284779379.18087679</v>
      </c>
      <c r="Y694" s="159">
        <f t="shared" si="54"/>
        <v>58653.412606584185</v>
      </c>
    </row>
    <row r="695" spans="2:25" x14ac:dyDescent="0.25">
      <c r="B695" s="159">
        <v>655</v>
      </c>
      <c r="C695" s="164">
        <v>311999076.51903987</v>
      </c>
      <c r="D695" s="159">
        <v>54716.55934941164</v>
      </c>
      <c r="E695" s="164">
        <v>5065303.0108015388</v>
      </c>
      <c r="F695" s="159">
        <v>0</v>
      </c>
      <c r="I695" s="159">
        <v>655</v>
      </c>
      <c r="J695" s="164">
        <v>311999076.51903987</v>
      </c>
      <c r="K695" s="159">
        <v>54716.55934941164</v>
      </c>
      <c r="L695" s="164">
        <v>5065303.0108015388</v>
      </c>
      <c r="M695" s="159">
        <v>0</v>
      </c>
      <c r="Q695" s="139">
        <v>655</v>
      </c>
      <c r="R695" s="164">
        <f t="shared" si="51"/>
        <v>581760678.06488538</v>
      </c>
      <c r="S695" s="164">
        <f t="shared" si="52"/>
        <v>-5065303.0108015388</v>
      </c>
      <c r="T695" s="159" t="str">
        <f t="shared" si="53"/>
        <v>TxPost-vaccination</v>
      </c>
      <c r="W695" s="139">
        <v>655</v>
      </c>
      <c r="X695" s="164">
        <f t="shared" si="54"/>
        <v>306933773.50823832</v>
      </c>
      <c r="Y695" s="159">
        <f t="shared" si="54"/>
        <v>54716.55934941164</v>
      </c>
    </row>
    <row r="696" spans="2:25" x14ac:dyDescent="0.25">
      <c r="B696" s="159">
        <v>656</v>
      </c>
      <c r="C696" s="164">
        <v>313064064.31248349</v>
      </c>
      <c r="D696" s="159">
        <v>77188.058299893266</v>
      </c>
      <c r="E696" s="164">
        <v>7349468.6207698258</v>
      </c>
      <c r="F696" s="159">
        <v>0</v>
      </c>
      <c r="I696" s="159">
        <v>656</v>
      </c>
      <c r="J696" s="164">
        <v>313064064.31248349</v>
      </c>
      <c r="K696" s="159">
        <v>77188.058299893266</v>
      </c>
      <c r="L696" s="164">
        <v>7349468.6207698258</v>
      </c>
      <c r="M696" s="159">
        <v>0</v>
      </c>
      <c r="Q696" s="139">
        <v>656</v>
      </c>
      <c r="R696" s="164">
        <f t="shared" si="51"/>
        <v>947753151.95979905</v>
      </c>
      <c r="S696" s="164">
        <f t="shared" si="52"/>
        <v>-7349468.6207698258</v>
      </c>
      <c r="T696" s="159" t="str">
        <f t="shared" si="53"/>
        <v>TxPost-vaccination</v>
      </c>
      <c r="W696" s="139">
        <v>656</v>
      </c>
      <c r="X696" s="164">
        <f t="shared" si="54"/>
        <v>305714595.69171369</v>
      </c>
      <c r="Y696" s="159">
        <f t="shared" si="54"/>
        <v>77188.058299893266</v>
      </c>
    </row>
    <row r="697" spans="2:25" x14ac:dyDescent="0.25">
      <c r="B697" s="159">
        <v>657</v>
      </c>
      <c r="C697" s="164">
        <v>314609825.76970959</v>
      </c>
      <c r="D697" s="159">
        <v>110080.71093911782</v>
      </c>
      <c r="E697" s="164">
        <v>9338367.3634688761</v>
      </c>
      <c r="F697" s="159">
        <v>0</v>
      </c>
      <c r="I697" s="159">
        <v>657</v>
      </c>
      <c r="J697" s="164">
        <v>314609825.76970959</v>
      </c>
      <c r="K697" s="159">
        <v>110080.71093911782</v>
      </c>
      <c r="L697" s="164">
        <v>9338367.3634688761</v>
      </c>
      <c r="M697" s="159">
        <v>0</v>
      </c>
      <c r="Q697" s="139">
        <v>657</v>
      </c>
      <c r="R697" s="164">
        <f t="shared" si="51"/>
        <v>1483487685.5356662</v>
      </c>
      <c r="S697" s="164">
        <f t="shared" si="52"/>
        <v>-9338367.3634688761</v>
      </c>
      <c r="T697" s="159" t="str">
        <f t="shared" si="53"/>
        <v>TxPost-vaccination</v>
      </c>
      <c r="W697" s="139">
        <v>657</v>
      </c>
      <c r="X697" s="164">
        <f t="shared" si="54"/>
        <v>305271458.4062407</v>
      </c>
      <c r="Y697" s="159">
        <f t="shared" si="54"/>
        <v>110080.71093911782</v>
      </c>
    </row>
    <row r="698" spans="2:25" x14ac:dyDescent="0.25">
      <c r="B698" s="159">
        <v>658</v>
      </c>
      <c r="C698" s="164">
        <v>318028368.07737839</v>
      </c>
      <c r="D698" s="159">
        <v>78425.089673553171</v>
      </c>
      <c r="E698" s="164">
        <v>7362967.5275437143</v>
      </c>
      <c r="F698" s="159">
        <v>0</v>
      </c>
      <c r="I698" s="159">
        <v>658</v>
      </c>
      <c r="J698" s="164">
        <v>318028368.07737839</v>
      </c>
      <c r="K698" s="159">
        <v>78425.089673553171</v>
      </c>
      <c r="L698" s="164">
        <v>7362967.5275437143</v>
      </c>
      <c r="M698" s="159">
        <v>0</v>
      </c>
      <c r="Q698" s="139">
        <v>658</v>
      </c>
      <c r="R698" s="164">
        <f t="shared" si="51"/>
        <v>962994958.92410123</v>
      </c>
      <c r="S698" s="164">
        <f t="shared" si="52"/>
        <v>-7362967.5275437143</v>
      </c>
      <c r="T698" s="159" t="str">
        <f t="shared" si="53"/>
        <v>TxPost-vaccination</v>
      </c>
      <c r="W698" s="139">
        <v>658</v>
      </c>
      <c r="X698" s="164">
        <f t="shared" si="54"/>
        <v>310665400.54983467</v>
      </c>
      <c r="Y698" s="159">
        <f t="shared" si="54"/>
        <v>78425.089673553171</v>
      </c>
    </row>
    <row r="699" spans="2:25" x14ac:dyDescent="0.25">
      <c r="B699" s="159">
        <v>659</v>
      </c>
      <c r="C699" s="164">
        <v>314093065.45209509</v>
      </c>
      <c r="D699" s="159">
        <v>78784.440570728926</v>
      </c>
      <c r="E699" s="164">
        <v>7371151.1422045296</v>
      </c>
      <c r="F699" s="159">
        <v>0</v>
      </c>
      <c r="I699" s="159">
        <v>659</v>
      </c>
      <c r="J699" s="164">
        <v>314093065.45209509</v>
      </c>
      <c r="K699" s="159">
        <v>78784.440570728926</v>
      </c>
      <c r="L699" s="164">
        <v>7371151.1422045296</v>
      </c>
      <c r="M699" s="159">
        <v>0</v>
      </c>
      <c r="Q699" s="139">
        <v>659</v>
      </c>
      <c r="R699" s="164">
        <f t="shared" si="51"/>
        <v>972800027.0004313</v>
      </c>
      <c r="S699" s="164">
        <f t="shared" si="52"/>
        <v>-7371151.1422045296</v>
      </c>
      <c r="T699" s="159" t="str">
        <f t="shared" si="53"/>
        <v>TxPost-vaccination</v>
      </c>
      <c r="W699" s="139">
        <v>659</v>
      </c>
      <c r="X699" s="164">
        <f t="shared" si="54"/>
        <v>306721914.30989057</v>
      </c>
      <c r="Y699" s="159">
        <f t="shared" si="54"/>
        <v>78784.440570728926</v>
      </c>
    </row>
    <row r="700" spans="2:25" x14ac:dyDescent="0.25">
      <c r="B700" s="159">
        <v>660</v>
      </c>
      <c r="C700" s="164">
        <v>307368971.60677183</v>
      </c>
      <c r="D700" s="159">
        <v>130194.15815060076</v>
      </c>
      <c r="E700" s="164">
        <v>10475938.613355435</v>
      </c>
      <c r="F700" s="159">
        <v>0</v>
      </c>
      <c r="I700" s="159">
        <v>660</v>
      </c>
      <c r="J700" s="164">
        <v>307368971.60677183</v>
      </c>
      <c r="K700" s="159">
        <v>130194.15815060076</v>
      </c>
      <c r="L700" s="164">
        <v>10475938.613355435</v>
      </c>
      <c r="M700" s="159">
        <v>0</v>
      </c>
      <c r="Q700" s="139">
        <v>660</v>
      </c>
      <c r="R700" s="164">
        <f t="shared" si="51"/>
        <v>1819268745.0279627</v>
      </c>
      <c r="S700" s="164">
        <f t="shared" si="52"/>
        <v>-10475938.613355435</v>
      </c>
      <c r="T700" s="159" t="str">
        <f t="shared" si="53"/>
        <v>TxPost-vaccination</v>
      </c>
      <c r="W700" s="139">
        <v>660</v>
      </c>
      <c r="X700" s="164">
        <f t="shared" si="54"/>
        <v>296893032.99341637</v>
      </c>
      <c r="Y700" s="159">
        <f t="shared" si="54"/>
        <v>130194.15815060076</v>
      </c>
    </row>
    <row r="701" spans="2:25" x14ac:dyDescent="0.25">
      <c r="B701" s="159">
        <v>661</v>
      </c>
      <c r="C701" s="164">
        <v>311981731.52963799</v>
      </c>
      <c r="D701" s="159">
        <v>90494.122487696703</v>
      </c>
      <c r="E701" s="164">
        <v>8406456.1206629053</v>
      </c>
      <c r="F701" s="159">
        <v>0</v>
      </c>
      <c r="I701" s="159">
        <v>661</v>
      </c>
      <c r="J701" s="164">
        <v>311981731.52963799</v>
      </c>
      <c r="K701" s="159">
        <v>90494.122487696703</v>
      </c>
      <c r="L701" s="164">
        <v>8406456.1206629053</v>
      </c>
      <c r="M701" s="159">
        <v>0</v>
      </c>
      <c r="Q701" s="139">
        <v>661</v>
      </c>
      <c r="R701" s="164">
        <f t="shared" si="51"/>
        <v>1166181472.9475305</v>
      </c>
      <c r="S701" s="164">
        <f t="shared" si="52"/>
        <v>-8406456.1206629053</v>
      </c>
      <c r="T701" s="159" t="str">
        <f t="shared" si="53"/>
        <v>TxPost-vaccination</v>
      </c>
      <c r="W701" s="139">
        <v>661</v>
      </c>
      <c r="X701" s="164">
        <f t="shared" si="54"/>
        <v>303575275.40897506</v>
      </c>
      <c r="Y701" s="159">
        <f t="shared" si="54"/>
        <v>90494.122487696703</v>
      </c>
    </row>
    <row r="702" spans="2:25" x14ac:dyDescent="0.25">
      <c r="B702" s="159">
        <v>662</v>
      </c>
      <c r="C702" s="164">
        <v>288787793.36857247</v>
      </c>
      <c r="D702" s="159">
        <v>112009.30403111404</v>
      </c>
      <c r="E702" s="164">
        <v>8698546.997244915</v>
      </c>
      <c r="F702" s="159">
        <v>0</v>
      </c>
      <c r="I702" s="159">
        <v>662</v>
      </c>
      <c r="J702" s="164">
        <v>288787793.36857247</v>
      </c>
      <c r="K702" s="159">
        <v>112009.30403111404</v>
      </c>
      <c r="L702" s="164">
        <v>8698546.997244915</v>
      </c>
      <c r="M702" s="159">
        <v>0</v>
      </c>
      <c r="Q702" s="139">
        <v>662</v>
      </c>
      <c r="R702" s="164">
        <f t="shared" si="51"/>
        <v>1540812043.9070368</v>
      </c>
      <c r="S702" s="164">
        <f t="shared" si="52"/>
        <v>-8698546.997244915</v>
      </c>
      <c r="T702" s="159" t="str">
        <f t="shared" si="53"/>
        <v>TxPost-vaccination</v>
      </c>
      <c r="W702" s="139">
        <v>662</v>
      </c>
      <c r="X702" s="164">
        <f t="shared" si="54"/>
        <v>280089246.37132758</v>
      </c>
      <c r="Y702" s="159">
        <f t="shared" si="54"/>
        <v>112009.30403111404</v>
      </c>
    </row>
    <row r="703" spans="2:25" x14ac:dyDescent="0.25">
      <c r="B703" s="159">
        <v>663</v>
      </c>
      <c r="C703" s="164">
        <v>326938149.53426301</v>
      </c>
      <c r="D703" s="159">
        <v>77982.417237674992</v>
      </c>
      <c r="E703" s="164">
        <v>7597530.28406223</v>
      </c>
      <c r="F703" s="159">
        <v>0</v>
      </c>
      <c r="I703" s="159">
        <v>663</v>
      </c>
      <c r="J703" s="164">
        <v>326938149.53426301</v>
      </c>
      <c r="K703" s="159">
        <v>77982.417237674992</v>
      </c>
      <c r="L703" s="164">
        <v>7597530.28406223</v>
      </c>
      <c r="M703" s="159">
        <v>0</v>
      </c>
      <c r="Q703" s="139">
        <v>663</v>
      </c>
      <c r="R703" s="164">
        <f t="shared" si="51"/>
        <v>946854408.34803593</v>
      </c>
      <c r="S703" s="164">
        <f t="shared" si="52"/>
        <v>-7597530.28406223</v>
      </c>
      <c r="T703" s="159" t="str">
        <f t="shared" si="53"/>
        <v>TxPost-vaccination</v>
      </c>
      <c r="W703" s="139">
        <v>663</v>
      </c>
      <c r="X703" s="164">
        <f t="shared" si="54"/>
        <v>319340619.25020081</v>
      </c>
      <c r="Y703" s="159">
        <f t="shared" si="54"/>
        <v>77982.417237674992</v>
      </c>
    </row>
    <row r="704" spans="2:25" x14ac:dyDescent="0.25">
      <c r="B704" s="159">
        <v>664</v>
      </c>
      <c r="C704" s="164">
        <v>309123393.71692234</v>
      </c>
      <c r="D704" s="159">
        <v>82977.829002599508</v>
      </c>
      <c r="E704" s="164">
        <v>7238662.2897339165</v>
      </c>
      <c r="F704" s="159">
        <v>0</v>
      </c>
      <c r="I704" s="159">
        <v>664</v>
      </c>
      <c r="J704" s="164">
        <v>309123393.71692234</v>
      </c>
      <c r="K704" s="159">
        <v>82977.829002599508</v>
      </c>
      <c r="L704" s="164">
        <v>7238662.2897339165</v>
      </c>
      <c r="M704" s="159">
        <v>0</v>
      </c>
      <c r="Q704" s="139">
        <v>664</v>
      </c>
      <c r="R704" s="164">
        <f t="shared" si="51"/>
        <v>1046265997.8506546</v>
      </c>
      <c r="S704" s="164">
        <f t="shared" si="52"/>
        <v>-7238662.2897339165</v>
      </c>
      <c r="T704" s="159" t="str">
        <f t="shared" si="53"/>
        <v>TxPost-vaccination</v>
      </c>
      <c r="W704" s="139">
        <v>664</v>
      </c>
      <c r="X704" s="164">
        <f t="shared" si="54"/>
        <v>301884731.4271884</v>
      </c>
      <c r="Y704" s="159">
        <f t="shared" si="54"/>
        <v>82977.829002599508</v>
      </c>
    </row>
    <row r="705" spans="2:25" x14ac:dyDescent="0.25">
      <c r="B705" s="159">
        <v>665</v>
      </c>
      <c r="C705" s="164">
        <v>303538545.98240435</v>
      </c>
      <c r="D705" s="159">
        <v>102336.06918886752</v>
      </c>
      <c r="E705" s="164">
        <v>9276480.7307438999</v>
      </c>
      <c r="F705" s="159">
        <v>0</v>
      </c>
      <c r="I705" s="159">
        <v>665</v>
      </c>
      <c r="J705" s="164">
        <v>303538545.98240435</v>
      </c>
      <c r="K705" s="159">
        <v>102336.06918886752</v>
      </c>
      <c r="L705" s="164">
        <v>9276480.7307438999</v>
      </c>
      <c r="M705" s="159">
        <v>0</v>
      </c>
      <c r="Q705" s="139">
        <v>665</v>
      </c>
      <c r="R705" s="164">
        <f t="shared" si="51"/>
        <v>1368055230.578938</v>
      </c>
      <c r="S705" s="164">
        <f t="shared" si="52"/>
        <v>-9276480.7307438999</v>
      </c>
      <c r="T705" s="159" t="str">
        <f t="shared" si="53"/>
        <v>TxPost-vaccination</v>
      </c>
      <c r="W705" s="139">
        <v>665</v>
      </c>
      <c r="X705" s="164">
        <f t="shared" si="54"/>
        <v>294262065.25166047</v>
      </c>
      <c r="Y705" s="159">
        <f t="shared" si="54"/>
        <v>102336.06918886752</v>
      </c>
    </row>
    <row r="706" spans="2:25" x14ac:dyDescent="0.25">
      <c r="B706" s="159">
        <v>666</v>
      </c>
      <c r="C706" s="164">
        <v>312953971.97114128</v>
      </c>
      <c r="D706" s="159">
        <v>60676.818569051851</v>
      </c>
      <c r="E706" s="164">
        <v>5514173.7890672525</v>
      </c>
      <c r="F706" s="159">
        <v>0</v>
      </c>
      <c r="I706" s="159">
        <v>666</v>
      </c>
      <c r="J706" s="164">
        <v>312953971.97114128</v>
      </c>
      <c r="K706" s="159">
        <v>60676.818569051851</v>
      </c>
      <c r="L706" s="164">
        <v>5514173.7890672525</v>
      </c>
      <c r="M706" s="159">
        <v>0</v>
      </c>
      <c r="Q706" s="139">
        <v>666</v>
      </c>
      <c r="R706" s="164">
        <f t="shared" si="51"/>
        <v>678162778.02224588</v>
      </c>
      <c r="S706" s="164">
        <f t="shared" si="52"/>
        <v>-5514173.7890672525</v>
      </c>
      <c r="T706" s="159" t="str">
        <f t="shared" si="53"/>
        <v>TxPost-vaccination</v>
      </c>
      <c r="W706" s="139">
        <v>666</v>
      </c>
      <c r="X706" s="164">
        <f t="shared" si="54"/>
        <v>307439798.18207401</v>
      </c>
      <c r="Y706" s="159">
        <f t="shared" si="54"/>
        <v>60676.818569051851</v>
      </c>
    </row>
    <row r="707" spans="2:25" x14ac:dyDescent="0.25">
      <c r="B707" s="159">
        <v>667</v>
      </c>
      <c r="C707" s="164">
        <v>336694502.29546642</v>
      </c>
      <c r="D707" s="159">
        <v>131901.87421997738</v>
      </c>
      <c r="E707" s="164">
        <v>9943476.2880021967</v>
      </c>
      <c r="F707" s="159">
        <v>0</v>
      </c>
      <c r="I707" s="159">
        <v>667</v>
      </c>
      <c r="J707" s="164">
        <v>336694502.29546642</v>
      </c>
      <c r="K707" s="159">
        <v>131901.87421997738</v>
      </c>
      <c r="L707" s="164">
        <v>9943476.2880021967</v>
      </c>
      <c r="M707" s="159">
        <v>0</v>
      </c>
      <c r="Q707" s="139">
        <v>667</v>
      </c>
      <c r="R707" s="164">
        <f t="shared" si="51"/>
        <v>1817837656.4096918</v>
      </c>
      <c r="S707" s="164">
        <f t="shared" si="52"/>
        <v>-9943476.2880021967</v>
      </c>
      <c r="T707" s="159" t="str">
        <f t="shared" si="53"/>
        <v>TxPost-vaccination</v>
      </c>
      <c r="W707" s="139">
        <v>667</v>
      </c>
      <c r="X707" s="164">
        <f t="shared" si="54"/>
        <v>326751026.00746423</v>
      </c>
      <c r="Y707" s="159">
        <f t="shared" si="54"/>
        <v>131901.87421997738</v>
      </c>
    </row>
    <row r="708" spans="2:25" x14ac:dyDescent="0.25">
      <c r="B708" s="159">
        <v>668</v>
      </c>
      <c r="C708" s="164">
        <v>300393838.03395212</v>
      </c>
      <c r="D708" s="159">
        <v>63885.640669045657</v>
      </c>
      <c r="E708" s="164">
        <v>5322883.7438538112</v>
      </c>
      <c r="F708" s="159">
        <v>0</v>
      </c>
      <c r="I708" s="159">
        <v>668</v>
      </c>
      <c r="J708" s="164">
        <v>300393838.03395212</v>
      </c>
      <c r="K708" s="159">
        <v>63885.640669045657</v>
      </c>
      <c r="L708" s="164">
        <v>5322883.7438538112</v>
      </c>
      <c r="M708" s="159">
        <v>0</v>
      </c>
      <c r="Q708" s="139">
        <v>668</v>
      </c>
      <c r="R708" s="164">
        <f t="shared" si="51"/>
        <v>743136954.19260728</v>
      </c>
      <c r="S708" s="164">
        <f t="shared" si="52"/>
        <v>-5322883.7438538112</v>
      </c>
      <c r="T708" s="159" t="str">
        <f t="shared" si="53"/>
        <v>TxPost-vaccination</v>
      </c>
      <c r="W708" s="139">
        <v>668</v>
      </c>
      <c r="X708" s="164">
        <f t="shared" si="54"/>
        <v>295070954.29009831</v>
      </c>
      <c r="Y708" s="159">
        <f t="shared" si="54"/>
        <v>63885.640669045657</v>
      </c>
    </row>
    <row r="709" spans="2:25" x14ac:dyDescent="0.25">
      <c r="B709" s="159">
        <v>669</v>
      </c>
      <c r="C709" s="164">
        <v>304347035.94289088</v>
      </c>
      <c r="D709" s="159">
        <v>107540.68440174873</v>
      </c>
      <c r="E709" s="164">
        <v>9834722.2634615786</v>
      </c>
      <c r="F709" s="159">
        <v>0</v>
      </c>
      <c r="I709" s="159">
        <v>669</v>
      </c>
      <c r="J709" s="164">
        <v>304347035.94289088</v>
      </c>
      <c r="K709" s="159">
        <v>107540.68440174873</v>
      </c>
      <c r="L709" s="164">
        <v>9834722.2634615786</v>
      </c>
      <c r="M709" s="159">
        <v>0</v>
      </c>
      <c r="Q709" s="139">
        <v>669</v>
      </c>
      <c r="R709" s="164">
        <f t="shared" si="51"/>
        <v>1452260777.8802536</v>
      </c>
      <c r="S709" s="164">
        <f t="shared" si="52"/>
        <v>-9834722.2634615786</v>
      </c>
      <c r="T709" s="159" t="str">
        <f t="shared" si="53"/>
        <v>TxPost-vaccination</v>
      </c>
      <c r="W709" s="139">
        <v>669</v>
      </c>
      <c r="X709" s="164">
        <f t="shared" si="54"/>
        <v>294512313.67942929</v>
      </c>
      <c r="Y709" s="159">
        <f t="shared" si="54"/>
        <v>107540.68440174873</v>
      </c>
    </row>
    <row r="710" spans="2:25" x14ac:dyDescent="0.25">
      <c r="B710" s="159">
        <v>670</v>
      </c>
      <c r="C710" s="164">
        <v>321476074.75182247</v>
      </c>
      <c r="D710" s="159">
        <v>92340.628495397279</v>
      </c>
      <c r="E710" s="164">
        <v>7127132.8658894468</v>
      </c>
      <c r="F710" s="159">
        <v>0</v>
      </c>
      <c r="I710" s="159">
        <v>670</v>
      </c>
      <c r="J710" s="164">
        <v>321476074.75182247</v>
      </c>
      <c r="K710" s="159">
        <v>92340.628495397279</v>
      </c>
      <c r="L710" s="164">
        <v>7127132.8658894468</v>
      </c>
      <c r="M710" s="159">
        <v>0</v>
      </c>
      <c r="Q710" s="139">
        <v>670</v>
      </c>
      <c r="R710" s="164">
        <f t="shared" si="51"/>
        <v>1186848616.0450802</v>
      </c>
      <c r="S710" s="164">
        <f t="shared" si="52"/>
        <v>-7127132.8658894468</v>
      </c>
      <c r="T710" s="159" t="str">
        <f t="shared" si="53"/>
        <v>TxPost-vaccination</v>
      </c>
      <c r="W710" s="139">
        <v>670</v>
      </c>
      <c r="X710" s="164">
        <f t="shared" si="54"/>
        <v>314348941.88593304</v>
      </c>
      <c r="Y710" s="159">
        <f t="shared" si="54"/>
        <v>92340.628495397279</v>
      </c>
    </row>
    <row r="711" spans="2:25" x14ac:dyDescent="0.25">
      <c r="B711" s="159">
        <v>671</v>
      </c>
      <c r="C711" s="164">
        <v>325813910.29732984</v>
      </c>
      <c r="D711" s="159">
        <v>163039.99455076916</v>
      </c>
      <c r="E711" s="164">
        <v>12801920.601166258</v>
      </c>
      <c r="F711" s="159">
        <v>0</v>
      </c>
      <c r="I711" s="159">
        <v>671</v>
      </c>
      <c r="J711" s="164">
        <v>325813910.29732984</v>
      </c>
      <c r="K711" s="159">
        <v>163039.99455076916</v>
      </c>
      <c r="L711" s="164">
        <v>12801920.601166258</v>
      </c>
      <c r="M711" s="159">
        <v>0</v>
      </c>
      <c r="Q711" s="139">
        <v>671</v>
      </c>
      <c r="R711" s="164">
        <f t="shared" si="51"/>
        <v>2337339388.2593865</v>
      </c>
      <c r="S711" s="164">
        <f t="shared" si="52"/>
        <v>-12801920.601166258</v>
      </c>
      <c r="T711" s="159" t="str">
        <f t="shared" si="53"/>
        <v>TxPost-vaccination</v>
      </c>
      <c r="W711" s="139">
        <v>671</v>
      </c>
      <c r="X711" s="164">
        <f t="shared" si="54"/>
        <v>313011989.69616359</v>
      </c>
      <c r="Y711" s="159">
        <f t="shared" si="54"/>
        <v>163039.99455076916</v>
      </c>
    </row>
    <row r="712" spans="2:25" x14ac:dyDescent="0.25">
      <c r="B712" s="159">
        <v>672</v>
      </c>
      <c r="C712" s="164">
        <v>317299583.82401896</v>
      </c>
      <c r="D712" s="159">
        <v>141850.18899085879</v>
      </c>
      <c r="E712" s="164">
        <v>10377631.391598152</v>
      </c>
      <c r="F712" s="159">
        <v>0</v>
      </c>
      <c r="I712" s="159">
        <v>672</v>
      </c>
      <c r="J712" s="164">
        <v>317299583.82401896</v>
      </c>
      <c r="K712" s="159">
        <v>141850.18899085879</v>
      </c>
      <c r="L712" s="164">
        <v>10377631.391598152</v>
      </c>
      <c r="M712" s="159">
        <v>0</v>
      </c>
      <c r="Q712" s="139">
        <v>672</v>
      </c>
      <c r="R712" s="164">
        <f t="shared" si="51"/>
        <v>1999731889.0534258</v>
      </c>
      <c r="S712" s="164">
        <f t="shared" si="52"/>
        <v>-10377631.391598152</v>
      </c>
      <c r="T712" s="159" t="str">
        <f t="shared" si="53"/>
        <v>TxPost-vaccination</v>
      </c>
      <c r="W712" s="139">
        <v>672</v>
      </c>
      <c r="X712" s="164">
        <f t="shared" si="54"/>
        <v>306921952.43242079</v>
      </c>
      <c r="Y712" s="159">
        <f t="shared" si="54"/>
        <v>141850.18899085879</v>
      </c>
    </row>
    <row r="713" spans="2:25" x14ac:dyDescent="0.25">
      <c r="B713" s="159">
        <v>673</v>
      </c>
      <c r="C713" s="164">
        <v>331102790.51047266</v>
      </c>
      <c r="D713" s="159">
        <v>99078.235427846303</v>
      </c>
      <c r="E713" s="164">
        <v>9533244.8961196505</v>
      </c>
      <c r="F713" s="159">
        <v>0</v>
      </c>
      <c r="I713" s="159">
        <v>673</v>
      </c>
      <c r="J713" s="164">
        <v>331102790.51047266</v>
      </c>
      <c r="K713" s="159">
        <v>99078.235427846303</v>
      </c>
      <c r="L713" s="164">
        <v>9533244.8961196505</v>
      </c>
      <c r="M713" s="159">
        <v>0</v>
      </c>
      <c r="Q713" s="139">
        <v>673</v>
      </c>
      <c r="R713" s="164">
        <f t="shared" si="51"/>
        <v>1287276369.9027357</v>
      </c>
      <c r="S713" s="164">
        <f t="shared" si="52"/>
        <v>-9533244.8961196505</v>
      </c>
      <c r="T713" s="159" t="str">
        <f t="shared" si="53"/>
        <v>TxPost-vaccination</v>
      </c>
      <c r="W713" s="139">
        <v>673</v>
      </c>
      <c r="X713" s="164">
        <f t="shared" si="54"/>
        <v>321569545.614353</v>
      </c>
      <c r="Y713" s="159">
        <f t="shared" si="54"/>
        <v>99078.235427846303</v>
      </c>
    </row>
    <row r="714" spans="2:25" x14ac:dyDescent="0.25">
      <c r="B714" s="159">
        <v>674</v>
      </c>
      <c r="C714" s="164">
        <v>321290279.82531846</v>
      </c>
      <c r="D714" s="159">
        <v>95761.387717093661</v>
      </c>
      <c r="E714" s="164">
        <v>7905198.3917077463</v>
      </c>
      <c r="F714" s="159">
        <v>0</v>
      </c>
      <c r="I714" s="159">
        <v>674</v>
      </c>
      <c r="J714" s="164">
        <v>321290279.82531846</v>
      </c>
      <c r="K714" s="159">
        <v>95761.387717093661</v>
      </c>
      <c r="L714" s="164">
        <v>7905198.3917077463</v>
      </c>
      <c r="M714" s="159">
        <v>0</v>
      </c>
      <c r="Q714" s="139">
        <v>674</v>
      </c>
      <c r="R714" s="164">
        <f t="shared" si="51"/>
        <v>1242910309.5811872</v>
      </c>
      <c r="S714" s="164">
        <f t="shared" si="52"/>
        <v>-7905198.3917077463</v>
      </c>
      <c r="T714" s="159" t="str">
        <f t="shared" si="53"/>
        <v>TxPost-vaccination</v>
      </c>
      <c r="W714" s="139">
        <v>674</v>
      </c>
      <c r="X714" s="164">
        <f t="shared" si="54"/>
        <v>313385081.43361074</v>
      </c>
      <c r="Y714" s="159">
        <f t="shared" si="54"/>
        <v>95761.387717093661</v>
      </c>
    </row>
    <row r="715" spans="2:25" x14ac:dyDescent="0.25">
      <c r="B715" s="159">
        <v>675</v>
      </c>
      <c r="C715" s="164">
        <v>306591591.02098954</v>
      </c>
      <c r="D715" s="159">
        <v>103549.53271125417</v>
      </c>
      <c r="E715" s="164">
        <v>8494089.5044446569</v>
      </c>
      <c r="F715" s="159">
        <v>0</v>
      </c>
      <c r="I715" s="159">
        <v>675</v>
      </c>
      <c r="J715" s="164">
        <v>306591591.02098954</v>
      </c>
      <c r="K715" s="159">
        <v>103549.53271125417</v>
      </c>
      <c r="L715" s="164">
        <v>8494089.5044446569</v>
      </c>
      <c r="M715" s="159">
        <v>0</v>
      </c>
      <c r="Q715" s="139">
        <v>675</v>
      </c>
      <c r="R715" s="164">
        <f t="shared" si="51"/>
        <v>1384823330.5988188</v>
      </c>
      <c r="S715" s="164">
        <f t="shared" si="52"/>
        <v>-8494089.5044446569</v>
      </c>
      <c r="T715" s="159" t="str">
        <f t="shared" si="53"/>
        <v>TxPost-vaccination</v>
      </c>
      <c r="W715" s="139">
        <v>675</v>
      </c>
      <c r="X715" s="164">
        <f t="shared" si="54"/>
        <v>298097501.51654488</v>
      </c>
      <c r="Y715" s="159">
        <f t="shared" si="54"/>
        <v>103549.53271125417</v>
      </c>
    </row>
    <row r="716" spans="2:25" x14ac:dyDescent="0.25">
      <c r="B716" s="159">
        <v>676</v>
      </c>
      <c r="C716" s="164">
        <v>333476844.46945143</v>
      </c>
      <c r="D716" s="159">
        <v>85558.706628737622</v>
      </c>
      <c r="E716" s="164">
        <v>7562522.7337801848</v>
      </c>
      <c r="F716" s="159">
        <v>0</v>
      </c>
      <c r="I716" s="159">
        <v>676</v>
      </c>
      <c r="J716" s="164">
        <v>333476844.46945143</v>
      </c>
      <c r="K716" s="159">
        <v>85558.706628737622</v>
      </c>
      <c r="L716" s="164">
        <v>7562522.7337801848</v>
      </c>
      <c r="M716" s="159">
        <v>0</v>
      </c>
      <c r="Q716" s="139">
        <v>676</v>
      </c>
      <c r="R716" s="164">
        <f t="shared" si="51"/>
        <v>1064069520.8036213</v>
      </c>
      <c r="S716" s="164">
        <f t="shared" si="52"/>
        <v>-7562522.7337801848</v>
      </c>
      <c r="T716" s="159" t="str">
        <f t="shared" si="53"/>
        <v>TxPost-vaccination</v>
      </c>
      <c r="W716" s="139">
        <v>676</v>
      </c>
      <c r="X716" s="164">
        <f t="shared" si="54"/>
        <v>325914321.73567122</v>
      </c>
      <c r="Y716" s="159">
        <f t="shared" si="54"/>
        <v>85558.706628737622</v>
      </c>
    </row>
    <row r="717" spans="2:25" x14ac:dyDescent="0.25">
      <c r="B717" s="159">
        <v>677</v>
      </c>
      <c r="C717" s="164">
        <v>285996612.33381897</v>
      </c>
      <c r="D717" s="159">
        <v>142747.76161631069</v>
      </c>
      <c r="E717" s="164">
        <v>11075467.820991604</v>
      </c>
      <c r="F717" s="159">
        <v>0</v>
      </c>
      <c r="I717" s="159">
        <v>677</v>
      </c>
      <c r="J717" s="164">
        <v>285996612.33381897</v>
      </c>
      <c r="K717" s="159">
        <v>142747.76161631069</v>
      </c>
      <c r="L717" s="164">
        <v>11075467.820991604</v>
      </c>
      <c r="M717" s="159">
        <v>0</v>
      </c>
      <c r="Q717" s="139">
        <v>677</v>
      </c>
      <c r="R717" s="164">
        <f t="shared" si="51"/>
        <v>2045696131.2628303</v>
      </c>
      <c r="S717" s="164">
        <f t="shared" si="52"/>
        <v>-11075467.820991604</v>
      </c>
      <c r="T717" s="159" t="str">
        <f t="shared" si="53"/>
        <v>TxPost-vaccination</v>
      </c>
      <c r="W717" s="139">
        <v>677</v>
      </c>
      <c r="X717" s="164">
        <f t="shared" si="54"/>
        <v>274921144.5128274</v>
      </c>
      <c r="Y717" s="159">
        <f t="shared" si="54"/>
        <v>142747.76161631069</v>
      </c>
    </row>
    <row r="718" spans="2:25" x14ac:dyDescent="0.25">
      <c r="B718" s="159">
        <v>678</v>
      </c>
      <c r="C718" s="164">
        <v>293028351.78130054</v>
      </c>
      <c r="D718" s="159">
        <v>135775.70702143584</v>
      </c>
      <c r="E718" s="164">
        <v>10618338.491344078</v>
      </c>
      <c r="F718" s="159">
        <v>0</v>
      </c>
      <c r="I718" s="159">
        <v>678</v>
      </c>
      <c r="J718" s="164">
        <v>293028351.78130054</v>
      </c>
      <c r="K718" s="159">
        <v>135775.70702143584</v>
      </c>
      <c r="L718" s="164">
        <v>10618338.491344078</v>
      </c>
      <c r="M718" s="159">
        <v>0</v>
      </c>
      <c r="Q718" s="139">
        <v>678</v>
      </c>
      <c r="R718" s="164">
        <f t="shared" si="51"/>
        <v>1924780370.6387124</v>
      </c>
      <c r="S718" s="164">
        <f t="shared" si="52"/>
        <v>-10618338.491344078</v>
      </c>
      <c r="T718" s="159" t="str">
        <f t="shared" si="53"/>
        <v>TxPost-vaccination</v>
      </c>
      <c r="W718" s="139">
        <v>678</v>
      </c>
      <c r="X718" s="164">
        <f t="shared" si="54"/>
        <v>282410013.28995645</v>
      </c>
      <c r="Y718" s="159">
        <f t="shared" si="54"/>
        <v>135775.70702143584</v>
      </c>
    </row>
    <row r="719" spans="2:25" x14ac:dyDescent="0.25">
      <c r="B719" s="159">
        <v>679</v>
      </c>
      <c r="C719" s="164">
        <v>341491027.53618741</v>
      </c>
      <c r="D719" s="159">
        <v>129149.51785637651</v>
      </c>
      <c r="E719" s="164">
        <v>10365380.502010506</v>
      </c>
      <c r="F719" s="159">
        <v>0</v>
      </c>
      <c r="I719" s="159">
        <v>679</v>
      </c>
      <c r="J719" s="164">
        <v>341491027.53618741</v>
      </c>
      <c r="K719" s="159">
        <v>129149.51785637651</v>
      </c>
      <c r="L719" s="164">
        <v>10365380.502010506</v>
      </c>
      <c r="M719" s="159">
        <v>0</v>
      </c>
      <c r="Q719" s="139">
        <v>679</v>
      </c>
      <c r="R719" s="164">
        <f t="shared" si="51"/>
        <v>1768083162.734761</v>
      </c>
      <c r="S719" s="164">
        <f t="shared" si="52"/>
        <v>-10365380.502010506</v>
      </c>
      <c r="T719" s="159" t="str">
        <f t="shared" si="53"/>
        <v>TxPost-vaccination</v>
      </c>
      <c r="W719" s="139">
        <v>679</v>
      </c>
      <c r="X719" s="164">
        <f t="shared" si="54"/>
        <v>331125647.03417689</v>
      </c>
      <c r="Y719" s="159">
        <f t="shared" si="54"/>
        <v>129149.51785637651</v>
      </c>
    </row>
    <row r="720" spans="2:25" x14ac:dyDescent="0.25">
      <c r="B720" s="159">
        <v>680</v>
      </c>
      <c r="C720" s="164">
        <v>319576480.7327978</v>
      </c>
      <c r="D720" s="159">
        <v>89761.507967627345</v>
      </c>
      <c r="E720" s="164">
        <v>7637196.649242512</v>
      </c>
      <c r="F720" s="159">
        <v>0</v>
      </c>
      <c r="I720" s="159">
        <v>680</v>
      </c>
      <c r="J720" s="164">
        <v>319576480.7327978</v>
      </c>
      <c r="K720" s="159">
        <v>89761.507967627345</v>
      </c>
      <c r="L720" s="164">
        <v>7637196.649242512</v>
      </c>
      <c r="M720" s="159">
        <v>0</v>
      </c>
      <c r="Q720" s="139">
        <v>680</v>
      </c>
      <c r="R720" s="164">
        <f t="shared" si="51"/>
        <v>1146619937.4287238</v>
      </c>
      <c r="S720" s="164">
        <f t="shared" si="52"/>
        <v>-7637196.649242512</v>
      </c>
      <c r="T720" s="159" t="str">
        <f t="shared" si="53"/>
        <v>TxPost-vaccination</v>
      </c>
      <c r="W720" s="139">
        <v>680</v>
      </c>
      <c r="X720" s="164">
        <f t="shared" si="54"/>
        <v>311939284.08355528</v>
      </c>
      <c r="Y720" s="159">
        <f t="shared" si="54"/>
        <v>89761.507967627345</v>
      </c>
    </row>
    <row r="721" spans="2:25" x14ac:dyDescent="0.25">
      <c r="B721" s="159">
        <v>681</v>
      </c>
      <c r="C721" s="164">
        <v>311219745.46165639</v>
      </c>
      <c r="D721" s="159">
        <v>95434.586869567793</v>
      </c>
      <c r="E721" s="164">
        <v>7683389.5489262976</v>
      </c>
      <c r="F721" s="159">
        <v>0</v>
      </c>
      <c r="I721" s="159">
        <v>681</v>
      </c>
      <c r="J721" s="164">
        <v>311219745.46165639</v>
      </c>
      <c r="K721" s="159">
        <v>95434.586869567793</v>
      </c>
      <c r="L721" s="164">
        <v>7683389.5489262976</v>
      </c>
      <c r="M721" s="159">
        <v>0</v>
      </c>
      <c r="Q721" s="139">
        <v>681</v>
      </c>
      <c r="R721" s="164">
        <f t="shared" si="51"/>
        <v>1247642762.5896723</v>
      </c>
      <c r="S721" s="164">
        <f t="shared" si="52"/>
        <v>-7683389.5489262976</v>
      </c>
      <c r="T721" s="159" t="str">
        <f t="shared" si="53"/>
        <v>TxPost-vaccination</v>
      </c>
      <c r="W721" s="139">
        <v>681</v>
      </c>
      <c r="X721" s="164">
        <f t="shared" si="54"/>
        <v>303536355.9127301</v>
      </c>
      <c r="Y721" s="159">
        <f t="shared" si="54"/>
        <v>95434.586869567793</v>
      </c>
    </row>
    <row r="722" spans="2:25" x14ac:dyDescent="0.25">
      <c r="B722" s="159">
        <v>682</v>
      </c>
      <c r="C722" s="164">
        <v>300994213.27617627</v>
      </c>
      <c r="D722" s="159">
        <v>119761.61015372895</v>
      </c>
      <c r="E722" s="164">
        <v>9188857.4761208463</v>
      </c>
      <c r="F722" s="159">
        <v>0</v>
      </c>
      <c r="I722" s="159">
        <v>682</v>
      </c>
      <c r="J722" s="164">
        <v>300994213.27617627</v>
      </c>
      <c r="K722" s="159">
        <v>119761.61015372895</v>
      </c>
      <c r="L722" s="164">
        <v>9188857.4761208463</v>
      </c>
      <c r="M722" s="159">
        <v>0</v>
      </c>
      <c r="Q722" s="139">
        <v>682</v>
      </c>
      <c r="R722" s="164">
        <f t="shared" si="51"/>
        <v>1655234551.3294969</v>
      </c>
      <c r="S722" s="164">
        <f t="shared" si="52"/>
        <v>-9188857.4761208463</v>
      </c>
      <c r="T722" s="159" t="str">
        <f t="shared" si="53"/>
        <v>TxPost-vaccination</v>
      </c>
      <c r="W722" s="139">
        <v>682</v>
      </c>
      <c r="X722" s="164">
        <f t="shared" si="54"/>
        <v>291805355.80005544</v>
      </c>
      <c r="Y722" s="159">
        <f t="shared" si="54"/>
        <v>119761.61015372895</v>
      </c>
    </row>
    <row r="723" spans="2:25" x14ac:dyDescent="0.25">
      <c r="B723" s="159">
        <v>683</v>
      </c>
      <c r="C723" s="164">
        <v>297860177.29782069</v>
      </c>
      <c r="D723" s="159">
        <v>114418.18204398807</v>
      </c>
      <c r="E723" s="164">
        <v>8869729.2750677466</v>
      </c>
      <c r="F723" s="159">
        <v>0</v>
      </c>
      <c r="I723" s="159">
        <v>683</v>
      </c>
      <c r="J723" s="164">
        <v>297860177.29782069</v>
      </c>
      <c r="K723" s="159">
        <v>114418.18204398807</v>
      </c>
      <c r="L723" s="164">
        <v>8869729.2750677466</v>
      </c>
      <c r="M723" s="159">
        <v>0</v>
      </c>
      <c r="Q723" s="139">
        <v>683</v>
      </c>
      <c r="R723" s="164">
        <f t="shared" si="51"/>
        <v>1571087130.7838464</v>
      </c>
      <c r="S723" s="164">
        <f t="shared" si="52"/>
        <v>-8869729.2750677466</v>
      </c>
      <c r="T723" s="159" t="str">
        <f t="shared" si="53"/>
        <v>TxPost-vaccination</v>
      </c>
      <c r="W723" s="139">
        <v>683</v>
      </c>
      <c r="X723" s="164">
        <f t="shared" si="54"/>
        <v>288990448.02275294</v>
      </c>
      <c r="Y723" s="159">
        <f t="shared" si="54"/>
        <v>114418.18204398807</v>
      </c>
    </row>
    <row r="724" spans="2:25" x14ac:dyDescent="0.25">
      <c r="B724" s="159">
        <v>684</v>
      </c>
      <c r="C724" s="164">
        <v>318529716.09859967</v>
      </c>
      <c r="D724" s="159">
        <v>54029.500109341374</v>
      </c>
      <c r="E724" s="164">
        <v>5721750.6474116249</v>
      </c>
      <c r="F724" s="159">
        <v>0</v>
      </c>
      <c r="I724" s="159">
        <v>684</v>
      </c>
      <c r="J724" s="164">
        <v>318529716.09859967</v>
      </c>
      <c r="K724" s="159">
        <v>54029.500109341374</v>
      </c>
      <c r="L724" s="164">
        <v>5721750.6474116249</v>
      </c>
      <c r="M724" s="159">
        <v>0</v>
      </c>
      <c r="Q724" s="139">
        <v>684</v>
      </c>
      <c r="R724" s="164">
        <f t="shared" si="51"/>
        <v>564007368.32676375</v>
      </c>
      <c r="S724" s="164">
        <f t="shared" si="52"/>
        <v>-5721750.6474116249</v>
      </c>
      <c r="T724" s="159" t="str">
        <f t="shared" si="53"/>
        <v>TxPost-vaccination</v>
      </c>
      <c r="W724" s="139">
        <v>684</v>
      </c>
      <c r="X724" s="164">
        <f t="shared" si="54"/>
        <v>312807965.45118803</v>
      </c>
      <c r="Y724" s="159">
        <f t="shared" si="54"/>
        <v>54029.500109341374</v>
      </c>
    </row>
    <row r="725" spans="2:25" x14ac:dyDescent="0.25">
      <c r="B725" s="159">
        <v>685</v>
      </c>
      <c r="C725" s="164">
        <v>325334306.6985994</v>
      </c>
      <c r="D725" s="159">
        <v>105358.13295069308</v>
      </c>
      <c r="E725" s="164">
        <v>8371481.0354026631</v>
      </c>
      <c r="F725" s="159">
        <v>0</v>
      </c>
      <c r="I725" s="159">
        <v>685</v>
      </c>
      <c r="J725" s="164">
        <v>325334306.6985994</v>
      </c>
      <c r="K725" s="159">
        <v>105358.13295069308</v>
      </c>
      <c r="L725" s="164">
        <v>8371481.0354026631</v>
      </c>
      <c r="M725" s="159">
        <v>0</v>
      </c>
      <c r="Q725" s="139">
        <v>685</v>
      </c>
      <c r="R725" s="164">
        <f t="shared" si="51"/>
        <v>1395622934.9311152</v>
      </c>
      <c r="S725" s="164">
        <f t="shared" si="52"/>
        <v>-8371481.0354026631</v>
      </c>
      <c r="T725" s="159" t="str">
        <f t="shared" si="53"/>
        <v>TxPost-vaccination</v>
      </c>
      <c r="W725" s="139">
        <v>685</v>
      </c>
      <c r="X725" s="164">
        <f t="shared" si="54"/>
        <v>316962825.66319674</v>
      </c>
      <c r="Y725" s="159">
        <f t="shared" si="54"/>
        <v>105358.13295069308</v>
      </c>
    </row>
    <row r="726" spans="2:25" x14ac:dyDescent="0.25">
      <c r="B726" s="159">
        <v>686</v>
      </c>
      <c r="C726" s="164">
        <v>307352994.32841671</v>
      </c>
      <c r="D726" s="159">
        <v>76808.666222291737</v>
      </c>
      <c r="E726" s="164">
        <v>7012327.8102429751</v>
      </c>
      <c r="F726" s="159">
        <v>0</v>
      </c>
      <c r="I726" s="159">
        <v>686</v>
      </c>
      <c r="J726" s="164">
        <v>307352994.32841671</v>
      </c>
      <c r="K726" s="159">
        <v>76808.666222291737</v>
      </c>
      <c r="L726" s="164">
        <v>7012327.8102429751</v>
      </c>
      <c r="M726" s="159">
        <v>0</v>
      </c>
      <c r="Q726" s="139">
        <v>686</v>
      </c>
      <c r="R726" s="164">
        <f t="shared" si="51"/>
        <v>947267096.71888816</v>
      </c>
      <c r="S726" s="164">
        <f t="shared" si="52"/>
        <v>-7012327.8102429751</v>
      </c>
      <c r="T726" s="159" t="str">
        <f t="shared" si="53"/>
        <v>TxPost-vaccination</v>
      </c>
      <c r="W726" s="139">
        <v>686</v>
      </c>
      <c r="X726" s="164">
        <f t="shared" si="54"/>
        <v>300340666.51817375</v>
      </c>
      <c r="Y726" s="159">
        <f t="shared" si="54"/>
        <v>76808.666222291737</v>
      </c>
    </row>
    <row r="727" spans="2:25" x14ac:dyDescent="0.25">
      <c r="B727" s="159">
        <v>687</v>
      </c>
      <c r="C727" s="164">
        <v>312099355.09832239</v>
      </c>
      <c r="D727" s="159">
        <v>64250.293923507372</v>
      </c>
      <c r="E727" s="164">
        <v>5711819.3240442462</v>
      </c>
      <c r="F727" s="159">
        <v>0</v>
      </c>
      <c r="I727" s="159">
        <v>687</v>
      </c>
      <c r="J727" s="164">
        <v>312099355.09832239</v>
      </c>
      <c r="K727" s="159">
        <v>64250.293923507372</v>
      </c>
      <c r="L727" s="164">
        <v>5711819.3240442462</v>
      </c>
      <c r="M727" s="159">
        <v>0</v>
      </c>
      <c r="Q727" s="139">
        <v>687</v>
      </c>
      <c r="R727" s="164">
        <f t="shared" si="51"/>
        <v>737387813.17035449</v>
      </c>
      <c r="S727" s="164">
        <f t="shared" si="52"/>
        <v>-5711819.3240442462</v>
      </c>
      <c r="T727" s="159" t="str">
        <f t="shared" si="53"/>
        <v>TxPost-vaccination</v>
      </c>
      <c r="W727" s="139">
        <v>687</v>
      </c>
      <c r="X727" s="164">
        <f t="shared" si="54"/>
        <v>306387535.77427816</v>
      </c>
      <c r="Y727" s="159">
        <f t="shared" si="54"/>
        <v>64250.293923507372</v>
      </c>
    </row>
    <row r="728" spans="2:25" x14ac:dyDescent="0.25">
      <c r="B728" s="159">
        <v>688</v>
      </c>
      <c r="C728" s="164">
        <v>328729536.83486992</v>
      </c>
      <c r="D728" s="159">
        <v>76232.434351886099</v>
      </c>
      <c r="E728" s="164">
        <v>8736062.7809997071</v>
      </c>
      <c r="F728" s="159">
        <v>0</v>
      </c>
      <c r="I728" s="159">
        <v>688</v>
      </c>
      <c r="J728" s="164">
        <v>328729536.83486992</v>
      </c>
      <c r="K728" s="159">
        <v>76232.434351886099</v>
      </c>
      <c r="L728" s="164">
        <v>8736062.7809997071</v>
      </c>
      <c r="M728" s="159">
        <v>0</v>
      </c>
      <c r="Q728" s="139">
        <v>688</v>
      </c>
      <c r="R728" s="164">
        <f t="shared" si="51"/>
        <v>916478177.7545445</v>
      </c>
      <c r="S728" s="164">
        <f t="shared" si="52"/>
        <v>-8736062.7809997071</v>
      </c>
      <c r="T728" s="159" t="str">
        <f t="shared" si="53"/>
        <v>TxPost-vaccination</v>
      </c>
      <c r="W728" s="139">
        <v>688</v>
      </c>
      <c r="X728" s="164">
        <f t="shared" si="54"/>
        <v>319993474.0538702</v>
      </c>
      <c r="Y728" s="159">
        <f t="shared" si="54"/>
        <v>76232.434351886099</v>
      </c>
    </row>
    <row r="729" spans="2:25" x14ac:dyDescent="0.25">
      <c r="B729" s="159">
        <v>689</v>
      </c>
      <c r="C729" s="164">
        <v>330662371.17712939</v>
      </c>
      <c r="D729" s="159">
        <v>82537.942632171253</v>
      </c>
      <c r="E729" s="164">
        <v>7780155.4106965642</v>
      </c>
      <c r="F729" s="159">
        <v>0</v>
      </c>
      <c r="I729" s="159">
        <v>689</v>
      </c>
      <c r="J729" s="164">
        <v>330662371.17712939</v>
      </c>
      <c r="K729" s="159">
        <v>82537.942632171253</v>
      </c>
      <c r="L729" s="164">
        <v>7780155.4106965642</v>
      </c>
      <c r="M729" s="159">
        <v>0</v>
      </c>
      <c r="Q729" s="139">
        <v>689</v>
      </c>
      <c r="R729" s="164">
        <f t="shared" si="51"/>
        <v>1017541759.8559142</v>
      </c>
      <c r="S729" s="164">
        <f t="shared" si="52"/>
        <v>-7780155.4106965642</v>
      </c>
      <c r="T729" s="159" t="str">
        <f t="shared" si="53"/>
        <v>TxPost-vaccination</v>
      </c>
      <c r="W729" s="139">
        <v>689</v>
      </c>
      <c r="X729" s="164">
        <f t="shared" si="54"/>
        <v>322882215.76643282</v>
      </c>
      <c r="Y729" s="159">
        <f t="shared" si="54"/>
        <v>82537.942632171253</v>
      </c>
    </row>
    <row r="730" spans="2:25" x14ac:dyDescent="0.25">
      <c r="B730" s="159">
        <v>690</v>
      </c>
      <c r="C730" s="164">
        <v>332695086.16144258</v>
      </c>
      <c r="D730" s="159">
        <v>108510.66630399349</v>
      </c>
      <c r="E730" s="164">
        <v>9808370.3868247848</v>
      </c>
      <c r="F730" s="159">
        <v>0</v>
      </c>
      <c r="I730" s="159">
        <v>690</v>
      </c>
      <c r="J730" s="164">
        <v>332695086.16144258</v>
      </c>
      <c r="K730" s="159">
        <v>108510.66630399349</v>
      </c>
      <c r="L730" s="164">
        <v>9808370.3868247848</v>
      </c>
      <c r="M730" s="159">
        <v>0</v>
      </c>
      <c r="Q730" s="139">
        <v>690</v>
      </c>
      <c r="R730" s="164">
        <f t="shared" si="51"/>
        <v>1439756757.2792265</v>
      </c>
      <c r="S730" s="164">
        <f t="shared" si="52"/>
        <v>-9808370.3868247848</v>
      </c>
      <c r="T730" s="159" t="str">
        <f t="shared" si="53"/>
        <v>TxPost-vaccination</v>
      </c>
      <c r="W730" s="139">
        <v>690</v>
      </c>
      <c r="X730" s="164">
        <f t="shared" si="54"/>
        <v>322886715.77461779</v>
      </c>
      <c r="Y730" s="159">
        <f t="shared" si="54"/>
        <v>108510.66630399349</v>
      </c>
    </row>
    <row r="731" spans="2:25" x14ac:dyDescent="0.25">
      <c r="B731" s="159">
        <v>691</v>
      </c>
      <c r="C731" s="164">
        <v>330557689.88100022</v>
      </c>
      <c r="D731" s="159">
        <v>49728.770231889604</v>
      </c>
      <c r="E731" s="164">
        <v>5312924.922041948</v>
      </c>
      <c r="F731" s="159">
        <v>0</v>
      </c>
      <c r="I731" s="159">
        <v>691</v>
      </c>
      <c r="J731" s="164">
        <v>330557689.88100022</v>
      </c>
      <c r="K731" s="159">
        <v>49728.770231889604</v>
      </c>
      <c r="L731" s="164">
        <v>5312924.922041948</v>
      </c>
      <c r="M731" s="159">
        <v>0</v>
      </c>
      <c r="Q731" s="139">
        <v>691</v>
      </c>
      <c r="R731" s="164">
        <f t="shared" si="51"/>
        <v>481729742.05329555</v>
      </c>
      <c r="S731" s="164">
        <f t="shared" si="52"/>
        <v>-5312924.922041948</v>
      </c>
      <c r="T731" s="159" t="str">
        <f t="shared" si="53"/>
        <v>TxPost-vaccination</v>
      </c>
      <c r="W731" s="139">
        <v>691</v>
      </c>
      <c r="X731" s="164">
        <f t="shared" si="54"/>
        <v>325244764.95895827</v>
      </c>
      <c r="Y731" s="159">
        <f t="shared" si="54"/>
        <v>49728.770231889604</v>
      </c>
    </row>
    <row r="732" spans="2:25" x14ac:dyDescent="0.25">
      <c r="B732" s="159">
        <v>692</v>
      </c>
      <c r="C732" s="164">
        <v>285276571.126459</v>
      </c>
      <c r="D732" s="159">
        <v>155924.16250743053</v>
      </c>
      <c r="E732" s="164">
        <v>12667934.501651909</v>
      </c>
      <c r="F732" s="159">
        <v>0</v>
      </c>
      <c r="I732" s="159">
        <v>692</v>
      </c>
      <c r="J732" s="164">
        <v>285276571.126459</v>
      </c>
      <c r="K732" s="159">
        <v>155924.16250743053</v>
      </c>
      <c r="L732" s="164">
        <v>12667934.501651909</v>
      </c>
      <c r="M732" s="159">
        <v>0</v>
      </c>
      <c r="Q732" s="139">
        <v>692</v>
      </c>
      <c r="R732" s="164">
        <f t="shared" si="51"/>
        <v>2261644194.2385821</v>
      </c>
      <c r="S732" s="164">
        <f t="shared" si="52"/>
        <v>-12667934.501651909</v>
      </c>
      <c r="T732" s="159" t="str">
        <f t="shared" si="53"/>
        <v>TxPost-vaccination</v>
      </c>
      <c r="W732" s="139">
        <v>692</v>
      </c>
      <c r="X732" s="164">
        <f t="shared" si="54"/>
        <v>272608636.62480712</v>
      </c>
      <c r="Y732" s="159">
        <f t="shared" si="54"/>
        <v>155924.16250743053</v>
      </c>
    </row>
    <row r="733" spans="2:25" x14ac:dyDescent="0.25">
      <c r="B733" s="159">
        <v>693</v>
      </c>
      <c r="C733" s="164">
        <v>325935093.45016044</v>
      </c>
      <c r="D733" s="159">
        <v>156338.9682897531</v>
      </c>
      <c r="E733" s="164">
        <v>11568619.107526155</v>
      </c>
      <c r="F733" s="159">
        <v>0</v>
      </c>
      <c r="I733" s="159">
        <v>693</v>
      </c>
      <c r="J733" s="164">
        <v>325935093.45016044</v>
      </c>
      <c r="K733" s="159">
        <v>156338.9682897531</v>
      </c>
      <c r="L733" s="164">
        <v>11568619.107526155</v>
      </c>
      <c r="M733" s="159">
        <v>0</v>
      </c>
      <c r="Q733" s="139">
        <v>693</v>
      </c>
      <c r="R733" s="164">
        <f t="shared" si="51"/>
        <v>2227761257.1968637</v>
      </c>
      <c r="S733" s="164">
        <f t="shared" si="52"/>
        <v>-11568619.107526155</v>
      </c>
      <c r="T733" s="159" t="str">
        <f t="shared" si="53"/>
        <v>TxPost-vaccination</v>
      </c>
      <c r="W733" s="139">
        <v>693</v>
      </c>
      <c r="X733" s="164">
        <f t="shared" si="54"/>
        <v>314366474.34263426</v>
      </c>
      <c r="Y733" s="159">
        <f t="shared" si="54"/>
        <v>156338.9682897531</v>
      </c>
    </row>
    <row r="734" spans="2:25" x14ac:dyDescent="0.25">
      <c r="B734" s="159">
        <v>694</v>
      </c>
      <c r="C734" s="164">
        <v>304241736.86581886</v>
      </c>
      <c r="D734" s="159">
        <v>110520.39564069484</v>
      </c>
      <c r="E734" s="164">
        <v>9472641.8319615982</v>
      </c>
      <c r="F734" s="159">
        <v>0</v>
      </c>
      <c r="I734" s="159">
        <v>694</v>
      </c>
      <c r="J734" s="164">
        <v>304241736.86581886</v>
      </c>
      <c r="K734" s="159">
        <v>110520.39564069484</v>
      </c>
      <c r="L734" s="164">
        <v>9472641.8319615982</v>
      </c>
      <c r="M734" s="159">
        <v>0</v>
      </c>
      <c r="Q734" s="139">
        <v>694</v>
      </c>
      <c r="R734" s="164">
        <f t="shared" si="51"/>
        <v>1501037740.843298</v>
      </c>
      <c r="S734" s="164">
        <f t="shared" si="52"/>
        <v>-9472641.8319615982</v>
      </c>
      <c r="T734" s="159" t="str">
        <f t="shared" si="53"/>
        <v>TxPost-vaccination</v>
      </c>
      <c r="W734" s="139">
        <v>694</v>
      </c>
      <c r="X734" s="164">
        <f t="shared" si="54"/>
        <v>294769095.03385729</v>
      </c>
      <c r="Y734" s="159">
        <f t="shared" si="54"/>
        <v>110520.39564069484</v>
      </c>
    </row>
    <row r="735" spans="2:25" x14ac:dyDescent="0.25">
      <c r="B735" s="159">
        <v>695</v>
      </c>
      <c r="C735" s="164">
        <v>316164503.39843482</v>
      </c>
      <c r="D735" s="159">
        <v>71732.165246295059</v>
      </c>
      <c r="E735" s="164">
        <v>6244678.4214309826</v>
      </c>
      <c r="F735" s="159">
        <v>0</v>
      </c>
      <c r="I735" s="159">
        <v>695</v>
      </c>
      <c r="J735" s="164">
        <v>316164503.39843482</v>
      </c>
      <c r="K735" s="159">
        <v>71732.165246295059</v>
      </c>
      <c r="L735" s="164">
        <v>6244678.4214309826</v>
      </c>
      <c r="M735" s="159">
        <v>0</v>
      </c>
      <c r="Q735" s="139">
        <v>695</v>
      </c>
      <c r="R735" s="164">
        <f t="shared" si="51"/>
        <v>855534213.92947817</v>
      </c>
      <c r="S735" s="164">
        <f t="shared" si="52"/>
        <v>-6244678.4214309826</v>
      </c>
      <c r="T735" s="159" t="str">
        <f t="shared" si="53"/>
        <v>TxPost-vaccination</v>
      </c>
      <c r="W735" s="139">
        <v>695</v>
      </c>
      <c r="X735" s="164">
        <f t="shared" si="54"/>
        <v>309919824.97700381</v>
      </c>
      <c r="Y735" s="159">
        <f t="shared" si="54"/>
        <v>71732.165246295059</v>
      </c>
    </row>
    <row r="736" spans="2:25" x14ac:dyDescent="0.25">
      <c r="B736" s="159">
        <v>696</v>
      </c>
      <c r="C736" s="164">
        <v>360142518.30189741</v>
      </c>
      <c r="D736" s="159">
        <v>120262.06336401401</v>
      </c>
      <c r="E736" s="164">
        <v>9496196.5995318536</v>
      </c>
      <c r="F736" s="159">
        <v>0</v>
      </c>
      <c r="I736" s="159">
        <v>696</v>
      </c>
      <c r="J736" s="164">
        <v>360142518.30189741</v>
      </c>
      <c r="K736" s="159">
        <v>120262.06336401401</v>
      </c>
      <c r="L736" s="164">
        <v>9496196.5995318536</v>
      </c>
      <c r="M736" s="159">
        <v>0</v>
      </c>
      <c r="Q736" s="139">
        <v>696</v>
      </c>
      <c r="R736" s="164">
        <f t="shared" si="51"/>
        <v>1604260827.1568742</v>
      </c>
      <c r="S736" s="164">
        <f t="shared" si="52"/>
        <v>-9496196.5995318536</v>
      </c>
      <c r="T736" s="159" t="str">
        <f t="shared" si="53"/>
        <v>TxPost-vaccination</v>
      </c>
      <c r="W736" s="139">
        <v>696</v>
      </c>
      <c r="X736" s="164">
        <f t="shared" si="54"/>
        <v>350646321.70236558</v>
      </c>
      <c r="Y736" s="159">
        <f t="shared" si="54"/>
        <v>120262.06336401401</v>
      </c>
    </row>
    <row r="737" spans="2:25" x14ac:dyDescent="0.25">
      <c r="B737" s="159">
        <v>697</v>
      </c>
      <c r="C737" s="164">
        <v>349350675.46114945</v>
      </c>
      <c r="D737" s="159">
        <v>111213.57645151191</v>
      </c>
      <c r="E737" s="164">
        <v>10696154.819941539</v>
      </c>
      <c r="F737" s="159">
        <v>0</v>
      </c>
      <c r="I737" s="159">
        <v>697</v>
      </c>
      <c r="J737" s="164">
        <v>349350675.46114945</v>
      </c>
      <c r="K737" s="159">
        <v>111213.57645151191</v>
      </c>
      <c r="L737" s="164">
        <v>10696154.819941539</v>
      </c>
      <c r="M737" s="159">
        <v>0</v>
      </c>
      <c r="Q737" s="139">
        <v>697</v>
      </c>
      <c r="R737" s="164">
        <f t="shared" si="51"/>
        <v>1467251464.321836</v>
      </c>
      <c r="S737" s="164">
        <f t="shared" si="52"/>
        <v>-10696154.819941539</v>
      </c>
      <c r="T737" s="159" t="str">
        <f t="shared" si="53"/>
        <v>TxPost-vaccination</v>
      </c>
      <c r="W737" s="139">
        <v>697</v>
      </c>
      <c r="X737" s="164">
        <f t="shared" si="54"/>
        <v>338654520.64120793</v>
      </c>
      <c r="Y737" s="159">
        <f t="shared" si="54"/>
        <v>111213.57645151191</v>
      </c>
    </row>
    <row r="738" spans="2:25" x14ac:dyDescent="0.25">
      <c r="B738" s="159">
        <v>698</v>
      </c>
      <c r="C738" s="164">
        <v>296151898.41919011</v>
      </c>
      <c r="D738" s="159">
        <v>67408.224057988584</v>
      </c>
      <c r="E738" s="164">
        <v>6468158.2134380657</v>
      </c>
      <c r="F738" s="159">
        <v>0</v>
      </c>
      <c r="I738" s="159">
        <v>698</v>
      </c>
      <c r="J738" s="164">
        <v>296151898.41919011</v>
      </c>
      <c r="K738" s="159">
        <v>67408.224057988584</v>
      </c>
      <c r="L738" s="164">
        <v>6468158.2134380657</v>
      </c>
      <c r="M738" s="159">
        <v>0</v>
      </c>
      <c r="Q738" s="139">
        <v>698</v>
      </c>
      <c r="R738" s="164">
        <f t="shared" si="51"/>
        <v>804918024.60501671</v>
      </c>
      <c r="S738" s="164">
        <f t="shared" si="52"/>
        <v>-6468158.2134380657</v>
      </c>
      <c r="T738" s="159" t="str">
        <f t="shared" si="53"/>
        <v>TxPost-vaccination</v>
      </c>
      <c r="W738" s="139">
        <v>698</v>
      </c>
      <c r="X738" s="164">
        <f t="shared" si="54"/>
        <v>289683740.20575202</v>
      </c>
      <c r="Y738" s="159">
        <f t="shared" si="54"/>
        <v>67408.224057988584</v>
      </c>
    </row>
    <row r="739" spans="2:25" x14ac:dyDescent="0.25">
      <c r="B739" s="159">
        <v>699</v>
      </c>
      <c r="C739" s="164">
        <v>301510342.10768205</v>
      </c>
      <c r="D739" s="159">
        <v>80060.797621349921</v>
      </c>
      <c r="E739" s="164">
        <v>6602751.6423701765</v>
      </c>
      <c r="F739" s="159">
        <v>0</v>
      </c>
      <c r="I739" s="159">
        <v>699</v>
      </c>
      <c r="J739" s="164">
        <v>301510342.10768205</v>
      </c>
      <c r="K739" s="159">
        <v>80060.797621349921</v>
      </c>
      <c r="L739" s="164">
        <v>6602751.6423701765</v>
      </c>
      <c r="M739" s="159">
        <v>0</v>
      </c>
      <c r="Q739" s="139">
        <v>699</v>
      </c>
      <c r="R739" s="164">
        <f t="shared" si="51"/>
        <v>1006231220.6779253</v>
      </c>
      <c r="S739" s="164">
        <f t="shared" si="52"/>
        <v>-6602751.6423701765</v>
      </c>
      <c r="T739" s="159" t="str">
        <f t="shared" si="53"/>
        <v>TxPost-vaccination</v>
      </c>
      <c r="W739" s="139">
        <v>699</v>
      </c>
      <c r="X739" s="164">
        <f t="shared" si="54"/>
        <v>294907590.46531188</v>
      </c>
      <c r="Y739" s="159">
        <f t="shared" si="54"/>
        <v>80060.797621349921</v>
      </c>
    </row>
    <row r="740" spans="2:25" x14ac:dyDescent="0.25">
      <c r="B740" s="159">
        <v>700</v>
      </c>
      <c r="C740" s="164">
        <v>341949418.01460463</v>
      </c>
      <c r="D740" s="159">
        <v>107643.83553056336</v>
      </c>
      <c r="E740" s="164">
        <v>8865205.6003074907</v>
      </c>
      <c r="F740" s="159">
        <v>0</v>
      </c>
      <c r="I740" s="159">
        <v>700</v>
      </c>
      <c r="J740" s="164">
        <v>341949418.01460463</v>
      </c>
      <c r="K740" s="159">
        <v>107643.83553056336</v>
      </c>
      <c r="L740" s="164">
        <v>8865205.6003074907</v>
      </c>
      <c r="M740" s="159">
        <v>0</v>
      </c>
      <c r="Q740" s="139">
        <v>700</v>
      </c>
      <c r="R740" s="164">
        <f t="shared" si="51"/>
        <v>1416343303.0591161</v>
      </c>
      <c r="S740" s="164">
        <f t="shared" si="52"/>
        <v>-8865205.6003074907</v>
      </c>
      <c r="T740" s="159" t="str">
        <f t="shared" si="53"/>
        <v>TxPost-vaccination</v>
      </c>
      <c r="W740" s="139">
        <v>700</v>
      </c>
      <c r="X740" s="164">
        <f t="shared" si="54"/>
        <v>333084212.41429716</v>
      </c>
      <c r="Y740" s="159">
        <f t="shared" si="54"/>
        <v>107643.83553056336</v>
      </c>
    </row>
    <row r="741" spans="2:25" x14ac:dyDescent="0.25">
      <c r="B741" s="159">
        <v>701</v>
      </c>
      <c r="C741" s="164">
        <v>316820912.91383451</v>
      </c>
      <c r="D741" s="159">
        <v>93182.052569518914</v>
      </c>
      <c r="E741" s="164">
        <v>9280122.6961507462</v>
      </c>
      <c r="F741" s="159">
        <v>0</v>
      </c>
      <c r="I741" s="159">
        <v>701</v>
      </c>
      <c r="J741" s="164">
        <v>316820912.91383451</v>
      </c>
      <c r="K741" s="159">
        <v>93182.052569518914</v>
      </c>
      <c r="L741" s="164">
        <v>9280122.6961507462</v>
      </c>
      <c r="M741" s="159">
        <v>0</v>
      </c>
      <c r="Q741" s="139">
        <v>701</v>
      </c>
      <c r="R741" s="164">
        <f t="shared" si="51"/>
        <v>1205247898.1810131</v>
      </c>
      <c r="S741" s="164">
        <f t="shared" si="52"/>
        <v>-9280122.6961507462</v>
      </c>
      <c r="T741" s="159" t="str">
        <f t="shared" si="53"/>
        <v>TxPost-vaccination</v>
      </c>
      <c r="W741" s="139">
        <v>701</v>
      </c>
      <c r="X741" s="164">
        <f t="shared" si="54"/>
        <v>307540790.21768379</v>
      </c>
      <c r="Y741" s="159">
        <f t="shared" si="54"/>
        <v>93182.052569518914</v>
      </c>
    </row>
    <row r="742" spans="2:25" x14ac:dyDescent="0.25">
      <c r="B742" s="159">
        <v>702</v>
      </c>
      <c r="C742" s="164">
        <v>325141164.55673563</v>
      </c>
      <c r="D742" s="159">
        <v>96628.076861732116</v>
      </c>
      <c r="E742" s="164">
        <v>8990877.6366403196</v>
      </c>
      <c r="F742" s="159">
        <v>0</v>
      </c>
      <c r="I742" s="159">
        <v>702</v>
      </c>
      <c r="J742" s="164">
        <v>325141164.55673563</v>
      </c>
      <c r="K742" s="159">
        <v>96628.076861732116</v>
      </c>
      <c r="L742" s="164">
        <v>8990877.6366403196</v>
      </c>
      <c r="M742" s="159">
        <v>0</v>
      </c>
      <c r="Q742" s="139">
        <v>702</v>
      </c>
      <c r="R742" s="164">
        <f t="shared" si="51"/>
        <v>1253216233.8016281</v>
      </c>
      <c r="S742" s="164">
        <f t="shared" si="52"/>
        <v>-8990877.6366403196</v>
      </c>
      <c r="T742" s="159" t="str">
        <f t="shared" si="53"/>
        <v>TxPost-vaccination</v>
      </c>
      <c r="W742" s="139">
        <v>702</v>
      </c>
      <c r="X742" s="164">
        <f t="shared" si="54"/>
        <v>316150286.92009532</v>
      </c>
      <c r="Y742" s="159">
        <f t="shared" si="54"/>
        <v>96628.076861732116</v>
      </c>
    </row>
    <row r="743" spans="2:25" x14ac:dyDescent="0.25">
      <c r="B743" s="159">
        <v>703</v>
      </c>
      <c r="C743" s="164">
        <v>313306724.6938802</v>
      </c>
      <c r="D743" s="159">
        <v>73870.035916370281</v>
      </c>
      <c r="E743" s="164">
        <v>8026616.887508532</v>
      </c>
      <c r="F743" s="159">
        <v>0</v>
      </c>
      <c r="I743" s="159">
        <v>703</v>
      </c>
      <c r="J743" s="164">
        <v>313306724.6938802</v>
      </c>
      <c r="K743" s="159">
        <v>73870.035916370281</v>
      </c>
      <c r="L743" s="164">
        <v>8026616.887508532</v>
      </c>
      <c r="M743" s="159">
        <v>0</v>
      </c>
      <c r="Q743" s="139">
        <v>703</v>
      </c>
      <c r="R743" s="164">
        <f t="shared" si="51"/>
        <v>893312733.04859173</v>
      </c>
      <c r="S743" s="164">
        <f t="shared" si="52"/>
        <v>-8026616.887508532</v>
      </c>
      <c r="T743" s="159" t="str">
        <f t="shared" si="53"/>
        <v>TxPost-vaccination</v>
      </c>
      <c r="W743" s="139">
        <v>703</v>
      </c>
      <c r="X743" s="164">
        <f t="shared" si="54"/>
        <v>305280107.80637169</v>
      </c>
      <c r="Y743" s="159">
        <f t="shared" si="54"/>
        <v>73870.035916370281</v>
      </c>
    </row>
    <row r="744" spans="2:25" x14ac:dyDescent="0.25">
      <c r="B744" s="159">
        <v>704</v>
      </c>
      <c r="C744" s="164">
        <v>305561461.9811455</v>
      </c>
      <c r="D744" s="159">
        <v>110358.7880134196</v>
      </c>
      <c r="E744" s="164">
        <v>9698683.7212239597</v>
      </c>
      <c r="F744" s="159">
        <v>0</v>
      </c>
      <c r="I744" s="159">
        <v>704</v>
      </c>
      <c r="J744" s="164">
        <v>305561461.9811455</v>
      </c>
      <c r="K744" s="159">
        <v>110358.7880134196</v>
      </c>
      <c r="L744" s="164">
        <v>9698683.7212239597</v>
      </c>
      <c r="M744" s="159">
        <v>0</v>
      </c>
      <c r="Q744" s="139">
        <v>704</v>
      </c>
      <c r="R744" s="164">
        <f t="shared" si="51"/>
        <v>1497078259.2262874</v>
      </c>
      <c r="S744" s="164">
        <f t="shared" si="52"/>
        <v>-9698683.7212239597</v>
      </c>
      <c r="T744" s="159" t="str">
        <f t="shared" si="53"/>
        <v>TxPost-vaccination</v>
      </c>
      <c r="W744" s="139">
        <v>704</v>
      </c>
      <c r="X744" s="164">
        <f t="shared" si="54"/>
        <v>295862778.25992155</v>
      </c>
      <c r="Y744" s="159">
        <f t="shared" si="54"/>
        <v>110358.7880134196</v>
      </c>
    </row>
    <row r="745" spans="2:25" x14ac:dyDescent="0.25">
      <c r="B745" s="159">
        <v>705</v>
      </c>
      <c r="C745" s="164">
        <v>323522908.99007946</v>
      </c>
      <c r="D745" s="159">
        <v>66892.851754690477</v>
      </c>
      <c r="E745" s="164">
        <v>8197894.3290735157</v>
      </c>
      <c r="F745" s="159">
        <v>0</v>
      </c>
      <c r="I745" s="159">
        <v>705</v>
      </c>
      <c r="J745" s="164">
        <v>323522908.99007946</v>
      </c>
      <c r="K745" s="159">
        <v>66892.851754690477</v>
      </c>
      <c r="L745" s="164">
        <v>8197894.3290735157</v>
      </c>
      <c r="M745" s="159">
        <v>0</v>
      </c>
      <c r="Q745" s="139">
        <v>705</v>
      </c>
      <c r="R745" s="164">
        <f t="shared" ref="R745:R808" si="55">K745*threshold-J745</f>
        <v>769128739.40589976</v>
      </c>
      <c r="S745" s="164">
        <f t="shared" ref="S745:S808" si="56">M745*threshold-L745</f>
        <v>-8197894.3290735157</v>
      </c>
      <c r="T745" s="159" t="str">
        <f t="shared" si="53"/>
        <v>TxPost-vaccination</v>
      </c>
      <c r="W745" s="139">
        <v>705</v>
      </c>
      <c r="X745" s="164">
        <f t="shared" si="54"/>
        <v>315325014.66100597</v>
      </c>
      <c r="Y745" s="159">
        <f t="shared" si="54"/>
        <v>66892.851754690477</v>
      </c>
    </row>
    <row r="746" spans="2:25" x14ac:dyDescent="0.25">
      <c r="B746" s="159">
        <v>706</v>
      </c>
      <c r="C746" s="164">
        <v>320647760.42645717</v>
      </c>
      <c r="D746" s="159">
        <v>109059.92963504833</v>
      </c>
      <c r="E746" s="164">
        <v>8058680.3304094281</v>
      </c>
      <c r="F746" s="159">
        <v>0</v>
      </c>
      <c r="I746" s="159">
        <v>706</v>
      </c>
      <c r="J746" s="164">
        <v>320647760.42645717</v>
      </c>
      <c r="K746" s="159">
        <v>109059.92963504833</v>
      </c>
      <c r="L746" s="164">
        <v>8058680.3304094281</v>
      </c>
      <c r="M746" s="159">
        <v>0</v>
      </c>
      <c r="Q746" s="139">
        <v>706</v>
      </c>
      <c r="R746" s="164">
        <f t="shared" si="55"/>
        <v>1460775945.7519739</v>
      </c>
      <c r="S746" s="164">
        <f t="shared" si="56"/>
        <v>-8058680.3304094281</v>
      </c>
      <c r="T746" s="159" t="str">
        <f t="shared" ref="T746:T809" si="57">IF(R746&gt;S746,"TxPost-vaccination",IF(S746&gt;R746,"TxPre-vaccination","either"))</f>
        <v>TxPost-vaccination</v>
      </c>
      <c r="W746" s="139">
        <v>706</v>
      </c>
      <c r="X746" s="164">
        <f t="shared" ref="X746:Y809" si="58">J746-L746</f>
        <v>312589080.09604776</v>
      </c>
      <c r="Y746" s="159">
        <f t="shared" si="58"/>
        <v>109059.92963504833</v>
      </c>
    </row>
    <row r="747" spans="2:25" x14ac:dyDescent="0.25">
      <c r="B747" s="159">
        <v>707</v>
      </c>
      <c r="C747" s="164">
        <v>305002663.81609136</v>
      </c>
      <c r="D747" s="159">
        <v>103208.37327307374</v>
      </c>
      <c r="E747" s="164">
        <v>10622213.277003029</v>
      </c>
      <c r="F747" s="159">
        <v>0</v>
      </c>
      <c r="I747" s="159">
        <v>707</v>
      </c>
      <c r="J747" s="164">
        <v>305002663.81609136</v>
      </c>
      <c r="K747" s="159">
        <v>103208.37327307374</v>
      </c>
      <c r="L747" s="164">
        <v>10622213.277003029</v>
      </c>
      <c r="M747" s="159">
        <v>0</v>
      </c>
      <c r="Q747" s="139">
        <v>707</v>
      </c>
      <c r="R747" s="164">
        <f t="shared" si="55"/>
        <v>1380839638.118422</v>
      </c>
      <c r="S747" s="164">
        <f t="shared" si="56"/>
        <v>-10622213.277003029</v>
      </c>
      <c r="T747" s="159" t="str">
        <f t="shared" si="57"/>
        <v>TxPost-vaccination</v>
      </c>
      <c r="W747" s="139">
        <v>707</v>
      </c>
      <c r="X747" s="164">
        <f t="shared" si="58"/>
        <v>294380450.53908831</v>
      </c>
      <c r="Y747" s="159">
        <f t="shared" si="58"/>
        <v>103208.37327307374</v>
      </c>
    </row>
    <row r="748" spans="2:25" x14ac:dyDescent="0.25">
      <c r="B748" s="159">
        <v>708</v>
      </c>
      <c r="C748" s="164">
        <v>297480111.55852395</v>
      </c>
      <c r="D748" s="159">
        <v>126506.70909845609</v>
      </c>
      <c r="E748" s="164">
        <v>9738058.0810172223</v>
      </c>
      <c r="F748" s="159">
        <v>0</v>
      </c>
      <c r="I748" s="159">
        <v>708</v>
      </c>
      <c r="J748" s="164">
        <v>297480111.55852395</v>
      </c>
      <c r="K748" s="159">
        <v>126506.70909845609</v>
      </c>
      <c r="L748" s="164">
        <v>9738058.0810172223</v>
      </c>
      <c r="M748" s="159">
        <v>0</v>
      </c>
      <c r="Q748" s="139">
        <v>708</v>
      </c>
      <c r="R748" s="164">
        <f t="shared" si="55"/>
        <v>1768925499.8584874</v>
      </c>
      <c r="S748" s="164">
        <f t="shared" si="56"/>
        <v>-9738058.0810172223</v>
      </c>
      <c r="T748" s="159" t="str">
        <f t="shared" si="57"/>
        <v>TxPost-vaccination</v>
      </c>
      <c r="W748" s="139">
        <v>708</v>
      </c>
      <c r="X748" s="164">
        <f t="shared" si="58"/>
        <v>287742053.47750676</v>
      </c>
      <c r="Y748" s="159">
        <f t="shared" si="58"/>
        <v>126506.70909845609</v>
      </c>
    </row>
    <row r="749" spans="2:25" x14ac:dyDescent="0.25">
      <c r="B749" s="159">
        <v>709</v>
      </c>
      <c r="C749" s="164">
        <v>324379618.33808404</v>
      </c>
      <c r="D749" s="159">
        <v>80776.921957432874</v>
      </c>
      <c r="E749" s="164">
        <v>7777096.1792111341</v>
      </c>
      <c r="F749" s="159">
        <v>0</v>
      </c>
      <c r="I749" s="159">
        <v>709</v>
      </c>
      <c r="J749" s="164">
        <v>324379618.33808404</v>
      </c>
      <c r="K749" s="159">
        <v>80776.921957432874</v>
      </c>
      <c r="L749" s="164">
        <v>7777096.1792111341</v>
      </c>
      <c r="M749" s="159">
        <v>0</v>
      </c>
      <c r="Q749" s="139">
        <v>709</v>
      </c>
      <c r="R749" s="164">
        <f t="shared" si="55"/>
        <v>995059374.22891474</v>
      </c>
      <c r="S749" s="164">
        <f t="shared" si="56"/>
        <v>-7777096.1792111341</v>
      </c>
      <c r="T749" s="159" t="str">
        <f t="shared" si="57"/>
        <v>TxPost-vaccination</v>
      </c>
      <c r="W749" s="139">
        <v>709</v>
      </c>
      <c r="X749" s="164">
        <f t="shared" si="58"/>
        <v>316602522.1588729</v>
      </c>
      <c r="Y749" s="159">
        <f t="shared" si="58"/>
        <v>80776.921957432874</v>
      </c>
    </row>
    <row r="750" spans="2:25" x14ac:dyDescent="0.25">
      <c r="B750" s="159">
        <v>710</v>
      </c>
      <c r="C750" s="164">
        <v>294969481.19317949</v>
      </c>
      <c r="D750" s="159">
        <v>91687.13785478186</v>
      </c>
      <c r="E750" s="164">
        <v>7465902.9818605278</v>
      </c>
      <c r="F750" s="159">
        <v>0</v>
      </c>
      <c r="I750" s="159">
        <v>710</v>
      </c>
      <c r="J750" s="164">
        <v>294969481.19317949</v>
      </c>
      <c r="K750" s="159">
        <v>91687.13785478186</v>
      </c>
      <c r="L750" s="164">
        <v>7465902.9818605278</v>
      </c>
      <c r="M750" s="159">
        <v>0</v>
      </c>
      <c r="Q750" s="139">
        <v>710</v>
      </c>
      <c r="R750" s="164">
        <f t="shared" si="55"/>
        <v>1202680860.8960571</v>
      </c>
      <c r="S750" s="164">
        <f t="shared" si="56"/>
        <v>-7465902.9818605278</v>
      </c>
      <c r="T750" s="159" t="str">
        <f t="shared" si="57"/>
        <v>TxPost-vaccination</v>
      </c>
      <c r="W750" s="139">
        <v>710</v>
      </c>
      <c r="X750" s="164">
        <f t="shared" si="58"/>
        <v>287503578.21131897</v>
      </c>
      <c r="Y750" s="159">
        <f t="shared" si="58"/>
        <v>91687.13785478186</v>
      </c>
    </row>
    <row r="751" spans="2:25" x14ac:dyDescent="0.25">
      <c r="B751" s="159">
        <v>711</v>
      </c>
      <c r="C751" s="164">
        <v>285010867.5973857</v>
      </c>
      <c r="D751" s="159">
        <v>83066.489611024197</v>
      </c>
      <c r="E751" s="164">
        <v>7366041.0724393036</v>
      </c>
      <c r="F751" s="159">
        <v>0</v>
      </c>
      <c r="I751" s="159">
        <v>711</v>
      </c>
      <c r="J751" s="164">
        <v>285010867.5973857</v>
      </c>
      <c r="K751" s="159">
        <v>83066.489611024197</v>
      </c>
      <c r="L751" s="164">
        <v>7366041.0724393036</v>
      </c>
      <c r="M751" s="159">
        <v>0</v>
      </c>
      <c r="Q751" s="139">
        <v>711</v>
      </c>
      <c r="R751" s="164">
        <f t="shared" si="55"/>
        <v>1071826737.9033973</v>
      </c>
      <c r="S751" s="164">
        <f t="shared" si="56"/>
        <v>-7366041.0724393036</v>
      </c>
      <c r="T751" s="159" t="str">
        <f t="shared" si="57"/>
        <v>TxPost-vaccination</v>
      </c>
      <c r="W751" s="139">
        <v>711</v>
      </c>
      <c r="X751" s="164">
        <f t="shared" si="58"/>
        <v>277644826.52494639</v>
      </c>
      <c r="Y751" s="159">
        <f t="shared" si="58"/>
        <v>83066.489611024197</v>
      </c>
    </row>
    <row r="752" spans="2:25" x14ac:dyDescent="0.25">
      <c r="B752" s="159">
        <v>712</v>
      </c>
      <c r="C752" s="164">
        <v>331373292.98787749</v>
      </c>
      <c r="D752" s="159">
        <v>138204.1705253463</v>
      </c>
      <c r="E752" s="164">
        <v>9894285.0775749628</v>
      </c>
      <c r="F752" s="159">
        <v>0</v>
      </c>
      <c r="I752" s="159">
        <v>712</v>
      </c>
      <c r="J752" s="164">
        <v>331373292.98787749</v>
      </c>
      <c r="K752" s="159">
        <v>138204.1705253463</v>
      </c>
      <c r="L752" s="164">
        <v>9894285.0775749628</v>
      </c>
      <c r="M752" s="159">
        <v>0</v>
      </c>
      <c r="Q752" s="139">
        <v>712</v>
      </c>
      <c r="R752" s="164">
        <f t="shared" si="55"/>
        <v>1926102816.6194544</v>
      </c>
      <c r="S752" s="164">
        <f t="shared" si="56"/>
        <v>-9894285.0775749628</v>
      </c>
      <c r="T752" s="159" t="str">
        <f t="shared" si="57"/>
        <v>TxPost-vaccination</v>
      </c>
      <c r="W752" s="139">
        <v>712</v>
      </c>
      <c r="X752" s="164">
        <f t="shared" si="58"/>
        <v>321479007.91030252</v>
      </c>
      <c r="Y752" s="159">
        <f t="shared" si="58"/>
        <v>138204.1705253463</v>
      </c>
    </row>
    <row r="753" spans="2:25" x14ac:dyDescent="0.25">
      <c r="B753" s="159">
        <v>713</v>
      </c>
      <c r="C753" s="164">
        <v>310046600.08652765</v>
      </c>
      <c r="D753" s="159">
        <v>97961.537830862158</v>
      </c>
      <c r="E753" s="164">
        <v>9259540.9106451161</v>
      </c>
      <c r="F753" s="159">
        <v>0</v>
      </c>
      <c r="I753" s="159">
        <v>713</v>
      </c>
      <c r="J753" s="164">
        <v>310046600.08652765</v>
      </c>
      <c r="K753" s="159">
        <v>97961.537830862158</v>
      </c>
      <c r="L753" s="164">
        <v>9259540.9106451161</v>
      </c>
      <c r="M753" s="159">
        <v>0</v>
      </c>
      <c r="Q753" s="139">
        <v>713</v>
      </c>
      <c r="R753" s="164">
        <f t="shared" si="55"/>
        <v>1290092024.3336999</v>
      </c>
      <c r="S753" s="164">
        <f t="shared" si="56"/>
        <v>-9259540.9106451161</v>
      </c>
      <c r="T753" s="159" t="str">
        <f t="shared" si="57"/>
        <v>TxPost-vaccination</v>
      </c>
      <c r="W753" s="139">
        <v>713</v>
      </c>
      <c r="X753" s="164">
        <f t="shared" si="58"/>
        <v>300787059.17588252</v>
      </c>
      <c r="Y753" s="159">
        <f t="shared" si="58"/>
        <v>97961.537830862158</v>
      </c>
    </row>
    <row r="754" spans="2:25" x14ac:dyDescent="0.25">
      <c r="B754" s="159">
        <v>714</v>
      </c>
      <c r="C754" s="164">
        <v>312721272.92895567</v>
      </c>
      <c r="D754" s="159">
        <v>68389.950689757214</v>
      </c>
      <c r="E754" s="164">
        <v>6810923.0060583586</v>
      </c>
      <c r="F754" s="159">
        <v>0</v>
      </c>
      <c r="I754" s="159">
        <v>714</v>
      </c>
      <c r="J754" s="164">
        <v>312721272.92895567</v>
      </c>
      <c r="K754" s="159">
        <v>68389.950689757214</v>
      </c>
      <c r="L754" s="164">
        <v>6810923.0060583586</v>
      </c>
      <c r="M754" s="159">
        <v>0</v>
      </c>
      <c r="Q754" s="139">
        <v>714</v>
      </c>
      <c r="R754" s="164">
        <f t="shared" si="55"/>
        <v>804384522.30488551</v>
      </c>
      <c r="S754" s="164">
        <f t="shared" si="56"/>
        <v>-6810923.0060583586</v>
      </c>
      <c r="T754" s="159" t="str">
        <f t="shared" si="57"/>
        <v>TxPost-vaccination</v>
      </c>
      <c r="W754" s="139">
        <v>714</v>
      </c>
      <c r="X754" s="164">
        <f t="shared" si="58"/>
        <v>305910349.92289734</v>
      </c>
      <c r="Y754" s="159">
        <f t="shared" si="58"/>
        <v>68389.950689757214</v>
      </c>
    </row>
    <row r="755" spans="2:25" x14ac:dyDescent="0.25">
      <c r="B755" s="159">
        <v>715</v>
      </c>
      <c r="C755" s="164">
        <v>343239637.0626626</v>
      </c>
      <c r="D755" s="159">
        <v>73946.156681766952</v>
      </c>
      <c r="E755" s="164">
        <v>7058134.6562288795</v>
      </c>
      <c r="F755" s="159">
        <v>0</v>
      </c>
      <c r="I755" s="159">
        <v>715</v>
      </c>
      <c r="J755" s="164">
        <v>343239637.0626626</v>
      </c>
      <c r="K755" s="159">
        <v>73946.156681766952</v>
      </c>
      <c r="L755" s="164">
        <v>7058134.6562288795</v>
      </c>
      <c r="M755" s="159">
        <v>0</v>
      </c>
      <c r="Q755" s="139">
        <v>715</v>
      </c>
      <c r="R755" s="164">
        <f t="shared" si="55"/>
        <v>864623204.35394001</v>
      </c>
      <c r="S755" s="164">
        <f t="shared" si="56"/>
        <v>-7058134.6562288795</v>
      </c>
      <c r="T755" s="159" t="str">
        <f t="shared" si="57"/>
        <v>TxPost-vaccination</v>
      </c>
      <c r="W755" s="139">
        <v>715</v>
      </c>
      <c r="X755" s="164">
        <f t="shared" si="58"/>
        <v>336181502.4064337</v>
      </c>
      <c r="Y755" s="159">
        <f t="shared" si="58"/>
        <v>73946.156681766952</v>
      </c>
    </row>
    <row r="756" spans="2:25" x14ac:dyDescent="0.25">
      <c r="B756" s="159">
        <v>716</v>
      </c>
      <c r="C756" s="164">
        <v>312190109.71865386</v>
      </c>
      <c r="D756" s="159">
        <v>71694.590791192881</v>
      </c>
      <c r="E756" s="164">
        <v>6353583.2372237658</v>
      </c>
      <c r="F756" s="159">
        <v>0</v>
      </c>
      <c r="I756" s="159">
        <v>716</v>
      </c>
      <c r="J756" s="164">
        <v>312190109.71865386</v>
      </c>
      <c r="K756" s="159">
        <v>71694.590791192881</v>
      </c>
      <c r="L756" s="164">
        <v>6353583.2372237658</v>
      </c>
      <c r="M756" s="159">
        <v>0</v>
      </c>
      <c r="Q756" s="139">
        <v>716</v>
      </c>
      <c r="R756" s="164">
        <f t="shared" si="55"/>
        <v>858894853.08649588</v>
      </c>
      <c r="S756" s="164">
        <f t="shared" si="56"/>
        <v>-6353583.2372237658</v>
      </c>
      <c r="T756" s="159" t="str">
        <f t="shared" si="57"/>
        <v>TxPost-vaccination</v>
      </c>
      <c r="W756" s="139">
        <v>716</v>
      </c>
      <c r="X756" s="164">
        <f t="shared" si="58"/>
        <v>305836526.48143011</v>
      </c>
      <c r="Y756" s="159">
        <f t="shared" si="58"/>
        <v>71694.590791192881</v>
      </c>
    </row>
    <row r="757" spans="2:25" x14ac:dyDescent="0.25">
      <c r="B757" s="159">
        <v>717</v>
      </c>
      <c r="C757" s="164">
        <v>320276613.46083421</v>
      </c>
      <c r="D757" s="159">
        <v>41563.352515270512</v>
      </c>
      <c r="E757" s="164">
        <v>5627092.9788162895</v>
      </c>
      <c r="F757" s="159">
        <v>0</v>
      </c>
      <c r="I757" s="159">
        <v>717</v>
      </c>
      <c r="J757" s="164">
        <v>320276613.46083421</v>
      </c>
      <c r="K757" s="159">
        <v>41563.352515270512</v>
      </c>
      <c r="L757" s="164">
        <v>5627092.9788162895</v>
      </c>
      <c r="M757" s="159">
        <v>0</v>
      </c>
      <c r="Q757" s="139">
        <v>717</v>
      </c>
      <c r="R757" s="164">
        <f t="shared" si="55"/>
        <v>358633979.33638614</v>
      </c>
      <c r="S757" s="164">
        <f t="shared" si="56"/>
        <v>-5627092.9788162895</v>
      </c>
      <c r="T757" s="159" t="str">
        <f t="shared" si="57"/>
        <v>TxPost-vaccination</v>
      </c>
      <c r="W757" s="139">
        <v>717</v>
      </c>
      <c r="X757" s="164">
        <f t="shared" si="58"/>
        <v>314649520.48201793</v>
      </c>
      <c r="Y757" s="159">
        <f t="shared" si="58"/>
        <v>41563.352515270512</v>
      </c>
    </row>
    <row r="758" spans="2:25" x14ac:dyDescent="0.25">
      <c r="B758" s="159">
        <v>718</v>
      </c>
      <c r="C758" s="164">
        <v>312904831.16578966</v>
      </c>
      <c r="D758" s="159">
        <v>87890.182032733355</v>
      </c>
      <c r="E758" s="164">
        <v>6969173.0249034828</v>
      </c>
      <c r="F758" s="159">
        <v>0</v>
      </c>
      <c r="I758" s="159">
        <v>718</v>
      </c>
      <c r="J758" s="164">
        <v>312904831.16578966</v>
      </c>
      <c r="K758" s="159">
        <v>87890.182032733355</v>
      </c>
      <c r="L758" s="164">
        <v>6969173.0249034828</v>
      </c>
      <c r="M758" s="159">
        <v>0</v>
      </c>
      <c r="Q758" s="139">
        <v>718</v>
      </c>
      <c r="R758" s="164">
        <f t="shared" si="55"/>
        <v>1122724683.1515603</v>
      </c>
      <c r="S758" s="164">
        <f t="shared" si="56"/>
        <v>-6969173.0249034828</v>
      </c>
      <c r="T758" s="159" t="str">
        <f t="shared" si="57"/>
        <v>TxPost-vaccination</v>
      </c>
      <c r="W758" s="139">
        <v>718</v>
      </c>
      <c r="X758" s="164">
        <f t="shared" si="58"/>
        <v>305935658.14088619</v>
      </c>
      <c r="Y758" s="159">
        <f t="shared" si="58"/>
        <v>87890.182032733355</v>
      </c>
    </row>
    <row r="759" spans="2:25" x14ac:dyDescent="0.25">
      <c r="B759" s="159">
        <v>719</v>
      </c>
      <c r="C759" s="164">
        <v>331003602.93875301</v>
      </c>
      <c r="D759" s="159">
        <v>163130.19775183054</v>
      </c>
      <c r="E759" s="164">
        <v>13302549.405878991</v>
      </c>
      <c r="F759" s="159">
        <v>0</v>
      </c>
      <c r="I759" s="159">
        <v>719</v>
      </c>
      <c r="J759" s="164">
        <v>331003602.93875301</v>
      </c>
      <c r="K759" s="159">
        <v>163130.19775183054</v>
      </c>
      <c r="L759" s="164">
        <v>13302549.405878991</v>
      </c>
      <c r="M759" s="159">
        <v>0</v>
      </c>
      <c r="Q759" s="139">
        <v>719</v>
      </c>
      <c r="R759" s="164">
        <f t="shared" si="55"/>
        <v>2333623106.8083215</v>
      </c>
      <c r="S759" s="164">
        <f t="shared" si="56"/>
        <v>-13302549.405878991</v>
      </c>
      <c r="T759" s="159" t="str">
        <f t="shared" si="57"/>
        <v>TxPost-vaccination</v>
      </c>
      <c r="W759" s="139">
        <v>719</v>
      </c>
      <c r="X759" s="164">
        <f t="shared" si="58"/>
        <v>317701053.53287399</v>
      </c>
      <c r="Y759" s="159">
        <f t="shared" si="58"/>
        <v>163130.19775183054</v>
      </c>
    </row>
    <row r="760" spans="2:25" x14ac:dyDescent="0.25">
      <c r="B760" s="159">
        <v>720</v>
      </c>
      <c r="C760" s="164">
        <v>323177310.89823157</v>
      </c>
      <c r="D760" s="159">
        <v>74712.599053866637</v>
      </c>
      <c r="E760" s="164">
        <v>7231794.0082508167</v>
      </c>
      <c r="F760" s="159">
        <v>0</v>
      </c>
      <c r="I760" s="159">
        <v>720</v>
      </c>
      <c r="J760" s="164">
        <v>323177310.89823157</v>
      </c>
      <c r="K760" s="159">
        <v>74712.599053866637</v>
      </c>
      <c r="L760" s="164">
        <v>7231794.0082508167</v>
      </c>
      <c r="M760" s="159">
        <v>0</v>
      </c>
      <c r="Q760" s="139">
        <v>720</v>
      </c>
      <c r="R760" s="164">
        <f t="shared" si="55"/>
        <v>897204873.00875211</v>
      </c>
      <c r="S760" s="164">
        <f t="shared" si="56"/>
        <v>-7231794.0082508167</v>
      </c>
      <c r="T760" s="159" t="str">
        <f t="shared" si="57"/>
        <v>TxPost-vaccination</v>
      </c>
      <c r="W760" s="139">
        <v>720</v>
      </c>
      <c r="X760" s="164">
        <f t="shared" si="58"/>
        <v>315945516.88998073</v>
      </c>
      <c r="Y760" s="159">
        <f t="shared" si="58"/>
        <v>74712.599053866637</v>
      </c>
    </row>
    <row r="761" spans="2:25" x14ac:dyDescent="0.25">
      <c r="B761" s="159">
        <v>721</v>
      </c>
      <c r="C761" s="164">
        <v>309373899.66133159</v>
      </c>
      <c r="D761" s="159">
        <v>60307.273123172701</v>
      </c>
      <c r="E761" s="164">
        <v>5155871.5705384063</v>
      </c>
      <c r="F761" s="159">
        <v>0</v>
      </c>
      <c r="I761" s="159">
        <v>721</v>
      </c>
      <c r="J761" s="164">
        <v>309373899.66133159</v>
      </c>
      <c r="K761" s="159">
        <v>60307.273123172701</v>
      </c>
      <c r="L761" s="164">
        <v>5155871.5705384063</v>
      </c>
      <c r="M761" s="159">
        <v>0</v>
      </c>
      <c r="Q761" s="139">
        <v>721</v>
      </c>
      <c r="R761" s="164">
        <f t="shared" si="55"/>
        <v>675706563.49414587</v>
      </c>
      <c r="S761" s="164">
        <f t="shared" si="56"/>
        <v>-5155871.5705384063</v>
      </c>
      <c r="T761" s="159" t="str">
        <f t="shared" si="57"/>
        <v>TxPost-vaccination</v>
      </c>
      <c r="W761" s="139">
        <v>721</v>
      </c>
      <c r="X761" s="164">
        <f t="shared" si="58"/>
        <v>304218028.09079319</v>
      </c>
      <c r="Y761" s="159">
        <f t="shared" si="58"/>
        <v>60307.273123172701</v>
      </c>
    </row>
    <row r="762" spans="2:25" x14ac:dyDescent="0.25">
      <c r="B762" s="159">
        <v>722</v>
      </c>
      <c r="C762" s="164">
        <v>324142004.56726432</v>
      </c>
      <c r="D762" s="159">
        <v>146039.0167778857</v>
      </c>
      <c r="E762" s="164">
        <v>10995567.47357991</v>
      </c>
      <c r="F762" s="159">
        <v>0</v>
      </c>
      <c r="I762" s="159">
        <v>722</v>
      </c>
      <c r="J762" s="164">
        <v>324142004.56726432</v>
      </c>
      <c r="K762" s="159">
        <v>146039.0167778857</v>
      </c>
      <c r="L762" s="164">
        <v>10995567.47357991</v>
      </c>
      <c r="M762" s="159">
        <v>0</v>
      </c>
      <c r="Q762" s="139">
        <v>722</v>
      </c>
      <c r="R762" s="164">
        <f t="shared" si="55"/>
        <v>2061311272.2291753</v>
      </c>
      <c r="S762" s="164">
        <f t="shared" si="56"/>
        <v>-10995567.47357991</v>
      </c>
      <c r="T762" s="159" t="str">
        <f t="shared" si="57"/>
        <v>TxPost-vaccination</v>
      </c>
      <c r="W762" s="139">
        <v>722</v>
      </c>
      <c r="X762" s="164">
        <f t="shared" si="58"/>
        <v>313146437.09368443</v>
      </c>
      <c r="Y762" s="159">
        <f t="shared" si="58"/>
        <v>146039.0167778857</v>
      </c>
    </row>
    <row r="763" spans="2:25" x14ac:dyDescent="0.25">
      <c r="B763" s="159">
        <v>723</v>
      </c>
      <c r="C763" s="164">
        <v>303726824.00265795</v>
      </c>
      <c r="D763" s="159">
        <v>99676.86318550061</v>
      </c>
      <c r="E763" s="164">
        <v>9265718.2590391915</v>
      </c>
      <c r="F763" s="159">
        <v>0</v>
      </c>
      <c r="I763" s="159">
        <v>723</v>
      </c>
      <c r="J763" s="164">
        <v>303726824.00265795</v>
      </c>
      <c r="K763" s="159">
        <v>99676.86318550061</v>
      </c>
      <c r="L763" s="164">
        <v>9265718.2590391915</v>
      </c>
      <c r="M763" s="159">
        <v>0</v>
      </c>
      <c r="Q763" s="139">
        <v>723</v>
      </c>
      <c r="R763" s="164">
        <f t="shared" si="55"/>
        <v>1324430535.2616808</v>
      </c>
      <c r="S763" s="164">
        <f t="shared" si="56"/>
        <v>-9265718.2590391915</v>
      </c>
      <c r="T763" s="159" t="str">
        <f t="shared" si="57"/>
        <v>TxPost-vaccination</v>
      </c>
      <c r="W763" s="139">
        <v>723</v>
      </c>
      <c r="X763" s="164">
        <f t="shared" si="58"/>
        <v>294461105.74361879</v>
      </c>
      <c r="Y763" s="159">
        <f t="shared" si="58"/>
        <v>99676.86318550061</v>
      </c>
    </row>
    <row r="764" spans="2:25" x14ac:dyDescent="0.25">
      <c r="B764" s="159">
        <v>724</v>
      </c>
      <c r="C764" s="164">
        <v>280203160.66482443</v>
      </c>
      <c r="D764" s="159">
        <v>37158.042147164524</v>
      </c>
      <c r="E764" s="164">
        <v>4742090.5455045635</v>
      </c>
      <c r="F764" s="159">
        <v>0</v>
      </c>
      <c r="I764" s="159">
        <v>724</v>
      </c>
      <c r="J764" s="164">
        <v>280203160.66482443</v>
      </c>
      <c r="K764" s="159">
        <v>37158.042147164524</v>
      </c>
      <c r="L764" s="164">
        <v>4742090.5455045635</v>
      </c>
      <c r="M764" s="159">
        <v>0</v>
      </c>
      <c r="Q764" s="139">
        <v>724</v>
      </c>
      <c r="R764" s="164">
        <f t="shared" si="55"/>
        <v>326749524.68573982</v>
      </c>
      <c r="S764" s="164">
        <f t="shared" si="56"/>
        <v>-4742090.5455045635</v>
      </c>
      <c r="T764" s="159" t="str">
        <f t="shared" si="57"/>
        <v>TxPost-vaccination</v>
      </c>
      <c r="W764" s="139">
        <v>724</v>
      </c>
      <c r="X764" s="164">
        <f t="shared" si="58"/>
        <v>275461070.11931986</v>
      </c>
      <c r="Y764" s="159">
        <f t="shared" si="58"/>
        <v>37158.042147164524</v>
      </c>
    </row>
    <row r="765" spans="2:25" x14ac:dyDescent="0.25">
      <c r="B765" s="159">
        <v>725</v>
      </c>
      <c r="C765" s="164">
        <v>312851768.98409176</v>
      </c>
      <c r="D765" s="159">
        <v>138521.88600213395</v>
      </c>
      <c r="E765" s="164">
        <v>11442214.408894029</v>
      </c>
      <c r="F765" s="159">
        <v>0</v>
      </c>
      <c r="I765" s="159">
        <v>725</v>
      </c>
      <c r="J765" s="164">
        <v>312851768.98409176</v>
      </c>
      <c r="K765" s="159">
        <v>138521.88600213395</v>
      </c>
      <c r="L765" s="164">
        <v>11442214.408894029</v>
      </c>
      <c r="M765" s="159">
        <v>0</v>
      </c>
      <c r="Q765" s="139">
        <v>725</v>
      </c>
      <c r="R765" s="164">
        <f t="shared" si="55"/>
        <v>1949814018.2992048</v>
      </c>
      <c r="S765" s="164">
        <f t="shared" si="56"/>
        <v>-11442214.408894029</v>
      </c>
      <c r="T765" s="159" t="str">
        <f t="shared" si="57"/>
        <v>TxPost-vaccination</v>
      </c>
      <c r="W765" s="139">
        <v>725</v>
      </c>
      <c r="X765" s="164">
        <f t="shared" si="58"/>
        <v>301409554.57519776</v>
      </c>
      <c r="Y765" s="159">
        <f t="shared" si="58"/>
        <v>138521.88600213395</v>
      </c>
    </row>
    <row r="766" spans="2:25" x14ac:dyDescent="0.25">
      <c r="B766" s="159">
        <v>726</v>
      </c>
      <c r="C766" s="164">
        <v>309264433.7658726</v>
      </c>
      <c r="D766" s="159">
        <v>78253.132018574601</v>
      </c>
      <c r="E766" s="164">
        <v>8074638.0211320342</v>
      </c>
      <c r="F766" s="159">
        <v>0</v>
      </c>
      <c r="I766" s="159">
        <v>726</v>
      </c>
      <c r="J766" s="164">
        <v>309264433.7658726</v>
      </c>
      <c r="K766" s="159">
        <v>78253.132018574601</v>
      </c>
      <c r="L766" s="164">
        <v>8074638.0211320342</v>
      </c>
      <c r="M766" s="159">
        <v>0</v>
      </c>
      <c r="Q766" s="139">
        <v>726</v>
      </c>
      <c r="R766" s="164">
        <f t="shared" si="55"/>
        <v>968950075.69773805</v>
      </c>
      <c r="S766" s="164">
        <f t="shared" si="56"/>
        <v>-8074638.0211320342</v>
      </c>
      <c r="T766" s="159" t="str">
        <f t="shared" si="57"/>
        <v>TxPost-vaccination</v>
      </c>
      <c r="W766" s="139">
        <v>726</v>
      </c>
      <c r="X766" s="164">
        <f t="shared" si="58"/>
        <v>301189795.74474055</v>
      </c>
      <c r="Y766" s="159">
        <f t="shared" si="58"/>
        <v>78253.132018574601</v>
      </c>
    </row>
    <row r="767" spans="2:25" x14ac:dyDescent="0.25">
      <c r="B767" s="159">
        <v>727</v>
      </c>
      <c r="C767" s="164">
        <v>299474966.54505491</v>
      </c>
      <c r="D767" s="159">
        <v>106393.22388181897</v>
      </c>
      <c r="E767" s="164">
        <v>9035231.1801730115</v>
      </c>
      <c r="F767" s="159">
        <v>0</v>
      </c>
      <c r="I767" s="159">
        <v>727</v>
      </c>
      <c r="J767" s="164">
        <v>299474966.54505491</v>
      </c>
      <c r="K767" s="159">
        <v>106393.22388181897</v>
      </c>
      <c r="L767" s="164">
        <v>9035231.1801730115</v>
      </c>
      <c r="M767" s="159">
        <v>0</v>
      </c>
      <c r="Q767" s="139">
        <v>727</v>
      </c>
      <c r="R767" s="164">
        <f t="shared" si="55"/>
        <v>1438389818.752883</v>
      </c>
      <c r="S767" s="164">
        <f t="shared" si="56"/>
        <v>-9035231.1801730115</v>
      </c>
      <c r="T767" s="159" t="str">
        <f t="shared" si="57"/>
        <v>TxPost-vaccination</v>
      </c>
      <c r="W767" s="139">
        <v>727</v>
      </c>
      <c r="X767" s="164">
        <f t="shared" si="58"/>
        <v>290439735.36488187</v>
      </c>
      <c r="Y767" s="159">
        <f t="shared" si="58"/>
        <v>106393.22388181897</v>
      </c>
    </row>
    <row r="768" spans="2:25" x14ac:dyDescent="0.25">
      <c r="B768" s="159">
        <v>728</v>
      </c>
      <c r="C768" s="164">
        <v>297638506.17104501</v>
      </c>
      <c r="D768" s="159">
        <v>96670.592040397722</v>
      </c>
      <c r="E768" s="164">
        <v>8681843.6750281677</v>
      </c>
      <c r="F768" s="159">
        <v>0</v>
      </c>
      <c r="I768" s="159">
        <v>728</v>
      </c>
      <c r="J768" s="164">
        <v>297638506.17104501</v>
      </c>
      <c r="K768" s="159">
        <v>96670.592040397722</v>
      </c>
      <c r="L768" s="164">
        <v>8681843.6750281677</v>
      </c>
      <c r="M768" s="159">
        <v>0</v>
      </c>
      <c r="Q768" s="139">
        <v>728</v>
      </c>
      <c r="R768" s="164">
        <f t="shared" si="55"/>
        <v>1281413350.24722</v>
      </c>
      <c r="S768" s="164">
        <f t="shared" si="56"/>
        <v>-8681843.6750281677</v>
      </c>
      <c r="T768" s="159" t="str">
        <f t="shared" si="57"/>
        <v>TxPost-vaccination</v>
      </c>
      <c r="W768" s="139">
        <v>728</v>
      </c>
      <c r="X768" s="164">
        <f t="shared" si="58"/>
        <v>288956662.49601686</v>
      </c>
      <c r="Y768" s="159">
        <f t="shared" si="58"/>
        <v>96670.592040397722</v>
      </c>
    </row>
    <row r="769" spans="2:25" x14ac:dyDescent="0.25">
      <c r="B769" s="159">
        <v>729</v>
      </c>
      <c r="C769" s="164">
        <v>311815902.37372899</v>
      </c>
      <c r="D769" s="159">
        <v>143013.39925153594</v>
      </c>
      <c r="E769" s="164">
        <v>12124393.734147888</v>
      </c>
      <c r="F769" s="159">
        <v>0</v>
      </c>
      <c r="I769" s="159">
        <v>729</v>
      </c>
      <c r="J769" s="164">
        <v>311815902.37372899</v>
      </c>
      <c r="K769" s="159">
        <v>143013.39925153594</v>
      </c>
      <c r="L769" s="164">
        <v>12124393.734147888</v>
      </c>
      <c r="M769" s="159">
        <v>0</v>
      </c>
      <c r="Q769" s="139">
        <v>729</v>
      </c>
      <c r="R769" s="164">
        <f t="shared" si="55"/>
        <v>2024215860.89978</v>
      </c>
      <c r="S769" s="164">
        <f t="shared" si="56"/>
        <v>-12124393.734147888</v>
      </c>
      <c r="T769" s="159" t="str">
        <f t="shared" si="57"/>
        <v>TxPost-vaccination</v>
      </c>
      <c r="W769" s="139">
        <v>729</v>
      </c>
      <c r="X769" s="164">
        <f t="shared" si="58"/>
        <v>299691508.63958108</v>
      </c>
      <c r="Y769" s="159">
        <f t="shared" si="58"/>
        <v>143013.39925153594</v>
      </c>
    </row>
    <row r="770" spans="2:25" x14ac:dyDescent="0.25">
      <c r="B770" s="159">
        <v>730</v>
      </c>
      <c r="C770" s="164">
        <v>313544220.70829737</v>
      </c>
      <c r="D770" s="159">
        <v>66025.468962335071</v>
      </c>
      <c r="E770" s="164">
        <v>6094072.9712417675</v>
      </c>
      <c r="F770" s="159">
        <v>0</v>
      </c>
      <c r="I770" s="159">
        <v>730</v>
      </c>
      <c r="J770" s="164">
        <v>313544220.70829737</v>
      </c>
      <c r="K770" s="159">
        <v>66025.468962335071</v>
      </c>
      <c r="L770" s="164">
        <v>6094072.9712417675</v>
      </c>
      <c r="M770" s="159">
        <v>0</v>
      </c>
      <c r="Q770" s="139">
        <v>730</v>
      </c>
      <c r="R770" s="164">
        <f t="shared" si="55"/>
        <v>764939288.44713914</v>
      </c>
      <c r="S770" s="164">
        <f t="shared" si="56"/>
        <v>-6094072.9712417675</v>
      </c>
      <c r="T770" s="159" t="str">
        <f t="shared" si="57"/>
        <v>TxPost-vaccination</v>
      </c>
      <c r="W770" s="139">
        <v>730</v>
      </c>
      <c r="X770" s="164">
        <f t="shared" si="58"/>
        <v>307450147.7370556</v>
      </c>
      <c r="Y770" s="159">
        <f t="shared" si="58"/>
        <v>66025.468962335071</v>
      </c>
    </row>
    <row r="771" spans="2:25" x14ac:dyDescent="0.25">
      <c r="B771" s="159">
        <v>731</v>
      </c>
      <c r="C771" s="164">
        <v>312276376.09358478</v>
      </c>
      <c r="D771" s="159">
        <v>114533.34158594551</v>
      </c>
      <c r="E771" s="164">
        <v>8996436.8642719481</v>
      </c>
      <c r="F771" s="159">
        <v>0</v>
      </c>
      <c r="I771" s="159">
        <v>731</v>
      </c>
      <c r="J771" s="164">
        <v>312276376.09358478</v>
      </c>
      <c r="K771" s="159">
        <v>114533.34158594551</v>
      </c>
      <c r="L771" s="164">
        <v>8996436.8642719481</v>
      </c>
      <c r="M771" s="159">
        <v>0</v>
      </c>
      <c r="Q771" s="139">
        <v>731</v>
      </c>
      <c r="R771" s="164">
        <f t="shared" si="55"/>
        <v>1558551988.932848</v>
      </c>
      <c r="S771" s="164">
        <f t="shared" si="56"/>
        <v>-8996436.8642719481</v>
      </c>
      <c r="T771" s="159" t="str">
        <f t="shared" si="57"/>
        <v>TxPost-vaccination</v>
      </c>
      <c r="W771" s="139">
        <v>731</v>
      </c>
      <c r="X771" s="164">
        <f t="shared" si="58"/>
        <v>303279939.22931284</v>
      </c>
      <c r="Y771" s="159">
        <f t="shared" si="58"/>
        <v>114533.34158594551</v>
      </c>
    </row>
    <row r="772" spans="2:25" x14ac:dyDescent="0.25">
      <c r="B772" s="159">
        <v>732</v>
      </c>
      <c r="C772" s="164">
        <v>287137702.50660694</v>
      </c>
      <c r="D772" s="159">
        <v>83388.81536333423</v>
      </c>
      <c r="E772" s="164">
        <v>7371091.3571501868</v>
      </c>
      <c r="F772" s="159">
        <v>0</v>
      </c>
      <c r="I772" s="159">
        <v>732</v>
      </c>
      <c r="J772" s="164">
        <v>287137702.50660694</v>
      </c>
      <c r="K772" s="159">
        <v>83388.81536333423</v>
      </c>
      <c r="L772" s="164">
        <v>7371091.3571501868</v>
      </c>
      <c r="M772" s="159">
        <v>0</v>
      </c>
      <c r="Q772" s="139">
        <v>732</v>
      </c>
      <c r="R772" s="164">
        <f t="shared" si="55"/>
        <v>1074964886.5513663</v>
      </c>
      <c r="S772" s="164">
        <f t="shared" si="56"/>
        <v>-7371091.3571501868</v>
      </c>
      <c r="T772" s="159" t="str">
        <f t="shared" si="57"/>
        <v>TxPost-vaccination</v>
      </c>
      <c r="W772" s="139">
        <v>732</v>
      </c>
      <c r="X772" s="164">
        <f t="shared" si="58"/>
        <v>279766611.14945674</v>
      </c>
      <c r="Y772" s="159">
        <f t="shared" si="58"/>
        <v>83388.81536333423</v>
      </c>
    </row>
    <row r="773" spans="2:25" x14ac:dyDescent="0.25">
      <c r="B773" s="159">
        <v>733</v>
      </c>
      <c r="C773" s="164">
        <v>329592469.86533475</v>
      </c>
      <c r="D773" s="159">
        <v>90791.149206762115</v>
      </c>
      <c r="E773" s="164">
        <v>7544478.5559510682</v>
      </c>
      <c r="F773" s="159">
        <v>0</v>
      </c>
      <c r="I773" s="159">
        <v>733</v>
      </c>
      <c r="J773" s="164">
        <v>329592469.86533475</v>
      </c>
      <c r="K773" s="159">
        <v>90791.149206762115</v>
      </c>
      <c r="L773" s="164">
        <v>7544478.5559510682</v>
      </c>
      <c r="M773" s="159">
        <v>0</v>
      </c>
      <c r="Q773" s="139">
        <v>733</v>
      </c>
      <c r="R773" s="164">
        <f t="shared" si="55"/>
        <v>1153422474.7558277</v>
      </c>
      <c r="S773" s="164">
        <f t="shared" si="56"/>
        <v>-7544478.5559510682</v>
      </c>
      <c r="T773" s="159" t="str">
        <f t="shared" si="57"/>
        <v>TxPost-vaccination</v>
      </c>
      <c r="W773" s="139">
        <v>733</v>
      </c>
      <c r="X773" s="164">
        <f t="shared" si="58"/>
        <v>322047991.30938369</v>
      </c>
      <c r="Y773" s="159">
        <f t="shared" si="58"/>
        <v>90791.149206762115</v>
      </c>
    </row>
    <row r="774" spans="2:25" x14ac:dyDescent="0.25">
      <c r="B774" s="159">
        <v>734</v>
      </c>
      <c r="C774" s="164">
        <v>313534497.74665421</v>
      </c>
      <c r="D774" s="159">
        <v>101810.14997343012</v>
      </c>
      <c r="E774" s="164">
        <v>8433572.0570560712</v>
      </c>
      <c r="F774" s="159">
        <v>0</v>
      </c>
      <c r="I774" s="159">
        <v>734</v>
      </c>
      <c r="J774" s="164">
        <v>313534497.74665421</v>
      </c>
      <c r="K774" s="159">
        <v>101810.14997343012</v>
      </c>
      <c r="L774" s="164">
        <v>8433572.0570560712</v>
      </c>
      <c r="M774" s="159">
        <v>0</v>
      </c>
      <c r="Q774" s="139">
        <v>734</v>
      </c>
      <c r="R774" s="164">
        <f t="shared" si="55"/>
        <v>1349468727.1698258</v>
      </c>
      <c r="S774" s="164">
        <f t="shared" si="56"/>
        <v>-8433572.0570560712</v>
      </c>
      <c r="T774" s="159" t="str">
        <f t="shared" si="57"/>
        <v>TxPost-vaccination</v>
      </c>
      <c r="W774" s="139">
        <v>734</v>
      </c>
      <c r="X774" s="164">
        <f t="shared" si="58"/>
        <v>305100925.68959814</v>
      </c>
      <c r="Y774" s="159">
        <f t="shared" si="58"/>
        <v>101810.14997343012</v>
      </c>
    </row>
    <row r="775" spans="2:25" x14ac:dyDescent="0.25">
      <c r="B775" s="159">
        <v>735</v>
      </c>
      <c r="C775" s="164">
        <v>276688680.48424065</v>
      </c>
      <c r="D775" s="159">
        <v>161949.88682324727</v>
      </c>
      <c r="E775" s="164">
        <v>13626657.913395017</v>
      </c>
      <c r="F775" s="159">
        <v>0</v>
      </c>
      <c r="I775" s="159">
        <v>735</v>
      </c>
      <c r="J775" s="164">
        <v>276688680.48424065</v>
      </c>
      <c r="K775" s="159">
        <v>161949.88682324727</v>
      </c>
      <c r="L775" s="164">
        <v>13626657.913395017</v>
      </c>
      <c r="M775" s="159">
        <v>0</v>
      </c>
      <c r="Q775" s="139">
        <v>735</v>
      </c>
      <c r="R775" s="164">
        <f t="shared" si="55"/>
        <v>2368658410.4708924</v>
      </c>
      <c r="S775" s="164">
        <f t="shared" si="56"/>
        <v>-13626657.913395017</v>
      </c>
      <c r="T775" s="159" t="str">
        <f t="shared" si="57"/>
        <v>TxPost-vaccination</v>
      </c>
      <c r="W775" s="139">
        <v>735</v>
      </c>
      <c r="X775" s="164">
        <f t="shared" si="58"/>
        <v>263062022.57084563</v>
      </c>
      <c r="Y775" s="159">
        <f t="shared" si="58"/>
        <v>161949.88682324727</v>
      </c>
    </row>
    <row r="776" spans="2:25" x14ac:dyDescent="0.25">
      <c r="B776" s="159">
        <v>736</v>
      </c>
      <c r="C776" s="164">
        <v>288117973.33270365</v>
      </c>
      <c r="D776" s="159">
        <v>160398.84574862552</v>
      </c>
      <c r="E776" s="164">
        <v>12598865.374956224</v>
      </c>
      <c r="F776" s="159">
        <v>0</v>
      </c>
      <c r="I776" s="159">
        <v>736</v>
      </c>
      <c r="J776" s="164">
        <v>288117973.33270365</v>
      </c>
      <c r="K776" s="159">
        <v>160398.84574862552</v>
      </c>
      <c r="L776" s="164">
        <v>12598865.374956224</v>
      </c>
      <c r="M776" s="159">
        <v>0</v>
      </c>
      <c r="Q776" s="139">
        <v>736</v>
      </c>
      <c r="R776" s="164">
        <f t="shared" si="55"/>
        <v>2331893860.6785288</v>
      </c>
      <c r="S776" s="164">
        <f t="shared" si="56"/>
        <v>-12598865.374956224</v>
      </c>
      <c r="T776" s="159" t="str">
        <f t="shared" si="57"/>
        <v>TxPost-vaccination</v>
      </c>
      <c r="W776" s="139">
        <v>736</v>
      </c>
      <c r="X776" s="164">
        <f t="shared" si="58"/>
        <v>275519107.9577474</v>
      </c>
      <c r="Y776" s="159">
        <f t="shared" si="58"/>
        <v>160398.84574862552</v>
      </c>
    </row>
    <row r="777" spans="2:25" x14ac:dyDescent="0.25">
      <c r="B777" s="159">
        <v>737</v>
      </c>
      <c r="C777" s="164">
        <v>298966009.73692632</v>
      </c>
      <c r="D777" s="159">
        <v>159640.2638850502</v>
      </c>
      <c r="E777" s="164">
        <v>11360911.549857527</v>
      </c>
      <c r="F777" s="159">
        <v>0</v>
      </c>
      <c r="I777" s="159">
        <v>737</v>
      </c>
      <c r="J777" s="164">
        <v>298966009.73692632</v>
      </c>
      <c r="K777" s="159">
        <v>159640.2638850502</v>
      </c>
      <c r="L777" s="164">
        <v>11360911.549857527</v>
      </c>
      <c r="M777" s="159">
        <v>0</v>
      </c>
      <c r="Q777" s="139">
        <v>737</v>
      </c>
      <c r="R777" s="164">
        <f t="shared" si="55"/>
        <v>2308654878.1277962</v>
      </c>
      <c r="S777" s="164">
        <f t="shared" si="56"/>
        <v>-11360911.549857527</v>
      </c>
      <c r="T777" s="159" t="str">
        <f t="shared" si="57"/>
        <v>TxPost-vaccination</v>
      </c>
      <c r="W777" s="139">
        <v>737</v>
      </c>
      <c r="X777" s="164">
        <f t="shared" si="58"/>
        <v>287605098.18706882</v>
      </c>
      <c r="Y777" s="159">
        <f t="shared" si="58"/>
        <v>159640.2638850502</v>
      </c>
    </row>
    <row r="778" spans="2:25" x14ac:dyDescent="0.25">
      <c r="B778" s="159">
        <v>738</v>
      </c>
      <c r="C778" s="164">
        <v>302762359.73090047</v>
      </c>
      <c r="D778" s="159">
        <v>83671.937207725423</v>
      </c>
      <c r="E778" s="164">
        <v>6877352.1622369429</v>
      </c>
      <c r="F778" s="159">
        <v>0</v>
      </c>
      <c r="I778" s="159">
        <v>738</v>
      </c>
      <c r="J778" s="164">
        <v>302762359.73090047</v>
      </c>
      <c r="K778" s="159">
        <v>83671.937207725423</v>
      </c>
      <c r="L778" s="164">
        <v>6877352.1622369429</v>
      </c>
      <c r="M778" s="159">
        <v>0</v>
      </c>
      <c r="Q778" s="139">
        <v>738</v>
      </c>
      <c r="R778" s="164">
        <f t="shared" si="55"/>
        <v>1063964842.2992544</v>
      </c>
      <c r="S778" s="164">
        <f t="shared" si="56"/>
        <v>-6877352.1622369429</v>
      </c>
      <c r="T778" s="159" t="str">
        <f t="shared" si="57"/>
        <v>TxPost-vaccination</v>
      </c>
      <c r="W778" s="139">
        <v>738</v>
      </c>
      <c r="X778" s="164">
        <f t="shared" si="58"/>
        <v>295885007.56866354</v>
      </c>
      <c r="Y778" s="159">
        <f t="shared" si="58"/>
        <v>83671.937207725423</v>
      </c>
    </row>
    <row r="779" spans="2:25" x14ac:dyDescent="0.25">
      <c r="B779" s="159">
        <v>739</v>
      </c>
      <c r="C779" s="164">
        <v>344543951.63129258</v>
      </c>
      <c r="D779" s="159">
        <v>102780.64172964286</v>
      </c>
      <c r="E779" s="164">
        <v>8433397.0764300078</v>
      </c>
      <c r="F779" s="159">
        <v>0</v>
      </c>
      <c r="I779" s="159">
        <v>739</v>
      </c>
      <c r="J779" s="164">
        <v>344543951.63129258</v>
      </c>
      <c r="K779" s="159">
        <v>102780.64172964286</v>
      </c>
      <c r="L779" s="164">
        <v>8433397.0764300078</v>
      </c>
      <c r="M779" s="159">
        <v>0</v>
      </c>
      <c r="Q779" s="139">
        <v>739</v>
      </c>
      <c r="R779" s="164">
        <f t="shared" si="55"/>
        <v>1334311631.0388873</v>
      </c>
      <c r="S779" s="164">
        <f t="shared" si="56"/>
        <v>-8433397.0764300078</v>
      </c>
      <c r="T779" s="159" t="str">
        <f t="shared" si="57"/>
        <v>TxPost-vaccination</v>
      </c>
      <c r="W779" s="139">
        <v>739</v>
      </c>
      <c r="X779" s="164">
        <f t="shared" si="58"/>
        <v>336110554.55486256</v>
      </c>
      <c r="Y779" s="159">
        <f t="shared" si="58"/>
        <v>102780.64172964286</v>
      </c>
    </row>
    <row r="780" spans="2:25" x14ac:dyDescent="0.25">
      <c r="B780" s="159">
        <v>740</v>
      </c>
      <c r="C780" s="164">
        <v>333740041.93170279</v>
      </c>
      <c r="D780" s="159">
        <v>97886.177160023304</v>
      </c>
      <c r="E780" s="164">
        <v>8198654.8552613519</v>
      </c>
      <c r="F780" s="159">
        <v>0</v>
      </c>
      <c r="I780" s="159">
        <v>740</v>
      </c>
      <c r="J780" s="164">
        <v>333740041.93170279</v>
      </c>
      <c r="K780" s="159">
        <v>97886.177160023304</v>
      </c>
      <c r="L780" s="164">
        <v>8198654.8552613519</v>
      </c>
      <c r="M780" s="159">
        <v>0</v>
      </c>
      <c r="Q780" s="139">
        <v>740</v>
      </c>
      <c r="R780" s="164">
        <f t="shared" si="55"/>
        <v>1265167614.4694264</v>
      </c>
      <c r="S780" s="164">
        <f t="shared" si="56"/>
        <v>-8198654.8552613519</v>
      </c>
      <c r="T780" s="159" t="str">
        <f t="shared" si="57"/>
        <v>TxPost-vaccination</v>
      </c>
      <c r="W780" s="139">
        <v>740</v>
      </c>
      <c r="X780" s="164">
        <f t="shared" si="58"/>
        <v>325541387.07644147</v>
      </c>
      <c r="Y780" s="159">
        <f t="shared" si="58"/>
        <v>97886.177160023304</v>
      </c>
    </row>
    <row r="781" spans="2:25" x14ac:dyDescent="0.25">
      <c r="B781" s="159">
        <v>741</v>
      </c>
      <c r="C781" s="164">
        <v>295174263.8013795</v>
      </c>
      <c r="D781" s="159">
        <v>81261.39082535007</v>
      </c>
      <c r="E781" s="164">
        <v>6706464.3534535151</v>
      </c>
      <c r="F781" s="159">
        <v>0</v>
      </c>
      <c r="I781" s="159">
        <v>741</v>
      </c>
      <c r="J781" s="164">
        <v>295174263.8013795</v>
      </c>
      <c r="K781" s="159">
        <v>81261.39082535007</v>
      </c>
      <c r="L781" s="164">
        <v>6706464.3534535151</v>
      </c>
      <c r="M781" s="159">
        <v>0</v>
      </c>
      <c r="Q781" s="139">
        <v>741</v>
      </c>
      <c r="R781" s="164">
        <f t="shared" si="55"/>
        <v>1032178215.6814935</v>
      </c>
      <c r="S781" s="164">
        <f t="shared" si="56"/>
        <v>-6706464.3534535151</v>
      </c>
      <c r="T781" s="159" t="str">
        <f t="shared" si="57"/>
        <v>TxPost-vaccination</v>
      </c>
      <c r="W781" s="139">
        <v>741</v>
      </c>
      <c r="X781" s="164">
        <f t="shared" si="58"/>
        <v>288467799.44792598</v>
      </c>
      <c r="Y781" s="159">
        <f t="shared" si="58"/>
        <v>81261.39082535007</v>
      </c>
    </row>
    <row r="782" spans="2:25" x14ac:dyDescent="0.25">
      <c r="B782" s="159">
        <v>742</v>
      </c>
      <c r="C782" s="164">
        <v>301671794.99213761</v>
      </c>
      <c r="D782" s="159">
        <v>136583.52561689963</v>
      </c>
      <c r="E782" s="164">
        <v>11035694.255970232</v>
      </c>
      <c r="F782" s="159">
        <v>0</v>
      </c>
      <c r="I782" s="159">
        <v>742</v>
      </c>
      <c r="J782" s="164">
        <v>301671794.99213761</v>
      </c>
      <c r="K782" s="159">
        <v>136583.52561689963</v>
      </c>
      <c r="L782" s="164">
        <v>11035694.255970232</v>
      </c>
      <c r="M782" s="159">
        <v>0</v>
      </c>
      <c r="Q782" s="139">
        <v>742</v>
      </c>
      <c r="R782" s="164">
        <f t="shared" si="55"/>
        <v>1929332123.8768971</v>
      </c>
      <c r="S782" s="164">
        <f t="shared" si="56"/>
        <v>-11035694.255970232</v>
      </c>
      <c r="T782" s="159" t="str">
        <f t="shared" si="57"/>
        <v>TxPost-vaccination</v>
      </c>
      <c r="W782" s="139">
        <v>742</v>
      </c>
      <c r="X782" s="164">
        <f t="shared" si="58"/>
        <v>290636100.73616737</v>
      </c>
      <c r="Y782" s="159">
        <f t="shared" si="58"/>
        <v>136583.52561689963</v>
      </c>
    </row>
    <row r="783" spans="2:25" x14ac:dyDescent="0.25">
      <c r="B783" s="159">
        <v>743</v>
      </c>
      <c r="C783" s="164">
        <v>309608293.46376288</v>
      </c>
      <c r="D783" s="159">
        <v>77858.030595369535</v>
      </c>
      <c r="E783" s="164">
        <v>6877393.4614913166</v>
      </c>
      <c r="F783" s="159">
        <v>0</v>
      </c>
      <c r="I783" s="159">
        <v>743</v>
      </c>
      <c r="J783" s="164">
        <v>309608293.46376288</v>
      </c>
      <c r="K783" s="159">
        <v>77858.030595369535</v>
      </c>
      <c r="L783" s="164">
        <v>6877393.4614913166</v>
      </c>
      <c r="M783" s="159">
        <v>0</v>
      </c>
      <c r="Q783" s="139">
        <v>743</v>
      </c>
      <c r="R783" s="164">
        <f t="shared" si="55"/>
        <v>962152488.73266876</v>
      </c>
      <c r="S783" s="164">
        <f t="shared" si="56"/>
        <v>-6877393.4614913166</v>
      </c>
      <c r="T783" s="159" t="str">
        <f t="shared" si="57"/>
        <v>TxPost-vaccination</v>
      </c>
      <c r="W783" s="139">
        <v>743</v>
      </c>
      <c r="X783" s="164">
        <f t="shared" si="58"/>
        <v>302730900.00227153</v>
      </c>
      <c r="Y783" s="159">
        <f t="shared" si="58"/>
        <v>77858.030595369535</v>
      </c>
    </row>
    <row r="784" spans="2:25" x14ac:dyDescent="0.25">
      <c r="B784" s="159">
        <v>744</v>
      </c>
      <c r="C784" s="164">
        <v>304097667.35771453</v>
      </c>
      <c r="D784" s="159">
        <v>81943.204732822691</v>
      </c>
      <c r="E784" s="164">
        <v>7339815.3583911341</v>
      </c>
      <c r="F784" s="159">
        <v>0</v>
      </c>
      <c r="I784" s="159">
        <v>744</v>
      </c>
      <c r="J784" s="164">
        <v>304097667.35771453</v>
      </c>
      <c r="K784" s="159">
        <v>81943.204732822691</v>
      </c>
      <c r="L784" s="164">
        <v>7339815.3583911341</v>
      </c>
      <c r="M784" s="159">
        <v>0</v>
      </c>
      <c r="Q784" s="139">
        <v>744</v>
      </c>
      <c r="R784" s="164">
        <f t="shared" si="55"/>
        <v>1034391803.154204</v>
      </c>
      <c r="S784" s="164">
        <f t="shared" si="56"/>
        <v>-7339815.3583911341</v>
      </c>
      <c r="T784" s="159" t="str">
        <f t="shared" si="57"/>
        <v>TxPost-vaccination</v>
      </c>
      <c r="W784" s="139">
        <v>744</v>
      </c>
      <c r="X784" s="164">
        <f t="shared" si="58"/>
        <v>296757851.99932343</v>
      </c>
      <c r="Y784" s="159">
        <f t="shared" si="58"/>
        <v>81943.204732822691</v>
      </c>
    </row>
    <row r="785" spans="2:25" x14ac:dyDescent="0.25">
      <c r="B785" s="159">
        <v>745</v>
      </c>
      <c r="C785" s="164">
        <v>302746200.57671988</v>
      </c>
      <c r="D785" s="159">
        <v>67073.861700708017</v>
      </c>
      <c r="E785" s="164">
        <v>6710023.2153563397</v>
      </c>
      <c r="F785" s="159">
        <v>0</v>
      </c>
      <c r="I785" s="159">
        <v>745</v>
      </c>
      <c r="J785" s="164">
        <v>302746200.57671988</v>
      </c>
      <c r="K785" s="159">
        <v>67073.861700708017</v>
      </c>
      <c r="L785" s="164">
        <v>6710023.2153563397</v>
      </c>
      <c r="M785" s="159">
        <v>0</v>
      </c>
      <c r="Q785" s="139">
        <v>745</v>
      </c>
      <c r="R785" s="164">
        <f t="shared" si="55"/>
        <v>792862128.70075977</v>
      </c>
      <c r="S785" s="164">
        <f t="shared" si="56"/>
        <v>-6710023.2153563397</v>
      </c>
      <c r="T785" s="159" t="str">
        <f t="shared" si="57"/>
        <v>TxPost-vaccination</v>
      </c>
      <c r="W785" s="139">
        <v>745</v>
      </c>
      <c r="X785" s="164">
        <f t="shared" si="58"/>
        <v>296036177.36136353</v>
      </c>
      <c r="Y785" s="159">
        <f t="shared" si="58"/>
        <v>67073.861700708017</v>
      </c>
    </row>
    <row r="786" spans="2:25" x14ac:dyDescent="0.25">
      <c r="B786" s="159">
        <v>746</v>
      </c>
      <c r="C786" s="164">
        <v>303481218.34684986</v>
      </c>
      <c r="D786" s="159">
        <v>56866.361520142593</v>
      </c>
      <c r="E786" s="164">
        <v>6916942.2482971363</v>
      </c>
      <c r="F786" s="159">
        <v>0</v>
      </c>
      <c r="I786" s="159">
        <v>746</v>
      </c>
      <c r="J786" s="164">
        <v>303481218.34684986</v>
      </c>
      <c r="K786" s="159">
        <v>56866.361520142593</v>
      </c>
      <c r="L786" s="164">
        <v>6916942.2482971363</v>
      </c>
      <c r="M786" s="159">
        <v>0</v>
      </c>
      <c r="Q786" s="139">
        <v>746</v>
      </c>
      <c r="R786" s="164">
        <f t="shared" si="55"/>
        <v>625394170.02988529</v>
      </c>
      <c r="S786" s="164">
        <f t="shared" si="56"/>
        <v>-6916942.2482971363</v>
      </c>
      <c r="T786" s="159" t="str">
        <f t="shared" si="57"/>
        <v>TxPost-vaccination</v>
      </c>
      <c r="W786" s="139">
        <v>746</v>
      </c>
      <c r="X786" s="164">
        <f t="shared" si="58"/>
        <v>296564276.0985527</v>
      </c>
      <c r="Y786" s="159">
        <f t="shared" si="58"/>
        <v>56866.361520142593</v>
      </c>
    </row>
    <row r="787" spans="2:25" x14ac:dyDescent="0.25">
      <c r="B787" s="159">
        <v>747</v>
      </c>
      <c r="C787" s="164">
        <v>325998015.38875586</v>
      </c>
      <c r="D787" s="159">
        <v>109637.73042876768</v>
      </c>
      <c r="E787" s="164">
        <v>9606966.2495213319</v>
      </c>
      <c r="F787" s="159">
        <v>0</v>
      </c>
      <c r="I787" s="159">
        <v>747</v>
      </c>
      <c r="J787" s="164">
        <v>325998015.38875586</v>
      </c>
      <c r="K787" s="159">
        <v>109637.73042876768</v>
      </c>
      <c r="L787" s="164">
        <v>9606966.2495213319</v>
      </c>
      <c r="M787" s="159">
        <v>0</v>
      </c>
      <c r="Q787" s="139">
        <v>747</v>
      </c>
      <c r="R787" s="164">
        <f t="shared" si="55"/>
        <v>1464863694.5993674</v>
      </c>
      <c r="S787" s="164">
        <f t="shared" si="56"/>
        <v>-9606966.2495213319</v>
      </c>
      <c r="T787" s="159" t="str">
        <f t="shared" si="57"/>
        <v>TxPost-vaccination</v>
      </c>
      <c r="W787" s="139">
        <v>747</v>
      </c>
      <c r="X787" s="164">
        <f t="shared" si="58"/>
        <v>316391049.13923454</v>
      </c>
      <c r="Y787" s="159">
        <f t="shared" si="58"/>
        <v>109637.73042876768</v>
      </c>
    </row>
    <row r="788" spans="2:25" x14ac:dyDescent="0.25">
      <c r="B788" s="159">
        <v>748</v>
      </c>
      <c r="C788" s="164">
        <v>293392809.74160641</v>
      </c>
      <c r="D788" s="159">
        <v>94886.773566785705</v>
      </c>
      <c r="E788" s="164">
        <v>9510722.5179168209</v>
      </c>
      <c r="F788" s="159">
        <v>0</v>
      </c>
      <c r="I788" s="159">
        <v>748</v>
      </c>
      <c r="J788" s="164">
        <v>293392809.74160641</v>
      </c>
      <c r="K788" s="159">
        <v>94886.773566785705</v>
      </c>
      <c r="L788" s="164">
        <v>9510722.5179168209</v>
      </c>
      <c r="M788" s="159">
        <v>0</v>
      </c>
      <c r="Q788" s="139">
        <v>748</v>
      </c>
      <c r="R788" s="164">
        <f t="shared" si="55"/>
        <v>1256521520.8498471</v>
      </c>
      <c r="S788" s="164">
        <f t="shared" si="56"/>
        <v>-9510722.5179168209</v>
      </c>
      <c r="T788" s="159" t="str">
        <f t="shared" si="57"/>
        <v>TxPost-vaccination</v>
      </c>
      <c r="W788" s="139">
        <v>748</v>
      </c>
      <c r="X788" s="164">
        <f t="shared" si="58"/>
        <v>283882087.22368962</v>
      </c>
      <c r="Y788" s="159">
        <f t="shared" si="58"/>
        <v>94886.773566785705</v>
      </c>
    </row>
    <row r="789" spans="2:25" x14ac:dyDescent="0.25">
      <c r="B789" s="159">
        <v>749</v>
      </c>
      <c r="C789" s="164">
        <v>323573491.18629986</v>
      </c>
      <c r="D789" s="159">
        <v>129622.16668348787</v>
      </c>
      <c r="E789" s="164">
        <v>9588240.9019482192</v>
      </c>
      <c r="F789" s="159">
        <v>0</v>
      </c>
      <c r="I789" s="159">
        <v>749</v>
      </c>
      <c r="J789" s="164">
        <v>323573491.18629986</v>
      </c>
      <c r="K789" s="159">
        <v>129622.16668348787</v>
      </c>
      <c r="L789" s="164">
        <v>9588240.9019482192</v>
      </c>
      <c r="M789" s="159">
        <v>0</v>
      </c>
      <c r="Q789" s="139">
        <v>749</v>
      </c>
      <c r="R789" s="164">
        <f t="shared" si="55"/>
        <v>1793721113.2471294</v>
      </c>
      <c r="S789" s="164">
        <f t="shared" si="56"/>
        <v>-9588240.9019482192</v>
      </c>
      <c r="T789" s="159" t="str">
        <f t="shared" si="57"/>
        <v>TxPost-vaccination</v>
      </c>
      <c r="W789" s="139">
        <v>749</v>
      </c>
      <c r="X789" s="164">
        <f t="shared" si="58"/>
        <v>313985250.28435165</v>
      </c>
      <c r="Y789" s="159">
        <f t="shared" si="58"/>
        <v>129622.16668348787</v>
      </c>
    </row>
    <row r="790" spans="2:25" x14ac:dyDescent="0.25">
      <c r="B790" s="159">
        <v>750</v>
      </c>
      <c r="C790" s="164">
        <v>301371956.25099933</v>
      </c>
      <c r="D790" s="159">
        <v>113996.1535564902</v>
      </c>
      <c r="E790" s="164">
        <v>9830769.8484735768</v>
      </c>
      <c r="F790" s="159">
        <v>0</v>
      </c>
      <c r="I790" s="159">
        <v>750</v>
      </c>
      <c r="J790" s="164">
        <v>301371956.25099933</v>
      </c>
      <c r="K790" s="159">
        <v>113996.1535564902</v>
      </c>
      <c r="L790" s="164">
        <v>9830769.8484735768</v>
      </c>
      <c r="M790" s="159">
        <v>0</v>
      </c>
      <c r="Q790" s="139">
        <v>750</v>
      </c>
      <c r="R790" s="164">
        <f t="shared" si="55"/>
        <v>1560681788.3117189</v>
      </c>
      <c r="S790" s="164">
        <f t="shared" si="56"/>
        <v>-9830769.8484735768</v>
      </c>
      <c r="T790" s="159" t="str">
        <f t="shared" si="57"/>
        <v>TxPost-vaccination</v>
      </c>
      <c r="W790" s="139">
        <v>750</v>
      </c>
      <c r="X790" s="164">
        <f t="shared" si="58"/>
        <v>291541186.40252578</v>
      </c>
      <c r="Y790" s="159">
        <f t="shared" si="58"/>
        <v>113996.1535564902</v>
      </c>
    </row>
    <row r="791" spans="2:25" x14ac:dyDescent="0.25">
      <c r="B791" s="159">
        <v>751</v>
      </c>
      <c r="C791" s="164">
        <v>315156886.60121536</v>
      </c>
      <c r="D791" s="159">
        <v>64154.905282448999</v>
      </c>
      <c r="E791" s="164">
        <v>6284469.9595609233</v>
      </c>
      <c r="F791" s="159">
        <v>0</v>
      </c>
      <c r="I791" s="159">
        <v>751</v>
      </c>
      <c r="J791" s="164">
        <v>315156886.60121536</v>
      </c>
      <c r="K791" s="159">
        <v>64154.905282448999</v>
      </c>
      <c r="L791" s="164">
        <v>6284469.9595609233</v>
      </c>
      <c r="M791" s="159">
        <v>0</v>
      </c>
      <c r="Q791" s="139">
        <v>751</v>
      </c>
      <c r="R791" s="164">
        <f t="shared" si="55"/>
        <v>732772169.65464282</v>
      </c>
      <c r="S791" s="164">
        <f t="shared" si="56"/>
        <v>-6284469.9595609233</v>
      </c>
      <c r="T791" s="159" t="str">
        <f t="shared" si="57"/>
        <v>TxPost-vaccination</v>
      </c>
      <c r="W791" s="139">
        <v>751</v>
      </c>
      <c r="X791" s="164">
        <f t="shared" si="58"/>
        <v>308872416.64165443</v>
      </c>
      <c r="Y791" s="159">
        <f t="shared" si="58"/>
        <v>64154.905282448999</v>
      </c>
    </row>
    <row r="792" spans="2:25" x14ac:dyDescent="0.25">
      <c r="B792" s="159">
        <v>752</v>
      </c>
      <c r="C792" s="164">
        <v>299548135.43339974</v>
      </c>
      <c r="D792" s="159">
        <v>98641.312364576836</v>
      </c>
      <c r="E792" s="164">
        <v>9304179.8479215745</v>
      </c>
      <c r="F792" s="159">
        <v>0</v>
      </c>
      <c r="I792" s="159">
        <v>752</v>
      </c>
      <c r="J792" s="164">
        <v>299548135.43339974</v>
      </c>
      <c r="K792" s="159">
        <v>98641.312364576836</v>
      </c>
      <c r="L792" s="164">
        <v>9304179.8479215745</v>
      </c>
      <c r="M792" s="159">
        <v>0</v>
      </c>
      <c r="Q792" s="139">
        <v>752</v>
      </c>
      <c r="R792" s="164">
        <f t="shared" si="55"/>
        <v>1311694168.1590776</v>
      </c>
      <c r="S792" s="164">
        <f t="shared" si="56"/>
        <v>-9304179.8479215745</v>
      </c>
      <c r="T792" s="159" t="str">
        <f t="shared" si="57"/>
        <v>TxPost-vaccination</v>
      </c>
      <c r="W792" s="139">
        <v>752</v>
      </c>
      <c r="X792" s="164">
        <f t="shared" si="58"/>
        <v>290243955.58547819</v>
      </c>
      <c r="Y792" s="159">
        <f t="shared" si="58"/>
        <v>98641.312364576836</v>
      </c>
    </row>
    <row r="793" spans="2:25" x14ac:dyDescent="0.25">
      <c r="B793" s="159">
        <v>753</v>
      </c>
      <c r="C793" s="164">
        <v>325774319.08368987</v>
      </c>
      <c r="D793" s="159">
        <v>100785.08570255131</v>
      </c>
      <c r="E793" s="164">
        <v>8210647.1216811808</v>
      </c>
      <c r="F793" s="159">
        <v>0</v>
      </c>
      <c r="I793" s="159">
        <v>753</v>
      </c>
      <c r="J793" s="164">
        <v>325774319.08368987</v>
      </c>
      <c r="K793" s="159">
        <v>100785.08570255131</v>
      </c>
      <c r="L793" s="164">
        <v>8210647.1216811808</v>
      </c>
      <c r="M793" s="159">
        <v>0</v>
      </c>
      <c r="Q793" s="139">
        <v>753</v>
      </c>
      <c r="R793" s="164">
        <f t="shared" si="55"/>
        <v>1320485141.2016311</v>
      </c>
      <c r="S793" s="164">
        <f t="shared" si="56"/>
        <v>-8210647.1216811808</v>
      </c>
      <c r="T793" s="159" t="str">
        <f t="shared" si="57"/>
        <v>TxPost-vaccination</v>
      </c>
      <c r="W793" s="139">
        <v>753</v>
      </c>
      <c r="X793" s="164">
        <f t="shared" si="58"/>
        <v>317563671.96200871</v>
      </c>
      <c r="Y793" s="159">
        <f t="shared" si="58"/>
        <v>100785.08570255131</v>
      </c>
    </row>
    <row r="794" spans="2:25" x14ac:dyDescent="0.25">
      <c r="B794" s="159">
        <v>754</v>
      </c>
      <c r="C794" s="164">
        <v>308798484.07057667</v>
      </c>
      <c r="D794" s="159">
        <v>70892.669922583445</v>
      </c>
      <c r="E794" s="164">
        <v>7422360.5647821054</v>
      </c>
      <c r="F794" s="159">
        <v>0</v>
      </c>
      <c r="I794" s="159">
        <v>754</v>
      </c>
      <c r="J794" s="164">
        <v>308798484.07057667</v>
      </c>
      <c r="K794" s="159">
        <v>70892.669922583445</v>
      </c>
      <c r="L794" s="164">
        <v>7422360.5647821054</v>
      </c>
      <c r="M794" s="159">
        <v>0</v>
      </c>
      <c r="Q794" s="139">
        <v>754</v>
      </c>
      <c r="R794" s="164">
        <f t="shared" si="55"/>
        <v>849187617.85505033</v>
      </c>
      <c r="S794" s="164">
        <f t="shared" si="56"/>
        <v>-7422360.5647821054</v>
      </c>
      <c r="T794" s="159" t="str">
        <f t="shared" si="57"/>
        <v>TxPost-vaccination</v>
      </c>
      <c r="W794" s="139">
        <v>754</v>
      </c>
      <c r="X794" s="164">
        <f t="shared" si="58"/>
        <v>301376123.50579458</v>
      </c>
      <c r="Y794" s="159">
        <f t="shared" si="58"/>
        <v>70892.669922583445</v>
      </c>
    </row>
    <row r="795" spans="2:25" x14ac:dyDescent="0.25">
      <c r="B795" s="159">
        <v>755</v>
      </c>
      <c r="C795" s="164">
        <v>322979060.76230973</v>
      </c>
      <c r="D795" s="159">
        <v>124032.71847977927</v>
      </c>
      <c r="E795" s="164">
        <v>9888930.3248567786</v>
      </c>
      <c r="F795" s="159">
        <v>0</v>
      </c>
      <c r="I795" s="159">
        <v>755</v>
      </c>
      <c r="J795" s="164">
        <v>322979060.76230973</v>
      </c>
      <c r="K795" s="159">
        <v>124032.71847977927</v>
      </c>
      <c r="L795" s="164">
        <v>9888930.3248567786</v>
      </c>
      <c r="M795" s="159">
        <v>0</v>
      </c>
      <c r="Q795" s="139">
        <v>755</v>
      </c>
      <c r="R795" s="164">
        <f t="shared" si="55"/>
        <v>1703015507.3712335</v>
      </c>
      <c r="S795" s="164">
        <f t="shared" si="56"/>
        <v>-9888930.3248567786</v>
      </c>
      <c r="T795" s="159" t="str">
        <f t="shared" si="57"/>
        <v>TxPost-vaccination</v>
      </c>
      <c r="W795" s="139">
        <v>755</v>
      </c>
      <c r="X795" s="164">
        <f t="shared" si="58"/>
        <v>313090130.43745297</v>
      </c>
      <c r="Y795" s="159">
        <f t="shared" si="58"/>
        <v>124032.71847977927</v>
      </c>
    </row>
    <row r="796" spans="2:25" x14ac:dyDescent="0.25">
      <c r="B796" s="159">
        <v>756</v>
      </c>
      <c r="C796" s="164">
        <v>319851811.50570858</v>
      </c>
      <c r="D796" s="159">
        <v>77582.770456294093</v>
      </c>
      <c r="E796" s="164">
        <v>7109634.7031355444</v>
      </c>
      <c r="F796" s="159">
        <v>0</v>
      </c>
      <c r="I796" s="159">
        <v>756</v>
      </c>
      <c r="J796" s="164">
        <v>319851811.50570858</v>
      </c>
      <c r="K796" s="159">
        <v>77582.770456294093</v>
      </c>
      <c r="L796" s="164">
        <v>7109634.7031355444</v>
      </c>
      <c r="M796" s="159">
        <v>0</v>
      </c>
      <c r="Q796" s="139">
        <v>756</v>
      </c>
      <c r="R796" s="164">
        <f t="shared" si="55"/>
        <v>947412773.61122882</v>
      </c>
      <c r="S796" s="164">
        <f t="shared" si="56"/>
        <v>-7109634.7031355444</v>
      </c>
      <c r="T796" s="159" t="str">
        <f t="shared" si="57"/>
        <v>TxPost-vaccination</v>
      </c>
      <c r="W796" s="139">
        <v>756</v>
      </c>
      <c r="X796" s="164">
        <f t="shared" si="58"/>
        <v>312742176.80257303</v>
      </c>
      <c r="Y796" s="159">
        <f t="shared" si="58"/>
        <v>77582.770456294093</v>
      </c>
    </row>
    <row r="797" spans="2:25" x14ac:dyDescent="0.25">
      <c r="B797" s="159">
        <v>757</v>
      </c>
      <c r="C797" s="164">
        <v>352762526.97153878</v>
      </c>
      <c r="D797" s="159">
        <v>59514.890920272854</v>
      </c>
      <c r="E797" s="164">
        <v>6492577.2377268067</v>
      </c>
      <c r="F797" s="159">
        <v>0</v>
      </c>
      <c r="I797" s="159">
        <v>757</v>
      </c>
      <c r="J797" s="164">
        <v>352762526.97153878</v>
      </c>
      <c r="K797" s="159">
        <v>59514.890920272854</v>
      </c>
      <c r="L797" s="164">
        <v>6492577.2377268067</v>
      </c>
      <c r="M797" s="159">
        <v>0</v>
      </c>
      <c r="Q797" s="139">
        <v>757</v>
      </c>
      <c r="R797" s="164">
        <f t="shared" si="55"/>
        <v>619374883.26502275</v>
      </c>
      <c r="S797" s="164">
        <f t="shared" si="56"/>
        <v>-6492577.2377268067</v>
      </c>
      <c r="T797" s="159" t="str">
        <f t="shared" si="57"/>
        <v>TxPost-vaccination</v>
      </c>
      <c r="W797" s="139">
        <v>757</v>
      </c>
      <c r="X797" s="164">
        <f t="shared" si="58"/>
        <v>346269949.73381197</v>
      </c>
      <c r="Y797" s="159">
        <f t="shared" si="58"/>
        <v>59514.890920272854</v>
      </c>
    </row>
    <row r="798" spans="2:25" x14ac:dyDescent="0.25">
      <c r="B798" s="159">
        <v>758</v>
      </c>
      <c r="C798" s="164">
        <v>291801037.29344672</v>
      </c>
      <c r="D798" s="159">
        <v>114066.48829324805</v>
      </c>
      <c r="E798" s="164">
        <v>10666805.534121092</v>
      </c>
      <c r="F798" s="159">
        <v>0</v>
      </c>
      <c r="I798" s="159">
        <v>758</v>
      </c>
      <c r="J798" s="164">
        <v>291801037.29344672</v>
      </c>
      <c r="K798" s="159">
        <v>114066.48829324805</v>
      </c>
      <c r="L798" s="164">
        <v>10666805.534121092</v>
      </c>
      <c r="M798" s="159">
        <v>0</v>
      </c>
      <c r="Q798" s="139">
        <v>758</v>
      </c>
      <c r="R798" s="164">
        <f t="shared" si="55"/>
        <v>1571401579.8923101</v>
      </c>
      <c r="S798" s="164">
        <f t="shared" si="56"/>
        <v>-10666805.534121092</v>
      </c>
      <c r="T798" s="159" t="str">
        <f t="shared" si="57"/>
        <v>TxPost-vaccination</v>
      </c>
      <c r="W798" s="139">
        <v>758</v>
      </c>
      <c r="X798" s="164">
        <f t="shared" si="58"/>
        <v>281134231.75932562</v>
      </c>
      <c r="Y798" s="159">
        <f t="shared" si="58"/>
        <v>114066.48829324805</v>
      </c>
    </row>
    <row r="799" spans="2:25" x14ac:dyDescent="0.25">
      <c r="B799" s="159">
        <v>759</v>
      </c>
      <c r="C799" s="164">
        <v>303193440.55491304</v>
      </c>
      <c r="D799" s="159">
        <v>143384.19132491559</v>
      </c>
      <c r="E799" s="164">
        <v>10756621.966398356</v>
      </c>
      <c r="F799" s="159">
        <v>0</v>
      </c>
      <c r="I799" s="159">
        <v>759</v>
      </c>
      <c r="J799" s="164">
        <v>303193440.55491304</v>
      </c>
      <c r="K799" s="159">
        <v>143384.19132491559</v>
      </c>
      <c r="L799" s="164">
        <v>10756621.966398356</v>
      </c>
      <c r="M799" s="159">
        <v>0</v>
      </c>
      <c r="Q799" s="139">
        <v>759</v>
      </c>
      <c r="R799" s="164">
        <f t="shared" si="55"/>
        <v>2038894972.4137864</v>
      </c>
      <c r="S799" s="164">
        <f t="shared" si="56"/>
        <v>-10756621.966398356</v>
      </c>
      <c r="T799" s="159" t="str">
        <f t="shared" si="57"/>
        <v>TxPost-vaccination</v>
      </c>
      <c r="W799" s="139">
        <v>759</v>
      </c>
      <c r="X799" s="164">
        <f t="shared" si="58"/>
        <v>292436818.58851469</v>
      </c>
      <c r="Y799" s="159">
        <f t="shared" si="58"/>
        <v>143384.19132491559</v>
      </c>
    </row>
    <row r="800" spans="2:25" x14ac:dyDescent="0.25">
      <c r="B800" s="159">
        <v>760</v>
      </c>
      <c r="C800" s="164">
        <v>310906402.21247846</v>
      </c>
      <c r="D800" s="159">
        <v>97120.183053044952</v>
      </c>
      <c r="E800" s="164">
        <v>7287627.2006636728</v>
      </c>
      <c r="F800" s="159">
        <v>0</v>
      </c>
      <c r="I800" s="159">
        <v>760</v>
      </c>
      <c r="J800" s="164">
        <v>310906402.21247846</v>
      </c>
      <c r="K800" s="159">
        <v>97120.183053044952</v>
      </c>
      <c r="L800" s="164">
        <v>7287627.2006636728</v>
      </c>
      <c r="M800" s="159">
        <v>0</v>
      </c>
      <c r="Q800" s="139">
        <v>760</v>
      </c>
      <c r="R800" s="164">
        <f t="shared" si="55"/>
        <v>1275489233.8203039</v>
      </c>
      <c r="S800" s="164">
        <f t="shared" si="56"/>
        <v>-7287627.2006636728</v>
      </c>
      <c r="T800" s="159" t="str">
        <f t="shared" si="57"/>
        <v>TxPost-vaccination</v>
      </c>
      <c r="W800" s="139">
        <v>760</v>
      </c>
      <c r="X800" s="164">
        <f t="shared" si="58"/>
        <v>303618775.01181477</v>
      </c>
      <c r="Y800" s="159">
        <f t="shared" si="58"/>
        <v>97120.183053044952</v>
      </c>
    </row>
    <row r="801" spans="2:25" x14ac:dyDescent="0.25">
      <c r="B801" s="159">
        <v>761</v>
      </c>
      <c r="C801" s="164">
        <v>301491951.26649392</v>
      </c>
      <c r="D801" s="159">
        <v>65480.272592808818</v>
      </c>
      <c r="E801" s="164">
        <v>6436918.6688187495</v>
      </c>
      <c r="F801" s="159">
        <v>0</v>
      </c>
      <c r="I801" s="159">
        <v>761</v>
      </c>
      <c r="J801" s="164">
        <v>301491951.26649392</v>
      </c>
      <c r="K801" s="159">
        <v>65480.272592808818</v>
      </c>
      <c r="L801" s="164">
        <v>6436918.6688187495</v>
      </c>
      <c r="M801" s="159">
        <v>0</v>
      </c>
      <c r="Q801" s="139">
        <v>761</v>
      </c>
      <c r="R801" s="164">
        <f t="shared" si="55"/>
        <v>768086126.34826088</v>
      </c>
      <c r="S801" s="164">
        <f t="shared" si="56"/>
        <v>-6436918.6688187495</v>
      </c>
      <c r="T801" s="159" t="str">
        <f t="shared" si="57"/>
        <v>TxPost-vaccination</v>
      </c>
      <c r="W801" s="139">
        <v>761</v>
      </c>
      <c r="X801" s="164">
        <f t="shared" si="58"/>
        <v>295055032.59767514</v>
      </c>
      <c r="Y801" s="159">
        <f t="shared" si="58"/>
        <v>65480.272592808818</v>
      </c>
    </row>
    <row r="802" spans="2:25" x14ac:dyDescent="0.25">
      <c r="B802" s="159">
        <v>762</v>
      </c>
      <c r="C802" s="164">
        <v>326384091.06643522</v>
      </c>
      <c r="D802" s="159">
        <v>107733.16526964947</v>
      </c>
      <c r="E802" s="164">
        <v>8854748.8419812955</v>
      </c>
      <c r="F802" s="159">
        <v>0</v>
      </c>
      <c r="I802" s="159">
        <v>762</v>
      </c>
      <c r="J802" s="164">
        <v>326384091.06643522</v>
      </c>
      <c r="K802" s="159">
        <v>107733.16526964947</v>
      </c>
      <c r="L802" s="164">
        <v>8854748.8419812955</v>
      </c>
      <c r="M802" s="159">
        <v>0</v>
      </c>
      <c r="Q802" s="139">
        <v>762</v>
      </c>
      <c r="R802" s="164">
        <f t="shared" si="55"/>
        <v>1433367773.7588654</v>
      </c>
      <c r="S802" s="164">
        <f t="shared" si="56"/>
        <v>-8854748.8419812955</v>
      </c>
      <c r="T802" s="159" t="str">
        <f t="shared" si="57"/>
        <v>TxPost-vaccination</v>
      </c>
      <c r="W802" s="139">
        <v>762</v>
      </c>
      <c r="X802" s="164">
        <f t="shared" si="58"/>
        <v>317529342.22445393</v>
      </c>
      <c r="Y802" s="159">
        <f t="shared" si="58"/>
        <v>107733.16526964947</v>
      </c>
    </row>
    <row r="803" spans="2:25" x14ac:dyDescent="0.25">
      <c r="B803" s="159">
        <v>763</v>
      </c>
      <c r="C803" s="164">
        <v>310617647.44761354</v>
      </c>
      <c r="D803" s="159">
        <v>105519.82813197203</v>
      </c>
      <c r="E803" s="164">
        <v>9182460.4778960142</v>
      </c>
      <c r="F803" s="159">
        <v>0</v>
      </c>
      <c r="I803" s="159">
        <v>763</v>
      </c>
      <c r="J803" s="164">
        <v>310617647.44761354</v>
      </c>
      <c r="K803" s="159">
        <v>105519.82813197203</v>
      </c>
      <c r="L803" s="164">
        <v>9182460.4778960142</v>
      </c>
      <c r="M803" s="159">
        <v>0</v>
      </c>
      <c r="Q803" s="139">
        <v>763</v>
      </c>
      <c r="R803" s="164">
        <f t="shared" si="55"/>
        <v>1412980780.8220432</v>
      </c>
      <c r="S803" s="164">
        <f t="shared" si="56"/>
        <v>-9182460.4778960142</v>
      </c>
      <c r="T803" s="159" t="str">
        <f t="shared" si="57"/>
        <v>TxPost-vaccination</v>
      </c>
      <c r="W803" s="139">
        <v>763</v>
      </c>
      <c r="X803" s="164">
        <f t="shared" si="58"/>
        <v>301435186.9697175</v>
      </c>
      <c r="Y803" s="159">
        <f t="shared" si="58"/>
        <v>105519.82813197203</v>
      </c>
    </row>
    <row r="804" spans="2:25" x14ac:dyDescent="0.25">
      <c r="B804" s="159">
        <v>764</v>
      </c>
      <c r="C804" s="164">
        <v>347887833.74332315</v>
      </c>
      <c r="D804" s="159">
        <v>67242.281145780464</v>
      </c>
      <c r="E804" s="164">
        <v>9044463.1899311692</v>
      </c>
      <c r="F804" s="159">
        <v>0</v>
      </c>
      <c r="I804" s="159">
        <v>764</v>
      </c>
      <c r="J804" s="164">
        <v>347887833.74332315</v>
      </c>
      <c r="K804" s="159">
        <v>67242.281145780464</v>
      </c>
      <c r="L804" s="164">
        <v>9044463.1899311692</v>
      </c>
      <c r="M804" s="159">
        <v>0</v>
      </c>
      <c r="Q804" s="139">
        <v>764</v>
      </c>
      <c r="R804" s="164">
        <f t="shared" si="55"/>
        <v>750471518.69213462</v>
      </c>
      <c r="S804" s="164">
        <f t="shared" si="56"/>
        <v>-9044463.1899311692</v>
      </c>
      <c r="T804" s="159" t="str">
        <f t="shared" si="57"/>
        <v>TxPost-vaccination</v>
      </c>
      <c r="W804" s="139">
        <v>764</v>
      </c>
      <c r="X804" s="164">
        <f t="shared" si="58"/>
        <v>338843370.55339199</v>
      </c>
      <c r="Y804" s="159">
        <f t="shared" si="58"/>
        <v>67242.281145780464</v>
      </c>
    </row>
    <row r="805" spans="2:25" x14ac:dyDescent="0.25">
      <c r="B805" s="159">
        <v>765</v>
      </c>
      <c r="C805" s="164">
        <v>319352352.49468607</v>
      </c>
      <c r="D805" s="159">
        <v>100360.51180904289</v>
      </c>
      <c r="E805" s="164">
        <v>9293880.9292606581</v>
      </c>
      <c r="F805" s="159">
        <v>0</v>
      </c>
      <c r="I805" s="159">
        <v>765</v>
      </c>
      <c r="J805" s="164">
        <v>319352352.49468607</v>
      </c>
      <c r="K805" s="159">
        <v>100360.51180904289</v>
      </c>
      <c r="L805" s="164">
        <v>9293880.9292606581</v>
      </c>
      <c r="M805" s="159">
        <v>0</v>
      </c>
      <c r="Q805" s="139">
        <v>765</v>
      </c>
      <c r="R805" s="164">
        <f t="shared" si="55"/>
        <v>1319971966.7039738</v>
      </c>
      <c r="S805" s="164">
        <f t="shared" si="56"/>
        <v>-9293880.9292606581</v>
      </c>
      <c r="T805" s="159" t="str">
        <f t="shared" si="57"/>
        <v>TxPost-vaccination</v>
      </c>
      <c r="W805" s="139">
        <v>765</v>
      </c>
      <c r="X805" s="164">
        <f t="shared" si="58"/>
        <v>310058471.5654254</v>
      </c>
      <c r="Y805" s="159">
        <f t="shared" si="58"/>
        <v>100360.51180904289</v>
      </c>
    </row>
    <row r="806" spans="2:25" x14ac:dyDescent="0.25">
      <c r="B806" s="159">
        <v>766</v>
      </c>
      <c r="C806" s="164">
        <v>320988015.12677556</v>
      </c>
      <c r="D806" s="159">
        <v>72340.011750065692</v>
      </c>
      <c r="E806" s="164">
        <v>8340061.3043588027</v>
      </c>
      <c r="F806" s="159">
        <v>0</v>
      </c>
      <c r="I806" s="159">
        <v>766</v>
      </c>
      <c r="J806" s="164">
        <v>320988015.12677556</v>
      </c>
      <c r="K806" s="159">
        <v>72340.011750065692</v>
      </c>
      <c r="L806" s="164">
        <v>8340061.3043588027</v>
      </c>
      <c r="M806" s="159">
        <v>0</v>
      </c>
      <c r="Q806" s="139">
        <v>766</v>
      </c>
      <c r="R806" s="164">
        <f t="shared" si="55"/>
        <v>860639483.33237624</v>
      </c>
      <c r="S806" s="164">
        <f t="shared" si="56"/>
        <v>-8340061.3043588027</v>
      </c>
      <c r="T806" s="159" t="str">
        <f t="shared" si="57"/>
        <v>TxPost-vaccination</v>
      </c>
      <c r="W806" s="139">
        <v>766</v>
      </c>
      <c r="X806" s="164">
        <f t="shared" si="58"/>
        <v>312647953.82241678</v>
      </c>
      <c r="Y806" s="159">
        <f t="shared" si="58"/>
        <v>72340.011750065692</v>
      </c>
    </row>
    <row r="807" spans="2:25" x14ac:dyDescent="0.25">
      <c r="B807" s="159">
        <v>767</v>
      </c>
      <c r="C807" s="164">
        <v>312576108.13743955</v>
      </c>
      <c r="D807" s="159">
        <v>103513.92705641576</v>
      </c>
      <c r="E807" s="164">
        <v>10083761.666316321</v>
      </c>
      <c r="F807" s="159">
        <v>0</v>
      </c>
      <c r="I807" s="159">
        <v>767</v>
      </c>
      <c r="J807" s="164">
        <v>312576108.13743955</v>
      </c>
      <c r="K807" s="159">
        <v>103513.92705641576</v>
      </c>
      <c r="L807" s="164">
        <v>10083761.666316321</v>
      </c>
      <c r="M807" s="159">
        <v>0</v>
      </c>
      <c r="Q807" s="139">
        <v>767</v>
      </c>
      <c r="R807" s="164">
        <f t="shared" si="55"/>
        <v>1378257218.0438294</v>
      </c>
      <c r="S807" s="164">
        <f t="shared" si="56"/>
        <v>-10083761.666316321</v>
      </c>
      <c r="T807" s="159" t="str">
        <f t="shared" si="57"/>
        <v>TxPost-vaccination</v>
      </c>
      <c r="W807" s="139">
        <v>767</v>
      </c>
      <c r="X807" s="164">
        <f t="shared" si="58"/>
        <v>302492346.47112322</v>
      </c>
      <c r="Y807" s="159">
        <f t="shared" si="58"/>
        <v>103513.92705641576</v>
      </c>
    </row>
    <row r="808" spans="2:25" x14ac:dyDescent="0.25">
      <c r="B808" s="159">
        <v>768</v>
      </c>
      <c r="C808" s="164">
        <v>322114201.38103163</v>
      </c>
      <c r="D808" s="159">
        <v>105055.98379279755</v>
      </c>
      <c r="E808" s="164">
        <v>8533733.5548892133</v>
      </c>
      <c r="F808" s="159">
        <v>0</v>
      </c>
      <c r="I808" s="159">
        <v>768</v>
      </c>
      <c r="J808" s="164">
        <v>322114201.38103163</v>
      </c>
      <c r="K808" s="159">
        <v>105055.98379279755</v>
      </c>
      <c r="L808" s="164">
        <v>8533733.5548892133</v>
      </c>
      <c r="M808" s="159">
        <v>0</v>
      </c>
      <c r="Q808" s="139">
        <v>768</v>
      </c>
      <c r="R808" s="164">
        <f t="shared" si="55"/>
        <v>1393907628.3657103</v>
      </c>
      <c r="S808" s="164">
        <f t="shared" si="56"/>
        <v>-8533733.5548892133</v>
      </c>
      <c r="T808" s="159" t="str">
        <f t="shared" si="57"/>
        <v>TxPost-vaccination</v>
      </c>
      <c r="W808" s="139">
        <v>768</v>
      </c>
      <c r="X808" s="164">
        <f t="shared" si="58"/>
        <v>313580467.82614243</v>
      </c>
      <c r="Y808" s="159">
        <f t="shared" si="58"/>
        <v>105055.98379279755</v>
      </c>
    </row>
    <row r="809" spans="2:25" x14ac:dyDescent="0.25">
      <c r="B809" s="159">
        <v>769</v>
      </c>
      <c r="C809" s="164">
        <v>296197367.37635612</v>
      </c>
      <c r="D809" s="159">
        <v>119116.50577311667</v>
      </c>
      <c r="E809" s="164">
        <v>10852673.350702696</v>
      </c>
      <c r="F809" s="159">
        <v>0</v>
      </c>
      <c r="I809" s="159">
        <v>769</v>
      </c>
      <c r="J809" s="164">
        <v>296197367.37635612</v>
      </c>
      <c r="K809" s="159">
        <v>119116.50577311667</v>
      </c>
      <c r="L809" s="164">
        <v>10852673.350702696</v>
      </c>
      <c r="M809" s="159">
        <v>0</v>
      </c>
      <c r="Q809" s="139">
        <v>769</v>
      </c>
      <c r="R809" s="164">
        <f t="shared" ref="R809:R872" si="59">K809*threshold-J809</f>
        <v>1649494032.6772959</v>
      </c>
      <c r="S809" s="164">
        <f t="shared" ref="S809:S872" si="60">M809*threshold-L809</f>
        <v>-10852673.350702696</v>
      </c>
      <c r="T809" s="159" t="str">
        <f t="shared" si="57"/>
        <v>TxPost-vaccination</v>
      </c>
      <c r="W809" s="139">
        <v>769</v>
      </c>
      <c r="X809" s="164">
        <f t="shared" si="58"/>
        <v>285344694.02565342</v>
      </c>
      <c r="Y809" s="159">
        <f t="shared" si="58"/>
        <v>119116.50577311667</v>
      </c>
    </row>
    <row r="810" spans="2:25" x14ac:dyDescent="0.25">
      <c r="B810" s="159">
        <v>770</v>
      </c>
      <c r="C810" s="164">
        <v>298417964.91881204</v>
      </c>
      <c r="D810" s="159">
        <v>85458.746545081813</v>
      </c>
      <c r="E810" s="164">
        <v>7880693.0575096784</v>
      </c>
      <c r="F810" s="159">
        <v>0</v>
      </c>
      <c r="I810" s="159">
        <v>770</v>
      </c>
      <c r="J810" s="164">
        <v>298417964.91881204</v>
      </c>
      <c r="K810" s="159">
        <v>85458.746545081813</v>
      </c>
      <c r="L810" s="164">
        <v>7880693.0575096784</v>
      </c>
      <c r="M810" s="159">
        <v>0</v>
      </c>
      <c r="Q810" s="139">
        <v>770</v>
      </c>
      <c r="R810" s="164">
        <f t="shared" si="59"/>
        <v>1097495616.7710333</v>
      </c>
      <c r="S810" s="164">
        <f t="shared" si="60"/>
        <v>-7880693.0575096784</v>
      </c>
      <c r="T810" s="159" t="str">
        <f t="shared" ref="T810:T873" si="61">IF(R810&gt;S810,"TxPost-vaccination",IF(S810&gt;R810,"TxPre-vaccination","either"))</f>
        <v>TxPost-vaccination</v>
      </c>
      <c r="W810" s="139">
        <v>770</v>
      </c>
      <c r="X810" s="164">
        <f t="shared" ref="X810:Y873" si="62">J810-L810</f>
        <v>290537271.86130238</v>
      </c>
      <c r="Y810" s="159">
        <f t="shared" si="62"/>
        <v>85458.746545081813</v>
      </c>
    </row>
    <row r="811" spans="2:25" x14ac:dyDescent="0.25">
      <c r="B811" s="159">
        <v>771</v>
      </c>
      <c r="C811" s="164">
        <v>318444093.01490533</v>
      </c>
      <c r="D811" s="159">
        <v>110633.42363543785</v>
      </c>
      <c r="E811" s="164">
        <v>8284925.5263909632</v>
      </c>
      <c r="F811" s="159">
        <v>0</v>
      </c>
      <c r="I811" s="159">
        <v>771</v>
      </c>
      <c r="J811" s="164">
        <v>318444093.01490533</v>
      </c>
      <c r="K811" s="159">
        <v>110633.42363543785</v>
      </c>
      <c r="L811" s="164">
        <v>8284925.5263909632</v>
      </c>
      <c r="M811" s="159">
        <v>0</v>
      </c>
      <c r="Q811" s="139">
        <v>771</v>
      </c>
      <c r="R811" s="164">
        <f t="shared" si="59"/>
        <v>1488681624.1881375</v>
      </c>
      <c r="S811" s="164">
        <f t="shared" si="60"/>
        <v>-8284925.5263909632</v>
      </c>
      <c r="T811" s="159" t="str">
        <f t="shared" si="61"/>
        <v>TxPost-vaccination</v>
      </c>
      <c r="W811" s="139">
        <v>771</v>
      </c>
      <c r="X811" s="164">
        <f t="shared" si="62"/>
        <v>310159167.48851436</v>
      </c>
      <c r="Y811" s="159">
        <f t="shared" si="62"/>
        <v>110633.42363543785</v>
      </c>
    </row>
    <row r="812" spans="2:25" x14ac:dyDescent="0.25">
      <c r="B812" s="159">
        <v>772</v>
      </c>
      <c r="C812" s="164">
        <v>339538920.51896286</v>
      </c>
      <c r="D812" s="159">
        <v>85540.722207839513</v>
      </c>
      <c r="E812" s="164">
        <v>8232264.168199148</v>
      </c>
      <c r="F812" s="159">
        <v>0</v>
      </c>
      <c r="I812" s="159">
        <v>772</v>
      </c>
      <c r="J812" s="164">
        <v>339538920.51896286</v>
      </c>
      <c r="K812" s="159">
        <v>85540.722207839513</v>
      </c>
      <c r="L812" s="164">
        <v>8232264.168199148</v>
      </c>
      <c r="M812" s="159">
        <v>0</v>
      </c>
      <c r="Q812" s="139">
        <v>772</v>
      </c>
      <c r="R812" s="164">
        <f t="shared" si="59"/>
        <v>1057713680.822325</v>
      </c>
      <c r="S812" s="164">
        <f t="shared" si="60"/>
        <v>-8232264.168199148</v>
      </c>
      <c r="T812" s="159" t="str">
        <f t="shared" si="61"/>
        <v>TxPost-vaccination</v>
      </c>
      <c r="W812" s="139">
        <v>772</v>
      </c>
      <c r="X812" s="164">
        <f t="shared" si="62"/>
        <v>331306656.35076374</v>
      </c>
      <c r="Y812" s="159">
        <f t="shared" si="62"/>
        <v>85540.722207839513</v>
      </c>
    </row>
    <row r="813" spans="2:25" x14ac:dyDescent="0.25">
      <c r="B813" s="159">
        <v>773</v>
      </c>
      <c r="C813" s="164">
        <v>298349414.68826121</v>
      </c>
      <c r="D813" s="159">
        <v>89153.05117001028</v>
      </c>
      <c r="E813" s="164">
        <v>6851913.2268903349</v>
      </c>
      <c r="F813" s="159">
        <v>0</v>
      </c>
      <c r="I813" s="159">
        <v>773</v>
      </c>
      <c r="J813" s="164">
        <v>298349414.68826121</v>
      </c>
      <c r="K813" s="159">
        <v>89153.05117001028</v>
      </c>
      <c r="L813" s="164">
        <v>6851913.2268903349</v>
      </c>
      <c r="M813" s="159">
        <v>0</v>
      </c>
      <c r="Q813" s="139">
        <v>773</v>
      </c>
      <c r="R813" s="164">
        <f t="shared" si="59"/>
        <v>1157908253.5851245</v>
      </c>
      <c r="S813" s="164">
        <f t="shared" si="60"/>
        <v>-6851913.2268903349</v>
      </c>
      <c r="T813" s="159" t="str">
        <f t="shared" si="61"/>
        <v>TxPost-vaccination</v>
      </c>
      <c r="W813" s="139">
        <v>773</v>
      </c>
      <c r="X813" s="164">
        <f t="shared" si="62"/>
        <v>291497501.46137089</v>
      </c>
      <c r="Y813" s="159">
        <f t="shared" si="62"/>
        <v>89153.05117001028</v>
      </c>
    </row>
    <row r="814" spans="2:25" x14ac:dyDescent="0.25">
      <c r="B814" s="159">
        <v>774</v>
      </c>
      <c r="C814" s="164">
        <v>337900027.84629273</v>
      </c>
      <c r="D814" s="159">
        <v>111552.93875282435</v>
      </c>
      <c r="E814" s="164">
        <v>9662856.0069325138</v>
      </c>
      <c r="F814" s="159">
        <v>0</v>
      </c>
      <c r="I814" s="159">
        <v>774</v>
      </c>
      <c r="J814" s="164">
        <v>337900027.84629273</v>
      </c>
      <c r="K814" s="159">
        <v>111552.93875282435</v>
      </c>
      <c r="L814" s="164">
        <v>9662856.0069325138</v>
      </c>
      <c r="M814" s="159">
        <v>0</v>
      </c>
      <c r="Q814" s="139">
        <v>774</v>
      </c>
      <c r="R814" s="164">
        <f t="shared" si="59"/>
        <v>1484245376.5487666</v>
      </c>
      <c r="S814" s="164">
        <f t="shared" si="60"/>
        <v>-9662856.0069325138</v>
      </c>
      <c r="T814" s="159" t="str">
        <f t="shared" si="61"/>
        <v>TxPost-vaccination</v>
      </c>
      <c r="W814" s="139">
        <v>774</v>
      </c>
      <c r="X814" s="164">
        <f t="shared" si="62"/>
        <v>328237171.83936024</v>
      </c>
      <c r="Y814" s="159">
        <f t="shared" si="62"/>
        <v>111552.93875282435</v>
      </c>
    </row>
    <row r="815" spans="2:25" x14ac:dyDescent="0.25">
      <c r="B815" s="159">
        <v>775</v>
      </c>
      <c r="C815" s="164">
        <v>324687861.40328604</v>
      </c>
      <c r="D815" s="159">
        <v>99845.644701622456</v>
      </c>
      <c r="E815" s="164">
        <v>8685961.3475658651</v>
      </c>
      <c r="F815" s="159">
        <v>0</v>
      </c>
      <c r="I815" s="159">
        <v>775</v>
      </c>
      <c r="J815" s="164">
        <v>324687861.40328604</v>
      </c>
      <c r="K815" s="159">
        <v>99845.644701622456</v>
      </c>
      <c r="L815" s="164">
        <v>8685961.3475658651</v>
      </c>
      <c r="M815" s="159">
        <v>0</v>
      </c>
      <c r="Q815" s="139">
        <v>775</v>
      </c>
      <c r="R815" s="164">
        <f t="shared" si="59"/>
        <v>1306226435.2164164</v>
      </c>
      <c r="S815" s="164">
        <f t="shared" si="60"/>
        <v>-8685961.3475658651</v>
      </c>
      <c r="T815" s="159" t="str">
        <f t="shared" si="61"/>
        <v>TxPost-vaccination</v>
      </c>
      <c r="W815" s="139">
        <v>775</v>
      </c>
      <c r="X815" s="164">
        <f t="shared" si="62"/>
        <v>316001900.05572015</v>
      </c>
      <c r="Y815" s="159">
        <f t="shared" si="62"/>
        <v>99845.644701622456</v>
      </c>
    </row>
    <row r="816" spans="2:25" x14ac:dyDescent="0.25">
      <c r="B816" s="159">
        <v>776</v>
      </c>
      <c r="C816" s="164">
        <v>316348740.94824821</v>
      </c>
      <c r="D816" s="159">
        <v>57740.284273352656</v>
      </c>
      <c r="E816" s="164">
        <v>5467295.8588817986</v>
      </c>
      <c r="F816" s="159">
        <v>0</v>
      </c>
      <c r="I816" s="159">
        <v>776</v>
      </c>
      <c r="J816" s="164">
        <v>316348740.94824821</v>
      </c>
      <c r="K816" s="159">
        <v>57740.284273352656</v>
      </c>
      <c r="L816" s="164">
        <v>5467295.8588817986</v>
      </c>
      <c r="M816" s="159">
        <v>0</v>
      </c>
      <c r="Q816" s="139">
        <v>776</v>
      </c>
      <c r="R816" s="164">
        <f t="shared" si="59"/>
        <v>626801612.71726727</v>
      </c>
      <c r="S816" s="164">
        <f t="shared" si="60"/>
        <v>-5467295.8588817986</v>
      </c>
      <c r="T816" s="159" t="str">
        <f t="shared" si="61"/>
        <v>TxPost-vaccination</v>
      </c>
      <c r="W816" s="139">
        <v>776</v>
      </c>
      <c r="X816" s="164">
        <f t="shared" si="62"/>
        <v>310881445.08936644</v>
      </c>
      <c r="Y816" s="159">
        <f t="shared" si="62"/>
        <v>57740.284273352656</v>
      </c>
    </row>
    <row r="817" spans="2:25" x14ac:dyDescent="0.25">
      <c r="B817" s="159">
        <v>777</v>
      </c>
      <c r="C817" s="164">
        <v>315722191.08382273</v>
      </c>
      <c r="D817" s="159">
        <v>129260.97006881969</v>
      </c>
      <c r="E817" s="164">
        <v>11270316.651569854</v>
      </c>
      <c r="F817" s="159">
        <v>0</v>
      </c>
      <c r="I817" s="159">
        <v>777</v>
      </c>
      <c r="J817" s="164">
        <v>315722191.08382273</v>
      </c>
      <c r="K817" s="159">
        <v>129260.97006881969</v>
      </c>
      <c r="L817" s="164">
        <v>11270316.651569854</v>
      </c>
      <c r="M817" s="159">
        <v>0</v>
      </c>
      <c r="Q817" s="139">
        <v>777</v>
      </c>
      <c r="R817" s="164">
        <f t="shared" si="59"/>
        <v>1795672499.2921295</v>
      </c>
      <c r="S817" s="164">
        <f t="shared" si="60"/>
        <v>-11270316.651569854</v>
      </c>
      <c r="T817" s="159" t="str">
        <f t="shared" si="61"/>
        <v>TxPost-vaccination</v>
      </c>
      <c r="W817" s="139">
        <v>777</v>
      </c>
      <c r="X817" s="164">
        <f t="shared" si="62"/>
        <v>304451874.43225288</v>
      </c>
      <c r="Y817" s="159">
        <f t="shared" si="62"/>
        <v>129260.97006881969</v>
      </c>
    </row>
    <row r="818" spans="2:25" x14ac:dyDescent="0.25">
      <c r="B818" s="159">
        <v>778</v>
      </c>
      <c r="C818" s="164">
        <v>323860818.40549773</v>
      </c>
      <c r="D818" s="159">
        <v>87359.372939074005</v>
      </c>
      <c r="E818" s="164">
        <v>8691784.6364003606</v>
      </c>
      <c r="F818" s="159">
        <v>0</v>
      </c>
      <c r="I818" s="159">
        <v>778</v>
      </c>
      <c r="J818" s="164">
        <v>323860818.40549773</v>
      </c>
      <c r="K818" s="159">
        <v>87359.372939074005</v>
      </c>
      <c r="L818" s="164">
        <v>8691784.6364003606</v>
      </c>
      <c r="M818" s="159">
        <v>0</v>
      </c>
      <c r="Q818" s="139">
        <v>778</v>
      </c>
      <c r="R818" s="164">
        <f t="shared" si="59"/>
        <v>1103098271.2557559</v>
      </c>
      <c r="S818" s="164">
        <f t="shared" si="60"/>
        <v>-8691784.6364003606</v>
      </c>
      <c r="T818" s="159" t="str">
        <f t="shared" si="61"/>
        <v>TxPost-vaccination</v>
      </c>
      <c r="W818" s="139">
        <v>778</v>
      </c>
      <c r="X818" s="164">
        <f t="shared" si="62"/>
        <v>315169033.76909739</v>
      </c>
      <c r="Y818" s="159">
        <f t="shared" si="62"/>
        <v>87359.372939074005</v>
      </c>
    </row>
    <row r="819" spans="2:25" x14ac:dyDescent="0.25">
      <c r="B819" s="159">
        <v>779</v>
      </c>
      <c r="C819" s="164">
        <v>336857594.25644505</v>
      </c>
      <c r="D819" s="159">
        <v>123640.59959398129</v>
      </c>
      <c r="E819" s="164">
        <v>9243125.4282425512</v>
      </c>
      <c r="F819" s="159">
        <v>0</v>
      </c>
      <c r="I819" s="159">
        <v>779</v>
      </c>
      <c r="J819" s="164">
        <v>336857594.25644505</v>
      </c>
      <c r="K819" s="159">
        <v>123640.59959398129</v>
      </c>
      <c r="L819" s="164">
        <v>9243125.4282425512</v>
      </c>
      <c r="M819" s="159">
        <v>0</v>
      </c>
      <c r="Q819" s="139">
        <v>779</v>
      </c>
      <c r="R819" s="164">
        <f t="shared" si="59"/>
        <v>1682731964.4374413</v>
      </c>
      <c r="S819" s="164">
        <f t="shared" si="60"/>
        <v>-9243125.4282425512</v>
      </c>
      <c r="T819" s="159" t="str">
        <f t="shared" si="61"/>
        <v>TxPost-vaccination</v>
      </c>
      <c r="W819" s="139">
        <v>779</v>
      </c>
      <c r="X819" s="164">
        <f t="shared" si="62"/>
        <v>327614468.82820249</v>
      </c>
      <c r="Y819" s="159">
        <f t="shared" si="62"/>
        <v>123640.59959398129</v>
      </c>
    </row>
    <row r="820" spans="2:25" x14ac:dyDescent="0.25">
      <c r="B820" s="159">
        <v>780</v>
      </c>
      <c r="C820" s="164">
        <v>300403860.25361907</v>
      </c>
      <c r="D820" s="159">
        <v>100106.53505730579</v>
      </c>
      <c r="E820" s="164">
        <v>8450692.1669193674</v>
      </c>
      <c r="F820" s="159">
        <v>0</v>
      </c>
      <c r="I820" s="159">
        <v>780</v>
      </c>
      <c r="J820" s="164">
        <v>300403860.25361907</v>
      </c>
      <c r="K820" s="159">
        <v>100106.53505730579</v>
      </c>
      <c r="L820" s="164">
        <v>8450692.1669193674</v>
      </c>
      <c r="M820" s="159">
        <v>0</v>
      </c>
      <c r="Q820" s="139">
        <v>780</v>
      </c>
      <c r="R820" s="164">
        <f t="shared" si="59"/>
        <v>1334771912.2893014</v>
      </c>
      <c r="S820" s="164">
        <f t="shared" si="60"/>
        <v>-8450692.1669193674</v>
      </c>
      <c r="T820" s="159" t="str">
        <f t="shared" si="61"/>
        <v>TxPost-vaccination</v>
      </c>
      <c r="W820" s="139">
        <v>780</v>
      </c>
      <c r="X820" s="164">
        <f t="shared" si="62"/>
        <v>291953168.08669972</v>
      </c>
      <c r="Y820" s="159">
        <f t="shared" si="62"/>
        <v>100106.53505730579</v>
      </c>
    </row>
    <row r="821" spans="2:25" x14ac:dyDescent="0.25">
      <c r="B821" s="159">
        <v>781</v>
      </c>
      <c r="C821" s="164">
        <v>304291747.30968386</v>
      </c>
      <c r="D821" s="159">
        <v>131567.61338579349</v>
      </c>
      <c r="E821" s="164">
        <v>10449217.035560245</v>
      </c>
      <c r="F821" s="159">
        <v>0</v>
      </c>
      <c r="I821" s="159">
        <v>781</v>
      </c>
      <c r="J821" s="164">
        <v>304291747.30968386</v>
      </c>
      <c r="K821" s="159">
        <v>131567.61338579349</v>
      </c>
      <c r="L821" s="164">
        <v>10449217.035560245</v>
      </c>
      <c r="M821" s="159">
        <v>0</v>
      </c>
      <c r="Q821" s="139">
        <v>781</v>
      </c>
      <c r="R821" s="164">
        <f t="shared" si="59"/>
        <v>1844780475.9631414</v>
      </c>
      <c r="S821" s="164">
        <f t="shared" si="60"/>
        <v>-10449217.035560245</v>
      </c>
      <c r="T821" s="159" t="str">
        <f t="shared" si="61"/>
        <v>TxPost-vaccination</v>
      </c>
      <c r="W821" s="139">
        <v>781</v>
      </c>
      <c r="X821" s="164">
        <f t="shared" si="62"/>
        <v>293842530.27412361</v>
      </c>
      <c r="Y821" s="159">
        <f t="shared" si="62"/>
        <v>131567.61338579349</v>
      </c>
    </row>
    <row r="822" spans="2:25" x14ac:dyDescent="0.25">
      <c r="B822" s="159">
        <v>782</v>
      </c>
      <c r="C822" s="164">
        <v>306565431.32372916</v>
      </c>
      <c r="D822" s="159">
        <v>113092.3631341591</v>
      </c>
      <c r="E822" s="164">
        <v>9135547.3884610794</v>
      </c>
      <c r="F822" s="159">
        <v>0</v>
      </c>
      <c r="I822" s="159">
        <v>782</v>
      </c>
      <c r="J822" s="164">
        <v>306565431.32372916</v>
      </c>
      <c r="K822" s="159">
        <v>113092.3631341591</v>
      </c>
      <c r="L822" s="164">
        <v>9135547.3884610794</v>
      </c>
      <c r="M822" s="159">
        <v>0</v>
      </c>
      <c r="Q822" s="139">
        <v>782</v>
      </c>
      <c r="R822" s="164">
        <f t="shared" si="59"/>
        <v>1540725478.8125834</v>
      </c>
      <c r="S822" s="164">
        <f t="shared" si="60"/>
        <v>-9135547.3884610794</v>
      </c>
      <c r="T822" s="159" t="str">
        <f t="shared" si="61"/>
        <v>TxPost-vaccination</v>
      </c>
      <c r="W822" s="139">
        <v>782</v>
      </c>
      <c r="X822" s="164">
        <f t="shared" si="62"/>
        <v>297429883.9352681</v>
      </c>
      <c r="Y822" s="159">
        <f t="shared" si="62"/>
        <v>113092.3631341591</v>
      </c>
    </row>
    <row r="823" spans="2:25" x14ac:dyDescent="0.25">
      <c r="B823" s="159">
        <v>783</v>
      </c>
      <c r="C823" s="164">
        <v>307406550.80356747</v>
      </c>
      <c r="D823" s="159">
        <v>106630.31750355521</v>
      </c>
      <c r="E823" s="164">
        <v>9787026.6041373294</v>
      </c>
      <c r="F823" s="159">
        <v>0</v>
      </c>
      <c r="I823" s="159">
        <v>783</v>
      </c>
      <c r="J823" s="164">
        <v>307406550.80356747</v>
      </c>
      <c r="K823" s="159">
        <v>106630.31750355521</v>
      </c>
      <c r="L823" s="164">
        <v>9787026.6041373294</v>
      </c>
      <c r="M823" s="159">
        <v>0</v>
      </c>
      <c r="Q823" s="139">
        <v>783</v>
      </c>
      <c r="R823" s="164">
        <f t="shared" si="59"/>
        <v>1434331006.0958014</v>
      </c>
      <c r="S823" s="164">
        <f t="shared" si="60"/>
        <v>-9787026.6041373294</v>
      </c>
      <c r="T823" s="159" t="str">
        <f t="shared" si="61"/>
        <v>TxPost-vaccination</v>
      </c>
      <c r="W823" s="139">
        <v>783</v>
      </c>
      <c r="X823" s="164">
        <f t="shared" si="62"/>
        <v>297619524.19943017</v>
      </c>
      <c r="Y823" s="159">
        <f t="shared" si="62"/>
        <v>106630.31750355521</v>
      </c>
    </row>
    <row r="824" spans="2:25" x14ac:dyDescent="0.25">
      <c r="B824" s="159">
        <v>784</v>
      </c>
      <c r="C824" s="164">
        <v>320182791.11878097</v>
      </c>
      <c r="D824" s="159">
        <v>154129.22535503173</v>
      </c>
      <c r="E824" s="164">
        <v>13322553.798723212</v>
      </c>
      <c r="F824" s="159">
        <v>0</v>
      </c>
      <c r="I824" s="159">
        <v>784</v>
      </c>
      <c r="J824" s="164">
        <v>320182791.11878097</v>
      </c>
      <c r="K824" s="159">
        <v>154129.22535503173</v>
      </c>
      <c r="L824" s="164">
        <v>13322553.798723212</v>
      </c>
      <c r="M824" s="159">
        <v>0</v>
      </c>
      <c r="Q824" s="139">
        <v>784</v>
      </c>
      <c r="R824" s="164">
        <f t="shared" si="59"/>
        <v>2197418831.9628963</v>
      </c>
      <c r="S824" s="164">
        <f t="shared" si="60"/>
        <v>-13322553.798723212</v>
      </c>
      <c r="T824" s="159" t="str">
        <f t="shared" si="61"/>
        <v>TxPost-vaccination</v>
      </c>
      <c r="W824" s="139">
        <v>784</v>
      </c>
      <c r="X824" s="164">
        <f t="shared" si="62"/>
        <v>306860237.32005775</v>
      </c>
      <c r="Y824" s="159">
        <f t="shared" si="62"/>
        <v>154129.22535503173</v>
      </c>
    </row>
    <row r="825" spans="2:25" x14ac:dyDescent="0.25">
      <c r="B825" s="159">
        <v>785</v>
      </c>
      <c r="C825" s="164">
        <v>315977627.25002307</v>
      </c>
      <c r="D825" s="159">
        <v>100117.57707774999</v>
      </c>
      <c r="E825" s="164">
        <v>8497294.2082475666</v>
      </c>
      <c r="F825" s="159">
        <v>0</v>
      </c>
      <c r="I825" s="159">
        <v>785</v>
      </c>
      <c r="J825" s="164">
        <v>315977627.25002307</v>
      </c>
      <c r="K825" s="159">
        <v>100117.57707774999</v>
      </c>
      <c r="L825" s="164">
        <v>8497294.2082475666</v>
      </c>
      <c r="M825" s="159">
        <v>0</v>
      </c>
      <c r="Q825" s="139">
        <v>785</v>
      </c>
      <c r="R825" s="164">
        <f t="shared" si="59"/>
        <v>1319378509.5847983</v>
      </c>
      <c r="S825" s="164">
        <f t="shared" si="60"/>
        <v>-8497294.2082475666</v>
      </c>
      <c r="T825" s="159" t="str">
        <f t="shared" si="61"/>
        <v>TxPost-vaccination</v>
      </c>
      <c r="W825" s="139">
        <v>785</v>
      </c>
      <c r="X825" s="164">
        <f t="shared" si="62"/>
        <v>307480333.04177552</v>
      </c>
      <c r="Y825" s="159">
        <f t="shared" si="62"/>
        <v>100117.57707774999</v>
      </c>
    </row>
    <row r="826" spans="2:25" x14ac:dyDescent="0.25">
      <c r="B826" s="159">
        <v>786</v>
      </c>
      <c r="C826" s="164">
        <v>286072642.30568826</v>
      </c>
      <c r="D826" s="159">
        <v>98751.900540437346</v>
      </c>
      <c r="E826" s="164">
        <v>8001925.5366106713</v>
      </c>
      <c r="F826" s="159">
        <v>0</v>
      </c>
      <c r="I826" s="159">
        <v>786</v>
      </c>
      <c r="J826" s="164">
        <v>286072642.30568826</v>
      </c>
      <c r="K826" s="159">
        <v>98751.900540437346</v>
      </c>
      <c r="L826" s="164">
        <v>8001925.5366106713</v>
      </c>
      <c r="M826" s="159">
        <v>0</v>
      </c>
      <c r="Q826" s="139">
        <v>786</v>
      </c>
      <c r="R826" s="164">
        <f t="shared" si="59"/>
        <v>1326976047.9107323</v>
      </c>
      <c r="S826" s="164">
        <f t="shared" si="60"/>
        <v>-8001925.5366106713</v>
      </c>
      <c r="T826" s="159" t="str">
        <f t="shared" si="61"/>
        <v>TxPost-vaccination</v>
      </c>
      <c r="W826" s="139">
        <v>786</v>
      </c>
      <c r="X826" s="164">
        <f t="shared" si="62"/>
        <v>278070716.7690776</v>
      </c>
      <c r="Y826" s="159">
        <f t="shared" si="62"/>
        <v>98751.900540437346</v>
      </c>
    </row>
    <row r="827" spans="2:25" x14ac:dyDescent="0.25">
      <c r="B827" s="159">
        <v>787</v>
      </c>
      <c r="C827" s="164">
        <v>272832697.54321611</v>
      </c>
      <c r="D827" s="159">
        <v>112143.40543660642</v>
      </c>
      <c r="E827" s="164">
        <v>8406871.228908943</v>
      </c>
      <c r="F827" s="159">
        <v>0</v>
      </c>
      <c r="I827" s="159">
        <v>787</v>
      </c>
      <c r="J827" s="164">
        <v>272832697.54321611</v>
      </c>
      <c r="K827" s="159">
        <v>112143.40543660642</v>
      </c>
      <c r="L827" s="164">
        <v>8406871.228908943</v>
      </c>
      <c r="M827" s="159">
        <v>0</v>
      </c>
      <c r="Q827" s="139">
        <v>787</v>
      </c>
      <c r="R827" s="164">
        <f t="shared" si="59"/>
        <v>1558957599.8177371</v>
      </c>
      <c r="S827" s="164">
        <f t="shared" si="60"/>
        <v>-8406871.228908943</v>
      </c>
      <c r="T827" s="159" t="str">
        <f t="shared" si="61"/>
        <v>TxPost-vaccination</v>
      </c>
      <c r="W827" s="139">
        <v>787</v>
      </c>
      <c r="X827" s="164">
        <f t="shared" si="62"/>
        <v>264425826.31430715</v>
      </c>
      <c r="Y827" s="159">
        <f t="shared" si="62"/>
        <v>112143.40543660642</v>
      </c>
    </row>
    <row r="828" spans="2:25" x14ac:dyDescent="0.25">
      <c r="B828" s="159">
        <v>788</v>
      </c>
      <c r="C828" s="164">
        <v>332008935.63960481</v>
      </c>
      <c r="D828" s="159">
        <v>64616.70340164152</v>
      </c>
      <c r="E828" s="164">
        <v>6229728.7787960796</v>
      </c>
      <c r="F828" s="159">
        <v>0</v>
      </c>
      <c r="I828" s="159">
        <v>788</v>
      </c>
      <c r="J828" s="164">
        <v>332008935.63960481</v>
      </c>
      <c r="K828" s="159">
        <v>64616.70340164152</v>
      </c>
      <c r="L828" s="164">
        <v>6229728.7787960796</v>
      </c>
      <c r="M828" s="159">
        <v>0</v>
      </c>
      <c r="Q828" s="139">
        <v>788</v>
      </c>
      <c r="R828" s="164">
        <f t="shared" si="59"/>
        <v>723463295.45371258</v>
      </c>
      <c r="S828" s="164">
        <f t="shared" si="60"/>
        <v>-6229728.7787960796</v>
      </c>
      <c r="T828" s="159" t="str">
        <f t="shared" si="61"/>
        <v>TxPost-vaccination</v>
      </c>
      <c r="W828" s="139">
        <v>788</v>
      </c>
      <c r="X828" s="164">
        <f t="shared" si="62"/>
        <v>325779206.86080873</v>
      </c>
      <c r="Y828" s="159">
        <f t="shared" si="62"/>
        <v>64616.70340164152</v>
      </c>
    </row>
    <row r="829" spans="2:25" x14ac:dyDescent="0.25">
      <c r="B829" s="159">
        <v>789</v>
      </c>
      <c r="C829" s="164">
        <v>300917607.46531051</v>
      </c>
      <c r="D829" s="159">
        <v>87803.177649773439</v>
      </c>
      <c r="E829" s="164">
        <v>8398001.4033487346</v>
      </c>
      <c r="F829" s="159">
        <v>0</v>
      </c>
      <c r="I829" s="159">
        <v>789</v>
      </c>
      <c r="J829" s="164">
        <v>300917607.46531051</v>
      </c>
      <c r="K829" s="159">
        <v>87803.177649773439</v>
      </c>
      <c r="L829" s="164">
        <v>8398001.4033487346</v>
      </c>
      <c r="M829" s="159">
        <v>0</v>
      </c>
      <c r="Q829" s="139">
        <v>789</v>
      </c>
      <c r="R829" s="164">
        <f t="shared" si="59"/>
        <v>1133290746.295042</v>
      </c>
      <c r="S829" s="164">
        <f t="shared" si="60"/>
        <v>-8398001.4033487346</v>
      </c>
      <c r="T829" s="159" t="str">
        <f t="shared" si="61"/>
        <v>TxPost-vaccination</v>
      </c>
      <c r="W829" s="139">
        <v>789</v>
      </c>
      <c r="X829" s="164">
        <f t="shared" si="62"/>
        <v>292519606.06196177</v>
      </c>
      <c r="Y829" s="159">
        <f t="shared" si="62"/>
        <v>87803.177649773439</v>
      </c>
    </row>
    <row r="830" spans="2:25" x14ac:dyDescent="0.25">
      <c r="B830" s="159">
        <v>790</v>
      </c>
      <c r="C830" s="164">
        <v>306724688.57459503</v>
      </c>
      <c r="D830" s="159">
        <v>122545.837139515</v>
      </c>
      <c r="E830" s="164">
        <v>9828875.1512248497</v>
      </c>
      <c r="F830" s="159">
        <v>0</v>
      </c>
      <c r="I830" s="159">
        <v>790</v>
      </c>
      <c r="J830" s="164">
        <v>306724688.57459503</v>
      </c>
      <c r="K830" s="159">
        <v>122545.837139515</v>
      </c>
      <c r="L830" s="164">
        <v>9828875.1512248497</v>
      </c>
      <c r="M830" s="159">
        <v>0</v>
      </c>
      <c r="Q830" s="139">
        <v>790</v>
      </c>
      <c r="R830" s="164">
        <f t="shared" si="59"/>
        <v>1694982630.5511339</v>
      </c>
      <c r="S830" s="164">
        <f t="shared" si="60"/>
        <v>-9828875.1512248497</v>
      </c>
      <c r="T830" s="159" t="str">
        <f t="shared" si="61"/>
        <v>TxPost-vaccination</v>
      </c>
      <c r="W830" s="139">
        <v>790</v>
      </c>
      <c r="X830" s="164">
        <f t="shared" si="62"/>
        <v>296895813.42337018</v>
      </c>
      <c r="Y830" s="159">
        <f t="shared" si="62"/>
        <v>122545.837139515</v>
      </c>
    </row>
    <row r="831" spans="2:25" x14ac:dyDescent="0.25">
      <c r="B831" s="159">
        <v>791</v>
      </c>
      <c r="C831" s="164">
        <v>300908183.00053883</v>
      </c>
      <c r="D831" s="159">
        <v>105080.36151702028</v>
      </c>
      <c r="E831" s="164">
        <v>9196475.7567731738</v>
      </c>
      <c r="F831" s="159">
        <v>0</v>
      </c>
      <c r="I831" s="159">
        <v>791</v>
      </c>
      <c r="J831" s="164">
        <v>300908183.00053883</v>
      </c>
      <c r="K831" s="159">
        <v>105080.36151702028</v>
      </c>
      <c r="L831" s="164">
        <v>9196475.7567731738</v>
      </c>
      <c r="M831" s="159">
        <v>0</v>
      </c>
      <c r="Q831" s="139">
        <v>791</v>
      </c>
      <c r="R831" s="164">
        <f t="shared" si="59"/>
        <v>1415511841.1699333</v>
      </c>
      <c r="S831" s="164">
        <f t="shared" si="60"/>
        <v>-9196475.7567731738</v>
      </c>
      <c r="T831" s="159" t="str">
        <f t="shared" si="61"/>
        <v>TxPost-vaccination</v>
      </c>
      <c r="W831" s="139">
        <v>791</v>
      </c>
      <c r="X831" s="164">
        <f t="shared" si="62"/>
        <v>291711707.24376565</v>
      </c>
      <c r="Y831" s="159">
        <f t="shared" si="62"/>
        <v>105080.36151702028</v>
      </c>
    </row>
    <row r="832" spans="2:25" x14ac:dyDescent="0.25">
      <c r="B832" s="159">
        <v>792</v>
      </c>
      <c r="C832" s="164">
        <v>329378012.35316271</v>
      </c>
      <c r="D832" s="159">
        <v>106990.88978467209</v>
      </c>
      <c r="E832" s="164">
        <v>8967525.752909027</v>
      </c>
      <c r="F832" s="159">
        <v>0</v>
      </c>
      <c r="I832" s="159">
        <v>792</v>
      </c>
      <c r="J832" s="164">
        <v>329378012.35316271</v>
      </c>
      <c r="K832" s="159">
        <v>106990.88978467209</v>
      </c>
      <c r="L832" s="164">
        <v>8967525.752909027</v>
      </c>
      <c r="M832" s="159">
        <v>0</v>
      </c>
      <c r="Q832" s="139">
        <v>792</v>
      </c>
      <c r="R832" s="164">
        <f t="shared" si="59"/>
        <v>1418249260.5172496</v>
      </c>
      <c r="S832" s="164">
        <f t="shared" si="60"/>
        <v>-8967525.752909027</v>
      </c>
      <c r="T832" s="159" t="str">
        <f t="shared" si="61"/>
        <v>TxPost-vaccination</v>
      </c>
      <c r="W832" s="139">
        <v>792</v>
      </c>
      <c r="X832" s="164">
        <f t="shared" si="62"/>
        <v>320410486.6002537</v>
      </c>
      <c r="Y832" s="159">
        <f t="shared" si="62"/>
        <v>106990.88978467209</v>
      </c>
    </row>
    <row r="833" spans="2:25" x14ac:dyDescent="0.25">
      <c r="B833" s="159">
        <v>793</v>
      </c>
      <c r="C833" s="164">
        <v>284125761.21622574</v>
      </c>
      <c r="D833" s="159">
        <v>113302.74662936786</v>
      </c>
      <c r="E833" s="164">
        <v>9876477.1556711588</v>
      </c>
      <c r="F833" s="159">
        <v>0</v>
      </c>
      <c r="I833" s="159">
        <v>793</v>
      </c>
      <c r="J833" s="164">
        <v>284125761.21622574</v>
      </c>
      <c r="K833" s="159">
        <v>113302.74662936786</v>
      </c>
      <c r="L833" s="164">
        <v>9876477.1556711588</v>
      </c>
      <c r="M833" s="159">
        <v>0</v>
      </c>
      <c r="Q833" s="139">
        <v>793</v>
      </c>
      <c r="R833" s="164">
        <f t="shared" si="59"/>
        <v>1566601627.8084164</v>
      </c>
      <c r="S833" s="164">
        <f t="shared" si="60"/>
        <v>-9876477.1556711588</v>
      </c>
      <c r="T833" s="159" t="str">
        <f t="shared" si="61"/>
        <v>TxPost-vaccination</v>
      </c>
      <c r="W833" s="139">
        <v>793</v>
      </c>
      <c r="X833" s="164">
        <f t="shared" si="62"/>
        <v>274249284.06055456</v>
      </c>
      <c r="Y833" s="159">
        <f t="shared" si="62"/>
        <v>113302.74662936786</v>
      </c>
    </row>
    <row r="834" spans="2:25" x14ac:dyDescent="0.25">
      <c r="B834" s="159">
        <v>794</v>
      </c>
      <c r="C834" s="164">
        <v>302507254.83133602</v>
      </c>
      <c r="D834" s="159">
        <v>119712.66854491241</v>
      </c>
      <c r="E834" s="164">
        <v>9630764.3554140404</v>
      </c>
      <c r="F834" s="159">
        <v>0</v>
      </c>
      <c r="I834" s="159">
        <v>794</v>
      </c>
      <c r="J834" s="164">
        <v>302507254.83133602</v>
      </c>
      <c r="K834" s="159">
        <v>119712.66854491241</v>
      </c>
      <c r="L834" s="164">
        <v>9630764.3554140404</v>
      </c>
      <c r="M834" s="159">
        <v>0</v>
      </c>
      <c r="Q834" s="139">
        <v>794</v>
      </c>
      <c r="R834" s="164">
        <f t="shared" si="59"/>
        <v>1652922080.1171196</v>
      </c>
      <c r="S834" s="164">
        <f t="shared" si="60"/>
        <v>-9630764.3554140404</v>
      </c>
      <c r="T834" s="159" t="str">
        <f t="shared" si="61"/>
        <v>TxPost-vaccination</v>
      </c>
      <c r="W834" s="139">
        <v>794</v>
      </c>
      <c r="X834" s="164">
        <f t="shared" si="62"/>
        <v>292876490.47592199</v>
      </c>
      <c r="Y834" s="159">
        <f t="shared" si="62"/>
        <v>119712.66854491241</v>
      </c>
    </row>
    <row r="835" spans="2:25" x14ac:dyDescent="0.25">
      <c r="B835" s="159">
        <v>795</v>
      </c>
      <c r="C835" s="164">
        <v>337222571.55581194</v>
      </c>
      <c r="D835" s="159">
        <v>76389.992960362579</v>
      </c>
      <c r="E835" s="164">
        <v>7496453.7609289186</v>
      </c>
      <c r="F835" s="159">
        <v>0</v>
      </c>
      <c r="I835" s="159">
        <v>795</v>
      </c>
      <c r="J835" s="164">
        <v>337222571.55581194</v>
      </c>
      <c r="K835" s="159">
        <v>76389.992960362579</v>
      </c>
      <c r="L835" s="164">
        <v>7496453.7609289186</v>
      </c>
      <c r="M835" s="159">
        <v>0</v>
      </c>
      <c r="Q835" s="139">
        <v>795</v>
      </c>
      <c r="R835" s="164">
        <f t="shared" si="59"/>
        <v>910558761.42114162</v>
      </c>
      <c r="S835" s="164">
        <f t="shared" si="60"/>
        <v>-7496453.7609289186</v>
      </c>
      <c r="T835" s="159" t="str">
        <f t="shared" si="61"/>
        <v>TxPost-vaccination</v>
      </c>
      <c r="W835" s="139">
        <v>795</v>
      </c>
      <c r="X835" s="164">
        <f t="shared" si="62"/>
        <v>329726117.79488301</v>
      </c>
      <c r="Y835" s="159">
        <f t="shared" si="62"/>
        <v>76389.992960362579</v>
      </c>
    </row>
    <row r="836" spans="2:25" x14ac:dyDescent="0.25">
      <c r="B836" s="159">
        <v>796</v>
      </c>
      <c r="C836" s="164">
        <v>292082667.08523333</v>
      </c>
      <c r="D836" s="159">
        <v>79459.302082988957</v>
      </c>
      <c r="E836" s="164">
        <v>7174435.2159263771</v>
      </c>
      <c r="F836" s="159">
        <v>0</v>
      </c>
      <c r="I836" s="159">
        <v>796</v>
      </c>
      <c r="J836" s="164">
        <v>292082667.08523333</v>
      </c>
      <c r="K836" s="159">
        <v>79459.302082988957</v>
      </c>
      <c r="L836" s="164">
        <v>7174435.2159263771</v>
      </c>
      <c r="M836" s="159">
        <v>0</v>
      </c>
      <c r="Q836" s="139">
        <v>796</v>
      </c>
      <c r="R836" s="164">
        <f t="shared" si="59"/>
        <v>1005833853.498509</v>
      </c>
      <c r="S836" s="164">
        <f t="shared" si="60"/>
        <v>-7174435.2159263771</v>
      </c>
      <c r="T836" s="159" t="str">
        <f t="shared" si="61"/>
        <v>TxPost-vaccination</v>
      </c>
      <c r="W836" s="139">
        <v>796</v>
      </c>
      <c r="X836" s="164">
        <f t="shared" si="62"/>
        <v>284908231.86930698</v>
      </c>
      <c r="Y836" s="159">
        <f t="shared" si="62"/>
        <v>79459.302082988957</v>
      </c>
    </row>
    <row r="837" spans="2:25" x14ac:dyDescent="0.25">
      <c r="B837" s="159">
        <v>797</v>
      </c>
      <c r="C837" s="164">
        <v>299164254.55525362</v>
      </c>
      <c r="D837" s="159">
        <v>122905.73511269495</v>
      </c>
      <c r="E837" s="164">
        <v>12634949.198915634</v>
      </c>
      <c r="F837" s="159">
        <v>0</v>
      </c>
      <c r="I837" s="159">
        <v>797</v>
      </c>
      <c r="J837" s="164">
        <v>299164254.55525362</v>
      </c>
      <c r="K837" s="159">
        <v>122905.73511269495</v>
      </c>
      <c r="L837" s="164">
        <v>12634949.198915634</v>
      </c>
      <c r="M837" s="159">
        <v>0</v>
      </c>
      <c r="Q837" s="139">
        <v>797</v>
      </c>
      <c r="R837" s="164">
        <f t="shared" si="59"/>
        <v>1708421766.155684</v>
      </c>
      <c r="S837" s="164">
        <f t="shared" si="60"/>
        <v>-12634949.198915634</v>
      </c>
      <c r="T837" s="159" t="str">
        <f t="shared" si="61"/>
        <v>TxPost-vaccination</v>
      </c>
      <c r="W837" s="139">
        <v>797</v>
      </c>
      <c r="X837" s="164">
        <f t="shared" si="62"/>
        <v>286529305.35633796</v>
      </c>
      <c r="Y837" s="159">
        <f t="shared" si="62"/>
        <v>122905.73511269495</v>
      </c>
    </row>
    <row r="838" spans="2:25" x14ac:dyDescent="0.25">
      <c r="B838" s="159">
        <v>798</v>
      </c>
      <c r="C838" s="164">
        <v>311664986.90853429</v>
      </c>
      <c r="D838" s="159">
        <v>162284.54065449373</v>
      </c>
      <c r="E838" s="164">
        <v>12151345.463109579</v>
      </c>
      <c r="F838" s="159">
        <v>0</v>
      </c>
      <c r="I838" s="159">
        <v>798</v>
      </c>
      <c r="J838" s="164">
        <v>311664986.90853429</v>
      </c>
      <c r="K838" s="159">
        <v>162284.54065449373</v>
      </c>
      <c r="L838" s="164">
        <v>12151345.463109579</v>
      </c>
      <c r="M838" s="159">
        <v>0</v>
      </c>
      <c r="Q838" s="139">
        <v>798</v>
      </c>
      <c r="R838" s="164">
        <f t="shared" si="59"/>
        <v>2339148458.8328228</v>
      </c>
      <c r="S838" s="164">
        <f t="shared" si="60"/>
        <v>-12151345.463109579</v>
      </c>
      <c r="T838" s="159" t="str">
        <f t="shared" si="61"/>
        <v>TxPost-vaccination</v>
      </c>
      <c r="W838" s="139">
        <v>798</v>
      </c>
      <c r="X838" s="164">
        <f t="shared" si="62"/>
        <v>299513641.44542474</v>
      </c>
      <c r="Y838" s="159">
        <f t="shared" si="62"/>
        <v>162284.54065449373</v>
      </c>
    </row>
    <row r="839" spans="2:25" x14ac:dyDescent="0.25">
      <c r="B839" s="159">
        <v>799</v>
      </c>
      <c r="C839" s="164">
        <v>296820912.49061906</v>
      </c>
      <c r="D839" s="159">
        <v>136955.52551427743</v>
      </c>
      <c r="E839" s="164">
        <v>10080146.120019257</v>
      </c>
      <c r="F839" s="159">
        <v>0</v>
      </c>
      <c r="I839" s="159">
        <v>799</v>
      </c>
      <c r="J839" s="164">
        <v>296820912.49061906</v>
      </c>
      <c r="K839" s="159">
        <v>136955.52551427743</v>
      </c>
      <c r="L839" s="164">
        <v>10080146.120019257</v>
      </c>
      <c r="M839" s="159">
        <v>0</v>
      </c>
      <c r="Q839" s="139">
        <v>799</v>
      </c>
      <c r="R839" s="164">
        <f t="shared" si="59"/>
        <v>1940259385.100668</v>
      </c>
      <c r="S839" s="164">
        <f t="shared" si="60"/>
        <v>-10080146.120019257</v>
      </c>
      <c r="T839" s="159" t="str">
        <f t="shared" si="61"/>
        <v>TxPost-vaccination</v>
      </c>
      <c r="W839" s="139">
        <v>799</v>
      </c>
      <c r="X839" s="164">
        <f t="shared" si="62"/>
        <v>286740766.37059981</v>
      </c>
      <c r="Y839" s="159">
        <f t="shared" si="62"/>
        <v>136955.52551427743</v>
      </c>
    </row>
    <row r="840" spans="2:25" x14ac:dyDescent="0.25">
      <c r="B840" s="159">
        <v>800</v>
      </c>
      <c r="C840" s="164">
        <v>327134387.12405592</v>
      </c>
      <c r="D840" s="159">
        <v>100200.68136041659</v>
      </c>
      <c r="E840" s="164">
        <v>8458170.2457844764</v>
      </c>
      <c r="F840" s="159">
        <v>0</v>
      </c>
      <c r="I840" s="159">
        <v>800</v>
      </c>
      <c r="J840" s="164">
        <v>327134387.12405592</v>
      </c>
      <c r="K840" s="159">
        <v>100200.68136041659</v>
      </c>
      <c r="L840" s="164">
        <v>8458170.2457844764</v>
      </c>
      <c r="M840" s="159">
        <v>0</v>
      </c>
      <c r="Q840" s="139">
        <v>800</v>
      </c>
      <c r="R840" s="164">
        <f t="shared" si="59"/>
        <v>1309579204.6414874</v>
      </c>
      <c r="S840" s="164">
        <f t="shared" si="60"/>
        <v>-8458170.2457844764</v>
      </c>
      <c r="T840" s="159" t="str">
        <f t="shared" si="61"/>
        <v>TxPost-vaccination</v>
      </c>
      <c r="W840" s="139">
        <v>800</v>
      </c>
      <c r="X840" s="164">
        <f t="shared" si="62"/>
        <v>318676216.87827146</v>
      </c>
      <c r="Y840" s="159">
        <f t="shared" si="62"/>
        <v>100200.68136041659</v>
      </c>
    </row>
    <row r="841" spans="2:25" x14ac:dyDescent="0.25">
      <c r="B841" s="159">
        <v>801</v>
      </c>
      <c r="C841" s="164">
        <v>299441307.61610478</v>
      </c>
      <c r="D841" s="159">
        <v>106869.10606269729</v>
      </c>
      <c r="E841" s="164">
        <v>9044353.560119804</v>
      </c>
      <c r="F841" s="159">
        <v>0</v>
      </c>
      <c r="I841" s="159">
        <v>801</v>
      </c>
      <c r="J841" s="164">
        <v>299441307.61610478</v>
      </c>
      <c r="K841" s="159">
        <v>106869.10606269729</v>
      </c>
      <c r="L841" s="164">
        <v>9044353.560119804</v>
      </c>
      <c r="M841" s="159">
        <v>0</v>
      </c>
      <c r="Q841" s="139">
        <v>801</v>
      </c>
      <c r="R841" s="164">
        <f t="shared" si="59"/>
        <v>1446196706.5955267</v>
      </c>
      <c r="S841" s="164">
        <f t="shared" si="60"/>
        <v>-9044353.560119804</v>
      </c>
      <c r="T841" s="159" t="str">
        <f t="shared" si="61"/>
        <v>TxPost-vaccination</v>
      </c>
      <c r="W841" s="139">
        <v>801</v>
      </c>
      <c r="X841" s="164">
        <f t="shared" si="62"/>
        <v>290396954.05598497</v>
      </c>
      <c r="Y841" s="159">
        <f t="shared" si="62"/>
        <v>106869.10606269729</v>
      </c>
    </row>
    <row r="842" spans="2:25" x14ac:dyDescent="0.25">
      <c r="B842" s="159">
        <v>802</v>
      </c>
      <c r="C842" s="164">
        <v>332659146.36292547</v>
      </c>
      <c r="D842" s="159">
        <v>93463.239168593122</v>
      </c>
      <c r="E842" s="164">
        <v>9088174.6178764608</v>
      </c>
      <c r="F842" s="159">
        <v>0</v>
      </c>
      <c r="I842" s="159">
        <v>802</v>
      </c>
      <c r="J842" s="164">
        <v>332659146.36292547</v>
      </c>
      <c r="K842" s="159">
        <v>93463.239168593122</v>
      </c>
      <c r="L842" s="164">
        <v>9088174.6178764608</v>
      </c>
      <c r="M842" s="159">
        <v>0</v>
      </c>
      <c r="Q842" s="139">
        <v>802</v>
      </c>
      <c r="R842" s="164">
        <f t="shared" si="59"/>
        <v>1194002666.7183228</v>
      </c>
      <c r="S842" s="164">
        <f t="shared" si="60"/>
        <v>-9088174.6178764608</v>
      </c>
      <c r="T842" s="159" t="str">
        <f t="shared" si="61"/>
        <v>TxPost-vaccination</v>
      </c>
      <c r="W842" s="139">
        <v>802</v>
      </c>
      <c r="X842" s="164">
        <f t="shared" si="62"/>
        <v>323570971.745049</v>
      </c>
      <c r="Y842" s="159">
        <f t="shared" si="62"/>
        <v>93463.239168593122</v>
      </c>
    </row>
    <row r="843" spans="2:25" x14ac:dyDescent="0.25">
      <c r="B843" s="159">
        <v>803</v>
      </c>
      <c r="C843" s="164">
        <v>316282702.36830747</v>
      </c>
      <c r="D843" s="159">
        <v>115144.38813203666</v>
      </c>
      <c r="E843" s="164">
        <v>9205614.7895347625</v>
      </c>
      <c r="F843" s="159">
        <v>0</v>
      </c>
      <c r="I843" s="159">
        <v>803</v>
      </c>
      <c r="J843" s="164">
        <v>316282702.36830747</v>
      </c>
      <c r="K843" s="159">
        <v>115144.38813203666</v>
      </c>
      <c r="L843" s="164">
        <v>9205614.7895347625</v>
      </c>
      <c r="M843" s="159">
        <v>0</v>
      </c>
      <c r="Q843" s="139">
        <v>803</v>
      </c>
      <c r="R843" s="164">
        <f t="shared" si="59"/>
        <v>1564526714.4195542</v>
      </c>
      <c r="S843" s="164">
        <f t="shared" si="60"/>
        <v>-9205614.7895347625</v>
      </c>
      <c r="T843" s="159" t="str">
        <f t="shared" si="61"/>
        <v>TxPost-vaccination</v>
      </c>
      <c r="W843" s="139">
        <v>803</v>
      </c>
      <c r="X843" s="164">
        <f t="shared" si="62"/>
        <v>307077087.57877272</v>
      </c>
      <c r="Y843" s="159">
        <f t="shared" si="62"/>
        <v>115144.38813203666</v>
      </c>
    </row>
    <row r="844" spans="2:25" x14ac:dyDescent="0.25">
      <c r="B844" s="159">
        <v>804</v>
      </c>
      <c r="C844" s="164">
        <v>321465222.28828889</v>
      </c>
      <c r="D844" s="159">
        <v>83886.94788435493</v>
      </c>
      <c r="E844" s="164">
        <v>8165419.9550421136</v>
      </c>
      <c r="F844" s="159">
        <v>0</v>
      </c>
      <c r="I844" s="159">
        <v>804</v>
      </c>
      <c r="J844" s="164">
        <v>321465222.28828889</v>
      </c>
      <c r="K844" s="159">
        <v>83886.94788435493</v>
      </c>
      <c r="L844" s="164">
        <v>8165419.9550421136</v>
      </c>
      <c r="M844" s="159">
        <v>0</v>
      </c>
      <c r="Q844" s="139">
        <v>804</v>
      </c>
      <c r="R844" s="164">
        <f t="shared" si="59"/>
        <v>1048774040.6583824</v>
      </c>
      <c r="S844" s="164">
        <f t="shared" si="60"/>
        <v>-8165419.9550421136</v>
      </c>
      <c r="T844" s="159" t="str">
        <f t="shared" si="61"/>
        <v>TxPost-vaccination</v>
      </c>
      <c r="W844" s="139">
        <v>804</v>
      </c>
      <c r="X844" s="164">
        <f t="shared" si="62"/>
        <v>313299802.33324677</v>
      </c>
      <c r="Y844" s="159">
        <f t="shared" si="62"/>
        <v>83886.94788435493</v>
      </c>
    </row>
    <row r="845" spans="2:25" x14ac:dyDescent="0.25">
      <c r="B845" s="159">
        <v>805</v>
      </c>
      <c r="C845" s="164">
        <v>313348875.9964332</v>
      </c>
      <c r="D845" s="159">
        <v>73020.382476126964</v>
      </c>
      <c r="E845" s="164">
        <v>6802063.1988681359</v>
      </c>
      <c r="F845" s="159">
        <v>0</v>
      </c>
      <c r="I845" s="159">
        <v>805</v>
      </c>
      <c r="J845" s="164">
        <v>313348875.9964332</v>
      </c>
      <c r="K845" s="159">
        <v>73020.382476126964</v>
      </c>
      <c r="L845" s="164">
        <v>6802063.1988681359</v>
      </c>
      <c r="M845" s="159">
        <v>0</v>
      </c>
      <c r="Q845" s="139">
        <v>805</v>
      </c>
      <c r="R845" s="164">
        <f t="shared" si="59"/>
        <v>879392040.05294824</v>
      </c>
      <c r="S845" s="164">
        <f t="shared" si="60"/>
        <v>-6802063.1988681359</v>
      </c>
      <c r="T845" s="159" t="str">
        <f t="shared" si="61"/>
        <v>TxPost-vaccination</v>
      </c>
      <c r="W845" s="139">
        <v>805</v>
      </c>
      <c r="X845" s="164">
        <f t="shared" si="62"/>
        <v>306546812.79756504</v>
      </c>
      <c r="Y845" s="159">
        <f t="shared" si="62"/>
        <v>73020.382476126964</v>
      </c>
    </row>
    <row r="846" spans="2:25" x14ac:dyDescent="0.25">
      <c r="B846" s="159">
        <v>806</v>
      </c>
      <c r="C846" s="164">
        <v>308566782.31570107</v>
      </c>
      <c r="D846" s="159">
        <v>114618.84731423816</v>
      </c>
      <c r="E846" s="164">
        <v>8854287.3075950872</v>
      </c>
      <c r="F846" s="159">
        <v>0</v>
      </c>
      <c r="I846" s="159">
        <v>806</v>
      </c>
      <c r="J846" s="164">
        <v>308566782.31570107</v>
      </c>
      <c r="K846" s="159">
        <v>114618.84731423816</v>
      </c>
      <c r="L846" s="164">
        <v>8854287.3075950872</v>
      </c>
      <c r="M846" s="159">
        <v>0</v>
      </c>
      <c r="Q846" s="139">
        <v>806</v>
      </c>
      <c r="R846" s="164">
        <f t="shared" si="59"/>
        <v>1563658263.7090075</v>
      </c>
      <c r="S846" s="164">
        <f t="shared" si="60"/>
        <v>-8854287.3075950872</v>
      </c>
      <c r="T846" s="159" t="str">
        <f t="shared" si="61"/>
        <v>TxPost-vaccination</v>
      </c>
      <c r="W846" s="139">
        <v>806</v>
      </c>
      <c r="X846" s="164">
        <f t="shared" si="62"/>
        <v>299712495.00810599</v>
      </c>
      <c r="Y846" s="159">
        <f t="shared" si="62"/>
        <v>114618.84731423816</v>
      </c>
    </row>
    <row r="847" spans="2:25" x14ac:dyDescent="0.25">
      <c r="B847" s="159">
        <v>807</v>
      </c>
      <c r="C847" s="164">
        <v>296373135.46074653</v>
      </c>
      <c r="D847" s="159">
        <v>79545.953468905311</v>
      </c>
      <c r="E847" s="164">
        <v>6778640.6174750272</v>
      </c>
      <c r="F847" s="159">
        <v>0</v>
      </c>
      <c r="I847" s="159">
        <v>807</v>
      </c>
      <c r="J847" s="164">
        <v>296373135.46074653</v>
      </c>
      <c r="K847" s="159">
        <v>79545.953468905311</v>
      </c>
      <c r="L847" s="164">
        <v>6778640.6174750272</v>
      </c>
      <c r="M847" s="159">
        <v>0</v>
      </c>
      <c r="Q847" s="139">
        <v>807</v>
      </c>
      <c r="R847" s="164">
        <f t="shared" si="59"/>
        <v>1002958779.7006483</v>
      </c>
      <c r="S847" s="164">
        <f t="shared" si="60"/>
        <v>-6778640.6174750272</v>
      </c>
      <c r="T847" s="159" t="str">
        <f t="shared" si="61"/>
        <v>TxPost-vaccination</v>
      </c>
      <c r="W847" s="139">
        <v>807</v>
      </c>
      <c r="X847" s="164">
        <f t="shared" si="62"/>
        <v>289594494.84327149</v>
      </c>
      <c r="Y847" s="159">
        <f t="shared" si="62"/>
        <v>79545.953468905311</v>
      </c>
    </row>
    <row r="848" spans="2:25" x14ac:dyDescent="0.25">
      <c r="B848" s="159">
        <v>808</v>
      </c>
      <c r="C848" s="164">
        <v>319154287.4045521</v>
      </c>
      <c r="D848" s="159">
        <v>88998.053483276919</v>
      </c>
      <c r="E848" s="164">
        <v>6849883.953519945</v>
      </c>
      <c r="F848" s="159">
        <v>0</v>
      </c>
      <c r="I848" s="159">
        <v>808</v>
      </c>
      <c r="J848" s="164">
        <v>319154287.4045521</v>
      </c>
      <c r="K848" s="159">
        <v>88998.053483276919</v>
      </c>
      <c r="L848" s="164">
        <v>6849883.953519945</v>
      </c>
      <c r="M848" s="159">
        <v>0</v>
      </c>
      <c r="Q848" s="139">
        <v>808</v>
      </c>
      <c r="R848" s="164">
        <f t="shared" si="59"/>
        <v>1134571593.4885044</v>
      </c>
      <c r="S848" s="164">
        <f t="shared" si="60"/>
        <v>-6849883.953519945</v>
      </c>
      <c r="T848" s="159" t="str">
        <f t="shared" si="61"/>
        <v>TxPost-vaccination</v>
      </c>
      <c r="W848" s="139">
        <v>808</v>
      </c>
      <c r="X848" s="164">
        <f t="shared" si="62"/>
        <v>312304403.45103216</v>
      </c>
      <c r="Y848" s="159">
        <f t="shared" si="62"/>
        <v>88998.053483276919</v>
      </c>
    </row>
    <row r="849" spans="2:25" x14ac:dyDescent="0.25">
      <c r="B849" s="159">
        <v>809</v>
      </c>
      <c r="C849" s="164">
        <v>299032662.40982491</v>
      </c>
      <c r="D849" s="159">
        <v>103363.74539556234</v>
      </c>
      <c r="E849" s="164">
        <v>8168173.4375636587</v>
      </c>
      <c r="F849" s="159">
        <v>0</v>
      </c>
      <c r="I849" s="159">
        <v>809</v>
      </c>
      <c r="J849" s="164">
        <v>299032662.40982491</v>
      </c>
      <c r="K849" s="159">
        <v>103363.74539556234</v>
      </c>
      <c r="L849" s="164">
        <v>8168173.4375636587</v>
      </c>
      <c r="M849" s="159">
        <v>0</v>
      </c>
      <c r="Q849" s="139">
        <v>809</v>
      </c>
      <c r="R849" s="164">
        <f t="shared" si="59"/>
        <v>1389347543.0719094</v>
      </c>
      <c r="S849" s="164">
        <f t="shared" si="60"/>
        <v>-8168173.4375636587</v>
      </c>
      <c r="T849" s="159" t="str">
        <f t="shared" si="61"/>
        <v>TxPost-vaccination</v>
      </c>
      <c r="W849" s="139">
        <v>809</v>
      </c>
      <c r="X849" s="164">
        <f t="shared" si="62"/>
        <v>290864488.97226125</v>
      </c>
      <c r="Y849" s="159">
        <f t="shared" si="62"/>
        <v>103363.74539556234</v>
      </c>
    </row>
    <row r="850" spans="2:25" x14ac:dyDescent="0.25">
      <c r="B850" s="159">
        <v>810</v>
      </c>
      <c r="C850" s="164">
        <v>299150560.20874977</v>
      </c>
      <c r="D850" s="159">
        <v>90662.562724252261</v>
      </c>
      <c r="E850" s="164">
        <v>6819450.7373549193</v>
      </c>
      <c r="F850" s="159">
        <v>0</v>
      </c>
      <c r="I850" s="159">
        <v>810</v>
      </c>
      <c r="J850" s="164">
        <v>299150560.20874977</v>
      </c>
      <c r="K850" s="159">
        <v>90662.562724252261</v>
      </c>
      <c r="L850" s="164">
        <v>6819450.7373549193</v>
      </c>
      <c r="M850" s="159">
        <v>0</v>
      </c>
      <c r="Q850" s="139">
        <v>810</v>
      </c>
      <c r="R850" s="164">
        <f t="shared" si="59"/>
        <v>1181764007.0418818</v>
      </c>
      <c r="S850" s="164">
        <f t="shared" si="60"/>
        <v>-6819450.7373549193</v>
      </c>
      <c r="T850" s="159" t="str">
        <f t="shared" si="61"/>
        <v>TxPost-vaccination</v>
      </c>
      <c r="W850" s="139">
        <v>810</v>
      </c>
      <c r="X850" s="164">
        <f t="shared" si="62"/>
        <v>292331109.47139484</v>
      </c>
      <c r="Y850" s="159">
        <f t="shared" si="62"/>
        <v>90662.562724252261</v>
      </c>
    </row>
    <row r="851" spans="2:25" x14ac:dyDescent="0.25">
      <c r="B851" s="159">
        <v>811</v>
      </c>
      <c r="C851" s="164">
        <v>310272389.02916574</v>
      </c>
      <c r="D851" s="159">
        <v>118583.43568276413</v>
      </c>
      <c r="E851" s="164">
        <v>12129390.182980457</v>
      </c>
      <c r="F851" s="159">
        <v>0</v>
      </c>
      <c r="I851" s="159">
        <v>811</v>
      </c>
      <c r="J851" s="164">
        <v>310272389.02916574</v>
      </c>
      <c r="K851" s="159">
        <v>118583.43568276413</v>
      </c>
      <c r="L851" s="164">
        <v>12129390.182980457</v>
      </c>
      <c r="M851" s="159">
        <v>0</v>
      </c>
      <c r="Q851" s="139">
        <v>811</v>
      </c>
      <c r="R851" s="164">
        <f t="shared" si="59"/>
        <v>1626711654.443692</v>
      </c>
      <c r="S851" s="164">
        <f t="shared" si="60"/>
        <v>-12129390.182980457</v>
      </c>
      <c r="T851" s="159" t="str">
        <f t="shared" si="61"/>
        <v>TxPost-vaccination</v>
      </c>
      <c r="W851" s="139">
        <v>811</v>
      </c>
      <c r="X851" s="164">
        <f t="shared" si="62"/>
        <v>298142998.84618527</v>
      </c>
      <c r="Y851" s="159">
        <f t="shared" si="62"/>
        <v>118583.43568276413</v>
      </c>
    </row>
    <row r="852" spans="2:25" x14ac:dyDescent="0.25">
      <c r="B852" s="159">
        <v>812</v>
      </c>
      <c r="C852" s="164">
        <v>314282589.74782914</v>
      </c>
      <c r="D852" s="159">
        <v>102582.64035045105</v>
      </c>
      <c r="E852" s="164">
        <v>8008887.5910351472</v>
      </c>
      <c r="F852" s="159">
        <v>0</v>
      </c>
      <c r="I852" s="159">
        <v>812</v>
      </c>
      <c r="J852" s="164">
        <v>314282589.74782914</v>
      </c>
      <c r="K852" s="159">
        <v>102582.64035045105</v>
      </c>
      <c r="L852" s="164">
        <v>8008887.5910351472</v>
      </c>
      <c r="M852" s="159">
        <v>0</v>
      </c>
      <c r="Q852" s="139">
        <v>812</v>
      </c>
      <c r="R852" s="164">
        <f t="shared" si="59"/>
        <v>1361338767.9239607</v>
      </c>
      <c r="S852" s="164">
        <f t="shared" si="60"/>
        <v>-8008887.5910351472</v>
      </c>
      <c r="T852" s="159" t="str">
        <f t="shared" si="61"/>
        <v>TxPost-vaccination</v>
      </c>
      <c r="W852" s="139">
        <v>812</v>
      </c>
      <c r="X852" s="164">
        <f t="shared" si="62"/>
        <v>306273702.15679401</v>
      </c>
      <c r="Y852" s="159">
        <f t="shared" si="62"/>
        <v>102582.64035045105</v>
      </c>
    </row>
    <row r="853" spans="2:25" x14ac:dyDescent="0.25">
      <c r="B853" s="159">
        <v>813</v>
      </c>
      <c r="C853" s="164">
        <v>316407437.57127893</v>
      </c>
      <c r="D853" s="159">
        <v>67092.501693397178</v>
      </c>
      <c r="E853" s="164">
        <v>8057439.9948532116</v>
      </c>
      <c r="F853" s="159">
        <v>0</v>
      </c>
      <c r="I853" s="159">
        <v>813</v>
      </c>
      <c r="J853" s="164">
        <v>316407437.57127893</v>
      </c>
      <c r="K853" s="159">
        <v>67092.501693397178</v>
      </c>
      <c r="L853" s="164">
        <v>8057439.9948532116</v>
      </c>
      <c r="M853" s="159">
        <v>0</v>
      </c>
      <c r="Q853" s="139">
        <v>813</v>
      </c>
      <c r="R853" s="164">
        <f t="shared" si="59"/>
        <v>779505363.98094523</v>
      </c>
      <c r="S853" s="164">
        <f t="shared" si="60"/>
        <v>-8057439.9948532116</v>
      </c>
      <c r="T853" s="159" t="str">
        <f t="shared" si="61"/>
        <v>TxPost-vaccination</v>
      </c>
      <c r="W853" s="139">
        <v>813</v>
      </c>
      <c r="X853" s="164">
        <f t="shared" si="62"/>
        <v>308349997.57642573</v>
      </c>
      <c r="Y853" s="159">
        <f t="shared" si="62"/>
        <v>67092.501693397178</v>
      </c>
    </row>
    <row r="854" spans="2:25" x14ac:dyDescent="0.25">
      <c r="B854" s="159">
        <v>814</v>
      </c>
      <c r="C854" s="164">
        <v>317498346.56178516</v>
      </c>
      <c r="D854" s="159">
        <v>97165.009584723783</v>
      </c>
      <c r="E854" s="164">
        <v>9750776.8436434604</v>
      </c>
      <c r="F854" s="159">
        <v>0</v>
      </c>
      <c r="I854" s="159">
        <v>814</v>
      </c>
      <c r="J854" s="164">
        <v>317498346.56178516</v>
      </c>
      <c r="K854" s="159">
        <v>97165.009584723783</v>
      </c>
      <c r="L854" s="164">
        <v>9750776.8436434604</v>
      </c>
      <c r="M854" s="159">
        <v>0</v>
      </c>
      <c r="Q854" s="139">
        <v>814</v>
      </c>
      <c r="R854" s="164">
        <f t="shared" si="59"/>
        <v>1269629501.99365</v>
      </c>
      <c r="S854" s="164">
        <f t="shared" si="60"/>
        <v>-9750776.8436434604</v>
      </c>
      <c r="T854" s="159" t="str">
        <f t="shared" si="61"/>
        <v>TxPost-vaccination</v>
      </c>
      <c r="W854" s="139">
        <v>814</v>
      </c>
      <c r="X854" s="164">
        <f t="shared" si="62"/>
        <v>307747569.71814167</v>
      </c>
      <c r="Y854" s="159">
        <f t="shared" si="62"/>
        <v>97165.009584723783</v>
      </c>
    </row>
    <row r="855" spans="2:25" x14ac:dyDescent="0.25">
      <c r="B855" s="159">
        <v>815</v>
      </c>
      <c r="C855" s="164">
        <v>309749135.49208397</v>
      </c>
      <c r="D855" s="159">
        <v>90282.373187022793</v>
      </c>
      <c r="E855" s="164">
        <v>7395314.1628076406</v>
      </c>
      <c r="F855" s="159">
        <v>0</v>
      </c>
      <c r="I855" s="159">
        <v>815</v>
      </c>
      <c r="J855" s="164">
        <v>309749135.49208397</v>
      </c>
      <c r="K855" s="159">
        <v>90282.373187022793</v>
      </c>
      <c r="L855" s="164">
        <v>7395314.1628076406</v>
      </c>
      <c r="M855" s="159">
        <v>0</v>
      </c>
      <c r="Q855" s="139">
        <v>815</v>
      </c>
      <c r="R855" s="164">
        <f t="shared" si="59"/>
        <v>1164955280.5441833</v>
      </c>
      <c r="S855" s="164">
        <f t="shared" si="60"/>
        <v>-7395314.1628076406</v>
      </c>
      <c r="T855" s="159" t="str">
        <f t="shared" si="61"/>
        <v>TxPost-vaccination</v>
      </c>
      <c r="W855" s="139">
        <v>815</v>
      </c>
      <c r="X855" s="164">
        <f t="shared" si="62"/>
        <v>302353821.32927632</v>
      </c>
      <c r="Y855" s="159">
        <f t="shared" si="62"/>
        <v>90282.373187022793</v>
      </c>
    </row>
    <row r="856" spans="2:25" x14ac:dyDescent="0.25">
      <c r="B856" s="159">
        <v>816</v>
      </c>
      <c r="C856" s="164">
        <v>296099828.53621733</v>
      </c>
      <c r="D856" s="159">
        <v>129256.40837738843</v>
      </c>
      <c r="E856" s="164">
        <v>11229792.543156521</v>
      </c>
      <c r="F856" s="159">
        <v>0</v>
      </c>
      <c r="I856" s="159">
        <v>816</v>
      </c>
      <c r="J856" s="164">
        <v>296099828.53621733</v>
      </c>
      <c r="K856" s="159">
        <v>129256.40837738843</v>
      </c>
      <c r="L856" s="164">
        <v>11229792.543156521</v>
      </c>
      <c r="M856" s="159">
        <v>0</v>
      </c>
      <c r="Q856" s="139">
        <v>816</v>
      </c>
      <c r="R856" s="164">
        <f t="shared" si="59"/>
        <v>1815220349.5483451</v>
      </c>
      <c r="S856" s="164">
        <f t="shared" si="60"/>
        <v>-11229792.543156521</v>
      </c>
      <c r="T856" s="159" t="str">
        <f t="shared" si="61"/>
        <v>TxPost-vaccination</v>
      </c>
      <c r="W856" s="139">
        <v>816</v>
      </c>
      <c r="X856" s="164">
        <f t="shared" si="62"/>
        <v>284870035.99306083</v>
      </c>
      <c r="Y856" s="159">
        <f t="shared" si="62"/>
        <v>129256.40837738843</v>
      </c>
    </row>
    <row r="857" spans="2:25" x14ac:dyDescent="0.25">
      <c r="B857" s="159">
        <v>817</v>
      </c>
      <c r="C857" s="164">
        <v>315174222.30155826</v>
      </c>
      <c r="D857" s="159">
        <v>71657.316261338332</v>
      </c>
      <c r="E857" s="164">
        <v>6230931.9360807622</v>
      </c>
      <c r="F857" s="159">
        <v>0</v>
      </c>
      <c r="I857" s="159">
        <v>817</v>
      </c>
      <c r="J857" s="164">
        <v>315174222.30155826</v>
      </c>
      <c r="K857" s="159">
        <v>71657.316261338332</v>
      </c>
      <c r="L857" s="164">
        <v>6230931.9360807622</v>
      </c>
      <c r="M857" s="159">
        <v>0</v>
      </c>
      <c r="Q857" s="139">
        <v>817</v>
      </c>
      <c r="R857" s="164">
        <f t="shared" si="59"/>
        <v>855301885.06656933</v>
      </c>
      <c r="S857" s="164">
        <f t="shared" si="60"/>
        <v>-6230931.9360807622</v>
      </c>
      <c r="T857" s="159" t="str">
        <f t="shared" si="61"/>
        <v>TxPost-vaccination</v>
      </c>
      <c r="W857" s="139">
        <v>817</v>
      </c>
      <c r="X857" s="164">
        <f t="shared" si="62"/>
        <v>308943290.3654775</v>
      </c>
      <c r="Y857" s="159">
        <f t="shared" si="62"/>
        <v>71657.316261338332</v>
      </c>
    </row>
    <row r="858" spans="2:25" x14ac:dyDescent="0.25">
      <c r="B858" s="159">
        <v>818</v>
      </c>
      <c r="C858" s="164">
        <v>306356385.88932401</v>
      </c>
      <c r="D858" s="159">
        <v>76303.716962359133</v>
      </c>
      <c r="E858" s="164">
        <v>6731876.6800031234</v>
      </c>
      <c r="F858" s="159">
        <v>0</v>
      </c>
      <c r="I858" s="159">
        <v>818</v>
      </c>
      <c r="J858" s="164">
        <v>306356385.88932401</v>
      </c>
      <c r="K858" s="159">
        <v>76303.716962359133</v>
      </c>
      <c r="L858" s="164">
        <v>6731876.6800031234</v>
      </c>
      <c r="M858" s="159">
        <v>0</v>
      </c>
      <c r="Q858" s="139">
        <v>818</v>
      </c>
      <c r="R858" s="164">
        <f t="shared" si="59"/>
        <v>940015684.22975063</v>
      </c>
      <c r="S858" s="164">
        <f t="shared" si="60"/>
        <v>-6731876.6800031234</v>
      </c>
      <c r="T858" s="159" t="str">
        <f t="shared" si="61"/>
        <v>TxPost-vaccination</v>
      </c>
      <c r="W858" s="139">
        <v>818</v>
      </c>
      <c r="X858" s="164">
        <f t="shared" si="62"/>
        <v>299624509.2093209</v>
      </c>
      <c r="Y858" s="159">
        <f t="shared" si="62"/>
        <v>76303.716962359133</v>
      </c>
    </row>
    <row r="859" spans="2:25" x14ac:dyDescent="0.25">
      <c r="B859" s="159">
        <v>819</v>
      </c>
      <c r="C859" s="164">
        <v>313519738.34148562</v>
      </c>
      <c r="D859" s="159">
        <v>107684.26248934826</v>
      </c>
      <c r="E859" s="164">
        <v>8863113.5338586178</v>
      </c>
      <c r="F859" s="159">
        <v>0</v>
      </c>
      <c r="I859" s="159">
        <v>819</v>
      </c>
      <c r="J859" s="164">
        <v>313519738.34148562</v>
      </c>
      <c r="K859" s="159">
        <v>107684.26248934826</v>
      </c>
      <c r="L859" s="164">
        <v>8863113.5338586178</v>
      </c>
      <c r="M859" s="159">
        <v>0</v>
      </c>
      <c r="Q859" s="139">
        <v>819</v>
      </c>
      <c r="R859" s="164">
        <f t="shared" si="59"/>
        <v>1445433331.0653863</v>
      </c>
      <c r="S859" s="164">
        <f t="shared" si="60"/>
        <v>-8863113.5338586178</v>
      </c>
      <c r="T859" s="159" t="str">
        <f t="shared" si="61"/>
        <v>TxPost-vaccination</v>
      </c>
      <c r="W859" s="139">
        <v>819</v>
      </c>
      <c r="X859" s="164">
        <f t="shared" si="62"/>
        <v>304656624.80762702</v>
      </c>
      <c r="Y859" s="159">
        <f t="shared" si="62"/>
        <v>107684.26248934826</v>
      </c>
    </row>
    <row r="860" spans="2:25" x14ac:dyDescent="0.25">
      <c r="B860" s="159">
        <v>820</v>
      </c>
      <c r="C860" s="164">
        <v>304416645.64530063</v>
      </c>
      <c r="D860" s="159">
        <v>67258.76566993013</v>
      </c>
      <c r="E860" s="164">
        <v>6197807.644437463</v>
      </c>
      <c r="F860" s="159">
        <v>0</v>
      </c>
      <c r="I860" s="159">
        <v>820</v>
      </c>
      <c r="J860" s="164">
        <v>304416645.64530063</v>
      </c>
      <c r="K860" s="159">
        <v>67258.76566993013</v>
      </c>
      <c r="L860" s="164">
        <v>6197807.644437463</v>
      </c>
      <c r="M860" s="159">
        <v>0</v>
      </c>
      <c r="Q860" s="139">
        <v>820</v>
      </c>
      <c r="R860" s="164">
        <f t="shared" si="59"/>
        <v>794211970.87462473</v>
      </c>
      <c r="S860" s="164">
        <f t="shared" si="60"/>
        <v>-6197807.644437463</v>
      </c>
      <c r="T860" s="159" t="str">
        <f t="shared" si="61"/>
        <v>TxPost-vaccination</v>
      </c>
      <c r="W860" s="139">
        <v>820</v>
      </c>
      <c r="X860" s="164">
        <f t="shared" si="62"/>
        <v>298218838.00086313</v>
      </c>
      <c r="Y860" s="159">
        <f t="shared" si="62"/>
        <v>67258.76566993013</v>
      </c>
    </row>
    <row r="861" spans="2:25" x14ac:dyDescent="0.25">
      <c r="B861" s="159">
        <v>821</v>
      </c>
      <c r="C861" s="164">
        <v>291868036.40769231</v>
      </c>
      <c r="D861" s="159">
        <v>79782.913955115364</v>
      </c>
      <c r="E861" s="164">
        <v>6720712.8650165908</v>
      </c>
      <c r="F861" s="159">
        <v>0</v>
      </c>
      <c r="I861" s="159">
        <v>821</v>
      </c>
      <c r="J861" s="164">
        <v>291868036.40769231</v>
      </c>
      <c r="K861" s="159">
        <v>79782.913955115364</v>
      </c>
      <c r="L861" s="164">
        <v>6720712.8650165908</v>
      </c>
      <c r="M861" s="159">
        <v>0</v>
      </c>
      <c r="Q861" s="139">
        <v>821</v>
      </c>
      <c r="R861" s="164">
        <f t="shared" si="59"/>
        <v>1011334475.6720642</v>
      </c>
      <c r="S861" s="164">
        <f t="shared" si="60"/>
        <v>-6720712.8650165908</v>
      </c>
      <c r="T861" s="159" t="str">
        <f t="shared" si="61"/>
        <v>TxPost-vaccination</v>
      </c>
      <c r="W861" s="139">
        <v>821</v>
      </c>
      <c r="X861" s="164">
        <f t="shared" si="62"/>
        <v>285147323.54267573</v>
      </c>
      <c r="Y861" s="159">
        <f t="shared" si="62"/>
        <v>79782.913955115364</v>
      </c>
    </row>
    <row r="862" spans="2:25" x14ac:dyDescent="0.25">
      <c r="B862" s="159">
        <v>822</v>
      </c>
      <c r="C862" s="164">
        <v>310746548.90449965</v>
      </c>
      <c r="D862" s="159">
        <v>122539.7683017894</v>
      </c>
      <c r="E862" s="164">
        <v>10438545.729501545</v>
      </c>
      <c r="F862" s="159">
        <v>0</v>
      </c>
      <c r="I862" s="159">
        <v>822</v>
      </c>
      <c r="J862" s="164">
        <v>310746548.90449965</v>
      </c>
      <c r="K862" s="159">
        <v>122539.7683017894</v>
      </c>
      <c r="L862" s="164">
        <v>10438545.729501545</v>
      </c>
      <c r="M862" s="159">
        <v>0</v>
      </c>
      <c r="Q862" s="139">
        <v>822</v>
      </c>
      <c r="R862" s="164">
        <f t="shared" si="59"/>
        <v>1690861639.6658592</v>
      </c>
      <c r="S862" s="164">
        <f t="shared" si="60"/>
        <v>-10438545.729501545</v>
      </c>
      <c r="T862" s="159" t="str">
        <f t="shared" si="61"/>
        <v>TxPost-vaccination</v>
      </c>
      <c r="W862" s="139">
        <v>822</v>
      </c>
      <c r="X862" s="164">
        <f t="shared" si="62"/>
        <v>300308003.1749981</v>
      </c>
      <c r="Y862" s="159">
        <f t="shared" si="62"/>
        <v>122539.7683017894</v>
      </c>
    </row>
    <row r="863" spans="2:25" x14ac:dyDescent="0.25">
      <c r="B863" s="159">
        <v>823</v>
      </c>
      <c r="C863" s="164">
        <v>331214802.4510178</v>
      </c>
      <c r="D863" s="159">
        <v>87181.167516910777</v>
      </c>
      <c r="E863" s="164">
        <v>7723112.0848354166</v>
      </c>
      <c r="F863" s="159">
        <v>0</v>
      </c>
      <c r="I863" s="159">
        <v>823</v>
      </c>
      <c r="J863" s="164">
        <v>331214802.4510178</v>
      </c>
      <c r="K863" s="159">
        <v>87181.167516910777</v>
      </c>
      <c r="L863" s="164">
        <v>7723112.0848354166</v>
      </c>
      <c r="M863" s="159">
        <v>0</v>
      </c>
      <c r="Q863" s="139">
        <v>823</v>
      </c>
      <c r="R863" s="164">
        <f t="shared" si="59"/>
        <v>1092833416.4195297</v>
      </c>
      <c r="S863" s="164">
        <f t="shared" si="60"/>
        <v>-7723112.0848354166</v>
      </c>
      <c r="T863" s="159" t="str">
        <f t="shared" si="61"/>
        <v>TxPost-vaccination</v>
      </c>
      <c r="W863" s="139">
        <v>823</v>
      </c>
      <c r="X863" s="164">
        <f t="shared" si="62"/>
        <v>323491690.36618239</v>
      </c>
      <c r="Y863" s="159">
        <f t="shared" si="62"/>
        <v>87181.167516910777</v>
      </c>
    </row>
    <row r="864" spans="2:25" x14ac:dyDescent="0.25">
      <c r="B864" s="159">
        <v>824</v>
      </c>
      <c r="C864" s="164">
        <v>325931724.84925163</v>
      </c>
      <c r="D864" s="159">
        <v>104155.25431663857</v>
      </c>
      <c r="E864" s="164">
        <v>10568761.550160911</v>
      </c>
      <c r="F864" s="159">
        <v>0</v>
      </c>
      <c r="I864" s="159">
        <v>824</v>
      </c>
      <c r="J864" s="164">
        <v>325931724.84925163</v>
      </c>
      <c r="K864" s="159">
        <v>104155.25431663857</v>
      </c>
      <c r="L864" s="164">
        <v>10568761.550160911</v>
      </c>
      <c r="M864" s="159">
        <v>0</v>
      </c>
      <c r="Q864" s="139">
        <v>824</v>
      </c>
      <c r="R864" s="164">
        <f t="shared" si="59"/>
        <v>1375377269.0552821</v>
      </c>
      <c r="S864" s="164">
        <f t="shared" si="60"/>
        <v>-10568761.550160911</v>
      </c>
      <c r="T864" s="159" t="str">
        <f t="shared" si="61"/>
        <v>TxPost-vaccination</v>
      </c>
      <c r="W864" s="139">
        <v>824</v>
      </c>
      <c r="X864" s="164">
        <f t="shared" si="62"/>
        <v>315362963.29909074</v>
      </c>
      <c r="Y864" s="159">
        <f t="shared" si="62"/>
        <v>104155.25431663857</v>
      </c>
    </row>
    <row r="865" spans="2:25" x14ac:dyDescent="0.25">
      <c r="B865" s="159">
        <v>825</v>
      </c>
      <c r="C865" s="164">
        <v>308004546.72751331</v>
      </c>
      <c r="D865" s="159">
        <v>110664.76342401472</v>
      </c>
      <c r="E865" s="164">
        <v>8410951.8834718671</v>
      </c>
      <c r="F865" s="159">
        <v>0</v>
      </c>
      <c r="I865" s="159">
        <v>825</v>
      </c>
      <c r="J865" s="164">
        <v>308004546.72751331</v>
      </c>
      <c r="K865" s="159">
        <v>110664.76342401472</v>
      </c>
      <c r="L865" s="164">
        <v>8410951.8834718671</v>
      </c>
      <c r="M865" s="159">
        <v>0</v>
      </c>
      <c r="Q865" s="139">
        <v>825</v>
      </c>
      <c r="R865" s="164">
        <f t="shared" si="59"/>
        <v>1499633085.7362883</v>
      </c>
      <c r="S865" s="164">
        <f t="shared" si="60"/>
        <v>-8410951.8834718671</v>
      </c>
      <c r="T865" s="159" t="str">
        <f t="shared" si="61"/>
        <v>TxPost-vaccination</v>
      </c>
      <c r="W865" s="139">
        <v>825</v>
      </c>
      <c r="X865" s="164">
        <f t="shared" si="62"/>
        <v>299593594.84404147</v>
      </c>
      <c r="Y865" s="159">
        <f t="shared" si="62"/>
        <v>110664.76342401472</v>
      </c>
    </row>
    <row r="866" spans="2:25" x14ac:dyDescent="0.25">
      <c r="B866" s="159">
        <v>826</v>
      </c>
      <c r="C866" s="164">
        <v>323197308.81775862</v>
      </c>
      <c r="D866" s="159">
        <v>113619.36315697175</v>
      </c>
      <c r="E866" s="164">
        <v>9082124.4262306169</v>
      </c>
      <c r="F866" s="159">
        <v>0</v>
      </c>
      <c r="I866" s="159">
        <v>826</v>
      </c>
      <c r="J866" s="164">
        <v>323197308.81775862</v>
      </c>
      <c r="K866" s="159">
        <v>113619.36315697175</v>
      </c>
      <c r="L866" s="164">
        <v>9082124.4262306169</v>
      </c>
      <c r="M866" s="159">
        <v>0</v>
      </c>
      <c r="Q866" s="139">
        <v>826</v>
      </c>
      <c r="R866" s="164">
        <f t="shared" si="59"/>
        <v>1532701807.2557542</v>
      </c>
      <c r="S866" s="164">
        <f t="shared" si="60"/>
        <v>-9082124.4262306169</v>
      </c>
      <c r="T866" s="159" t="str">
        <f t="shared" si="61"/>
        <v>TxPost-vaccination</v>
      </c>
      <c r="W866" s="139">
        <v>826</v>
      </c>
      <c r="X866" s="164">
        <f t="shared" si="62"/>
        <v>314115184.39152801</v>
      </c>
      <c r="Y866" s="159">
        <f t="shared" si="62"/>
        <v>113619.36315697175</v>
      </c>
    </row>
    <row r="867" spans="2:25" x14ac:dyDescent="0.25">
      <c r="B867" s="159">
        <v>827</v>
      </c>
      <c r="C867" s="164">
        <v>332825515.05711138</v>
      </c>
      <c r="D867" s="159">
        <v>99620.311852154075</v>
      </c>
      <c r="E867" s="164">
        <v>9838932.0510956142</v>
      </c>
      <c r="F867" s="159">
        <v>0</v>
      </c>
      <c r="I867" s="159">
        <v>827</v>
      </c>
      <c r="J867" s="164">
        <v>332825515.05711138</v>
      </c>
      <c r="K867" s="159">
        <v>99620.311852154075</v>
      </c>
      <c r="L867" s="164">
        <v>9838932.0510956142</v>
      </c>
      <c r="M867" s="159">
        <v>0</v>
      </c>
      <c r="Q867" s="139">
        <v>827</v>
      </c>
      <c r="R867" s="164">
        <f t="shared" si="59"/>
        <v>1294408114.60116</v>
      </c>
      <c r="S867" s="164">
        <f t="shared" si="60"/>
        <v>-9838932.0510956142</v>
      </c>
      <c r="T867" s="159" t="str">
        <f t="shared" si="61"/>
        <v>TxPost-vaccination</v>
      </c>
      <c r="W867" s="139">
        <v>827</v>
      </c>
      <c r="X867" s="164">
        <f t="shared" si="62"/>
        <v>322986583.00601578</v>
      </c>
      <c r="Y867" s="159">
        <f t="shared" si="62"/>
        <v>99620.311852154075</v>
      </c>
    </row>
    <row r="868" spans="2:25" x14ac:dyDescent="0.25">
      <c r="B868" s="159">
        <v>828</v>
      </c>
      <c r="C868" s="164">
        <v>332932039.15469116</v>
      </c>
      <c r="D868" s="159">
        <v>60959.551681682657</v>
      </c>
      <c r="E868" s="164">
        <v>6174756.3878863826</v>
      </c>
      <c r="F868" s="159">
        <v>0</v>
      </c>
      <c r="I868" s="159">
        <v>828</v>
      </c>
      <c r="J868" s="164">
        <v>332932039.15469116</v>
      </c>
      <c r="K868" s="159">
        <v>60959.551681682657</v>
      </c>
      <c r="L868" s="164">
        <v>6174756.3878863826</v>
      </c>
      <c r="M868" s="159">
        <v>0</v>
      </c>
      <c r="Q868" s="139">
        <v>828</v>
      </c>
      <c r="R868" s="164">
        <f t="shared" si="59"/>
        <v>662802974.12794971</v>
      </c>
      <c r="S868" s="164">
        <f t="shared" si="60"/>
        <v>-6174756.3878863826</v>
      </c>
      <c r="T868" s="159" t="str">
        <f t="shared" si="61"/>
        <v>TxPost-vaccination</v>
      </c>
      <c r="W868" s="139">
        <v>828</v>
      </c>
      <c r="X868" s="164">
        <f t="shared" si="62"/>
        <v>326757282.76680475</v>
      </c>
      <c r="Y868" s="159">
        <f t="shared" si="62"/>
        <v>60959.551681682657</v>
      </c>
    </row>
    <row r="869" spans="2:25" x14ac:dyDescent="0.25">
      <c r="B869" s="159">
        <v>829</v>
      </c>
      <c r="C869" s="164">
        <v>296471463.91956347</v>
      </c>
      <c r="D869" s="159">
        <v>184421.14907399227</v>
      </c>
      <c r="E869" s="164">
        <v>13326963.664795849</v>
      </c>
      <c r="F869" s="159">
        <v>0</v>
      </c>
      <c r="I869" s="159">
        <v>829</v>
      </c>
      <c r="J869" s="164">
        <v>296471463.91956347</v>
      </c>
      <c r="K869" s="159">
        <v>184421.14907399227</v>
      </c>
      <c r="L869" s="164">
        <v>13326963.664795849</v>
      </c>
      <c r="M869" s="159">
        <v>0</v>
      </c>
      <c r="Q869" s="139">
        <v>829</v>
      </c>
      <c r="R869" s="164">
        <f t="shared" si="59"/>
        <v>2715929222.3861852</v>
      </c>
      <c r="S869" s="164">
        <f t="shared" si="60"/>
        <v>-13326963.664795849</v>
      </c>
      <c r="T869" s="159" t="str">
        <f t="shared" si="61"/>
        <v>TxPost-vaccination</v>
      </c>
      <c r="W869" s="139">
        <v>829</v>
      </c>
      <c r="X869" s="164">
        <f t="shared" si="62"/>
        <v>283144500.2547676</v>
      </c>
      <c r="Y869" s="159">
        <f t="shared" si="62"/>
        <v>184421.14907399227</v>
      </c>
    </row>
    <row r="870" spans="2:25" x14ac:dyDescent="0.25">
      <c r="B870" s="159">
        <v>830</v>
      </c>
      <c r="C870" s="164">
        <v>279556886.15317607</v>
      </c>
      <c r="D870" s="159">
        <v>123772.29413507816</v>
      </c>
      <c r="E870" s="164">
        <v>10474461.116638049</v>
      </c>
      <c r="F870" s="159">
        <v>0</v>
      </c>
      <c r="I870" s="159">
        <v>830</v>
      </c>
      <c r="J870" s="164">
        <v>279556886.15317607</v>
      </c>
      <c r="K870" s="159">
        <v>123772.29413507816</v>
      </c>
      <c r="L870" s="164">
        <v>10474461.116638049</v>
      </c>
      <c r="M870" s="159">
        <v>0</v>
      </c>
      <c r="Q870" s="139">
        <v>830</v>
      </c>
      <c r="R870" s="164">
        <f t="shared" si="59"/>
        <v>1742183818.0463905</v>
      </c>
      <c r="S870" s="164">
        <f t="shared" si="60"/>
        <v>-10474461.116638049</v>
      </c>
      <c r="T870" s="159" t="str">
        <f t="shared" si="61"/>
        <v>TxPost-vaccination</v>
      </c>
      <c r="W870" s="139">
        <v>830</v>
      </c>
      <c r="X870" s="164">
        <f t="shared" si="62"/>
        <v>269082425.036538</v>
      </c>
      <c r="Y870" s="159">
        <f t="shared" si="62"/>
        <v>123772.29413507816</v>
      </c>
    </row>
    <row r="871" spans="2:25" x14ac:dyDescent="0.25">
      <c r="B871" s="159">
        <v>831</v>
      </c>
      <c r="C871" s="164">
        <v>317113336.97839749</v>
      </c>
      <c r="D871" s="159">
        <v>126960.61560118524</v>
      </c>
      <c r="E871" s="164">
        <v>10177776.84410698</v>
      </c>
      <c r="F871" s="159">
        <v>0</v>
      </c>
      <c r="I871" s="159">
        <v>831</v>
      </c>
      <c r="J871" s="164">
        <v>317113336.97839749</v>
      </c>
      <c r="K871" s="159">
        <v>126960.61560118524</v>
      </c>
      <c r="L871" s="164">
        <v>10177776.84410698</v>
      </c>
      <c r="M871" s="159">
        <v>0</v>
      </c>
      <c r="Q871" s="139">
        <v>831</v>
      </c>
      <c r="R871" s="164">
        <f t="shared" si="59"/>
        <v>1756706544.8040552</v>
      </c>
      <c r="S871" s="164">
        <f t="shared" si="60"/>
        <v>-10177776.84410698</v>
      </c>
      <c r="T871" s="159" t="str">
        <f t="shared" si="61"/>
        <v>TxPost-vaccination</v>
      </c>
      <c r="W871" s="139">
        <v>831</v>
      </c>
      <c r="X871" s="164">
        <f t="shared" si="62"/>
        <v>306935560.13429052</v>
      </c>
      <c r="Y871" s="159">
        <f t="shared" si="62"/>
        <v>126960.61560118524</v>
      </c>
    </row>
    <row r="872" spans="2:25" x14ac:dyDescent="0.25">
      <c r="B872" s="159">
        <v>832</v>
      </c>
      <c r="C872" s="164">
        <v>307148731.96899563</v>
      </c>
      <c r="D872" s="159">
        <v>120133.64158501272</v>
      </c>
      <c r="E872" s="164">
        <v>10850306.149614858</v>
      </c>
      <c r="F872" s="159">
        <v>0</v>
      </c>
      <c r="I872" s="159">
        <v>832</v>
      </c>
      <c r="J872" s="164">
        <v>307148731.96899563</v>
      </c>
      <c r="K872" s="159">
        <v>120133.64158501272</v>
      </c>
      <c r="L872" s="164">
        <v>10850306.149614858</v>
      </c>
      <c r="M872" s="159">
        <v>0</v>
      </c>
      <c r="Q872" s="139">
        <v>832</v>
      </c>
      <c r="R872" s="164">
        <f t="shared" si="59"/>
        <v>1655156926.4449732</v>
      </c>
      <c r="S872" s="164">
        <f t="shared" si="60"/>
        <v>-10850306.149614858</v>
      </c>
      <c r="T872" s="159" t="str">
        <f t="shared" si="61"/>
        <v>TxPost-vaccination</v>
      </c>
      <c r="W872" s="139">
        <v>832</v>
      </c>
      <c r="X872" s="164">
        <f t="shared" si="62"/>
        <v>296298425.81938076</v>
      </c>
      <c r="Y872" s="159">
        <f t="shared" si="62"/>
        <v>120133.64158501272</v>
      </c>
    </row>
    <row r="873" spans="2:25" x14ac:dyDescent="0.25">
      <c r="B873" s="159">
        <v>833</v>
      </c>
      <c r="C873" s="164">
        <v>306173794.18680489</v>
      </c>
      <c r="D873" s="159">
        <v>78736.604774933832</v>
      </c>
      <c r="E873" s="164">
        <v>6881421.2764188014</v>
      </c>
      <c r="F873" s="159">
        <v>0</v>
      </c>
      <c r="I873" s="159">
        <v>833</v>
      </c>
      <c r="J873" s="164">
        <v>306173794.18680489</v>
      </c>
      <c r="K873" s="159">
        <v>78736.604774933832</v>
      </c>
      <c r="L873" s="164">
        <v>6881421.2764188014</v>
      </c>
      <c r="M873" s="159">
        <v>0</v>
      </c>
      <c r="Q873" s="139">
        <v>833</v>
      </c>
      <c r="R873" s="164">
        <f t="shared" ref="R873:R936" si="63">K873*threshold-J873</f>
        <v>979937931.35196626</v>
      </c>
      <c r="S873" s="164">
        <f t="shared" ref="S873:S936" si="64">M873*threshold-L873</f>
        <v>-6881421.2764188014</v>
      </c>
      <c r="T873" s="159" t="str">
        <f t="shared" si="61"/>
        <v>TxPost-vaccination</v>
      </c>
      <c r="W873" s="139">
        <v>833</v>
      </c>
      <c r="X873" s="164">
        <f t="shared" si="62"/>
        <v>299292372.91038609</v>
      </c>
      <c r="Y873" s="159">
        <f t="shared" si="62"/>
        <v>78736.604774933832</v>
      </c>
    </row>
    <row r="874" spans="2:25" x14ac:dyDescent="0.25">
      <c r="B874" s="159">
        <v>834</v>
      </c>
      <c r="C874" s="164">
        <v>300590224.69229603</v>
      </c>
      <c r="D874" s="159">
        <v>92678.61564040964</v>
      </c>
      <c r="E874" s="164">
        <v>9104642.7406308465</v>
      </c>
      <c r="F874" s="159">
        <v>0</v>
      </c>
      <c r="I874" s="159">
        <v>834</v>
      </c>
      <c r="J874" s="164">
        <v>300590224.69229603</v>
      </c>
      <c r="K874" s="159">
        <v>92678.61564040964</v>
      </c>
      <c r="L874" s="164">
        <v>9104642.7406308465</v>
      </c>
      <c r="M874" s="159">
        <v>0</v>
      </c>
      <c r="Q874" s="139">
        <v>834</v>
      </c>
      <c r="R874" s="164">
        <f t="shared" si="63"/>
        <v>1213255268.4242435</v>
      </c>
      <c r="S874" s="164">
        <f t="shared" si="64"/>
        <v>-9104642.7406308465</v>
      </c>
      <c r="T874" s="159" t="str">
        <f t="shared" ref="T874:T937" si="65">IF(R874&gt;S874,"TxPost-vaccination",IF(S874&gt;R874,"TxPre-vaccination","either"))</f>
        <v>TxPost-vaccination</v>
      </c>
      <c r="W874" s="139">
        <v>834</v>
      </c>
      <c r="X874" s="164">
        <f t="shared" ref="X874:Y937" si="66">J874-L874</f>
        <v>291485581.95166516</v>
      </c>
      <c r="Y874" s="159">
        <f t="shared" si="66"/>
        <v>92678.61564040964</v>
      </c>
    </row>
    <row r="875" spans="2:25" x14ac:dyDescent="0.25">
      <c r="B875" s="159">
        <v>835</v>
      </c>
      <c r="C875" s="164">
        <v>316397544.13250649</v>
      </c>
      <c r="D875" s="159">
        <v>74470.556665580167</v>
      </c>
      <c r="E875" s="164">
        <v>7336603.4406338502</v>
      </c>
      <c r="F875" s="159">
        <v>0</v>
      </c>
      <c r="I875" s="159">
        <v>835</v>
      </c>
      <c r="J875" s="164">
        <v>316397544.13250649</v>
      </c>
      <c r="K875" s="159">
        <v>74470.556665580167</v>
      </c>
      <c r="L875" s="164">
        <v>7336603.4406338502</v>
      </c>
      <c r="M875" s="159">
        <v>0</v>
      </c>
      <c r="Q875" s="139">
        <v>835</v>
      </c>
      <c r="R875" s="164">
        <f t="shared" si="63"/>
        <v>900031033.25889933</v>
      </c>
      <c r="S875" s="164">
        <f t="shared" si="64"/>
        <v>-7336603.4406338502</v>
      </c>
      <c r="T875" s="159" t="str">
        <f t="shared" si="65"/>
        <v>TxPost-vaccination</v>
      </c>
      <c r="W875" s="139">
        <v>835</v>
      </c>
      <c r="X875" s="164">
        <f t="shared" si="66"/>
        <v>309060940.69187266</v>
      </c>
      <c r="Y875" s="159">
        <f t="shared" si="66"/>
        <v>74470.556665580167</v>
      </c>
    </row>
    <row r="876" spans="2:25" x14ac:dyDescent="0.25">
      <c r="B876" s="159">
        <v>836</v>
      </c>
      <c r="C876" s="164">
        <v>315228776.63875961</v>
      </c>
      <c r="D876" s="159">
        <v>56738.703222935575</v>
      </c>
      <c r="E876" s="164">
        <v>6045203.4714536648</v>
      </c>
      <c r="F876" s="159">
        <v>0</v>
      </c>
      <c r="I876" s="159">
        <v>836</v>
      </c>
      <c r="J876" s="164">
        <v>315228776.63875961</v>
      </c>
      <c r="K876" s="159">
        <v>56738.703222935575</v>
      </c>
      <c r="L876" s="164">
        <v>6045203.4714536648</v>
      </c>
      <c r="M876" s="159">
        <v>0</v>
      </c>
      <c r="Q876" s="139">
        <v>836</v>
      </c>
      <c r="R876" s="164">
        <f t="shared" si="63"/>
        <v>611561395.67653155</v>
      </c>
      <c r="S876" s="164">
        <f t="shared" si="64"/>
        <v>-6045203.4714536648</v>
      </c>
      <c r="T876" s="159" t="str">
        <f t="shared" si="65"/>
        <v>TxPost-vaccination</v>
      </c>
      <c r="W876" s="139">
        <v>836</v>
      </c>
      <c r="X876" s="164">
        <f t="shared" si="66"/>
        <v>309183573.16730595</v>
      </c>
      <c r="Y876" s="159">
        <f t="shared" si="66"/>
        <v>56738.703222935575</v>
      </c>
    </row>
    <row r="877" spans="2:25" x14ac:dyDescent="0.25">
      <c r="B877" s="159">
        <v>837</v>
      </c>
      <c r="C877" s="164">
        <v>339006650.68209404</v>
      </c>
      <c r="D877" s="159">
        <v>120874.75669987244</v>
      </c>
      <c r="E877" s="164">
        <v>9793608.7299269512</v>
      </c>
      <c r="F877" s="159">
        <v>0</v>
      </c>
      <c r="I877" s="159">
        <v>837</v>
      </c>
      <c r="J877" s="164">
        <v>339006650.68209404</v>
      </c>
      <c r="K877" s="159">
        <v>120874.75669987244</v>
      </c>
      <c r="L877" s="164">
        <v>9793608.7299269512</v>
      </c>
      <c r="M877" s="159">
        <v>0</v>
      </c>
      <c r="Q877" s="139">
        <v>837</v>
      </c>
      <c r="R877" s="164">
        <f t="shared" si="63"/>
        <v>1635404645.7882738</v>
      </c>
      <c r="S877" s="164">
        <f t="shared" si="64"/>
        <v>-9793608.7299269512</v>
      </c>
      <c r="T877" s="159" t="str">
        <f t="shared" si="65"/>
        <v>TxPost-vaccination</v>
      </c>
      <c r="W877" s="139">
        <v>837</v>
      </c>
      <c r="X877" s="164">
        <f t="shared" si="66"/>
        <v>329213041.95216709</v>
      </c>
      <c r="Y877" s="159">
        <f t="shared" si="66"/>
        <v>120874.75669987244</v>
      </c>
    </row>
    <row r="878" spans="2:25" x14ac:dyDescent="0.25">
      <c r="B878" s="159">
        <v>838</v>
      </c>
      <c r="C878" s="164">
        <v>312332071.28561157</v>
      </c>
      <c r="D878" s="159">
        <v>73732.286408179294</v>
      </c>
      <c r="E878" s="164">
        <v>6945809.5563248536</v>
      </c>
      <c r="F878" s="159">
        <v>0</v>
      </c>
      <c r="I878" s="159">
        <v>838</v>
      </c>
      <c r="J878" s="164">
        <v>312332071.28561157</v>
      </c>
      <c r="K878" s="159">
        <v>73732.286408179294</v>
      </c>
      <c r="L878" s="164">
        <v>6945809.5563248536</v>
      </c>
      <c r="M878" s="159">
        <v>0</v>
      </c>
      <c r="Q878" s="139">
        <v>838</v>
      </c>
      <c r="R878" s="164">
        <f t="shared" si="63"/>
        <v>892037336.96364117</v>
      </c>
      <c r="S878" s="164">
        <f t="shared" si="64"/>
        <v>-6945809.5563248536</v>
      </c>
      <c r="T878" s="159" t="str">
        <f t="shared" si="65"/>
        <v>TxPost-vaccination</v>
      </c>
      <c r="W878" s="139">
        <v>838</v>
      </c>
      <c r="X878" s="164">
        <f t="shared" si="66"/>
        <v>305386261.72928673</v>
      </c>
      <c r="Y878" s="159">
        <f t="shared" si="66"/>
        <v>73732.286408179294</v>
      </c>
    </row>
    <row r="879" spans="2:25" x14ac:dyDescent="0.25">
      <c r="B879" s="159">
        <v>839</v>
      </c>
      <c r="C879" s="164">
        <v>316033269.71392083</v>
      </c>
      <c r="D879" s="159">
        <v>78983.582279444745</v>
      </c>
      <c r="E879" s="164">
        <v>7244103.5497679692</v>
      </c>
      <c r="F879" s="159">
        <v>0</v>
      </c>
      <c r="I879" s="159">
        <v>839</v>
      </c>
      <c r="J879" s="164">
        <v>316033269.71392083</v>
      </c>
      <c r="K879" s="159">
        <v>78983.582279444745</v>
      </c>
      <c r="L879" s="164">
        <v>7244103.5497679692</v>
      </c>
      <c r="M879" s="159">
        <v>0</v>
      </c>
      <c r="Q879" s="139">
        <v>839</v>
      </c>
      <c r="R879" s="164">
        <f t="shared" si="63"/>
        <v>974112674.28529525</v>
      </c>
      <c r="S879" s="164">
        <f t="shared" si="64"/>
        <v>-7244103.5497679692</v>
      </c>
      <c r="T879" s="159" t="str">
        <f t="shared" si="65"/>
        <v>TxPost-vaccination</v>
      </c>
      <c r="W879" s="139">
        <v>839</v>
      </c>
      <c r="X879" s="164">
        <f t="shared" si="66"/>
        <v>308789166.16415286</v>
      </c>
      <c r="Y879" s="159">
        <f t="shared" si="66"/>
        <v>78983.582279444745</v>
      </c>
    </row>
    <row r="880" spans="2:25" x14ac:dyDescent="0.25">
      <c r="B880" s="159">
        <v>840</v>
      </c>
      <c r="C880" s="164">
        <v>326166073.72317278</v>
      </c>
      <c r="D880" s="159">
        <v>70788.682007980096</v>
      </c>
      <c r="E880" s="164">
        <v>6540113.9760197708</v>
      </c>
      <c r="F880" s="159">
        <v>0</v>
      </c>
      <c r="I880" s="159">
        <v>840</v>
      </c>
      <c r="J880" s="164">
        <v>326166073.72317278</v>
      </c>
      <c r="K880" s="159">
        <v>70788.682007980096</v>
      </c>
      <c r="L880" s="164">
        <v>6540113.9760197708</v>
      </c>
      <c r="M880" s="159">
        <v>0</v>
      </c>
      <c r="Q880" s="139">
        <v>840</v>
      </c>
      <c r="R880" s="164">
        <f t="shared" si="63"/>
        <v>830121452.59498441</v>
      </c>
      <c r="S880" s="164">
        <f t="shared" si="64"/>
        <v>-6540113.9760197708</v>
      </c>
      <c r="T880" s="159" t="str">
        <f t="shared" si="65"/>
        <v>TxPost-vaccination</v>
      </c>
      <c r="W880" s="139">
        <v>840</v>
      </c>
      <c r="X880" s="164">
        <f t="shared" si="66"/>
        <v>319625959.74715298</v>
      </c>
      <c r="Y880" s="159">
        <f t="shared" si="66"/>
        <v>70788.682007980096</v>
      </c>
    </row>
    <row r="881" spans="2:25" x14ac:dyDescent="0.25">
      <c r="B881" s="159">
        <v>841</v>
      </c>
      <c r="C881" s="164">
        <v>305851806.52348733</v>
      </c>
      <c r="D881" s="159">
        <v>88672.452421704409</v>
      </c>
      <c r="E881" s="164">
        <v>7917478.4337090757</v>
      </c>
      <c r="F881" s="159">
        <v>0</v>
      </c>
      <c r="I881" s="159">
        <v>841</v>
      </c>
      <c r="J881" s="164">
        <v>305851806.52348733</v>
      </c>
      <c r="K881" s="159">
        <v>88672.452421704409</v>
      </c>
      <c r="L881" s="164">
        <v>7917478.4337090757</v>
      </c>
      <c r="M881" s="159">
        <v>0</v>
      </c>
      <c r="Q881" s="139">
        <v>841</v>
      </c>
      <c r="R881" s="164">
        <f t="shared" si="63"/>
        <v>1142555590.7451699</v>
      </c>
      <c r="S881" s="164">
        <f t="shared" si="64"/>
        <v>-7917478.4337090757</v>
      </c>
      <c r="T881" s="159" t="str">
        <f t="shared" si="65"/>
        <v>TxPost-vaccination</v>
      </c>
      <c r="W881" s="139">
        <v>841</v>
      </c>
      <c r="X881" s="164">
        <f t="shared" si="66"/>
        <v>297934328.08977824</v>
      </c>
      <c r="Y881" s="159">
        <f t="shared" si="66"/>
        <v>88672.452421704409</v>
      </c>
    </row>
    <row r="882" spans="2:25" x14ac:dyDescent="0.25">
      <c r="B882" s="159">
        <v>842</v>
      </c>
      <c r="C882" s="164">
        <v>287509973.18541604</v>
      </c>
      <c r="D882" s="159">
        <v>82072.193356909978</v>
      </c>
      <c r="E882" s="164">
        <v>6948642.2192019932</v>
      </c>
      <c r="F882" s="159">
        <v>0</v>
      </c>
      <c r="I882" s="159">
        <v>842</v>
      </c>
      <c r="J882" s="164">
        <v>287509973.18541604</v>
      </c>
      <c r="K882" s="159">
        <v>82072.193356909978</v>
      </c>
      <c r="L882" s="164">
        <v>6948642.2192019932</v>
      </c>
      <c r="M882" s="159">
        <v>0</v>
      </c>
      <c r="Q882" s="139">
        <v>842</v>
      </c>
      <c r="R882" s="164">
        <f t="shared" si="63"/>
        <v>1053086443.4206855</v>
      </c>
      <c r="S882" s="164">
        <f t="shared" si="64"/>
        <v>-6948642.2192019932</v>
      </c>
      <c r="T882" s="159" t="str">
        <f t="shared" si="65"/>
        <v>TxPost-vaccination</v>
      </c>
      <c r="W882" s="139">
        <v>842</v>
      </c>
      <c r="X882" s="164">
        <f t="shared" si="66"/>
        <v>280561330.96621406</v>
      </c>
      <c r="Y882" s="159">
        <f t="shared" si="66"/>
        <v>82072.193356909978</v>
      </c>
    </row>
    <row r="883" spans="2:25" x14ac:dyDescent="0.25">
      <c r="B883" s="159">
        <v>843</v>
      </c>
      <c r="C883" s="164">
        <v>297941310.87004417</v>
      </c>
      <c r="D883" s="159">
        <v>73022.768224655432</v>
      </c>
      <c r="E883" s="164">
        <v>6998840.7135801548</v>
      </c>
      <c r="F883" s="159">
        <v>0</v>
      </c>
      <c r="I883" s="159">
        <v>843</v>
      </c>
      <c r="J883" s="164">
        <v>297941310.87004417</v>
      </c>
      <c r="K883" s="159">
        <v>73022.768224655432</v>
      </c>
      <c r="L883" s="164">
        <v>6998840.7135801548</v>
      </c>
      <c r="M883" s="159">
        <v>0</v>
      </c>
      <c r="Q883" s="139">
        <v>843</v>
      </c>
      <c r="R883" s="164">
        <f t="shared" si="63"/>
        <v>894838574.84491324</v>
      </c>
      <c r="S883" s="164">
        <f t="shared" si="64"/>
        <v>-6998840.7135801548</v>
      </c>
      <c r="T883" s="159" t="str">
        <f t="shared" si="65"/>
        <v>TxPost-vaccination</v>
      </c>
      <c r="W883" s="139">
        <v>843</v>
      </c>
      <c r="X883" s="164">
        <f t="shared" si="66"/>
        <v>290942470.15646404</v>
      </c>
      <c r="Y883" s="159">
        <f t="shared" si="66"/>
        <v>73022.768224655432</v>
      </c>
    </row>
    <row r="884" spans="2:25" x14ac:dyDescent="0.25">
      <c r="B884" s="159">
        <v>844</v>
      </c>
      <c r="C884" s="164">
        <v>311244454.59385884</v>
      </c>
      <c r="D884" s="159">
        <v>108051.41027643176</v>
      </c>
      <c r="E884" s="164">
        <v>8107124.8053104049</v>
      </c>
      <c r="F884" s="159">
        <v>0</v>
      </c>
      <c r="I884" s="159">
        <v>844</v>
      </c>
      <c r="J884" s="164">
        <v>311244454.59385884</v>
      </c>
      <c r="K884" s="159">
        <v>108051.41027643176</v>
      </c>
      <c r="L884" s="164">
        <v>8107124.8053104049</v>
      </c>
      <c r="M884" s="159">
        <v>0</v>
      </c>
      <c r="Q884" s="139">
        <v>844</v>
      </c>
      <c r="R884" s="164">
        <f t="shared" si="63"/>
        <v>1453705737.4388041</v>
      </c>
      <c r="S884" s="164">
        <f t="shared" si="64"/>
        <v>-8107124.8053104049</v>
      </c>
      <c r="T884" s="159" t="str">
        <f t="shared" si="65"/>
        <v>TxPost-vaccination</v>
      </c>
      <c r="W884" s="139">
        <v>844</v>
      </c>
      <c r="X884" s="164">
        <f t="shared" si="66"/>
        <v>303137329.78854841</v>
      </c>
      <c r="Y884" s="159">
        <f t="shared" si="66"/>
        <v>108051.41027643176</v>
      </c>
    </row>
    <row r="885" spans="2:25" x14ac:dyDescent="0.25">
      <c r="B885" s="159">
        <v>845</v>
      </c>
      <c r="C885" s="164">
        <v>289617988.38944274</v>
      </c>
      <c r="D885" s="159">
        <v>156940.07613039957</v>
      </c>
      <c r="E885" s="164">
        <v>11670402.39854439</v>
      </c>
      <c r="F885" s="159">
        <v>0</v>
      </c>
      <c r="I885" s="159">
        <v>845</v>
      </c>
      <c r="J885" s="164">
        <v>289617988.38944274</v>
      </c>
      <c r="K885" s="159">
        <v>156940.07613039957</v>
      </c>
      <c r="L885" s="164">
        <v>11670402.39854439</v>
      </c>
      <c r="M885" s="159">
        <v>0</v>
      </c>
      <c r="Q885" s="139">
        <v>845</v>
      </c>
      <c r="R885" s="164">
        <f t="shared" si="63"/>
        <v>2273897071.6669922</v>
      </c>
      <c r="S885" s="164">
        <f t="shared" si="64"/>
        <v>-11670402.39854439</v>
      </c>
      <c r="T885" s="159" t="str">
        <f t="shared" si="65"/>
        <v>TxPost-vaccination</v>
      </c>
      <c r="W885" s="139">
        <v>845</v>
      </c>
      <c r="X885" s="164">
        <f t="shared" si="66"/>
        <v>277947585.99089837</v>
      </c>
      <c r="Y885" s="159">
        <f t="shared" si="66"/>
        <v>156940.07613039957</v>
      </c>
    </row>
    <row r="886" spans="2:25" x14ac:dyDescent="0.25">
      <c r="B886" s="159">
        <v>846</v>
      </c>
      <c r="C886" s="164">
        <v>308226238.9244498</v>
      </c>
      <c r="D886" s="159">
        <v>99995.295441057737</v>
      </c>
      <c r="E886" s="164">
        <v>7733156.7069453821</v>
      </c>
      <c r="F886" s="159">
        <v>0</v>
      </c>
      <c r="I886" s="159">
        <v>846</v>
      </c>
      <c r="J886" s="164">
        <v>308226238.9244498</v>
      </c>
      <c r="K886" s="159">
        <v>99995.295441057737</v>
      </c>
      <c r="L886" s="164">
        <v>7733156.7069453821</v>
      </c>
      <c r="M886" s="159">
        <v>0</v>
      </c>
      <c r="Q886" s="139">
        <v>846</v>
      </c>
      <c r="R886" s="164">
        <f t="shared" si="63"/>
        <v>1325132506.1353831</v>
      </c>
      <c r="S886" s="164">
        <f t="shared" si="64"/>
        <v>-7733156.7069453821</v>
      </c>
      <c r="T886" s="159" t="str">
        <f t="shared" si="65"/>
        <v>TxPost-vaccination</v>
      </c>
      <c r="W886" s="139">
        <v>846</v>
      </c>
      <c r="X886" s="164">
        <f t="shared" si="66"/>
        <v>300493082.21750444</v>
      </c>
      <c r="Y886" s="159">
        <f t="shared" si="66"/>
        <v>99995.295441057737</v>
      </c>
    </row>
    <row r="887" spans="2:25" x14ac:dyDescent="0.25">
      <c r="B887" s="159">
        <v>847</v>
      </c>
      <c r="C887" s="164">
        <v>312512170.81798655</v>
      </c>
      <c r="D887" s="159">
        <v>87759.842500958039</v>
      </c>
      <c r="E887" s="164">
        <v>7219752.4592953473</v>
      </c>
      <c r="F887" s="159">
        <v>0</v>
      </c>
      <c r="I887" s="159">
        <v>847</v>
      </c>
      <c r="J887" s="164">
        <v>312512170.81798655</v>
      </c>
      <c r="K887" s="159">
        <v>87759.842500958039</v>
      </c>
      <c r="L887" s="164">
        <v>7219752.4592953473</v>
      </c>
      <c r="M887" s="159">
        <v>0</v>
      </c>
      <c r="Q887" s="139">
        <v>847</v>
      </c>
      <c r="R887" s="164">
        <f t="shared" si="63"/>
        <v>1120988331.1982026</v>
      </c>
      <c r="S887" s="164">
        <f t="shared" si="64"/>
        <v>-7219752.4592953473</v>
      </c>
      <c r="T887" s="159" t="str">
        <f t="shared" si="65"/>
        <v>TxPost-vaccination</v>
      </c>
      <c r="W887" s="139">
        <v>847</v>
      </c>
      <c r="X887" s="164">
        <f t="shared" si="66"/>
        <v>305292418.35869122</v>
      </c>
      <c r="Y887" s="159">
        <f t="shared" si="66"/>
        <v>87759.842500958039</v>
      </c>
    </row>
    <row r="888" spans="2:25" x14ac:dyDescent="0.25">
      <c r="B888" s="159">
        <v>848</v>
      </c>
      <c r="C888" s="164">
        <v>307687739.68090075</v>
      </c>
      <c r="D888" s="159">
        <v>136904.67952446087</v>
      </c>
      <c r="E888" s="164">
        <v>10141921.898895336</v>
      </c>
      <c r="F888" s="159">
        <v>0</v>
      </c>
      <c r="I888" s="159">
        <v>848</v>
      </c>
      <c r="J888" s="164">
        <v>307687739.68090075</v>
      </c>
      <c r="K888" s="159">
        <v>136904.67952446087</v>
      </c>
      <c r="L888" s="164">
        <v>10141921.898895336</v>
      </c>
      <c r="M888" s="159">
        <v>0</v>
      </c>
      <c r="Q888" s="139">
        <v>848</v>
      </c>
      <c r="R888" s="164">
        <f t="shared" si="63"/>
        <v>1928562021.4161265</v>
      </c>
      <c r="S888" s="164">
        <f t="shared" si="64"/>
        <v>-10141921.898895336</v>
      </c>
      <c r="T888" s="159" t="str">
        <f t="shared" si="65"/>
        <v>TxPost-vaccination</v>
      </c>
      <c r="W888" s="139">
        <v>848</v>
      </c>
      <c r="X888" s="164">
        <f t="shared" si="66"/>
        <v>297545817.78200543</v>
      </c>
      <c r="Y888" s="159">
        <f t="shared" si="66"/>
        <v>136904.67952446087</v>
      </c>
    </row>
    <row r="889" spans="2:25" x14ac:dyDescent="0.25">
      <c r="B889" s="159">
        <v>849</v>
      </c>
      <c r="C889" s="164">
        <v>333535710.38275409</v>
      </c>
      <c r="D889" s="159">
        <v>61275.728585649922</v>
      </c>
      <c r="E889" s="164">
        <v>6734742.0528090755</v>
      </c>
      <c r="F889" s="159">
        <v>0</v>
      </c>
      <c r="I889" s="159">
        <v>849</v>
      </c>
      <c r="J889" s="164">
        <v>333535710.38275409</v>
      </c>
      <c r="K889" s="159">
        <v>61275.728585649922</v>
      </c>
      <c r="L889" s="164">
        <v>6734742.0528090755</v>
      </c>
      <c r="M889" s="159">
        <v>0</v>
      </c>
      <c r="Q889" s="139">
        <v>849</v>
      </c>
      <c r="R889" s="164">
        <f t="shared" si="63"/>
        <v>667363848.97980988</v>
      </c>
      <c r="S889" s="164">
        <f t="shared" si="64"/>
        <v>-6734742.0528090755</v>
      </c>
      <c r="T889" s="159" t="str">
        <f t="shared" si="65"/>
        <v>TxPost-vaccination</v>
      </c>
      <c r="W889" s="139">
        <v>849</v>
      </c>
      <c r="X889" s="164">
        <f t="shared" si="66"/>
        <v>326800968.32994503</v>
      </c>
      <c r="Y889" s="159">
        <f t="shared" si="66"/>
        <v>61275.728585649922</v>
      </c>
    </row>
    <row r="890" spans="2:25" x14ac:dyDescent="0.25">
      <c r="B890" s="159">
        <v>850</v>
      </c>
      <c r="C890" s="164">
        <v>301606649.85941881</v>
      </c>
      <c r="D890" s="159">
        <v>94491.288813909297</v>
      </c>
      <c r="E890" s="164">
        <v>7993149.5879493151</v>
      </c>
      <c r="F890" s="159">
        <v>0</v>
      </c>
      <c r="I890" s="159">
        <v>850</v>
      </c>
      <c r="J890" s="164">
        <v>301606649.85941881</v>
      </c>
      <c r="K890" s="159">
        <v>94491.288813909297</v>
      </c>
      <c r="L890" s="164">
        <v>7993149.5879493151</v>
      </c>
      <c r="M890" s="159">
        <v>0</v>
      </c>
      <c r="Q890" s="139">
        <v>850</v>
      </c>
      <c r="R890" s="164">
        <f t="shared" si="63"/>
        <v>1241847692.0215731</v>
      </c>
      <c r="S890" s="164">
        <f t="shared" si="64"/>
        <v>-7993149.5879493151</v>
      </c>
      <c r="T890" s="159" t="str">
        <f t="shared" si="65"/>
        <v>TxPost-vaccination</v>
      </c>
      <c r="W890" s="139">
        <v>850</v>
      </c>
      <c r="X890" s="164">
        <f t="shared" si="66"/>
        <v>293613500.27146947</v>
      </c>
      <c r="Y890" s="159">
        <f t="shared" si="66"/>
        <v>94491.288813909297</v>
      </c>
    </row>
    <row r="891" spans="2:25" x14ac:dyDescent="0.25">
      <c r="B891" s="159">
        <v>851</v>
      </c>
      <c r="C891" s="164">
        <v>320183252.06860697</v>
      </c>
      <c r="D891" s="159">
        <v>67786.582905835719</v>
      </c>
      <c r="E891" s="164">
        <v>6207657.894266258</v>
      </c>
      <c r="F891" s="159">
        <v>0</v>
      </c>
      <c r="I891" s="159">
        <v>851</v>
      </c>
      <c r="J891" s="164">
        <v>320183252.06860697</v>
      </c>
      <c r="K891" s="159">
        <v>67786.582905835719</v>
      </c>
      <c r="L891" s="164">
        <v>6207657.894266258</v>
      </c>
      <c r="M891" s="159">
        <v>0</v>
      </c>
      <c r="Q891" s="139">
        <v>851</v>
      </c>
      <c r="R891" s="164">
        <f t="shared" si="63"/>
        <v>787066919.03803265</v>
      </c>
      <c r="S891" s="164">
        <f t="shared" si="64"/>
        <v>-6207657.894266258</v>
      </c>
      <c r="T891" s="159" t="str">
        <f t="shared" si="65"/>
        <v>TxPost-vaccination</v>
      </c>
      <c r="W891" s="139">
        <v>851</v>
      </c>
      <c r="X891" s="164">
        <f t="shared" si="66"/>
        <v>313975594.17434072</v>
      </c>
      <c r="Y891" s="159">
        <f t="shared" si="66"/>
        <v>67786.582905835719</v>
      </c>
    </row>
    <row r="892" spans="2:25" x14ac:dyDescent="0.25">
      <c r="B892" s="159">
        <v>852</v>
      </c>
      <c r="C892" s="164">
        <v>324054719.20112473</v>
      </c>
      <c r="D892" s="159">
        <v>144089.73857640315</v>
      </c>
      <c r="E892" s="164">
        <v>12104171.532325899</v>
      </c>
      <c r="F892" s="159">
        <v>0</v>
      </c>
      <c r="I892" s="159">
        <v>852</v>
      </c>
      <c r="J892" s="164">
        <v>324054719.20112473</v>
      </c>
      <c r="K892" s="159">
        <v>144089.73857640315</v>
      </c>
      <c r="L892" s="164">
        <v>12104171.532325899</v>
      </c>
      <c r="M892" s="159">
        <v>0</v>
      </c>
      <c r="Q892" s="139">
        <v>852</v>
      </c>
      <c r="R892" s="164">
        <f t="shared" si="63"/>
        <v>2029558353.6846948</v>
      </c>
      <c r="S892" s="164">
        <f t="shared" si="64"/>
        <v>-12104171.532325899</v>
      </c>
      <c r="T892" s="159" t="str">
        <f t="shared" si="65"/>
        <v>TxPost-vaccination</v>
      </c>
      <c r="W892" s="139">
        <v>852</v>
      </c>
      <c r="X892" s="164">
        <f t="shared" si="66"/>
        <v>311950547.6687988</v>
      </c>
      <c r="Y892" s="159">
        <f t="shared" si="66"/>
        <v>144089.73857640315</v>
      </c>
    </row>
    <row r="893" spans="2:25" x14ac:dyDescent="0.25">
      <c r="B893" s="159">
        <v>853</v>
      </c>
      <c r="C893" s="164">
        <v>329723231.08755225</v>
      </c>
      <c r="D893" s="159">
        <v>76536.700740216125</v>
      </c>
      <c r="E893" s="164">
        <v>6730460.0157236718</v>
      </c>
      <c r="F893" s="159">
        <v>0</v>
      </c>
      <c r="I893" s="159">
        <v>853</v>
      </c>
      <c r="J893" s="164">
        <v>329723231.08755225</v>
      </c>
      <c r="K893" s="159">
        <v>76536.700740216125</v>
      </c>
      <c r="L893" s="164">
        <v>6730460.0157236718</v>
      </c>
      <c r="M893" s="159">
        <v>0</v>
      </c>
      <c r="Q893" s="139">
        <v>853</v>
      </c>
      <c r="R893" s="164">
        <f t="shared" si="63"/>
        <v>920454478.98029494</v>
      </c>
      <c r="S893" s="164">
        <f t="shared" si="64"/>
        <v>-6730460.0157236718</v>
      </c>
      <c r="T893" s="159" t="str">
        <f t="shared" si="65"/>
        <v>TxPost-vaccination</v>
      </c>
      <c r="W893" s="139">
        <v>853</v>
      </c>
      <c r="X893" s="164">
        <f t="shared" si="66"/>
        <v>322992771.0718286</v>
      </c>
      <c r="Y893" s="159">
        <f t="shared" si="66"/>
        <v>76536.700740216125</v>
      </c>
    </row>
    <row r="894" spans="2:25" x14ac:dyDescent="0.25">
      <c r="B894" s="159">
        <v>854</v>
      </c>
      <c r="C894" s="164">
        <v>303338938.33667207</v>
      </c>
      <c r="D894" s="159">
        <v>82441.307509103644</v>
      </c>
      <c r="E894" s="164">
        <v>6936127.669758331</v>
      </c>
      <c r="F894" s="159">
        <v>0</v>
      </c>
      <c r="I894" s="159">
        <v>854</v>
      </c>
      <c r="J894" s="164">
        <v>303338938.33667207</v>
      </c>
      <c r="K894" s="159">
        <v>82441.307509103644</v>
      </c>
      <c r="L894" s="164">
        <v>6936127.669758331</v>
      </c>
      <c r="M894" s="159">
        <v>0</v>
      </c>
      <c r="Q894" s="139">
        <v>854</v>
      </c>
      <c r="R894" s="164">
        <f t="shared" si="63"/>
        <v>1043286720.2027786</v>
      </c>
      <c r="S894" s="164">
        <f t="shared" si="64"/>
        <v>-6936127.669758331</v>
      </c>
      <c r="T894" s="159" t="str">
        <f t="shared" si="65"/>
        <v>TxPost-vaccination</v>
      </c>
      <c r="W894" s="139">
        <v>854</v>
      </c>
      <c r="X894" s="164">
        <f t="shared" si="66"/>
        <v>296402810.66691375</v>
      </c>
      <c r="Y894" s="159">
        <f t="shared" si="66"/>
        <v>82441.307509103644</v>
      </c>
    </row>
    <row r="895" spans="2:25" x14ac:dyDescent="0.25">
      <c r="B895" s="159">
        <v>855</v>
      </c>
      <c r="C895" s="164">
        <v>312137515.38132542</v>
      </c>
      <c r="D895" s="159">
        <v>51834.432157727861</v>
      </c>
      <c r="E895" s="164">
        <v>6106973.2605274254</v>
      </c>
      <c r="F895" s="159">
        <v>0</v>
      </c>
      <c r="I895" s="159">
        <v>855</v>
      </c>
      <c r="J895" s="164">
        <v>312137515.38132542</v>
      </c>
      <c r="K895" s="159">
        <v>51834.432157727861</v>
      </c>
      <c r="L895" s="164">
        <v>6106973.2605274254</v>
      </c>
      <c r="M895" s="159">
        <v>0</v>
      </c>
      <c r="Q895" s="139">
        <v>855</v>
      </c>
      <c r="R895" s="164">
        <f t="shared" si="63"/>
        <v>534544547.87574834</v>
      </c>
      <c r="S895" s="164">
        <f t="shared" si="64"/>
        <v>-6106973.2605274254</v>
      </c>
      <c r="T895" s="159" t="str">
        <f t="shared" si="65"/>
        <v>TxPost-vaccination</v>
      </c>
      <c r="W895" s="139">
        <v>855</v>
      </c>
      <c r="X895" s="164">
        <f t="shared" si="66"/>
        <v>306030542.12079799</v>
      </c>
      <c r="Y895" s="159">
        <f t="shared" si="66"/>
        <v>51834.432157727861</v>
      </c>
    </row>
    <row r="896" spans="2:25" x14ac:dyDescent="0.25">
      <c r="B896" s="159">
        <v>856</v>
      </c>
      <c r="C896" s="164">
        <v>336134846.97986931</v>
      </c>
      <c r="D896" s="159">
        <v>79361.044485661449</v>
      </c>
      <c r="E896" s="164">
        <v>7976253.7593681002</v>
      </c>
      <c r="F896" s="159">
        <v>0</v>
      </c>
      <c r="I896" s="159">
        <v>856</v>
      </c>
      <c r="J896" s="164">
        <v>336134846.97986931</v>
      </c>
      <c r="K896" s="159">
        <v>79361.044485661449</v>
      </c>
      <c r="L896" s="164">
        <v>7976253.7593681002</v>
      </c>
      <c r="M896" s="159">
        <v>0</v>
      </c>
      <c r="Q896" s="139">
        <v>856</v>
      </c>
      <c r="R896" s="164">
        <f t="shared" si="63"/>
        <v>960176699.03826404</v>
      </c>
      <c r="S896" s="164">
        <f t="shared" si="64"/>
        <v>-7976253.7593681002</v>
      </c>
      <c r="T896" s="159" t="str">
        <f t="shared" si="65"/>
        <v>TxPost-vaccination</v>
      </c>
      <c r="W896" s="139">
        <v>856</v>
      </c>
      <c r="X896" s="164">
        <f t="shared" si="66"/>
        <v>328158593.22050118</v>
      </c>
      <c r="Y896" s="159">
        <f t="shared" si="66"/>
        <v>79361.044485661449</v>
      </c>
    </row>
    <row r="897" spans="2:25" x14ac:dyDescent="0.25">
      <c r="B897" s="159">
        <v>857</v>
      </c>
      <c r="C897" s="164">
        <v>302772009.27212977</v>
      </c>
      <c r="D897" s="159">
        <v>111509.78968088556</v>
      </c>
      <c r="E897" s="164">
        <v>9757410.616706226</v>
      </c>
      <c r="F897" s="159">
        <v>0</v>
      </c>
      <c r="I897" s="159">
        <v>857</v>
      </c>
      <c r="J897" s="164">
        <v>302772009.27212977</v>
      </c>
      <c r="K897" s="159">
        <v>111509.78968088556</v>
      </c>
      <c r="L897" s="164">
        <v>9757410.616706226</v>
      </c>
      <c r="M897" s="159">
        <v>0</v>
      </c>
      <c r="Q897" s="139">
        <v>857</v>
      </c>
      <c r="R897" s="164">
        <f t="shared" si="63"/>
        <v>1518668582.8246951</v>
      </c>
      <c r="S897" s="164">
        <f t="shared" si="64"/>
        <v>-9757410.616706226</v>
      </c>
      <c r="T897" s="159" t="str">
        <f t="shared" si="65"/>
        <v>TxPost-vaccination</v>
      </c>
      <c r="W897" s="139">
        <v>857</v>
      </c>
      <c r="X897" s="164">
        <f t="shared" si="66"/>
        <v>293014598.65542352</v>
      </c>
      <c r="Y897" s="159">
        <f t="shared" si="66"/>
        <v>111509.78968088556</v>
      </c>
    </row>
    <row r="898" spans="2:25" x14ac:dyDescent="0.25">
      <c r="B898" s="159">
        <v>858</v>
      </c>
      <c r="C898" s="164">
        <v>330291483.18149364</v>
      </c>
      <c r="D898" s="159">
        <v>110696.8498532245</v>
      </c>
      <c r="E898" s="164">
        <v>8543541.662177369</v>
      </c>
      <c r="F898" s="159">
        <v>0</v>
      </c>
      <c r="I898" s="159">
        <v>858</v>
      </c>
      <c r="J898" s="164">
        <v>330291483.18149364</v>
      </c>
      <c r="K898" s="159">
        <v>110696.8498532245</v>
      </c>
      <c r="L898" s="164">
        <v>8543541.662177369</v>
      </c>
      <c r="M898" s="159">
        <v>0</v>
      </c>
      <c r="Q898" s="139">
        <v>858</v>
      </c>
      <c r="R898" s="164">
        <f t="shared" si="63"/>
        <v>1477870260.4369016</v>
      </c>
      <c r="S898" s="164">
        <f t="shared" si="64"/>
        <v>-8543541.662177369</v>
      </c>
      <c r="T898" s="159" t="str">
        <f t="shared" si="65"/>
        <v>TxPost-vaccination</v>
      </c>
      <c r="W898" s="139">
        <v>858</v>
      </c>
      <c r="X898" s="164">
        <f t="shared" si="66"/>
        <v>321747941.51931626</v>
      </c>
      <c r="Y898" s="159">
        <f t="shared" si="66"/>
        <v>110696.8498532245</v>
      </c>
    </row>
    <row r="899" spans="2:25" x14ac:dyDescent="0.25">
      <c r="B899" s="159">
        <v>859</v>
      </c>
      <c r="C899" s="164">
        <v>329106226.90850687</v>
      </c>
      <c r="D899" s="159">
        <v>93188.353599548791</v>
      </c>
      <c r="E899" s="164">
        <v>9347657.4590277057</v>
      </c>
      <c r="F899" s="159">
        <v>0</v>
      </c>
      <c r="I899" s="159">
        <v>859</v>
      </c>
      <c r="J899" s="164">
        <v>329106226.90850687</v>
      </c>
      <c r="K899" s="159">
        <v>93188.353599548791</v>
      </c>
      <c r="L899" s="164">
        <v>9347657.4590277057</v>
      </c>
      <c r="M899" s="159">
        <v>0</v>
      </c>
      <c r="Q899" s="139">
        <v>859</v>
      </c>
      <c r="R899" s="164">
        <f t="shared" si="63"/>
        <v>1193065507.4534485</v>
      </c>
      <c r="S899" s="164">
        <f t="shared" si="64"/>
        <v>-9347657.4590277057</v>
      </c>
      <c r="T899" s="159" t="str">
        <f t="shared" si="65"/>
        <v>TxPost-vaccination</v>
      </c>
      <c r="W899" s="139">
        <v>859</v>
      </c>
      <c r="X899" s="164">
        <f t="shared" si="66"/>
        <v>319758569.44947916</v>
      </c>
      <c r="Y899" s="159">
        <f t="shared" si="66"/>
        <v>93188.353599548791</v>
      </c>
    </row>
    <row r="900" spans="2:25" x14ac:dyDescent="0.25">
      <c r="B900" s="159">
        <v>860</v>
      </c>
      <c r="C900" s="164">
        <v>301009806.24559247</v>
      </c>
      <c r="D900" s="159">
        <v>73284.3999210724</v>
      </c>
      <c r="E900" s="164">
        <v>8414178.5083008502</v>
      </c>
      <c r="F900" s="159">
        <v>0</v>
      </c>
      <c r="I900" s="159">
        <v>860</v>
      </c>
      <c r="J900" s="164">
        <v>301009806.24559247</v>
      </c>
      <c r="K900" s="159">
        <v>73284.3999210724</v>
      </c>
      <c r="L900" s="164">
        <v>8414178.5083008502</v>
      </c>
      <c r="M900" s="159">
        <v>0</v>
      </c>
      <c r="Q900" s="139">
        <v>860</v>
      </c>
      <c r="R900" s="164">
        <f t="shared" si="63"/>
        <v>896043664.7159766</v>
      </c>
      <c r="S900" s="164">
        <f t="shared" si="64"/>
        <v>-8414178.5083008502</v>
      </c>
      <c r="T900" s="159" t="str">
        <f t="shared" si="65"/>
        <v>TxPost-vaccination</v>
      </c>
      <c r="W900" s="139">
        <v>860</v>
      </c>
      <c r="X900" s="164">
        <f t="shared" si="66"/>
        <v>292595627.73729163</v>
      </c>
      <c r="Y900" s="159">
        <f t="shared" si="66"/>
        <v>73284.3999210724</v>
      </c>
    </row>
    <row r="901" spans="2:25" x14ac:dyDescent="0.25">
      <c r="B901" s="159">
        <v>861</v>
      </c>
      <c r="C901" s="164">
        <v>320016508.89419132</v>
      </c>
      <c r="D901" s="159">
        <v>55558.884387039929</v>
      </c>
      <c r="E901" s="164">
        <v>5315314.8339736033</v>
      </c>
      <c r="F901" s="159">
        <v>0</v>
      </c>
      <c r="I901" s="159">
        <v>861</v>
      </c>
      <c r="J901" s="164">
        <v>320016508.89419132</v>
      </c>
      <c r="K901" s="159">
        <v>55558.884387039929</v>
      </c>
      <c r="L901" s="164">
        <v>5315314.8339736033</v>
      </c>
      <c r="M901" s="159">
        <v>0</v>
      </c>
      <c r="Q901" s="139">
        <v>861</v>
      </c>
      <c r="R901" s="164">
        <f t="shared" si="63"/>
        <v>587502082.64625859</v>
      </c>
      <c r="S901" s="164">
        <f t="shared" si="64"/>
        <v>-5315314.8339736033</v>
      </c>
      <c r="T901" s="159" t="str">
        <f t="shared" si="65"/>
        <v>TxPost-vaccination</v>
      </c>
      <c r="W901" s="139">
        <v>861</v>
      </c>
      <c r="X901" s="164">
        <f t="shared" si="66"/>
        <v>314701194.06021774</v>
      </c>
      <c r="Y901" s="159">
        <f t="shared" si="66"/>
        <v>55558.884387039929</v>
      </c>
    </row>
    <row r="902" spans="2:25" x14ac:dyDescent="0.25">
      <c r="B902" s="159">
        <v>862</v>
      </c>
      <c r="C902" s="164">
        <v>319583260.064964</v>
      </c>
      <c r="D902" s="159">
        <v>99169.832173347881</v>
      </c>
      <c r="E902" s="164">
        <v>9263918.0166667253</v>
      </c>
      <c r="F902" s="159">
        <v>0</v>
      </c>
      <c r="I902" s="159">
        <v>862</v>
      </c>
      <c r="J902" s="164">
        <v>319583260.064964</v>
      </c>
      <c r="K902" s="159">
        <v>99169.832173347881</v>
      </c>
      <c r="L902" s="164">
        <v>9263918.0166667253</v>
      </c>
      <c r="M902" s="159">
        <v>0</v>
      </c>
      <c r="Q902" s="139">
        <v>862</v>
      </c>
      <c r="R902" s="164">
        <f t="shared" si="63"/>
        <v>1300292074.1894646</v>
      </c>
      <c r="S902" s="164">
        <f t="shared" si="64"/>
        <v>-9263918.0166667253</v>
      </c>
      <c r="T902" s="159" t="str">
        <f t="shared" si="65"/>
        <v>TxPost-vaccination</v>
      </c>
      <c r="W902" s="139">
        <v>862</v>
      </c>
      <c r="X902" s="164">
        <f t="shared" si="66"/>
        <v>310319342.04829729</v>
      </c>
      <c r="Y902" s="159">
        <f t="shared" si="66"/>
        <v>99169.832173347881</v>
      </c>
    </row>
    <row r="903" spans="2:25" x14ac:dyDescent="0.25">
      <c r="B903" s="159">
        <v>863</v>
      </c>
      <c r="C903" s="164">
        <v>303278737.68524379</v>
      </c>
      <c r="D903" s="159">
        <v>53909.587264627786</v>
      </c>
      <c r="E903" s="164">
        <v>6036759.1322902963</v>
      </c>
      <c r="F903" s="159">
        <v>0</v>
      </c>
      <c r="I903" s="159">
        <v>863</v>
      </c>
      <c r="J903" s="164">
        <v>303278737.68524379</v>
      </c>
      <c r="K903" s="159">
        <v>53909.587264627786</v>
      </c>
      <c r="L903" s="164">
        <v>6036759.1322902963</v>
      </c>
      <c r="M903" s="159">
        <v>0</v>
      </c>
      <c r="Q903" s="139">
        <v>863</v>
      </c>
      <c r="R903" s="164">
        <f t="shared" si="63"/>
        <v>577299647.65638733</v>
      </c>
      <c r="S903" s="164">
        <f t="shared" si="64"/>
        <v>-6036759.1322902963</v>
      </c>
      <c r="T903" s="159" t="str">
        <f t="shared" si="65"/>
        <v>TxPost-vaccination</v>
      </c>
      <c r="W903" s="139">
        <v>863</v>
      </c>
      <c r="X903" s="164">
        <f t="shared" si="66"/>
        <v>297241978.55295348</v>
      </c>
      <c r="Y903" s="159">
        <f t="shared" si="66"/>
        <v>53909.587264627786</v>
      </c>
    </row>
    <row r="904" spans="2:25" x14ac:dyDescent="0.25">
      <c r="B904" s="159">
        <v>864</v>
      </c>
      <c r="C904" s="164">
        <v>306676544.86123717</v>
      </c>
      <c r="D904" s="159">
        <v>116473.214899281</v>
      </c>
      <c r="E904" s="164">
        <v>9861832.1695329156</v>
      </c>
      <c r="F904" s="159">
        <v>0</v>
      </c>
      <c r="I904" s="159">
        <v>864</v>
      </c>
      <c r="J904" s="164">
        <v>306676544.86123717</v>
      </c>
      <c r="K904" s="159">
        <v>116473.214899281</v>
      </c>
      <c r="L904" s="164">
        <v>9861832.1695329156</v>
      </c>
      <c r="M904" s="159">
        <v>0</v>
      </c>
      <c r="Q904" s="139">
        <v>864</v>
      </c>
      <c r="R904" s="164">
        <f t="shared" si="63"/>
        <v>1595838401.2855282</v>
      </c>
      <c r="S904" s="164">
        <f t="shared" si="64"/>
        <v>-9861832.1695329156</v>
      </c>
      <c r="T904" s="159" t="str">
        <f t="shared" si="65"/>
        <v>TxPost-vaccination</v>
      </c>
      <c r="W904" s="139">
        <v>864</v>
      </c>
      <c r="X904" s="164">
        <f t="shared" si="66"/>
        <v>296814712.69170427</v>
      </c>
      <c r="Y904" s="159">
        <f t="shared" si="66"/>
        <v>116473.214899281</v>
      </c>
    </row>
    <row r="905" spans="2:25" x14ac:dyDescent="0.25">
      <c r="B905" s="159">
        <v>865</v>
      </c>
      <c r="C905" s="164">
        <v>309089271.6443494</v>
      </c>
      <c r="D905" s="159">
        <v>77857.798381890359</v>
      </c>
      <c r="E905" s="164">
        <v>9025231.165730929</v>
      </c>
      <c r="F905" s="159">
        <v>0</v>
      </c>
      <c r="I905" s="159">
        <v>865</v>
      </c>
      <c r="J905" s="164">
        <v>309089271.6443494</v>
      </c>
      <c r="K905" s="159">
        <v>77857.798381890359</v>
      </c>
      <c r="L905" s="164">
        <v>9025231.165730929</v>
      </c>
      <c r="M905" s="159">
        <v>0</v>
      </c>
      <c r="Q905" s="139">
        <v>865</v>
      </c>
      <c r="R905" s="164">
        <f t="shared" si="63"/>
        <v>962667717.4944663</v>
      </c>
      <c r="S905" s="164">
        <f t="shared" si="64"/>
        <v>-9025231.165730929</v>
      </c>
      <c r="T905" s="159" t="str">
        <f t="shared" si="65"/>
        <v>TxPost-vaccination</v>
      </c>
      <c r="W905" s="139">
        <v>865</v>
      </c>
      <c r="X905" s="164">
        <f t="shared" si="66"/>
        <v>300064040.47861844</v>
      </c>
      <c r="Y905" s="159">
        <f t="shared" si="66"/>
        <v>77857.798381890359</v>
      </c>
    </row>
    <row r="906" spans="2:25" x14ac:dyDescent="0.25">
      <c r="B906" s="159">
        <v>866</v>
      </c>
      <c r="C906" s="164">
        <v>333061203.8278113</v>
      </c>
      <c r="D906" s="159">
        <v>100198.56214637724</v>
      </c>
      <c r="E906" s="164">
        <v>7424739.1127917403</v>
      </c>
      <c r="F906" s="159">
        <v>0</v>
      </c>
      <c r="I906" s="159">
        <v>866</v>
      </c>
      <c r="J906" s="164">
        <v>333061203.8278113</v>
      </c>
      <c r="K906" s="159">
        <v>100198.56214637724</v>
      </c>
      <c r="L906" s="164">
        <v>7424739.1127917403</v>
      </c>
      <c r="M906" s="159">
        <v>0</v>
      </c>
      <c r="Q906" s="139">
        <v>866</v>
      </c>
      <c r="R906" s="164">
        <f t="shared" si="63"/>
        <v>1303617771.9413636</v>
      </c>
      <c r="S906" s="164">
        <f t="shared" si="64"/>
        <v>-7424739.1127917403</v>
      </c>
      <c r="T906" s="159" t="str">
        <f t="shared" si="65"/>
        <v>TxPost-vaccination</v>
      </c>
      <c r="W906" s="139">
        <v>866</v>
      </c>
      <c r="X906" s="164">
        <f t="shared" si="66"/>
        <v>325636464.71501958</v>
      </c>
      <c r="Y906" s="159">
        <f t="shared" si="66"/>
        <v>100198.56214637724</v>
      </c>
    </row>
    <row r="907" spans="2:25" x14ac:dyDescent="0.25">
      <c r="B907" s="159">
        <v>867</v>
      </c>
      <c r="C907" s="164">
        <v>319782356.51889127</v>
      </c>
      <c r="D907" s="159">
        <v>138151.638294295</v>
      </c>
      <c r="E907" s="164">
        <v>12231058.95154622</v>
      </c>
      <c r="F907" s="159">
        <v>0</v>
      </c>
      <c r="I907" s="159">
        <v>867</v>
      </c>
      <c r="J907" s="164">
        <v>319782356.51889127</v>
      </c>
      <c r="K907" s="159">
        <v>138151.638294295</v>
      </c>
      <c r="L907" s="164">
        <v>12231058.95154622</v>
      </c>
      <c r="M907" s="159">
        <v>0</v>
      </c>
      <c r="Q907" s="139">
        <v>867</v>
      </c>
      <c r="R907" s="164">
        <f t="shared" si="63"/>
        <v>1936835672.9297023</v>
      </c>
      <c r="S907" s="164">
        <f t="shared" si="64"/>
        <v>-12231058.95154622</v>
      </c>
      <c r="T907" s="159" t="str">
        <f t="shared" si="65"/>
        <v>TxPost-vaccination</v>
      </c>
      <c r="W907" s="139">
        <v>867</v>
      </c>
      <c r="X907" s="164">
        <f t="shared" si="66"/>
        <v>307551297.56734508</v>
      </c>
      <c r="Y907" s="159">
        <f t="shared" si="66"/>
        <v>138151.638294295</v>
      </c>
    </row>
    <row r="908" spans="2:25" x14ac:dyDescent="0.25">
      <c r="B908" s="159">
        <v>868</v>
      </c>
      <c r="C908" s="164">
        <v>318399470.63284528</v>
      </c>
      <c r="D908" s="159">
        <v>90906.941352091555</v>
      </c>
      <c r="E908" s="164">
        <v>7027217.7580921389</v>
      </c>
      <c r="F908" s="159">
        <v>0</v>
      </c>
      <c r="I908" s="159">
        <v>868</v>
      </c>
      <c r="J908" s="164">
        <v>318399470.63284528</v>
      </c>
      <c r="K908" s="159">
        <v>90906.941352091555</v>
      </c>
      <c r="L908" s="164">
        <v>7027217.7580921389</v>
      </c>
      <c r="M908" s="159">
        <v>0</v>
      </c>
      <c r="Q908" s="139">
        <v>868</v>
      </c>
      <c r="R908" s="164">
        <f t="shared" si="63"/>
        <v>1166506864.1017108</v>
      </c>
      <c r="S908" s="164">
        <f t="shared" si="64"/>
        <v>-7027217.7580921389</v>
      </c>
      <c r="T908" s="159" t="str">
        <f t="shared" si="65"/>
        <v>TxPost-vaccination</v>
      </c>
      <c r="W908" s="139">
        <v>868</v>
      </c>
      <c r="X908" s="164">
        <f t="shared" si="66"/>
        <v>311372252.87475312</v>
      </c>
      <c r="Y908" s="159">
        <f t="shared" si="66"/>
        <v>90906.941352091555</v>
      </c>
    </row>
    <row r="909" spans="2:25" x14ac:dyDescent="0.25">
      <c r="B909" s="159">
        <v>869</v>
      </c>
      <c r="C909" s="164">
        <v>313549491.70990908</v>
      </c>
      <c r="D909" s="159">
        <v>64532.540640953892</v>
      </c>
      <c r="E909" s="164">
        <v>6165708.1345039187</v>
      </c>
      <c r="F909" s="159">
        <v>0</v>
      </c>
      <c r="I909" s="159">
        <v>869</v>
      </c>
      <c r="J909" s="164">
        <v>313549491.70990908</v>
      </c>
      <c r="K909" s="159">
        <v>64532.540640953892</v>
      </c>
      <c r="L909" s="164">
        <v>6165708.1345039187</v>
      </c>
      <c r="M909" s="159">
        <v>0</v>
      </c>
      <c r="Q909" s="139">
        <v>869</v>
      </c>
      <c r="R909" s="164">
        <f t="shared" si="63"/>
        <v>740547994.89596844</v>
      </c>
      <c r="S909" s="164">
        <f t="shared" si="64"/>
        <v>-6165708.1345039187</v>
      </c>
      <c r="T909" s="159" t="str">
        <f t="shared" si="65"/>
        <v>TxPost-vaccination</v>
      </c>
      <c r="W909" s="139">
        <v>869</v>
      </c>
      <c r="X909" s="164">
        <f t="shared" si="66"/>
        <v>307383783.57540518</v>
      </c>
      <c r="Y909" s="159">
        <f t="shared" si="66"/>
        <v>64532.540640953892</v>
      </c>
    </row>
    <row r="910" spans="2:25" x14ac:dyDescent="0.25">
      <c r="B910" s="159">
        <v>870</v>
      </c>
      <c r="C910" s="164">
        <v>302919369.6045391</v>
      </c>
      <c r="D910" s="159">
        <v>53958.164053874643</v>
      </c>
      <c r="E910" s="164">
        <v>5293044.8052502032</v>
      </c>
      <c r="F910" s="159">
        <v>0</v>
      </c>
      <c r="I910" s="159">
        <v>870</v>
      </c>
      <c r="J910" s="164">
        <v>302919369.6045391</v>
      </c>
      <c r="K910" s="159">
        <v>53958.164053874643</v>
      </c>
      <c r="L910" s="164">
        <v>5293044.8052502032</v>
      </c>
      <c r="M910" s="159">
        <v>0</v>
      </c>
      <c r="Q910" s="139">
        <v>870</v>
      </c>
      <c r="R910" s="164">
        <f t="shared" si="63"/>
        <v>578452486.30161524</v>
      </c>
      <c r="S910" s="164">
        <f t="shared" si="64"/>
        <v>-5293044.8052502032</v>
      </c>
      <c r="T910" s="159" t="str">
        <f t="shared" si="65"/>
        <v>TxPost-vaccination</v>
      </c>
      <c r="W910" s="139">
        <v>870</v>
      </c>
      <c r="X910" s="164">
        <f t="shared" si="66"/>
        <v>297626324.79928887</v>
      </c>
      <c r="Y910" s="159">
        <f t="shared" si="66"/>
        <v>53958.164053874643</v>
      </c>
    </row>
    <row r="911" spans="2:25" x14ac:dyDescent="0.25">
      <c r="B911" s="159">
        <v>871</v>
      </c>
      <c r="C911" s="164">
        <v>321632649.5456416</v>
      </c>
      <c r="D911" s="159">
        <v>40384.52852732117</v>
      </c>
      <c r="E911" s="164">
        <v>4456982.7160300612</v>
      </c>
      <c r="F911" s="159">
        <v>0</v>
      </c>
      <c r="I911" s="159">
        <v>871</v>
      </c>
      <c r="J911" s="164">
        <v>321632649.5456416</v>
      </c>
      <c r="K911" s="159">
        <v>40384.52852732117</v>
      </c>
      <c r="L911" s="164">
        <v>4456982.7160300612</v>
      </c>
      <c r="M911" s="159">
        <v>0</v>
      </c>
      <c r="Q911" s="139">
        <v>871</v>
      </c>
      <c r="R911" s="164">
        <f t="shared" si="63"/>
        <v>338022612.67716867</v>
      </c>
      <c r="S911" s="164">
        <f t="shared" si="64"/>
        <v>-4456982.7160300612</v>
      </c>
      <c r="T911" s="159" t="str">
        <f t="shared" si="65"/>
        <v>TxPost-vaccination</v>
      </c>
      <c r="W911" s="139">
        <v>871</v>
      </c>
      <c r="X911" s="164">
        <f t="shared" si="66"/>
        <v>317175666.82961154</v>
      </c>
      <c r="Y911" s="159">
        <f t="shared" si="66"/>
        <v>40384.52852732117</v>
      </c>
    </row>
    <row r="912" spans="2:25" x14ac:dyDescent="0.25">
      <c r="B912" s="159">
        <v>872</v>
      </c>
      <c r="C912" s="164">
        <v>299653275.13282496</v>
      </c>
      <c r="D912" s="159">
        <v>68643.188697657009</v>
      </c>
      <c r="E912" s="164">
        <v>7603246.3784833644</v>
      </c>
      <c r="F912" s="159">
        <v>0</v>
      </c>
      <c r="I912" s="159">
        <v>872</v>
      </c>
      <c r="J912" s="164">
        <v>299653275.13282496</v>
      </c>
      <c r="K912" s="159">
        <v>68643.188697657009</v>
      </c>
      <c r="L912" s="164">
        <v>7603246.3784833644</v>
      </c>
      <c r="M912" s="159">
        <v>0</v>
      </c>
      <c r="Q912" s="139">
        <v>872</v>
      </c>
      <c r="R912" s="164">
        <f t="shared" si="63"/>
        <v>821588999.85199094</v>
      </c>
      <c r="S912" s="164">
        <f t="shared" si="64"/>
        <v>-7603246.3784833644</v>
      </c>
      <c r="T912" s="159" t="str">
        <f t="shared" si="65"/>
        <v>TxPost-vaccination</v>
      </c>
      <c r="W912" s="139">
        <v>872</v>
      </c>
      <c r="X912" s="164">
        <f t="shared" si="66"/>
        <v>292050028.7543416</v>
      </c>
      <c r="Y912" s="159">
        <f t="shared" si="66"/>
        <v>68643.188697657009</v>
      </c>
    </row>
    <row r="913" spans="2:25" x14ac:dyDescent="0.25">
      <c r="B913" s="159">
        <v>873</v>
      </c>
      <c r="C913" s="164">
        <v>306746761.42700899</v>
      </c>
      <c r="D913" s="159">
        <v>123887.45560884938</v>
      </c>
      <c r="E913" s="164">
        <v>11492816.076837871</v>
      </c>
      <c r="F913" s="159">
        <v>0</v>
      </c>
      <c r="I913" s="159">
        <v>873</v>
      </c>
      <c r="J913" s="164">
        <v>306746761.42700899</v>
      </c>
      <c r="K913" s="159">
        <v>123887.45560884938</v>
      </c>
      <c r="L913" s="164">
        <v>11492816.076837871</v>
      </c>
      <c r="M913" s="159">
        <v>0</v>
      </c>
      <c r="Q913" s="139">
        <v>873</v>
      </c>
      <c r="R913" s="164">
        <f t="shared" si="63"/>
        <v>1716875031.2722569</v>
      </c>
      <c r="S913" s="164">
        <f t="shared" si="64"/>
        <v>-11492816.076837871</v>
      </c>
      <c r="T913" s="159" t="str">
        <f t="shared" si="65"/>
        <v>TxPost-vaccination</v>
      </c>
      <c r="W913" s="139">
        <v>873</v>
      </c>
      <c r="X913" s="164">
        <f t="shared" si="66"/>
        <v>295253945.35017109</v>
      </c>
      <c r="Y913" s="159">
        <f t="shared" si="66"/>
        <v>123887.45560884938</v>
      </c>
    </row>
    <row r="914" spans="2:25" x14ac:dyDescent="0.25">
      <c r="B914" s="159">
        <v>874</v>
      </c>
      <c r="C914" s="164">
        <v>276082140.19741553</v>
      </c>
      <c r="D914" s="159">
        <v>109464.92826021613</v>
      </c>
      <c r="E914" s="164">
        <v>9097458.8501720056</v>
      </c>
      <c r="F914" s="159">
        <v>0</v>
      </c>
      <c r="I914" s="159">
        <v>874</v>
      </c>
      <c r="J914" s="164">
        <v>276082140.19741553</v>
      </c>
      <c r="K914" s="159">
        <v>109464.92826021613</v>
      </c>
      <c r="L914" s="164">
        <v>9097458.8501720056</v>
      </c>
      <c r="M914" s="159">
        <v>0</v>
      </c>
      <c r="Q914" s="139">
        <v>874</v>
      </c>
      <c r="R914" s="164">
        <f t="shared" si="63"/>
        <v>1511956957.6675668</v>
      </c>
      <c r="S914" s="164">
        <f t="shared" si="64"/>
        <v>-9097458.8501720056</v>
      </c>
      <c r="T914" s="159" t="str">
        <f t="shared" si="65"/>
        <v>TxPost-vaccination</v>
      </c>
      <c r="W914" s="139">
        <v>874</v>
      </c>
      <c r="X914" s="164">
        <f t="shared" si="66"/>
        <v>266984681.34724352</v>
      </c>
      <c r="Y914" s="159">
        <f t="shared" si="66"/>
        <v>109464.92826021613</v>
      </c>
    </row>
    <row r="915" spans="2:25" x14ac:dyDescent="0.25">
      <c r="B915" s="159">
        <v>875</v>
      </c>
      <c r="C915" s="164">
        <v>311393389.40760362</v>
      </c>
      <c r="D915" s="159">
        <v>109577.12909109573</v>
      </c>
      <c r="E915" s="164">
        <v>9533027.8343922552</v>
      </c>
      <c r="F915" s="159">
        <v>0</v>
      </c>
      <c r="I915" s="159">
        <v>875</v>
      </c>
      <c r="J915" s="164">
        <v>311393389.40760362</v>
      </c>
      <c r="K915" s="159">
        <v>109577.12909109573</v>
      </c>
      <c r="L915" s="164">
        <v>9533027.8343922552</v>
      </c>
      <c r="M915" s="159">
        <v>0</v>
      </c>
      <c r="Q915" s="139">
        <v>875</v>
      </c>
      <c r="R915" s="164">
        <f t="shared" si="63"/>
        <v>1478478436.7623639</v>
      </c>
      <c r="S915" s="164">
        <f t="shared" si="64"/>
        <v>-9533027.8343922552</v>
      </c>
      <c r="T915" s="159" t="str">
        <f t="shared" si="65"/>
        <v>TxPost-vaccination</v>
      </c>
      <c r="W915" s="139">
        <v>875</v>
      </c>
      <c r="X915" s="164">
        <f t="shared" si="66"/>
        <v>301860361.57321137</v>
      </c>
      <c r="Y915" s="159">
        <f t="shared" si="66"/>
        <v>109577.12909109573</v>
      </c>
    </row>
    <row r="916" spans="2:25" x14ac:dyDescent="0.25">
      <c r="B916" s="159">
        <v>876</v>
      </c>
      <c r="C916" s="164">
        <v>315838783.82731307</v>
      </c>
      <c r="D916" s="159">
        <v>114287.27570511523</v>
      </c>
      <c r="E916" s="164">
        <v>9205156.3099715989</v>
      </c>
      <c r="F916" s="159">
        <v>0</v>
      </c>
      <c r="I916" s="159">
        <v>876</v>
      </c>
      <c r="J916" s="164">
        <v>315838783.82731307</v>
      </c>
      <c r="K916" s="159">
        <v>114287.27570511523</v>
      </c>
      <c r="L916" s="164">
        <v>9205156.3099715989</v>
      </c>
      <c r="M916" s="159">
        <v>0</v>
      </c>
      <c r="Q916" s="139">
        <v>876</v>
      </c>
      <c r="R916" s="164">
        <f t="shared" si="63"/>
        <v>1550970253.5243301</v>
      </c>
      <c r="S916" s="164">
        <f t="shared" si="64"/>
        <v>-9205156.3099715989</v>
      </c>
      <c r="T916" s="159" t="str">
        <f t="shared" si="65"/>
        <v>TxPost-vaccination</v>
      </c>
      <c r="W916" s="139">
        <v>876</v>
      </c>
      <c r="X916" s="164">
        <f t="shared" si="66"/>
        <v>306633627.51734149</v>
      </c>
      <c r="Y916" s="159">
        <f t="shared" si="66"/>
        <v>114287.27570511523</v>
      </c>
    </row>
    <row r="917" spans="2:25" x14ac:dyDescent="0.25">
      <c r="B917" s="159">
        <v>877</v>
      </c>
      <c r="C917" s="164">
        <v>352885038.41817218</v>
      </c>
      <c r="D917" s="159">
        <v>79706.131036111619</v>
      </c>
      <c r="E917" s="164">
        <v>6944272.3462872636</v>
      </c>
      <c r="F917" s="159">
        <v>0</v>
      </c>
      <c r="I917" s="159">
        <v>877</v>
      </c>
      <c r="J917" s="164">
        <v>352885038.41817218</v>
      </c>
      <c r="K917" s="159">
        <v>79706.131036111619</v>
      </c>
      <c r="L917" s="164">
        <v>6944272.3462872636</v>
      </c>
      <c r="M917" s="159">
        <v>0</v>
      </c>
      <c r="Q917" s="139">
        <v>877</v>
      </c>
      <c r="R917" s="164">
        <f t="shared" si="63"/>
        <v>949063274.13476849</v>
      </c>
      <c r="S917" s="164">
        <f t="shared" si="64"/>
        <v>-6944272.3462872636</v>
      </c>
      <c r="T917" s="159" t="str">
        <f t="shared" si="65"/>
        <v>TxPost-vaccination</v>
      </c>
      <c r="W917" s="139">
        <v>877</v>
      </c>
      <c r="X917" s="164">
        <f t="shared" si="66"/>
        <v>345940766.07188493</v>
      </c>
      <c r="Y917" s="159">
        <f t="shared" si="66"/>
        <v>79706.131036111619</v>
      </c>
    </row>
    <row r="918" spans="2:25" x14ac:dyDescent="0.25">
      <c r="B918" s="159">
        <v>878</v>
      </c>
      <c r="C918" s="164">
        <v>296254796.1708259</v>
      </c>
      <c r="D918" s="159">
        <v>102701.7835274266</v>
      </c>
      <c r="E918" s="164">
        <v>8563418.5095502995</v>
      </c>
      <c r="F918" s="159">
        <v>0</v>
      </c>
      <c r="I918" s="159">
        <v>878</v>
      </c>
      <c r="J918" s="164">
        <v>296254796.1708259</v>
      </c>
      <c r="K918" s="159">
        <v>102701.7835274266</v>
      </c>
      <c r="L918" s="164">
        <v>8563418.5095502995</v>
      </c>
      <c r="M918" s="159">
        <v>0</v>
      </c>
      <c r="Q918" s="139">
        <v>878</v>
      </c>
      <c r="R918" s="164">
        <f t="shared" si="63"/>
        <v>1381312688.5579307</v>
      </c>
      <c r="S918" s="164">
        <f t="shared" si="64"/>
        <v>-8563418.5095502995</v>
      </c>
      <c r="T918" s="159" t="str">
        <f t="shared" si="65"/>
        <v>TxPost-vaccination</v>
      </c>
      <c r="W918" s="139">
        <v>878</v>
      </c>
      <c r="X918" s="164">
        <f t="shared" si="66"/>
        <v>287691377.66127563</v>
      </c>
      <c r="Y918" s="159">
        <f t="shared" si="66"/>
        <v>102701.7835274266</v>
      </c>
    </row>
    <row r="919" spans="2:25" x14ac:dyDescent="0.25">
      <c r="B919" s="159">
        <v>879</v>
      </c>
      <c r="C919" s="164">
        <v>288115578.79586214</v>
      </c>
      <c r="D919" s="159">
        <v>75142.819779344209</v>
      </c>
      <c r="E919" s="164">
        <v>5698794.5604120363</v>
      </c>
      <c r="F919" s="159">
        <v>0</v>
      </c>
      <c r="I919" s="159">
        <v>879</v>
      </c>
      <c r="J919" s="164">
        <v>288115578.79586214</v>
      </c>
      <c r="K919" s="159">
        <v>75142.819779344209</v>
      </c>
      <c r="L919" s="164">
        <v>5698794.5604120363</v>
      </c>
      <c r="M919" s="159">
        <v>0</v>
      </c>
      <c r="Q919" s="139">
        <v>879</v>
      </c>
      <c r="R919" s="164">
        <f t="shared" si="63"/>
        <v>939293983.56093049</v>
      </c>
      <c r="S919" s="164">
        <f t="shared" si="64"/>
        <v>-5698794.5604120363</v>
      </c>
      <c r="T919" s="159" t="str">
        <f t="shared" si="65"/>
        <v>TxPost-vaccination</v>
      </c>
      <c r="W919" s="139">
        <v>879</v>
      </c>
      <c r="X919" s="164">
        <f t="shared" si="66"/>
        <v>282416784.23545009</v>
      </c>
      <c r="Y919" s="159">
        <f t="shared" si="66"/>
        <v>75142.819779344209</v>
      </c>
    </row>
    <row r="920" spans="2:25" x14ac:dyDescent="0.25">
      <c r="B920" s="159">
        <v>880</v>
      </c>
      <c r="C920" s="164">
        <v>286371743.62560099</v>
      </c>
      <c r="D920" s="159">
        <v>52453.538157865172</v>
      </c>
      <c r="E920" s="164">
        <v>5614442.9136439981</v>
      </c>
      <c r="F920" s="159">
        <v>0</v>
      </c>
      <c r="I920" s="159">
        <v>880</v>
      </c>
      <c r="J920" s="164">
        <v>286371743.62560099</v>
      </c>
      <c r="K920" s="159">
        <v>52453.538157865172</v>
      </c>
      <c r="L920" s="164">
        <v>5614442.9136439981</v>
      </c>
      <c r="M920" s="159">
        <v>0</v>
      </c>
      <c r="Q920" s="139">
        <v>880</v>
      </c>
      <c r="R920" s="164">
        <f t="shared" si="63"/>
        <v>570423017.38373208</v>
      </c>
      <c r="S920" s="164">
        <f t="shared" si="64"/>
        <v>-5614442.9136439981</v>
      </c>
      <c r="T920" s="159" t="str">
        <f t="shared" si="65"/>
        <v>TxPost-vaccination</v>
      </c>
      <c r="W920" s="139">
        <v>880</v>
      </c>
      <c r="X920" s="164">
        <f t="shared" si="66"/>
        <v>280757300.71195698</v>
      </c>
      <c r="Y920" s="159">
        <f t="shared" si="66"/>
        <v>52453.538157865172</v>
      </c>
    </row>
    <row r="921" spans="2:25" x14ac:dyDescent="0.25">
      <c r="B921" s="159">
        <v>881</v>
      </c>
      <c r="C921" s="164">
        <v>295661942.89425814</v>
      </c>
      <c r="D921" s="159">
        <v>97656.301874347613</v>
      </c>
      <c r="E921" s="164">
        <v>8581160.5409392752</v>
      </c>
      <c r="F921" s="159">
        <v>0</v>
      </c>
      <c r="I921" s="159">
        <v>881</v>
      </c>
      <c r="J921" s="164">
        <v>295661942.89425814</v>
      </c>
      <c r="K921" s="159">
        <v>97656.301874347613</v>
      </c>
      <c r="L921" s="164">
        <v>8581160.5409392752</v>
      </c>
      <c r="M921" s="159">
        <v>0</v>
      </c>
      <c r="Q921" s="139">
        <v>881</v>
      </c>
      <c r="R921" s="164">
        <f t="shared" si="63"/>
        <v>1299490848.7757316</v>
      </c>
      <c r="S921" s="164">
        <f t="shared" si="64"/>
        <v>-8581160.5409392752</v>
      </c>
      <c r="T921" s="159" t="str">
        <f t="shared" si="65"/>
        <v>TxPost-vaccination</v>
      </c>
      <c r="W921" s="139">
        <v>881</v>
      </c>
      <c r="X921" s="164">
        <f t="shared" si="66"/>
        <v>287080782.35331887</v>
      </c>
      <c r="Y921" s="159">
        <f t="shared" si="66"/>
        <v>97656.301874347613</v>
      </c>
    </row>
    <row r="922" spans="2:25" x14ac:dyDescent="0.25">
      <c r="B922" s="159">
        <v>882</v>
      </c>
      <c r="C922" s="164">
        <v>298411529.74199373</v>
      </c>
      <c r="D922" s="159">
        <v>76191.493526715203</v>
      </c>
      <c r="E922" s="164">
        <v>6918236.5323660942</v>
      </c>
      <c r="F922" s="159">
        <v>0</v>
      </c>
      <c r="I922" s="159">
        <v>882</v>
      </c>
      <c r="J922" s="164">
        <v>298411529.74199373</v>
      </c>
      <c r="K922" s="159">
        <v>76191.493526715203</v>
      </c>
      <c r="L922" s="164">
        <v>6918236.5323660942</v>
      </c>
      <c r="M922" s="159">
        <v>0</v>
      </c>
      <c r="Q922" s="139">
        <v>882</v>
      </c>
      <c r="R922" s="164">
        <f t="shared" si="63"/>
        <v>946127442.83783007</v>
      </c>
      <c r="S922" s="164">
        <f t="shared" si="64"/>
        <v>-6918236.5323660942</v>
      </c>
      <c r="T922" s="159" t="str">
        <f t="shared" si="65"/>
        <v>TxPost-vaccination</v>
      </c>
      <c r="W922" s="139">
        <v>882</v>
      </c>
      <c r="X922" s="164">
        <f t="shared" si="66"/>
        <v>291493293.20962763</v>
      </c>
      <c r="Y922" s="159">
        <f t="shared" si="66"/>
        <v>76191.493526715203</v>
      </c>
    </row>
    <row r="923" spans="2:25" x14ac:dyDescent="0.25">
      <c r="B923" s="159">
        <v>883</v>
      </c>
      <c r="C923" s="164">
        <v>331464733.98367131</v>
      </c>
      <c r="D923" s="159">
        <v>98538.911459301671</v>
      </c>
      <c r="E923" s="164">
        <v>7267221.4424359435</v>
      </c>
      <c r="F923" s="159">
        <v>0</v>
      </c>
      <c r="I923" s="159">
        <v>883</v>
      </c>
      <c r="J923" s="164">
        <v>331464733.98367131</v>
      </c>
      <c r="K923" s="159">
        <v>98538.911459301671</v>
      </c>
      <c r="L923" s="164">
        <v>7267221.4424359435</v>
      </c>
      <c r="M923" s="159">
        <v>0</v>
      </c>
      <c r="Q923" s="139">
        <v>883</v>
      </c>
      <c r="R923" s="164">
        <f t="shared" si="63"/>
        <v>1278104916.776535</v>
      </c>
      <c r="S923" s="164">
        <f t="shared" si="64"/>
        <v>-7267221.4424359435</v>
      </c>
      <c r="T923" s="159" t="str">
        <f t="shared" si="65"/>
        <v>TxPost-vaccination</v>
      </c>
      <c r="W923" s="139">
        <v>883</v>
      </c>
      <c r="X923" s="164">
        <f t="shared" si="66"/>
        <v>324197512.54123539</v>
      </c>
      <c r="Y923" s="159">
        <f t="shared" si="66"/>
        <v>98538.911459301671</v>
      </c>
    </row>
    <row r="924" spans="2:25" x14ac:dyDescent="0.25">
      <c r="B924" s="159">
        <v>884</v>
      </c>
      <c r="C924" s="164">
        <v>309075334.90706855</v>
      </c>
      <c r="D924" s="159">
        <v>100349.6163448107</v>
      </c>
      <c r="E924" s="164">
        <v>9239366.5376279429</v>
      </c>
      <c r="F924" s="159">
        <v>0</v>
      </c>
      <c r="I924" s="159">
        <v>884</v>
      </c>
      <c r="J924" s="164">
        <v>309075334.90706855</v>
      </c>
      <c r="K924" s="159">
        <v>100349.6163448107</v>
      </c>
      <c r="L924" s="164">
        <v>9239366.5376279429</v>
      </c>
      <c r="M924" s="159">
        <v>0</v>
      </c>
      <c r="Q924" s="139">
        <v>884</v>
      </c>
      <c r="R924" s="164">
        <f t="shared" si="63"/>
        <v>1330071013.9010181</v>
      </c>
      <c r="S924" s="164">
        <f t="shared" si="64"/>
        <v>-9239366.5376279429</v>
      </c>
      <c r="T924" s="159" t="str">
        <f t="shared" si="65"/>
        <v>TxPost-vaccination</v>
      </c>
      <c r="W924" s="139">
        <v>884</v>
      </c>
      <c r="X924" s="164">
        <f t="shared" si="66"/>
        <v>299835968.36944062</v>
      </c>
      <c r="Y924" s="159">
        <f t="shared" si="66"/>
        <v>100349.6163448107</v>
      </c>
    </row>
    <row r="925" spans="2:25" x14ac:dyDescent="0.25">
      <c r="B925" s="159">
        <v>885</v>
      </c>
      <c r="C925" s="164">
        <v>338216911.5748288</v>
      </c>
      <c r="D925" s="159">
        <v>93204.64667406377</v>
      </c>
      <c r="E925" s="164">
        <v>8128990.5905516203</v>
      </c>
      <c r="F925" s="159">
        <v>0</v>
      </c>
      <c r="I925" s="159">
        <v>885</v>
      </c>
      <c r="J925" s="164">
        <v>338216911.5748288</v>
      </c>
      <c r="K925" s="159">
        <v>93204.64667406377</v>
      </c>
      <c r="L925" s="164">
        <v>8128990.5905516203</v>
      </c>
      <c r="M925" s="159">
        <v>0</v>
      </c>
      <c r="Q925" s="139">
        <v>885</v>
      </c>
      <c r="R925" s="164">
        <f t="shared" si="63"/>
        <v>1184220959.6651223</v>
      </c>
      <c r="S925" s="164">
        <f t="shared" si="64"/>
        <v>-8128990.5905516203</v>
      </c>
      <c r="T925" s="159" t="str">
        <f t="shared" si="65"/>
        <v>TxPost-vaccination</v>
      </c>
      <c r="W925" s="139">
        <v>885</v>
      </c>
      <c r="X925" s="164">
        <f t="shared" si="66"/>
        <v>330087920.98427719</v>
      </c>
      <c r="Y925" s="159">
        <f t="shared" si="66"/>
        <v>93204.64667406377</v>
      </c>
    </row>
    <row r="926" spans="2:25" x14ac:dyDescent="0.25">
      <c r="B926" s="159">
        <v>886</v>
      </c>
      <c r="C926" s="164">
        <v>307002408.80891448</v>
      </c>
      <c r="D926" s="159">
        <v>106793.85455951554</v>
      </c>
      <c r="E926" s="164">
        <v>9384556.5906240921</v>
      </c>
      <c r="F926" s="159">
        <v>0</v>
      </c>
      <c r="I926" s="159">
        <v>886</v>
      </c>
      <c r="J926" s="164">
        <v>307002408.80891448</v>
      </c>
      <c r="K926" s="159">
        <v>106793.85455951554</v>
      </c>
      <c r="L926" s="164">
        <v>9384556.5906240921</v>
      </c>
      <c r="M926" s="159">
        <v>0</v>
      </c>
      <c r="Q926" s="139">
        <v>886</v>
      </c>
      <c r="R926" s="164">
        <f t="shared" si="63"/>
        <v>1437406420.5669839</v>
      </c>
      <c r="S926" s="164">
        <f t="shared" si="64"/>
        <v>-9384556.5906240921</v>
      </c>
      <c r="T926" s="159" t="str">
        <f t="shared" si="65"/>
        <v>TxPost-vaccination</v>
      </c>
      <c r="W926" s="139">
        <v>886</v>
      </c>
      <c r="X926" s="164">
        <f t="shared" si="66"/>
        <v>297617852.21829039</v>
      </c>
      <c r="Y926" s="159">
        <f t="shared" si="66"/>
        <v>106793.85455951554</v>
      </c>
    </row>
    <row r="927" spans="2:25" x14ac:dyDescent="0.25">
      <c r="B927" s="159">
        <v>887</v>
      </c>
      <c r="C927" s="164">
        <v>288982019.43444574</v>
      </c>
      <c r="D927" s="159">
        <v>83764.976664297996</v>
      </c>
      <c r="E927" s="164">
        <v>7860292.5214328151</v>
      </c>
      <c r="F927" s="159">
        <v>0</v>
      </c>
      <c r="I927" s="159">
        <v>887</v>
      </c>
      <c r="J927" s="164">
        <v>288982019.43444574</v>
      </c>
      <c r="K927" s="159">
        <v>83764.976664297996</v>
      </c>
      <c r="L927" s="164">
        <v>7860292.5214328151</v>
      </c>
      <c r="M927" s="159">
        <v>0</v>
      </c>
      <c r="Q927" s="139">
        <v>887</v>
      </c>
      <c r="R927" s="164">
        <f t="shared" si="63"/>
        <v>1079264922.1930385</v>
      </c>
      <c r="S927" s="164">
        <f t="shared" si="64"/>
        <v>-7860292.5214328151</v>
      </c>
      <c r="T927" s="159" t="str">
        <f t="shared" si="65"/>
        <v>TxPost-vaccination</v>
      </c>
      <c r="W927" s="139">
        <v>887</v>
      </c>
      <c r="X927" s="164">
        <f t="shared" si="66"/>
        <v>281121726.91301292</v>
      </c>
      <c r="Y927" s="159">
        <f t="shared" si="66"/>
        <v>83764.976664297996</v>
      </c>
    </row>
    <row r="928" spans="2:25" x14ac:dyDescent="0.25">
      <c r="B928" s="159">
        <v>888</v>
      </c>
      <c r="C928" s="164">
        <v>318856457.34582025</v>
      </c>
      <c r="D928" s="159">
        <v>100673.00635386852</v>
      </c>
      <c r="E928" s="164">
        <v>9484130.5232433025</v>
      </c>
      <c r="F928" s="159">
        <v>0</v>
      </c>
      <c r="I928" s="159">
        <v>888</v>
      </c>
      <c r="J928" s="164">
        <v>318856457.34582025</v>
      </c>
      <c r="K928" s="159">
        <v>100673.00635386852</v>
      </c>
      <c r="L928" s="164">
        <v>9484130.5232433025</v>
      </c>
      <c r="M928" s="159">
        <v>0</v>
      </c>
      <c r="Q928" s="139">
        <v>888</v>
      </c>
      <c r="R928" s="164">
        <f t="shared" si="63"/>
        <v>1325572258.9679551</v>
      </c>
      <c r="S928" s="164">
        <f t="shared" si="64"/>
        <v>-9484130.5232433025</v>
      </c>
      <c r="T928" s="159" t="str">
        <f t="shared" si="65"/>
        <v>TxPost-vaccination</v>
      </c>
      <c r="W928" s="139">
        <v>888</v>
      </c>
      <c r="X928" s="164">
        <f t="shared" si="66"/>
        <v>309372326.82257694</v>
      </c>
      <c r="Y928" s="159">
        <f t="shared" si="66"/>
        <v>100673.00635386852</v>
      </c>
    </row>
    <row r="929" spans="2:25" x14ac:dyDescent="0.25">
      <c r="B929" s="159">
        <v>889</v>
      </c>
      <c r="C929" s="164">
        <v>313715863.87613082</v>
      </c>
      <c r="D929" s="159">
        <v>122823.76973756078</v>
      </c>
      <c r="E929" s="164">
        <v>9874654.9648451637</v>
      </c>
      <c r="F929" s="159">
        <v>0</v>
      </c>
      <c r="I929" s="159">
        <v>889</v>
      </c>
      <c r="J929" s="164">
        <v>313715863.87613082</v>
      </c>
      <c r="K929" s="159">
        <v>122823.76973756078</v>
      </c>
      <c r="L929" s="164">
        <v>9874654.9648451637</v>
      </c>
      <c r="M929" s="159">
        <v>0</v>
      </c>
      <c r="Q929" s="139">
        <v>889</v>
      </c>
      <c r="R929" s="164">
        <f t="shared" si="63"/>
        <v>1692531305.2250688</v>
      </c>
      <c r="S929" s="164">
        <f t="shared" si="64"/>
        <v>-9874654.9648451637</v>
      </c>
      <c r="T929" s="159" t="str">
        <f t="shared" si="65"/>
        <v>TxPost-vaccination</v>
      </c>
      <c r="W929" s="139">
        <v>889</v>
      </c>
      <c r="X929" s="164">
        <f t="shared" si="66"/>
        <v>303841208.91128564</v>
      </c>
      <c r="Y929" s="159">
        <f t="shared" si="66"/>
        <v>122823.76973756078</v>
      </c>
    </row>
    <row r="930" spans="2:25" x14ac:dyDescent="0.25">
      <c r="B930" s="159">
        <v>890</v>
      </c>
      <c r="C930" s="164">
        <v>330804108.1127215</v>
      </c>
      <c r="D930" s="159">
        <v>110705.03479109438</v>
      </c>
      <c r="E930" s="164">
        <v>8909957.6857871749</v>
      </c>
      <c r="F930" s="159">
        <v>0</v>
      </c>
      <c r="I930" s="159">
        <v>890</v>
      </c>
      <c r="J930" s="164">
        <v>330804108.1127215</v>
      </c>
      <c r="K930" s="159">
        <v>110705.03479109438</v>
      </c>
      <c r="L930" s="164">
        <v>8909957.6857871749</v>
      </c>
      <c r="M930" s="159">
        <v>0</v>
      </c>
      <c r="Q930" s="139">
        <v>890</v>
      </c>
      <c r="R930" s="164">
        <f t="shared" si="63"/>
        <v>1477491331.1939416</v>
      </c>
      <c r="S930" s="164">
        <f t="shared" si="64"/>
        <v>-8909957.6857871749</v>
      </c>
      <c r="T930" s="159" t="str">
        <f t="shared" si="65"/>
        <v>TxPost-vaccination</v>
      </c>
      <c r="W930" s="139">
        <v>890</v>
      </c>
      <c r="X930" s="164">
        <f t="shared" si="66"/>
        <v>321894150.4269343</v>
      </c>
      <c r="Y930" s="159">
        <f t="shared" si="66"/>
        <v>110705.03479109438</v>
      </c>
    </row>
    <row r="931" spans="2:25" x14ac:dyDescent="0.25">
      <c r="B931" s="159">
        <v>891</v>
      </c>
      <c r="C931" s="164">
        <v>308470927.68426996</v>
      </c>
      <c r="D931" s="159">
        <v>74976.083940706376</v>
      </c>
      <c r="E931" s="164">
        <v>6940598.2130366117</v>
      </c>
      <c r="F931" s="159">
        <v>0</v>
      </c>
      <c r="I931" s="159">
        <v>891</v>
      </c>
      <c r="J931" s="164">
        <v>308470927.68426996</v>
      </c>
      <c r="K931" s="159">
        <v>74976.083940706376</v>
      </c>
      <c r="L931" s="164">
        <v>6940598.2130366117</v>
      </c>
      <c r="M931" s="159">
        <v>0</v>
      </c>
      <c r="Q931" s="139">
        <v>891</v>
      </c>
      <c r="R931" s="164">
        <f t="shared" si="63"/>
        <v>916215112.14125991</v>
      </c>
      <c r="S931" s="164">
        <f t="shared" si="64"/>
        <v>-6940598.2130366117</v>
      </c>
      <c r="T931" s="159" t="str">
        <f t="shared" si="65"/>
        <v>TxPost-vaccination</v>
      </c>
      <c r="W931" s="139">
        <v>891</v>
      </c>
      <c r="X931" s="164">
        <f t="shared" si="66"/>
        <v>301530329.47123337</v>
      </c>
      <c r="Y931" s="159">
        <f t="shared" si="66"/>
        <v>74976.083940706376</v>
      </c>
    </row>
    <row r="932" spans="2:25" x14ac:dyDescent="0.25">
      <c r="B932" s="159">
        <v>892</v>
      </c>
      <c r="C932" s="164">
        <v>294109173.7996586</v>
      </c>
      <c r="D932" s="159">
        <v>116594.72614409603</v>
      </c>
      <c r="E932" s="164">
        <v>9823508.8427880313</v>
      </c>
      <c r="F932" s="159">
        <v>0</v>
      </c>
      <c r="I932" s="159">
        <v>892</v>
      </c>
      <c r="J932" s="164">
        <v>294109173.7996586</v>
      </c>
      <c r="K932" s="159">
        <v>116594.72614409603</v>
      </c>
      <c r="L932" s="164">
        <v>9823508.8427880313</v>
      </c>
      <c r="M932" s="159">
        <v>0</v>
      </c>
      <c r="Q932" s="139">
        <v>892</v>
      </c>
      <c r="R932" s="164">
        <f t="shared" si="63"/>
        <v>1610390580.2669826</v>
      </c>
      <c r="S932" s="164">
        <f t="shared" si="64"/>
        <v>-9823508.8427880313</v>
      </c>
      <c r="T932" s="159" t="str">
        <f t="shared" si="65"/>
        <v>TxPost-vaccination</v>
      </c>
      <c r="W932" s="139">
        <v>892</v>
      </c>
      <c r="X932" s="164">
        <f t="shared" si="66"/>
        <v>284285664.95687056</v>
      </c>
      <c r="Y932" s="159">
        <f t="shared" si="66"/>
        <v>116594.72614409603</v>
      </c>
    </row>
    <row r="933" spans="2:25" x14ac:dyDescent="0.25">
      <c r="B933" s="159">
        <v>893</v>
      </c>
      <c r="C933" s="164">
        <v>307785555.90541571</v>
      </c>
      <c r="D933" s="159">
        <v>96608.621650174522</v>
      </c>
      <c r="E933" s="164">
        <v>8407703.2317599356</v>
      </c>
      <c r="F933" s="159">
        <v>0</v>
      </c>
      <c r="I933" s="159">
        <v>893</v>
      </c>
      <c r="J933" s="164">
        <v>307785555.90541571</v>
      </c>
      <c r="K933" s="159">
        <v>96608.621650174522</v>
      </c>
      <c r="L933" s="164">
        <v>8407703.2317599356</v>
      </c>
      <c r="M933" s="159">
        <v>0</v>
      </c>
      <c r="Q933" s="139">
        <v>893</v>
      </c>
      <c r="R933" s="164">
        <f t="shared" si="63"/>
        <v>1270254054.1030619</v>
      </c>
      <c r="S933" s="164">
        <f t="shared" si="64"/>
        <v>-8407703.2317599356</v>
      </c>
      <c r="T933" s="159" t="str">
        <f t="shared" si="65"/>
        <v>TxPost-vaccination</v>
      </c>
      <c r="W933" s="139">
        <v>893</v>
      </c>
      <c r="X933" s="164">
        <f t="shared" si="66"/>
        <v>299377852.67365575</v>
      </c>
      <c r="Y933" s="159">
        <f t="shared" si="66"/>
        <v>96608.621650174522</v>
      </c>
    </row>
    <row r="934" spans="2:25" x14ac:dyDescent="0.25">
      <c r="B934" s="159">
        <v>894</v>
      </c>
      <c r="C934" s="164">
        <v>328347460.29378647</v>
      </c>
      <c r="D934" s="159">
        <v>112858.56367638124</v>
      </c>
      <c r="E934" s="164">
        <v>8808003.8750327416</v>
      </c>
      <c r="F934" s="159">
        <v>0</v>
      </c>
      <c r="I934" s="159">
        <v>894</v>
      </c>
      <c r="J934" s="164">
        <v>328347460.29378647</v>
      </c>
      <c r="K934" s="159">
        <v>112858.56367638124</v>
      </c>
      <c r="L934" s="164">
        <v>8808003.8750327416</v>
      </c>
      <c r="M934" s="159">
        <v>0</v>
      </c>
      <c r="Q934" s="139">
        <v>894</v>
      </c>
      <c r="R934" s="164">
        <f t="shared" si="63"/>
        <v>1515124486.2876174</v>
      </c>
      <c r="S934" s="164">
        <f t="shared" si="64"/>
        <v>-8808003.8750327416</v>
      </c>
      <c r="T934" s="159" t="str">
        <f t="shared" si="65"/>
        <v>TxPost-vaccination</v>
      </c>
      <c r="W934" s="139">
        <v>894</v>
      </c>
      <c r="X934" s="164">
        <f t="shared" si="66"/>
        <v>319539456.41875374</v>
      </c>
      <c r="Y934" s="159">
        <f t="shared" si="66"/>
        <v>112858.56367638124</v>
      </c>
    </row>
    <row r="935" spans="2:25" x14ac:dyDescent="0.25">
      <c r="B935" s="159">
        <v>895</v>
      </c>
      <c r="C935" s="164">
        <v>296046620.33171701</v>
      </c>
      <c r="D935" s="159">
        <v>96113.497414257843</v>
      </c>
      <c r="E935" s="164">
        <v>8599817.5829384848</v>
      </c>
      <c r="F935" s="159">
        <v>0</v>
      </c>
      <c r="I935" s="159">
        <v>895</v>
      </c>
      <c r="J935" s="164">
        <v>296046620.33171701</v>
      </c>
      <c r="K935" s="159">
        <v>96113.497414257843</v>
      </c>
      <c r="L935" s="164">
        <v>8599817.5829384848</v>
      </c>
      <c r="M935" s="159">
        <v>0</v>
      </c>
      <c r="Q935" s="139">
        <v>895</v>
      </c>
      <c r="R935" s="164">
        <f t="shared" si="63"/>
        <v>1273905454.1876309</v>
      </c>
      <c r="S935" s="164">
        <f t="shared" si="64"/>
        <v>-8599817.5829384848</v>
      </c>
      <c r="T935" s="159" t="str">
        <f t="shared" si="65"/>
        <v>TxPost-vaccination</v>
      </c>
      <c r="W935" s="139">
        <v>895</v>
      </c>
      <c r="X935" s="164">
        <f t="shared" si="66"/>
        <v>287446802.74877852</v>
      </c>
      <c r="Y935" s="159">
        <f t="shared" si="66"/>
        <v>96113.497414257843</v>
      </c>
    </row>
    <row r="936" spans="2:25" x14ac:dyDescent="0.25">
      <c r="B936" s="159">
        <v>896</v>
      </c>
      <c r="C936" s="164">
        <v>315031843.01367009</v>
      </c>
      <c r="D936" s="159">
        <v>72516.426588471266</v>
      </c>
      <c r="E936" s="164">
        <v>7666406.0892237797</v>
      </c>
      <c r="F936" s="159">
        <v>0</v>
      </c>
      <c r="I936" s="159">
        <v>896</v>
      </c>
      <c r="J936" s="164">
        <v>315031843.01367009</v>
      </c>
      <c r="K936" s="159">
        <v>72516.426588471266</v>
      </c>
      <c r="L936" s="164">
        <v>7666406.0892237797</v>
      </c>
      <c r="M936" s="159">
        <v>0</v>
      </c>
      <c r="Q936" s="139">
        <v>896</v>
      </c>
      <c r="R936" s="164">
        <f t="shared" si="63"/>
        <v>869477278.20380342</v>
      </c>
      <c r="S936" s="164">
        <f t="shared" si="64"/>
        <v>-7666406.0892237797</v>
      </c>
      <c r="T936" s="159" t="str">
        <f t="shared" si="65"/>
        <v>TxPost-vaccination</v>
      </c>
      <c r="W936" s="139">
        <v>896</v>
      </c>
      <c r="X936" s="164">
        <f t="shared" si="66"/>
        <v>307365436.92444628</v>
      </c>
      <c r="Y936" s="159">
        <f t="shared" si="66"/>
        <v>72516.426588471266</v>
      </c>
    </row>
    <row r="937" spans="2:25" x14ac:dyDescent="0.25">
      <c r="B937" s="159">
        <v>897</v>
      </c>
      <c r="C937" s="164">
        <v>305523094.39158684</v>
      </c>
      <c r="D937" s="159">
        <v>62340.898428152279</v>
      </c>
      <c r="E937" s="164">
        <v>6787522.9344290635</v>
      </c>
      <c r="F937" s="159">
        <v>0</v>
      </c>
      <c r="I937" s="159">
        <v>897</v>
      </c>
      <c r="J937" s="164">
        <v>305523094.39158684</v>
      </c>
      <c r="K937" s="159">
        <v>62340.898428152279</v>
      </c>
      <c r="L937" s="164">
        <v>6787522.9344290635</v>
      </c>
      <c r="M937" s="159">
        <v>0</v>
      </c>
      <c r="Q937" s="139">
        <v>897</v>
      </c>
      <c r="R937" s="164">
        <f t="shared" ref="R937:R1000" si="67">K937*threshold-J937</f>
        <v>712775328.28300929</v>
      </c>
      <c r="S937" s="164">
        <f t="shared" ref="S937:S1000" si="68">M937*threshold-L937</f>
        <v>-6787522.9344290635</v>
      </c>
      <c r="T937" s="159" t="str">
        <f t="shared" si="65"/>
        <v>TxPost-vaccination</v>
      </c>
      <c r="W937" s="139">
        <v>897</v>
      </c>
      <c r="X937" s="164">
        <f t="shared" si="66"/>
        <v>298735571.45715779</v>
      </c>
      <c r="Y937" s="159">
        <f t="shared" si="66"/>
        <v>62340.898428152279</v>
      </c>
    </row>
    <row r="938" spans="2:25" x14ac:dyDescent="0.25">
      <c r="B938" s="159">
        <v>898</v>
      </c>
      <c r="C938" s="164">
        <v>309216223.89140761</v>
      </c>
      <c r="D938" s="159">
        <v>108209.66639664758</v>
      </c>
      <c r="E938" s="164">
        <v>8499979.4079362955</v>
      </c>
      <c r="F938" s="159">
        <v>0</v>
      </c>
      <c r="I938" s="159">
        <v>898</v>
      </c>
      <c r="J938" s="164">
        <v>309216223.89140761</v>
      </c>
      <c r="K938" s="159">
        <v>108209.66639664758</v>
      </c>
      <c r="L938" s="164">
        <v>8499979.4079362955</v>
      </c>
      <c r="M938" s="159">
        <v>0</v>
      </c>
      <c r="Q938" s="139">
        <v>898</v>
      </c>
      <c r="R938" s="164">
        <f t="shared" si="67"/>
        <v>1458318979.9337964</v>
      </c>
      <c r="S938" s="164">
        <f t="shared" si="68"/>
        <v>-8499979.4079362955</v>
      </c>
      <c r="T938" s="159" t="str">
        <f t="shared" ref="T938:T1001" si="69">IF(R938&gt;S938,"TxPost-vaccination",IF(S938&gt;R938,"TxPre-vaccination","either"))</f>
        <v>TxPost-vaccination</v>
      </c>
      <c r="W938" s="139">
        <v>898</v>
      </c>
      <c r="X938" s="164">
        <f t="shared" ref="X938:Y1001" si="70">J938-L938</f>
        <v>300716244.48347133</v>
      </c>
      <c r="Y938" s="159">
        <f t="shared" si="70"/>
        <v>108209.66639664758</v>
      </c>
    </row>
    <row r="939" spans="2:25" x14ac:dyDescent="0.25">
      <c r="B939" s="159">
        <v>899</v>
      </c>
      <c r="C939" s="164">
        <v>290984713.64869523</v>
      </c>
      <c r="D939" s="159">
        <v>101704.73950310521</v>
      </c>
      <c r="E939" s="164">
        <v>9218226.1365076527</v>
      </c>
      <c r="F939" s="159">
        <v>0</v>
      </c>
      <c r="I939" s="159">
        <v>899</v>
      </c>
      <c r="J939" s="164">
        <v>290984713.64869523</v>
      </c>
      <c r="K939" s="159">
        <v>101704.73950310521</v>
      </c>
      <c r="L939" s="164">
        <v>9218226.1365076527</v>
      </c>
      <c r="M939" s="159">
        <v>0</v>
      </c>
      <c r="Q939" s="139">
        <v>899</v>
      </c>
      <c r="R939" s="164">
        <f t="shared" si="67"/>
        <v>1370296699.1288574</v>
      </c>
      <c r="S939" s="164">
        <f t="shared" si="68"/>
        <v>-9218226.1365076527</v>
      </c>
      <c r="T939" s="159" t="str">
        <f t="shared" si="69"/>
        <v>TxPost-vaccination</v>
      </c>
      <c r="W939" s="139">
        <v>899</v>
      </c>
      <c r="X939" s="164">
        <f t="shared" si="70"/>
        <v>281766487.5121876</v>
      </c>
      <c r="Y939" s="159">
        <f t="shared" si="70"/>
        <v>101704.73950310521</v>
      </c>
    </row>
    <row r="940" spans="2:25" x14ac:dyDescent="0.25">
      <c r="B940" s="159">
        <v>900</v>
      </c>
      <c r="C940" s="164">
        <v>325042298.69553906</v>
      </c>
      <c r="D940" s="159">
        <v>105017.28738151916</v>
      </c>
      <c r="E940" s="164">
        <v>8549373.9270535856</v>
      </c>
      <c r="F940" s="159">
        <v>0</v>
      </c>
      <c r="I940" s="159">
        <v>900</v>
      </c>
      <c r="J940" s="164">
        <v>325042298.69553906</v>
      </c>
      <c r="K940" s="159">
        <v>105017.28738151916</v>
      </c>
      <c r="L940" s="164">
        <v>8549373.9270535856</v>
      </c>
      <c r="M940" s="159">
        <v>0</v>
      </c>
      <c r="Q940" s="139">
        <v>900</v>
      </c>
      <c r="R940" s="164">
        <f t="shared" si="67"/>
        <v>1390347450.0969422</v>
      </c>
      <c r="S940" s="164">
        <f t="shared" si="68"/>
        <v>-8549373.9270535856</v>
      </c>
      <c r="T940" s="159" t="str">
        <f t="shared" si="69"/>
        <v>TxPost-vaccination</v>
      </c>
      <c r="W940" s="139">
        <v>900</v>
      </c>
      <c r="X940" s="164">
        <f t="shared" si="70"/>
        <v>316492924.76848549</v>
      </c>
      <c r="Y940" s="159">
        <f t="shared" si="70"/>
        <v>105017.28738151916</v>
      </c>
    </row>
    <row r="941" spans="2:25" x14ac:dyDescent="0.25">
      <c r="B941" s="159">
        <v>901</v>
      </c>
      <c r="C941" s="164">
        <v>287558369.21667457</v>
      </c>
      <c r="D941" s="159">
        <v>77292.118601789727</v>
      </c>
      <c r="E941" s="164">
        <v>6629081.1976611223</v>
      </c>
      <c r="F941" s="159">
        <v>0</v>
      </c>
      <c r="I941" s="159">
        <v>901</v>
      </c>
      <c r="J941" s="164">
        <v>287558369.21667457</v>
      </c>
      <c r="K941" s="159">
        <v>77292.118601789727</v>
      </c>
      <c r="L941" s="164">
        <v>6629081.1976611223</v>
      </c>
      <c r="M941" s="159">
        <v>0</v>
      </c>
      <c r="Q941" s="139">
        <v>901</v>
      </c>
      <c r="R941" s="164">
        <f t="shared" si="67"/>
        <v>974958605.06288695</v>
      </c>
      <c r="S941" s="164">
        <f t="shared" si="68"/>
        <v>-6629081.1976611223</v>
      </c>
      <c r="T941" s="159" t="str">
        <f t="shared" si="69"/>
        <v>TxPost-vaccination</v>
      </c>
      <c r="W941" s="139">
        <v>901</v>
      </c>
      <c r="X941" s="164">
        <f t="shared" si="70"/>
        <v>280929288.01901346</v>
      </c>
      <c r="Y941" s="159">
        <f t="shared" si="70"/>
        <v>77292.118601789727</v>
      </c>
    </row>
    <row r="942" spans="2:25" x14ac:dyDescent="0.25">
      <c r="B942" s="159">
        <v>902</v>
      </c>
      <c r="C942" s="164">
        <v>281511078.39346141</v>
      </c>
      <c r="D942" s="159">
        <v>90013.601331556885</v>
      </c>
      <c r="E942" s="164">
        <v>8150305.0724806087</v>
      </c>
      <c r="F942" s="159">
        <v>0</v>
      </c>
      <c r="I942" s="159">
        <v>902</v>
      </c>
      <c r="J942" s="164">
        <v>281511078.39346141</v>
      </c>
      <c r="K942" s="159">
        <v>90013.601331556885</v>
      </c>
      <c r="L942" s="164">
        <v>8150305.0724806087</v>
      </c>
      <c r="M942" s="159">
        <v>0</v>
      </c>
      <c r="Q942" s="139">
        <v>902</v>
      </c>
      <c r="R942" s="164">
        <f t="shared" si="67"/>
        <v>1188803122.4970345</v>
      </c>
      <c r="S942" s="164">
        <f t="shared" si="68"/>
        <v>-8150305.0724806087</v>
      </c>
      <c r="T942" s="159" t="str">
        <f t="shared" si="69"/>
        <v>TxPost-vaccination</v>
      </c>
      <c r="W942" s="139">
        <v>902</v>
      </c>
      <c r="X942" s="164">
        <f t="shared" si="70"/>
        <v>273360773.32098079</v>
      </c>
      <c r="Y942" s="159">
        <f t="shared" si="70"/>
        <v>90013.601331556885</v>
      </c>
    </row>
    <row r="943" spans="2:25" x14ac:dyDescent="0.25">
      <c r="B943" s="159">
        <v>903</v>
      </c>
      <c r="C943" s="164">
        <v>298184989.81436062</v>
      </c>
      <c r="D943" s="159">
        <v>64186.139328362078</v>
      </c>
      <c r="E943" s="164">
        <v>5995628.2787972046</v>
      </c>
      <c r="F943" s="159">
        <v>0</v>
      </c>
      <c r="I943" s="159">
        <v>903</v>
      </c>
      <c r="J943" s="164">
        <v>298184989.81436062</v>
      </c>
      <c r="K943" s="159">
        <v>64186.139328362078</v>
      </c>
      <c r="L943" s="164">
        <v>5995628.2787972046</v>
      </c>
      <c r="M943" s="159">
        <v>0</v>
      </c>
      <c r="Q943" s="139">
        <v>903</v>
      </c>
      <c r="R943" s="164">
        <f t="shared" si="67"/>
        <v>750254254.46395099</v>
      </c>
      <c r="S943" s="164">
        <f t="shared" si="68"/>
        <v>-5995628.2787972046</v>
      </c>
      <c r="T943" s="159" t="str">
        <f t="shared" si="69"/>
        <v>TxPost-vaccination</v>
      </c>
      <c r="W943" s="139">
        <v>903</v>
      </c>
      <c r="X943" s="164">
        <f t="shared" si="70"/>
        <v>292189361.53556341</v>
      </c>
      <c r="Y943" s="159">
        <f t="shared" si="70"/>
        <v>64186.139328362078</v>
      </c>
    </row>
    <row r="944" spans="2:25" x14ac:dyDescent="0.25">
      <c r="B944" s="159">
        <v>904</v>
      </c>
      <c r="C944" s="164">
        <v>369867232.6675089</v>
      </c>
      <c r="D944" s="159">
        <v>94129.693741146562</v>
      </c>
      <c r="E944" s="164">
        <v>8200328.145097414</v>
      </c>
      <c r="F944" s="159">
        <v>0</v>
      </c>
      <c r="I944" s="159">
        <v>904</v>
      </c>
      <c r="J944" s="164">
        <v>369867232.6675089</v>
      </c>
      <c r="K944" s="159">
        <v>94129.693741146562</v>
      </c>
      <c r="L944" s="164">
        <v>8200328.145097414</v>
      </c>
      <c r="M944" s="159">
        <v>0</v>
      </c>
      <c r="Q944" s="139">
        <v>904</v>
      </c>
      <c r="R944" s="164">
        <f t="shared" si="67"/>
        <v>1167680686.5996742</v>
      </c>
      <c r="S944" s="164">
        <f t="shared" si="68"/>
        <v>-8200328.145097414</v>
      </c>
      <c r="T944" s="159" t="str">
        <f t="shared" si="69"/>
        <v>TxPost-vaccination</v>
      </c>
      <c r="W944" s="139">
        <v>904</v>
      </c>
      <c r="X944" s="164">
        <f t="shared" si="70"/>
        <v>361666904.52241147</v>
      </c>
      <c r="Y944" s="159">
        <f t="shared" si="70"/>
        <v>94129.693741146562</v>
      </c>
    </row>
    <row r="945" spans="2:25" x14ac:dyDescent="0.25">
      <c r="B945" s="159">
        <v>905</v>
      </c>
      <c r="C945" s="164">
        <v>320349188.92079121</v>
      </c>
      <c r="D945" s="159">
        <v>92169.968021437046</v>
      </c>
      <c r="E945" s="164">
        <v>7789216.0038286643</v>
      </c>
      <c r="F945" s="159">
        <v>0</v>
      </c>
      <c r="I945" s="159">
        <v>905</v>
      </c>
      <c r="J945" s="164">
        <v>320349188.92079121</v>
      </c>
      <c r="K945" s="159">
        <v>92169.968021437046</v>
      </c>
      <c r="L945" s="164">
        <v>7789216.0038286643</v>
      </c>
      <c r="M945" s="159">
        <v>0</v>
      </c>
      <c r="Q945" s="139">
        <v>905</v>
      </c>
      <c r="R945" s="164">
        <f t="shared" si="67"/>
        <v>1185187872.9546759</v>
      </c>
      <c r="S945" s="164">
        <f t="shared" si="68"/>
        <v>-7789216.0038286643</v>
      </c>
      <c r="T945" s="159" t="str">
        <f t="shared" si="69"/>
        <v>TxPost-vaccination</v>
      </c>
      <c r="W945" s="139">
        <v>905</v>
      </c>
      <c r="X945" s="164">
        <f t="shared" si="70"/>
        <v>312559972.91696256</v>
      </c>
      <c r="Y945" s="159">
        <f t="shared" si="70"/>
        <v>92169.968021437046</v>
      </c>
    </row>
    <row r="946" spans="2:25" x14ac:dyDescent="0.25">
      <c r="B946" s="159">
        <v>906</v>
      </c>
      <c r="C946" s="164">
        <v>323538073.71912408</v>
      </c>
      <c r="D946" s="159">
        <v>108774.80030669519</v>
      </c>
      <c r="E946" s="164">
        <v>8435269.0265361331</v>
      </c>
      <c r="F946" s="159">
        <v>0</v>
      </c>
      <c r="I946" s="159">
        <v>906</v>
      </c>
      <c r="J946" s="164">
        <v>323538073.71912408</v>
      </c>
      <c r="K946" s="159">
        <v>108774.80030669519</v>
      </c>
      <c r="L946" s="164">
        <v>8435269.0265361331</v>
      </c>
      <c r="M946" s="159">
        <v>0</v>
      </c>
      <c r="Q946" s="139">
        <v>906</v>
      </c>
      <c r="R946" s="164">
        <f t="shared" si="67"/>
        <v>1453228228.5296075</v>
      </c>
      <c r="S946" s="164">
        <f t="shared" si="68"/>
        <v>-8435269.0265361331</v>
      </c>
      <c r="T946" s="159" t="str">
        <f t="shared" si="69"/>
        <v>TxPost-vaccination</v>
      </c>
      <c r="W946" s="139">
        <v>906</v>
      </c>
      <c r="X946" s="164">
        <f t="shared" si="70"/>
        <v>315102804.69258797</v>
      </c>
      <c r="Y946" s="159">
        <f t="shared" si="70"/>
        <v>108774.80030669519</v>
      </c>
    </row>
    <row r="947" spans="2:25" x14ac:dyDescent="0.25">
      <c r="B947" s="159">
        <v>907</v>
      </c>
      <c r="C947" s="164">
        <v>326967205.271227</v>
      </c>
      <c r="D947" s="159">
        <v>109133.58522361936</v>
      </c>
      <c r="E947" s="164">
        <v>9525970.9569312725</v>
      </c>
      <c r="F947" s="159">
        <v>0</v>
      </c>
      <c r="I947" s="159">
        <v>907</v>
      </c>
      <c r="J947" s="164">
        <v>326967205.271227</v>
      </c>
      <c r="K947" s="159">
        <v>109133.58522361936</v>
      </c>
      <c r="L947" s="164">
        <v>9525970.9569312725</v>
      </c>
      <c r="M947" s="159">
        <v>0</v>
      </c>
      <c r="Q947" s="139">
        <v>907</v>
      </c>
      <c r="R947" s="164">
        <f t="shared" si="67"/>
        <v>1455659617.5056834</v>
      </c>
      <c r="S947" s="164">
        <f t="shared" si="68"/>
        <v>-9525970.9569312725</v>
      </c>
      <c r="T947" s="159" t="str">
        <f t="shared" si="69"/>
        <v>TxPost-vaccination</v>
      </c>
      <c r="W947" s="139">
        <v>907</v>
      </c>
      <c r="X947" s="164">
        <f t="shared" si="70"/>
        <v>317441234.31429571</v>
      </c>
      <c r="Y947" s="159">
        <f t="shared" si="70"/>
        <v>109133.58522361936</v>
      </c>
    </row>
    <row r="948" spans="2:25" x14ac:dyDescent="0.25">
      <c r="B948" s="159">
        <v>908</v>
      </c>
      <c r="C948" s="164">
        <v>296874963.25592089</v>
      </c>
      <c r="D948" s="159">
        <v>109116.81212745723</v>
      </c>
      <c r="E948" s="164">
        <v>9182954.5425869953</v>
      </c>
      <c r="F948" s="159">
        <v>0</v>
      </c>
      <c r="I948" s="159">
        <v>908</v>
      </c>
      <c r="J948" s="164">
        <v>296874963.25592089</v>
      </c>
      <c r="K948" s="159">
        <v>109116.81212745723</v>
      </c>
      <c r="L948" s="164">
        <v>9182954.5425869953</v>
      </c>
      <c r="M948" s="159">
        <v>0</v>
      </c>
      <c r="Q948" s="139">
        <v>908</v>
      </c>
      <c r="R948" s="164">
        <f t="shared" si="67"/>
        <v>1485477881.7985649</v>
      </c>
      <c r="S948" s="164">
        <f t="shared" si="68"/>
        <v>-9182954.5425869953</v>
      </c>
      <c r="T948" s="159" t="str">
        <f t="shared" si="69"/>
        <v>TxPost-vaccination</v>
      </c>
      <c r="W948" s="139">
        <v>908</v>
      </c>
      <c r="X948" s="164">
        <f t="shared" si="70"/>
        <v>287692008.7133339</v>
      </c>
      <c r="Y948" s="159">
        <f t="shared" si="70"/>
        <v>109116.81212745723</v>
      </c>
    </row>
    <row r="949" spans="2:25" x14ac:dyDescent="0.25">
      <c r="B949" s="159">
        <v>909</v>
      </c>
      <c r="C949" s="164">
        <v>328689743.83822685</v>
      </c>
      <c r="D949" s="159">
        <v>94740.604168212289</v>
      </c>
      <c r="E949" s="164">
        <v>7822759.782293492</v>
      </c>
      <c r="F949" s="159">
        <v>0</v>
      </c>
      <c r="I949" s="159">
        <v>909</v>
      </c>
      <c r="J949" s="164">
        <v>328689743.83822685</v>
      </c>
      <c r="K949" s="159">
        <v>94740.604168212289</v>
      </c>
      <c r="L949" s="164">
        <v>7822759.782293492</v>
      </c>
      <c r="M949" s="159">
        <v>0</v>
      </c>
      <c r="Q949" s="139">
        <v>909</v>
      </c>
      <c r="R949" s="164">
        <f t="shared" si="67"/>
        <v>1218837003.773778</v>
      </c>
      <c r="S949" s="164">
        <f t="shared" si="68"/>
        <v>-7822759.782293492</v>
      </c>
      <c r="T949" s="159" t="str">
        <f t="shared" si="69"/>
        <v>TxPost-vaccination</v>
      </c>
      <c r="W949" s="139">
        <v>909</v>
      </c>
      <c r="X949" s="164">
        <f t="shared" si="70"/>
        <v>320866984.05593336</v>
      </c>
      <c r="Y949" s="159">
        <f t="shared" si="70"/>
        <v>94740.604168212289</v>
      </c>
    </row>
    <row r="950" spans="2:25" x14ac:dyDescent="0.25">
      <c r="B950" s="159">
        <v>910</v>
      </c>
      <c r="C950" s="164">
        <v>274314343.50293714</v>
      </c>
      <c r="D950" s="159">
        <v>80077.961003708362</v>
      </c>
      <c r="E950" s="164">
        <v>7626514.6347828321</v>
      </c>
      <c r="F950" s="159">
        <v>0</v>
      </c>
      <c r="I950" s="159">
        <v>910</v>
      </c>
      <c r="J950" s="164">
        <v>274314343.50293714</v>
      </c>
      <c r="K950" s="159">
        <v>80077.961003708362</v>
      </c>
      <c r="L950" s="164">
        <v>7626514.6347828321</v>
      </c>
      <c r="M950" s="159">
        <v>0</v>
      </c>
      <c r="Q950" s="139">
        <v>910</v>
      </c>
      <c r="R950" s="164">
        <f t="shared" si="67"/>
        <v>1033707572.0787325</v>
      </c>
      <c r="S950" s="164">
        <f t="shared" si="68"/>
        <v>-7626514.6347828321</v>
      </c>
      <c r="T950" s="159" t="str">
        <f t="shared" si="69"/>
        <v>TxPost-vaccination</v>
      </c>
      <c r="W950" s="139">
        <v>910</v>
      </c>
      <c r="X950" s="164">
        <f t="shared" si="70"/>
        <v>266687828.86815432</v>
      </c>
      <c r="Y950" s="159">
        <f t="shared" si="70"/>
        <v>80077.961003708362</v>
      </c>
    </row>
    <row r="951" spans="2:25" x14ac:dyDescent="0.25">
      <c r="B951" s="159">
        <v>911</v>
      </c>
      <c r="C951" s="164">
        <v>306552733.46800959</v>
      </c>
      <c r="D951" s="159">
        <v>124296.91008997185</v>
      </c>
      <c r="E951" s="164">
        <v>9664743.8197465707</v>
      </c>
      <c r="F951" s="159">
        <v>0</v>
      </c>
      <c r="I951" s="159">
        <v>911</v>
      </c>
      <c r="J951" s="164">
        <v>306552733.46800959</v>
      </c>
      <c r="K951" s="159">
        <v>124296.91008997185</v>
      </c>
      <c r="L951" s="164">
        <v>9664743.8197465707</v>
      </c>
      <c r="M951" s="159">
        <v>0</v>
      </c>
      <c r="Q951" s="139">
        <v>911</v>
      </c>
      <c r="R951" s="164">
        <f t="shared" si="67"/>
        <v>1723757234.454855</v>
      </c>
      <c r="S951" s="164">
        <f t="shared" si="68"/>
        <v>-9664743.8197465707</v>
      </c>
      <c r="T951" s="159" t="str">
        <f t="shared" si="69"/>
        <v>TxPost-vaccination</v>
      </c>
      <c r="W951" s="139">
        <v>911</v>
      </c>
      <c r="X951" s="164">
        <f t="shared" si="70"/>
        <v>296887989.64826304</v>
      </c>
      <c r="Y951" s="159">
        <f t="shared" si="70"/>
        <v>124296.91008997185</v>
      </c>
    </row>
    <row r="952" spans="2:25" x14ac:dyDescent="0.25">
      <c r="B952" s="159">
        <v>912</v>
      </c>
      <c r="C952" s="164">
        <v>280724758.67547703</v>
      </c>
      <c r="D952" s="159">
        <v>48302.562225555994</v>
      </c>
      <c r="E952" s="164">
        <v>5285945.7283646138</v>
      </c>
      <c r="F952" s="159">
        <v>0</v>
      </c>
      <c r="I952" s="159">
        <v>912</v>
      </c>
      <c r="J952" s="164">
        <v>280724758.67547703</v>
      </c>
      <c r="K952" s="159">
        <v>48302.562225555994</v>
      </c>
      <c r="L952" s="164">
        <v>5285945.7283646138</v>
      </c>
      <c r="M952" s="159">
        <v>0</v>
      </c>
      <c r="Q952" s="139">
        <v>912</v>
      </c>
      <c r="R952" s="164">
        <f t="shared" si="67"/>
        <v>508266484.0816741</v>
      </c>
      <c r="S952" s="164">
        <f t="shared" si="68"/>
        <v>-5285945.7283646138</v>
      </c>
      <c r="T952" s="159" t="str">
        <f t="shared" si="69"/>
        <v>TxPost-vaccination</v>
      </c>
      <c r="W952" s="139">
        <v>912</v>
      </c>
      <c r="X952" s="164">
        <f t="shared" si="70"/>
        <v>275438812.94711244</v>
      </c>
      <c r="Y952" s="159">
        <f t="shared" si="70"/>
        <v>48302.562225555994</v>
      </c>
    </row>
    <row r="953" spans="2:25" x14ac:dyDescent="0.25">
      <c r="B953" s="159">
        <v>913</v>
      </c>
      <c r="C953" s="164">
        <v>337007846.41060466</v>
      </c>
      <c r="D953" s="159">
        <v>90647.055745376798</v>
      </c>
      <c r="E953" s="164">
        <v>9353761.1733152363</v>
      </c>
      <c r="F953" s="159">
        <v>0</v>
      </c>
      <c r="I953" s="159">
        <v>913</v>
      </c>
      <c r="J953" s="164">
        <v>337007846.41060466</v>
      </c>
      <c r="K953" s="159">
        <v>90647.055745376798</v>
      </c>
      <c r="L953" s="164">
        <v>9353761.1733152363</v>
      </c>
      <c r="M953" s="159">
        <v>0</v>
      </c>
      <c r="Q953" s="139">
        <v>913</v>
      </c>
      <c r="R953" s="164">
        <f t="shared" si="67"/>
        <v>1143653424.3279862</v>
      </c>
      <c r="S953" s="164">
        <f t="shared" si="68"/>
        <v>-9353761.1733152363</v>
      </c>
      <c r="T953" s="159" t="str">
        <f t="shared" si="69"/>
        <v>TxPost-vaccination</v>
      </c>
      <c r="W953" s="139">
        <v>913</v>
      </c>
      <c r="X953" s="164">
        <f t="shared" si="70"/>
        <v>327654085.23728943</v>
      </c>
      <c r="Y953" s="159">
        <f t="shared" si="70"/>
        <v>90647.055745376798</v>
      </c>
    </row>
    <row r="954" spans="2:25" x14ac:dyDescent="0.25">
      <c r="B954" s="159">
        <v>914</v>
      </c>
      <c r="C954" s="164">
        <v>289495960.15139538</v>
      </c>
      <c r="D954" s="159">
        <v>63636.972445684842</v>
      </c>
      <c r="E954" s="164">
        <v>6203413.0657037124</v>
      </c>
      <c r="F954" s="159">
        <v>0</v>
      </c>
      <c r="I954" s="159">
        <v>914</v>
      </c>
      <c r="J954" s="164">
        <v>289495960.15139538</v>
      </c>
      <c r="K954" s="159">
        <v>63636.972445684842</v>
      </c>
      <c r="L954" s="164">
        <v>6203413.0657037124</v>
      </c>
      <c r="M954" s="159">
        <v>0</v>
      </c>
      <c r="Q954" s="139">
        <v>914</v>
      </c>
      <c r="R954" s="164">
        <f t="shared" si="67"/>
        <v>749972996.8112812</v>
      </c>
      <c r="S954" s="164">
        <f t="shared" si="68"/>
        <v>-6203413.0657037124</v>
      </c>
      <c r="T954" s="159" t="str">
        <f t="shared" si="69"/>
        <v>TxPost-vaccination</v>
      </c>
      <c r="W954" s="139">
        <v>914</v>
      </c>
      <c r="X954" s="164">
        <f t="shared" si="70"/>
        <v>283292547.08569169</v>
      </c>
      <c r="Y954" s="159">
        <f t="shared" si="70"/>
        <v>63636.972445684842</v>
      </c>
    </row>
    <row r="955" spans="2:25" x14ac:dyDescent="0.25">
      <c r="B955" s="159">
        <v>915</v>
      </c>
      <c r="C955" s="164">
        <v>318988749.1824767</v>
      </c>
      <c r="D955" s="159">
        <v>111933.22812208231</v>
      </c>
      <c r="E955" s="164">
        <v>10739608.048422335</v>
      </c>
      <c r="F955" s="159">
        <v>0</v>
      </c>
      <c r="I955" s="159">
        <v>915</v>
      </c>
      <c r="J955" s="164">
        <v>318988749.1824767</v>
      </c>
      <c r="K955" s="159">
        <v>111933.22812208231</v>
      </c>
      <c r="L955" s="164">
        <v>10739608.048422335</v>
      </c>
      <c r="M955" s="159">
        <v>0</v>
      </c>
      <c r="Q955" s="139">
        <v>915</v>
      </c>
      <c r="R955" s="164">
        <f t="shared" si="67"/>
        <v>1509368437.1188314</v>
      </c>
      <c r="S955" s="164">
        <f t="shared" si="68"/>
        <v>-10739608.048422335</v>
      </c>
      <c r="T955" s="159" t="str">
        <f t="shared" si="69"/>
        <v>TxPost-vaccination</v>
      </c>
      <c r="W955" s="139">
        <v>915</v>
      </c>
      <c r="X955" s="164">
        <f t="shared" si="70"/>
        <v>308249141.13405436</v>
      </c>
      <c r="Y955" s="159">
        <f t="shared" si="70"/>
        <v>111933.22812208231</v>
      </c>
    </row>
    <row r="956" spans="2:25" x14ac:dyDescent="0.25">
      <c r="B956" s="159">
        <v>916</v>
      </c>
      <c r="C956" s="164">
        <v>291755631.85280323</v>
      </c>
      <c r="D956" s="159">
        <v>119414.32174345962</v>
      </c>
      <c r="E956" s="164">
        <v>10855394.459938696</v>
      </c>
      <c r="F956" s="159">
        <v>0</v>
      </c>
      <c r="I956" s="159">
        <v>916</v>
      </c>
      <c r="J956" s="164">
        <v>291755631.85280323</v>
      </c>
      <c r="K956" s="159">
        <v>119414.32174345962</v>
      </c>
      <c r="L956" s="164">
        <v>10855394.459938696</v>
      </c>
      <c r="M956" s="159">
        <v>0</v>
      </c>
      <c r="Q956" s="139">
        <v>916</v>
      </c>
      <c r="R956" s="164">
        <f t="shared" si="67"/>
        <v>1658800400.2561123</v>
      </c>
      <c r="S956" s="164">
        <f t="shared" si="68"/>
        <v>-10855394.459938696</v>
      </c>
      <c r="T956" s="159" t="str">
        <f t="shared" si="69"/>
        <v>TxPost-vaccination</v>
      </c>
      <c r="W956" s="139">
        <v>916</v>
      </c>
      <c r="X956" s="164">
        <f t="shared" si="70"/>
        <v>280900237.39286453</v>
      </c>
      <c r="Y956" s="159">
        <f t="shared" si="70"/>
        <v>119414.32174345962</v>
      </c>
    </row>
    <row r="957" spans="2:25" x14ac:dyDescent="0.25">
      <c r="B957" s="159">
        <v>917</v>
      </c>
      <c r="C957" s="164">
        <v>290081880.07389432</v>
      </c>
      <c r="D957" s="159">
        <v>117368.7737530345</v>
      </c>
      <c r="E957" s="164">
        <v>8824815.2092347126</v>
      </c>
      <c r="F957" s="159">
        <v>0</v>
      </c>
      <c r="I957" s="159">
        <v>917</v>
      </c>
      <c r="J957" s="164">
        <v>290081880.07389432</v>
      </c>
      <c r="K957" s="159">
        <v>117368.7737530345</v>
      </c>
      <c r="L957" s="164">
        <v>8824815.2092347126</v>
      </c>
      <c r="M957" s="159">
        <v>0</v>
      </c>
      <c r="Q957" s="139">
        <v>917</v>
      </c>
      <c r="R957" s="164">
        <f t="shared" si="67"/>
        <v>1627061443.1284325</v>
      </c>
      <c r="S957" s="164">
        <f t="shared" si="68"/>
        <v>-8824815.2092347126</v>
      </c>
      <c r="T957" s="159" t="str">
        <f t="shared" si="69"/>
        <v>TxPost-vaccination</v>
      </c>
      <c r="W957" s="139">
        <v>917</v>
      </c>
      <c r="X957" s="164">
        <f t="shared" si="70"/>
        <v>281257064.86465961</v>
      </c>
      <c r="Y957" s="159">
        <f t="shared" si="70"/>
        <v>117368.7737530345</v>
      </c>
    </row>
    <row r="958" spans="2:25" x14ac:dyDescent="0.25">
      <c r="B958" s="159">
        <v>918</v>
      </c>
      <c r="C958" s="164">
        <v>297490683.94936812</v>
      </c>
      <c r="D958" s="159">
        <v>78051.791536002507</v>
      </c>
      <c r="E958" s="164">
        <v>7665654.2570670862</v>
      </c>
      <c r="F958" s="159">
        <v>0</v>
      </c>
      <c r="I958" s="159">
        <v>918</v>
      </c>
      <c r="J958" s="164">
        <v>297490683.94936812</v>
      </c>
      <c r="K958" s="159">
        <v>78051.791536002507</v>
      </c>
      <c r="L958" s="164">
        <v>7665654.2570670862</v>
      </c>
      <c r="M958" s="159">
        <v>0</v>
      </c>
      <c r="Q958" s="139">
        <v>918</v>
      </c>
      <c r="R958" s="164">
        <f t="shared" si="67"/>
        <v>977435058.41281879</v>
      </c>
      <c r="S958" s="164">
        <f t="shared" si="68"/>
        <v>-7665654.2570670862</v>
      </c>
      <c r="T958" s="159" t="str">
        <f t="shared" si="69"/>
        <v>TxPost-vaccination</v>
      </c>
      <c r="W958" s="139">
        <v>918</v>
      </c>
      <c r="X958" s="164">
        <f t="shared" si="70"/>
        <v>289825029.69230103</v>
      </c>
      <c r="Y958" s="159">
        <f t="shared" si="70"/>
        <v>78051.791536002507</v>
      </c>
    </row>
    <row r="959" spans="2:25" x14ac:dyDescent="0.25">
      <c r="B959" s="159">
        <v>919</v>
      </c>
      <c r="C959" s="164">
        <v>304487586.79554266</v>
      </c>
      <c r="D959" s="159">
        <v>54143.519778306072</v>
      </c>
      <c r="E959" s="164">
        <v>6404058.5120520517</v>
      </c>
      <c r="F959" s="159">
        <v>0</v>
      </c>
      <c r="I959" s="159">
        <v>919</v>
      </c>
      <c r="J959" s="164">
        <v>304487586.79554266</v>
      </c>
      <c r="K959" s="159">
        <v>54143.519778306072</v>
      </c>
      <c r="L959" s="164">
        <v>6404058.5120520517</v>
      </c>
      <c r="M959" s="159">
        <v>0</v>
      </c>
      <c r="Q959" s="139">
        <v>919</v>
      </c>
      <c r="R959" s="164">
        <f t="shared" si="67"/>
        <v>579911935.48343062</v>
      </c>
      <c r="S959" s="164">
        <f t="shared" si="68"/>
        <v>-6404058.5120520517</v>
      </c>
      <c r="T959" s="159" t="str">
        <f t="shared" si="69"/>
        <v>TxPost-vaccination</v>
      </c>
      <c r="W959" s="139">
        <v>919</v>
      </c>
      <c r="X959" s="164">
        <f t="shared" si="70"/>
        <v>298083528.2834906</v>
      </c>
      <c r="Y959" s="159">
        <f t="shared" si="70"/>
        <v>54143.519778306072</v>
      </c>
    </row>
    <row r="960" spans="2:25" x14ac:dyDescent="0.25">
      <c r="B960" s="159">
        <v>920</v>
      </c>
      <c r="C960" s="164">
        <v>309494761.98941863</v>
      </c>
      <c r="D960" s="159">
        <v>84748.193285551155</v>
      </c>
      <c r="E960" s="164">
        <v>7857385.3662895421</v>
      </c>
      <c r="F960" s="159">
        <v>0</v>
      </c>
      <c r="I960" s="159">
        <v>920</v>
      </c>
      <c r="J960" s="164">
        <v>309494761.98941863</v>
      </c>
      <c r="K960" s="159">
        <v>84748.193285551155</v>
      </c>
      <c r="L960" s="164">
        <v>7857385.3662895421</v>
      </c>
      <c r="M960" s="159">
        <v>0</v>
      </c>
      <c r="Q960" s="139">
        <v>920</v>
      </c>
      <c r="R960" s="164">
        <f t="shared" si="67"/>
        <v>1074812389.8662424</v>
      </c>
      <c r="S960" s="164">
        <f t="shared" si="68"/>
        <v>-7857385.3662895421</v>
      </c>
      <c r="T960" s="159" t="str">
        <f t="shared" si="69"/>
        <v>TxPost-vaccination</v>
      </c>
      <c r="W960" s="139">
        <v>920</v>
      </c>
      <c r="X960" s="164">
        <f t="shared" si="70"/>
        <v>301637376.62312907</v>
      </c>
      <c r="Y960" s="159">
        <f t="shared" si="70"/>
        <v>84748.193285551155</v>
      </c>
    </row>
    <row r="961" spans="2:25" x14ac:dyDescent="0.25">
      <c r="B961" s="159">
        <v>921</v>
      </c>
      <c r="C961" s="164">
        <v>323068452.65930212</v>
      </c>
      <c r="D961" s="159">
        <v>87873.73569847102</v>
      </c>
      <c r="E961" s="164">
        <v>8511291.1639219709</v>
      </c>
      <c r="F961" s="159">
        <v>0</v>
      </c>
      <c r="I961" s="159">
        <v>921</v>
      </c>
      <c r="J961" s="164">
        <v>323068452.65930212</v>
      </c>
      <c r="K961" s="159">
        <v>87873.73569847102</v>
      </c>
      <c r="L961" s="164">
        <v>8511291.1639219709</v>
      </c>
      <c r="M961" s="159">
        <v>0</v>
      </c>
      <c r="Q961" s="139">
        <v>921</v>
      </c>
      <c r="R961" s="164">
        <f t="shared" si="67"/>
        <v>1112292421.3807921</v>
      </c>
      <c r="S961" s="164">
        <f t="shared" si="68"/>
        <v>-8511291.1639219709</v>
      </c>
      <c r="T961" s="159" t="str">
        <f t="shared" si="69"/>
        <v>TxPost-vaccination</v>
      </c>
      <c r="W961" s="139">
        <v>921</v>
      </c>
      <c r="X961" s="164">
        <f t="shared" si="70"/>
        <v>314557161.49538016</v>
      </c>
      <c r="Y961" s="159">
        <f t="shared" si="70"/>
        <v>87873.73569847102</v>
      </c>
    </row>
    <row r="962" spans="2:25" x14ac:dyDescent="0.25">
      <c r="B962" s="159">
        <v>922</v>
      </c>
      <c r="C962" s="164">
        <v>309042292.54277802</v>
      </c>
      <c r="D962" s="159">
        <v>110230.37608852505</v>
      </c>
      <c r="E962" s="164">
        <v>7921060.7099457979</v>
      </c>
      <c r="F962" s="159">
        <v>0</v>
      </c>
      <c r="I962" s="159">
        <v>922</v>
      </c>
      <c r="J962" s="164">
        <v>309042292.54277802</v>
      </c>
      <c r="K962" s="159">
        <v>110230.37608852505</v>
      </c>
      <c r="L962" s="164">
        <v>7921060.7099457979</v>
      </c>
      <c r="M962" s="159">
        <v>0</v>
      </c>
      <c r="Q962" s="139">
        <v>922</v>
      </c>
      <c r="R962" s="164">
        <f t="shared" si="67"/>
        <v>1491499902.580339</v>
      </c>
      <c r="S962" s="164">
        <f t="shared" si="68"/>
        <v>-7921060.7099457979</v>
      </c>
      <c r="T962" s="159" t="str">
        <f t="shared" si="69"/>
        <v>TxPost-vaccination</v>
      </c>
      <c r="W962" s="139">
        <v>922</v>
      </c>
      <c r="X962" s="164">
        <f t="shared" si="70"/>
        <v>301121231.83283222</v>
      </c>
      <c r="Y962" s="159">
        <f t="shared" si="70"/>
        <v>110230.37608852505</v>
      </c>
    </row>
    <row r="963" spans="2:25" x14ac:dyDescent="0.25">
      <c r="B963" s="159">
        <v>923</v>
      </c>
      <c r="C963" s="164">
        <v>312311342.40328115</v>
      </c>
      <c r="D963" s="159">
        <v>104947.03670243568</v>
      </c>
      <c r="E963" s="164">
        <v>9878273.126742363</v>
      </c>
      <c r="F963" s="159">
        <v>0</v>
      </c>
      <c r="I963" s="159">
        <v>923</v>
      </c>
      <c r="J963" s="164">
        <v>312311342.40328115</v>
      </c>
      <c r="K963" s="159">
        <v>104947.03670243568</v>
      </c>
      <c r="L963" s="164">
        <v>9878273.126742363</v>
      </c>
      <c r="M963" s="159">
        <v>0</v>
      </c>
      <c r="Q963" s="139">
        <v>923</v>
      </c>
      <c r="R963" s="164">
        <f t="shared" si="67"/>
        <v>1401930906.7941313</v>
      </c>
      <c r="S963" s="164">
        <f t="shared" si="68"/>
        <v>-9878273.126742363</v>
      </c>
      <c r="T963" s="159" t="str">
        <f t="shared" si="69"/>
        <v>TxPost-vaccination</v>
      </c>
      <c r="W963" s="139">
        <v>923</v>
      </c>
      <c r="X963" s="164">
        <f t="shared" si="70"/>
        <v>302433069.27653879</v>
      </c>
      <c r="Y963" s="159">
        <f t="shared" si="70"/>
        <v>104947.03670243568</v>
      </c>
    </row>
    <row r="964" spans="2:25" x14ac:dyDescent="0.25">
      <c r="B964" s="159">
        <v>924</v>
      </c>
      <c r="C964" s="164">
        <v>311341647.77980673</v>
      </c>
      <c r="D964" s="159">
        <v>143032.06137995663</v>
      </c>
      <c r="E964" s="164">
        <v>12586316.536095059</v>
      </c>
      <c r="F964" s="159">
        <v>0</v>
      </c>
      <c r="I964" s="159">
        <v>924</v>
      </c>
      <c r="J964" s="164">
        <v>311341647.77980673</v>
      </c>
      <c r="K964" s="159">
        <v>143032.06137995663</v>
      </c>
      <c r="L964" s="164">
        <v>12586316.536095059</v>
      </c>
      <c r="M964" s="159">
        <v>0</v>
      </c>
      <c r="Q964" s="139">
        <v>924</v>
      </c>
      <c r="R964" s="164">
        <f t="shared" si="67"/>
        <v>2024994949.3413644</v>
      </c>
      <c r="S964" s="164">
        <f t="shared" si="68"/>
        <v>-12586316.536095059</v>
      </c>
      <c r="T964" s="159" t="str">
        <f t="shared" si="69"/>
        <v>TxPost-vaccination</v>
      </c>
      <c r="W964" s="139">
        <v>924</v>
      </c>
      <c r="X964" s="164">
        <f t="shared" si="70"/>
        <v>298755331.24371165</v>
      </c>
      <c r="Y964" s="159">
        <f t="shared" si="70"/>
        <v>143032.06137995663</v>
      </c>
    </row>
    <row r="965" spans="2:25" x14ac:dyDescent="0.25">
      <c r="B965" s="159">
        <v>925</v>
      </c>
      <c r="C965" s="164">
        <v>290482469.41489148</v>
      </c>
      <c r="D965" s="159">
        <v>89718.691079456126</v>
      </c>
      <c r="E965" s="164">
        <v>8907891.2939500026</v>
      </c>
      <c r="F965" s="159">
        <v>0</v>
      </c>
      <c r="I965" s="159">
        <v>925</v>
      </c>
      <c r="J965" s="164">
        <v>290482469.41489148</v>
      </c>
      <c r="K965" s="159">
        <v>89718.691079456126</v>
      </c>
      <c r="L965" s="164">
        <v>8907891.2939500026</v>
      </c>
      <c r="M965" s="159">
        <v>0</v>
      </c>
      <c r="Q965" s="139">
        <v>925</v>
      </c>
      <c r="R965" s="164">
        <f t="shared" si="67"/>
        <v>1175014562.4562829</v>
      </c>
      <c r="S965" s="164">
        <f t="shared" si="68"/>
        <v>-8907891.2939500026</v>
      </c>
      <c r="T965" s="159" t="str">
        <f t="shared" si="69"/>
        <v>TxPost-vaccination</v>
      </c>
      <c r="W965" s="139">
        <v>925</v>
      </c>
      <c r="X965" s="164">
        <f t="shared" si="70"/>
        <v>281574578.12094146</v>
      </c>
      <c r="Y965" s="159">
        <f t="shared" si="70"/>
        <v>89718.691079456126</v>
      </c>
    </row>
    <row r="966" spans="2:25" x14ac:dyDescent="0.25">
      <c r="B966" s="159">
        <v>926</v>
      </c>
      <c r="C966" s="164">
        <v>318941102.74303687</v>
      </c>
      <c r="D966" s="159">
        <v>92501.878886451668</v>
      </c>
      <c r="E966" s="164">
        <v>7786216.4532681005</v>
      </c>
      <c r="F966" s="159">
        <v>0</v>
      </c>
      <c r="I966" s="159">
        <v>926</v>
      </c>
      <c r="J966" s="164">
        <v>318941102.74303687</v>
      </c>
      <c r="K966" s="159">
        <v>92501.878886451668</v>
      </c>
      <c r="L966" s="164">
        <v>7786216.4532681005</v>
      </c>
      <c r="M966" s="159">
        <v>0</v>
      </c>
      <c r="Q966" s="139">
        <v>926</v>
      </c>
      <c r="R966" s="164">
        <f t="shared" si="67"/>
        <v>1192017509.331975</v>
      </c>
      <c r="S966" s="164">
        <f t="shared" si="68"/>
        <v>-7786216.4532681005</v>
      </c>
      <c r="T966" s="159" t="str">
        <f t="shared" si="69"/>
        <v>TxPost-vaccination</v>
      </c>
      <c r="W966" s="139">
        <v>926</v>
      </c>
      <c r="X966" s="164">
        <f t="shared" si="70"/>
        <v>311154886.28976876</v>
      </c>
      <c r="Y966" s="159">
        <f t="shared" si="70"/>
        <v>92501.878886451668</v>
      </c>
    </row>
    <row r="967" spans="2:25" x14ac:dyDescent="0.25">
      <c r="B967" s="159">
        <v>927</v>
      </c>
      <c r="C967" s="164">
        <v>295678027.51544273</v>
      </c>
      <c r="D967" s="159">
        <v>72298.006102648011</v>
      </c>
      <c r="E967" s="164">
        <v>6663282.8561131656</v>
      </c>
      <c r="F967" s="159">
        <v>0</v>
      </c>
      <c r="I967" s="159">
        <v>927</v>
      </c>
      <c r="J967" s="164">
        <v>295678027.51544273</v>
      </c>
      <c r="K967" s="159">
        <v>72298.006102648011</v>
      </c>
      <c r="L967" s="164">
        <v>6663282.8561131656</v>
      </c>
      <c r="M967" s="159">
        <v>0</v>
      </c>
      <c r="Q967" s="139">
        <v>927</v>
      </c>
      <c r="R967" s="164">
        <f t="shared" si="67"/>
        <v>885263335.74855864</v>
      </c>
      <c r="S967" s="164">
        <f t="shared" si="68"/>
        <v>-6663282.8561131656</v>
      </c>
      <c r="T967" s="159" t="str">
        <f t="shared" si="69"/>
        <v>TxPost-vaccination</v>
      </c>
      <c r="W967" s="139">
        <v>927</v>
      </c>
      <c r="X967" s="164">
        <f t="shared" si="70"/>
        <v>289014744.65932953</v>
      </c>
      <c r="Y967" s="159">
        <f t="shared" si="70"/>
        <v>72298.006102648011</v>
      </c>
    </row>
    <row r="968" spans="2:25" x14ac:dyDescent="0.25">
      <c r="B968" s="159">
        <v>928</v>
      </c>
      <c r="C968" s="164">
        <v>292890215.70317841</v>
      </c>
      <c r="D968" s="159">
        <v>121712.74665701254</v>
      </c>
      <c r="E968" s="164">
        <v>9391958.5416077953</v>
      </c>
      <c r="F968" s="159">
        <v>0</v>
      </c>
      <c r="I968" s="159">
        <v>928</v>
      </c>
      <c r="J968" s="164">
        <v>292890215.70317841</v>
      </c>
      <c r="K968" s="159">
        <v>121712.74665701254</v>
      </c>
      <c r="L968" s="164">
        <v>9391958.5416077953</v>
      </c>
      <c r="M968" s="159">
        <v>0</v>
      </c>
      <c r="Q968" s="139">
        <v>928</v>
      </c>
      <c r="R968" s="164">
        <f t="shared" si="67"/>
        <v>1695209106.9761217</v>
      </c>
      <c r="S968" s="164">
        <f t="shared" si="68"/>
        <v>-9391958.5416077953</v>
      </c>
      <c r="T968" s="159" t="str">
        <f t="shared" si="69"/>
        <v>TxPost-vaccination</v>
      </c>
      <c r="W968" s="139">
        <v>928</v>
      </c>
      <c r="X968" s="164">
        <f t="shared" si="70"/>
        <v>283498257.16157061</v>
      </c>
      <c r="Y968" s="159">
        <f t="shared" si="70"/>
        <v>121712.74665701254</v>
      </c>
    </row>
    <row r="969" spans="2:25" x14ac:dyDescent="0.25">
      <c r="B969" s="159">
        <v>929</v>
      </c>
      <c r="C969" s="164">
        <v>304525087.74827892</v>
      </c>
      <c r="D969" s="159">
        <v>106917.20174939257</v>
      </c>
      <c r="E969" s="164">
        <v>8185262.8067202093</v>
      </c>
      <c r="F969" s="159">
        <v>0</v>
      </c>
      <c r="I969" s="159">
        <v>929</v>
      </c>
      <c r="J969" s="164">
        <v>304525087.74827892</v>
      </c>
      <c r="K969" s="159">
        <v>106917.20174939257</v>
      </c>
      <c r="L969" s="164">
        <v>8185262.8067202093</v>
      </c>
      <c r="M969" s="159">
        <v>0</v>
      </c>
      <c r="Q969" s="139">
        <v>929</v>
      </c>
      <c r="R969" s="164">
        <f t="shared" si="67"/>
        <v>1441898538.5275691</v>
      </c>
      <c r="S969" s="164">
        <f t="shared" si="68"/>
        <v>-8185262.8067202093</v>
      </c>
      <c r="T969" s="159" t="str">
        <f t="shared" si="69"/>
        <v>TxPost-vaccination</v>
      </c>
      <c r="W969" s="139">
        <v>929</v>
      </c>
      <c r="X969" s="164">
        <f t="shared" si="70"/>
        <v>296339824.94155872</v>
      </c>
      <c r="Y969" s="159">
        <f t="shared" si="70"/>
        <v>106917.20174939257</v>
      </c>
    </row>
    <row r="970" spans="2:25" x14ac:dyDescent="0.25">
      <c r="B970" s="159">
        <v>930</v>
      </c>
      <c r="C970" s="164">
        <v>331927771.28053713</v>
      </c>
      <c r="D970" s="159">
        <v>70588.460259479747</v>
      </c>
      <c r="E970" s="164">
        <v>7100867.8119618725</v>
      </c>
      <c r="F970" s="159">
        <v>0</v>
      </c>
      <c r="I970" s="159">
        <v>930</v>
      </c>
      <c r="J970" s="164">
        <v>331927771.28053713</v>
      </c>
      <c r="K970" s="159">
        <v>70588.460259479747</v>
      </c>
      <c r="L970" s="164">
        <v>7100867.8119618725</v>
      </c>
      <c r="M970" s="159">
        <v>0</v>
      </c>
      <c r="Q970" s="139">
        <v>930</v>
      </c>
      <c r="R970" s="164">
        <f t="shared" si="67"/>
        <v>821089261.73669291</v>
      </c>
      <c r="S970" s="164">
        <f t="shared" si="68"/>
        <v>-7100867.8119618725</v>
      </c>
      <c r="T970" s="159" t="str">
        <f t="shared" si="69"/>
        <v>TxPost-vaccination</v>
      </c>
      <c r="W970" s="139">
        <v>930</v>
      </c>
      <c r="X970" s="164">
        <f t="shared" si="70"/>
        <v>324826903.46857524</v>
      </c>
      <c r="Y970" s="159">
        <f t="shared" si="70"/>
        <v>70588.460259479747</v>
      </c>
    </row>
    <row r="971" spans="2:25" x14ac:dyDescent="0.25">
      <c r="B971" s="159">
        <v>931</v>
      </c>
      <c r="C971" s="164">
        <v>320861259.95885378</v>
      </c>
      <c r="D971" s="159">
        <v>153831.18027806722</v>
      </c>
      <c r="E971" s="164">
        <v>11926472.349895898</v>
      </c>
      <c r="F971" s="159">
        <v>0</v>
      </c>
      <c r="I971" s="159">
        <v>931</v>
      </c>
      <c r="J971" s="164">
        <v>320861259.95885378</v>
      </c>
      <c r="K971" s="159">
        <v>153831.18027806722</v>
      </c>
      <c r="L971" s="164">
        <v>11926472.349895898</v>
      </c>
      <c r="M971" s="159">
        <v>0</v>
      </c>
      <c r="Q971" s="139">
        <v>931</v>
      </c>
      <c r="R971" s="164">
        <f t="shared" si="67"/>
        <v>2191871988.758462</v>
      </c>
      <c r="S971" s="164">
        <f t="shared" si="68"/>
        <v>-11926472.349895898</v>
      </c>
      <c r="T971" s="159" t="str">
        <f t="shared" si="69"/>
        <v>TxPost-vaccination</v>
      </c>
      <c r="W971" s="139">
        <v>931</v>
      </c>
      <c r="X971" s="164">
        <f t="shared" si="70"/>
        <v>308934787.60895789</v>
      </c>
      <c r="Y971" s="159">
        <f t="shared" si="70"/>
        <v>153831.18027806722</v>
      </c>
    </row>
    <row r="972" spans="2:25" x14ac:dyDescent="0.25">
      <c r="B972" s="159">
        <v>932</v>
      </c>
      <c r="C972" s="164">
        <v>285374726.26396298</v>
      </c>
      <c r="D972" s="159">
        <v>103489.6989139231</v>
      </c>
      <c r="E972" s="164">
        <v>8773149.632896794</v>
      </c>
      <c r="F972" s="159">
        <v>0</v>
      </c>
      <c r="I972" s="159">
        <v>932</v>
      </c>
      <c r="J972" s="164">
        <v>285374726.26396298</v>
      </c>
      <c r="K972" s="159">
        <v>103489.6989139231</v>
      </c>
      <c r="L972" s="164">
        <v>8773149.632896794</v>
      </c>
      <c r="M972" s="159">
        <v>0</v>
      </c>
      <c r="Q972" s="139">
        <v>932</v>
      </c>
      <c r="R972" s="164">
        <f t="shared" si="67"/>
        <v>1405062848.8147926</v>
      </c>
      <c r="S972" s="164">
        <f t="shared" si="68"/>
        <v>-8773149.632896794</v>
      </c>
      <c r="T972" s="159" t="str">
        <f t="shared" si="69"/>
        <v>TxPost-vaccination</v>
      </c>
      <c r="W972" s="139">
        <v>932</v>
      </c>
      <c r="X972" s="164">
        <f t="shared" si="70"/>
        <v>276601576.6310662</v>
      </c>
      <c r="Y972" s="159">
        <f t="shared" si="70"/>
        <v>103489.6989139231</v>
      </c>
    </row>
    <row r="973" spans="2:25" x14ac:dyDescent="0.25">
      <c r="B973" s="159">
        <v>933</v>
      </c>
      <c r="C973" s="164">
        <v>303108021.25168848</v>
      </c>
      <c r="D973" s="159">
        <v>122535.98312311771</v>
      </c>
      <c r="E973" s="164">
        <v>9954053.0212204698</v>
      </c>
      <c r="F973" s="159">
        <v>0</v>
      </c>
      <c r="I973" s="159">
        <v>933</v>
      </c>
      <c r="J973" s="164">
        <v>303108021.25168848</v>
      </c>
      <c r="K973" s="159">
        <v>122535.98312311771</v>
      </c>
      <c r="L973" s="164">
        <v>9954053.0212204698</v>
      </c>
      <c r="M973" s="159">
        <v>0</v>
      </c>
      <c r="Q973" s="139">
        <v>933</v>
      </c>
      <c r="R973" s="164">
        <f t="shared" si="67"/>
        <v>1698438338.8630641</v>
      </c>
      <c r="S973" s="164">
        <f t="shared" si="68"/>
        <v>-9954053.0212204698</v>
      </c>
      <c r="T973" s="159" t="str">
        <f t="shared" si="69"/>
        <v>TxPost-vaccination</v>
      </c>
      <c r="W973" s="139">
        <v>933</v>
      </c>
      <c r="X973" s="164">
        <f t="shared" si="70"/>
        <v>293153968.23046803</v>
      </c>
      <c r="Y973" s="159">
        <f t="shared" si="70"/>
        <v>122535.98312311771</v>
      </c>
    </row>
    <row r="974" spans="2:25" x14ac:dyDescent="0.25">
      <c r="B974" s="159">
        <v>934</v>
      </c>
      <c r="C974" s="164">
        <v>326533084.00849932</v>
      </c>
      <c r="D974" s="159">
        <v>99567.514937614469</v>
      </c>
      <c r="E974" s="164">
        <v>8245870.3964216346</v>
      </c>
      <c r="F974" s="159">
        <v>0</v>
      </c>
      <c r="I974" s="159">
        <v>934</v>
      </c>
      <c r="J974" s="164">
        <v>326533084.00849932</v>
      </c>
      <c r="K974" s="159">
        <v>99567.514937614469</v>
      </c>
      <c r="L974" s="164">
        <v>8245870.3964216346</v>
      </c>
      <c r="M974" s="159">
        <v>0</v>
      </c>
      <c r="Q974" s="139">
        <v>934</v>
      </c>
      <c r="R974" s="164">
        <f t="shared" si="67"/>
        <v>1299838142.0567322</v>
      </c>
      <c r="S974" s="164">
        <f t="shared" si="68"/>
        <v>-8245870.3964216346</v>
      </c>
      <c r="T974" s="159" t="str">
        <f t="shared" si="69"/>
        <v>TxPost-vaccination</v>
      </c>
      <c r="W974" s="139">
        <v>934</v>
      </c>
      <c r="X974" s="164">
        <f t="shared" si="70"/>
        <v>318287213.61207771</v>
      </c>
      <c r="Y974" s="159">
        <f t="shared" si="70"/>
        <v>99567.514937614469</v>
      </c>
    </row>
    <row r="975" spans="2:25" x14ac:dyDescent="0.25">
      <c r="B975" s="159">
        <v>935</v>
      </c>
      <c r="C975" s="164">
        <v>294292378.87880903</v>
      </c>
      <c r="D975" s="159">
        <v>88147.408499181445</v>
      </c>
      <c r="E975" s="164">
        <v>8320861.6117268987</v>
      </c>
      <c r="F975" s="159">
        <v>0</v>
      </c>
      <c r="I975" s="159">
        <v>935</v>
      </c>
      <c r="J975" s="164">
        <v>294292378.87880903</v>
      </c>
      <c r="K975" s="159">
        <v>88147.408499181445</v>
      </c>
      <c r="L975" s="164">
        <v>8320861.6117268987</v>
      </c>
      <c r="M975" s="159">
        <v>0</v>
      </c>
      <c r="Q975" s="139">
        <v>935</v>
      </c>
      <c r="R975" s="164">
        <f t="shared" si="67"/>
        <v>1145538764.0909758</v>
      </c>
      <c r="S975" s="164">
        <f t="shared" si="68"/>
        <v>-8320861.6117268987</v>
      </c>
      <c r="T975" s="159" t="str">
        <f t="shared" si="69"/>
        <v>TxPost-vaccination</v>
      </c>
      <c r="W975" s="139">
        <v>935</v>
      </c>
      <c r="X975" s="164">
        <f t="shared" si="70"/>
        <v>285971517.26708215</v>
      </c>
      <c r="Y975" s="159">
        <f t="shared" si="70"/>
        <v>88147.408499181445</v>
      </c>
    </row>
    <row r="976" spans="2:25" x14ac:dyDescent="0.25">
      <c r="B976" s="159">
        <v>936</v>
      </c>
      <c r="C976" s="164">
        <v>299579243.807684</v>
      </c>
      <c r="D976" s="159">
        <v>107430.37505652489</v>
      </c>
      <c r="E976" s="164">
        <v>9167214.7853181586</v>
      </c>
      <c r="F976" s="159">
        <v>0</v>
      </c>
      <c r="I976" s="159">
        <v>936</v>
      </c>
      <c r="J976" s="164">
        <v>299579243.807684</v>
      </c>
      <c r="K976" s="159">
        <v>107430.37505652489</v>
      </c>
      <c r="L976" s="164">
        <v>9167214.7853181586</v>
      </c>
      <c r="M976" s="159">
        <v>0</v>
      </c>
      <c r="Q976" s="139">
        <v>936</v>
      </c>
      <c r="R976" s="164">
        <f t="shared" si="67"/>
        <v>1455226737.9103751</v>
      </c>
      <c r="S976" s="164">
        <f t="shared" si="68"/>
        <v>-9167214.7853181586</v>
      </c>
      <c r="T976" s="159" t="str">
        <f t="shared" si="69"/>
        <v>TxPost-vaccination</v>
      </c>
      <c r="W976" s="139">
        <v>936</v>
      </c>
      <c r="X976" s="164">
        <f t="shared" si="70"/>
        <v>290412029.02236587</v>
      </c>
      <c r="Y976" s="159">
        <f t="shared" si="70"/>
        <v>107430.37505652489</v>
      </c>
    </row>
    <row r="977" spans="2:25" x14ac:dyDescent="0.25">
      <c r="B977" s="159">
        <v>937</v>
      </c>
      <c r="C977" s="164">
        <v>326892479.46598673</v>
      </c>
      <c r="D977" s="159">
        <v>136883.79762888607</v>
      </c>
      <c r="E977" s="164">
        <v>10813312.919314781</v>
      </c>
      <c r="F977" s="159">
        <v>0</v>
      </c>
      <c r="I977" s="159">
        <v>937</v>
      </c>
      <c r="J977" s="164">
        <v>326892479.46598673</v>
      </c>
      <c r="K977" s="159">
        <v>136883.79762888607</v>
      </c>
      <c r="L977" s="164">
        <v>10813312.919314781</v>
      </c>
      <c r="M977" s="159">
        <v>0</v>
      </c>
      <c r="Q977" s="139">
        <v>937</v>
      </c>
      <c r="R977" s="164">
        <f t="shared" si="67"/>
        <v>1909016189.3166461</v>
      </c>
      <c r="S977" s="164">
        <f t="shared" si="68"/>
        <v>-10813312.919314781</v>
      </c>
      <c r="T977" s="159" t="str">
        <f t="shared" si="69"/>
        <v>TxPost-vaccination</v>
      </c>
      <c r="W977" s="139">
        <v>937</v>
      </c>
      <c r="X977" s="164">
        <f t="shared" si="70"/>
        <v>316079166.54667193</v>
      </c>
      <c r="Y977" s="159">
        <f t="shared" si="70"/>
        <v>136883.79762888607</v>
      </c>
    </row>
    <row r="978" spans="2:25" x14ac:dyDescent="0.25">
      <c r="B978" s="159">
        <v>938</v>
      </c>
      <c r="C978" s="164">
        <v>336204782.32923633</v>
      </c>
      <c r="D978" s="159">
        <v>69435.365048094274</v>
      </c>
      <c r="E978" s="164">
        <v>6202245.8427395429</v>
      </c>
      <c r="F978" s="159">
        <v>0</v>
      </c>
      <c r="I978" s="159">
        <v>938</v>
      </c>
      <c r="J978" s="164">
        <v>336204782.32923633</v>
      </c>
      <c r="K978" s="159">
        <v>69435.365048094274</v>
      </c>
      <c r="L978" s="164">
        <v>6202245.8427395429</v>
      </c>
      <c r="M978" s="159">
        <v>0</v>
      </c>
      <c r="Q978" s="139">
        <v>938</v>
      </c>
      <c r="R978" s="164">
        <f t="shared" si="67"/>
        <v>797977183.10710669</v>
      </c>
      <c r="S978" s="164">
        <f t="shared" si="68"/>
        <v>-6202245.8427395429</v>
      </c>
      <c r="T978" s="159" t="str">
        <f t="shared" si="69"/>
        <v>TxPost-vaccination</v>
      </c>
      <c r="W978" s="139">
        <v>938</v>
      </c>
      <c r="X978" s="164">
        <f t="shared" si="70"/>
        <v>330002536.48649681</v>
      </c>
      <c r="Y978" s="159">
        <f t="shared" si="70"/>
        <v>69435.365048094274</v>
      </c>
    </row>
    <row r="979" spans="2:25" x14ac:dyDescent="0.25">
      <c r="B979" s="159">
        <v>939</v>
      </c>
      <c r="C979" s="164">
        <v>285308906.16298687</v>
      </c>
      <c r="D979" s="159">
        <v>69648.048954008889</v>
      </c>
      <c r="E979" s="164">
        <v>6452005.0145096099</v>
      </c>
      <c r="F979" s="159">
        <v>0</v>
      </c>
      <c r="I979" s="159">
        <v>939</v>
      </c>
      <c r="J979" s="164">
        <v>285308906.16298687</v>
      </c>
      <c r="K979" s="159">
        <v>69648.048954008889</v>
      </c>
      <c r="L979" s="164">
        <v>6452005.0145096099</v>
      </c>
      <c r="M979" s="159">
        <v>0</v>
      </c>
      <c r="Q979" s="139">
        <v>939</v>
      </c>
      <c r="R979" s="164">
        <f t="shared" si="67"/>
        <v>852347113.88889444</v>
      </c>
      <c r="S979" s="164">
        <f t="shared" si="68"/>
        <v>-6452005.0145096099</v>
      </c>
      <c r="T979" s="159" t="str">
        <f t="shared" si="69"/>
        <v>TxPost-vaccination</v>
      </c>
      <c r="W979" s="139">
        <v>939</v>
      </c>
      <c r="X979" s="164">
        <f t="shared" si="70"/>
        <v>278856901.14847726</v>
      </c>
      <c r="Y979" s="159">
        <f t="shared" si="70"/>
        <v>69648.048954008889</v>
      </c>
    </row>
    <row r="980" spans="2:25" x14ac:dyDescent="0.25">
      <c r="B980" s="159">
        <v>940</v>
      </c>
      <c r="C980" s="164">
        <v>303818755.06200171</v>
      </c>
      <c r="D980" s="159">
        <v>117464.33000419379</v>
      </c>
      <c r="E980" s="164">
        <v>10862658.118796084</v>
      </c>
      <c r="F980" s="159">
        <v>0</v>
      </c>
      <c r="I980" s="159">
        <v>940</v>
      </c>
      <c r="J980" s="164">
        <v>303818755.06200171</v>
      </c>
      <c r="K980" s="159">
        <v>117464.33000419379</v>
      </c>
      <c r="L980" s="164">
        <v>10862658.118796084</v>
      </c>
      <c r="M980" s="159">
        <v>0</v>
      </c>
      <c r="Q980" s="139">
        <v>940</v>
      </c>
      <c r="R980" s="164">
        <f t="shared" si="67"/>
        <v>1614885417.9561861</v>
      </c>
      <c r="S980" s="164">
        <f t="shared" si="68"/>
        <v>-10862658.118796084</v>
      </c>
      <c r="T980" s="159" t="str">
        <f t="shared" si="69"/>
        <v>TxPost-vaccination</v>
      </c>
      <c r="W980" s="139">
        <v>940</v>
      </c>
      <c r="X980" s="164">
        <f t="shared" si="70"/>
        <v>292956096.9432056</v>
      </c>
      <c r="Y980" s="159">
        <f t="shared" si="70"/>
        <v>117464.33000419379</v>
      </c>
    </row>
    <row r="981" spans="2:25" x14ac:dyDescent="0.25">
      <c r="B981" s="159">
        <v>941</v>
      </c>
      <c r="C981" s="164">
        <v>305070397.90894681</v>
      </c>
      <c r="D981" s="159">
        <v>99177.137132129283</v>
      </c>
      <c r="E981" s="164">
        <v>9058922.4681626279</v>
      </c>
      <c r="F981" s="159">
        <v>0</v>
      </c>
      <c r="I981" s="159">
        <v>941</v>
      </c>
      <c r="J981" s="164">
        <v>305070397.90894681</v>
      </c>
      <c r="K981" s="159">
        <v>99177.137132129283</v>
      </c>
      <c r="L981" s="164">
        <v>9058922.4681626279</v>
      </c>
      <c r="M981" s="159">
        <v>0</v>
      </c>
      <c r="Q981" s="139">
        <v>941</v>
      </c>
      <c r="R981" s="164">
        <f t="shared" si="67"/>
        <v>1314924258.1421251</v>
      </c>
      <c r="S981" s="164">
        <f t="shared" si="68"/>
        <v>-9058922.4681626279</v>
      </c>
      <c r="T981" s="159" t="str">
        <f t="shared" si="69"/>
        <v>TxPost-vaccination</v>
      </c>
      <c r="W981" s="139">
        <v>941</v>
      </c>
      <c r="X981" s="164">
        <f t="shared" si="70"/>
        <v>296011475.44078416</v>
      </c>
      <c r="Y981" s="159">
        <f t="shared" si="70"/>
        <v>99177.137132129283</v>
      </c>
    </row>
    <row r="982" spans="2:25" x14ac:dyDescent="0.25">
      <c r="B982" s="159">
        <v>942</v>
      </c>
      <c r="C982" s="164">
        <v>319016115.59628755</v>
      </c>
      <c r="D982" s="159">
        <v>79160.737659285776</v>
      </c>
      <c r="E982" s="164">
        <v>8739726.8444586378</v>
      </c>
      <c r="F982" s="159">
        <v>0</v>
      </c>
      <c r="I982" s="159">
        <v>942</v>
      </c>
      <c r="J982" s="164">
        <v>319016115.59628755</v>
      </c>
      <c r="K982" s="159">
        <v>79160.737659285776</v>
      </c>
      <c r="L982" s="164">
        <v>8739726.8444586378</v>
      </c>
      <c r="M982" s="159">
        <v>0</v>
      </c>
      <c r="Q982" s="139">
        <v>942</v>
      </c>
      <c r="R982" s="164">
        <f t="shared" si="67"/>
        <v>974023547.4286232</v>
      </c>
      <c r="S982" s="164">
        <f t="shared" si="68"/>
        <v>-8739726.8444586378</v>
      </c>
      <c r="T982" s="159" t="str">
        <f t="shared" si="69"/>
        <v>TxPost-vaccination</v>
      </c>
      <c r="W982" s="139">
        <v>942</v>
      </c>
      <c r="X982" s="164">
        <f t="shared" si="70"/>
        <v>310276388.75182891</v>
      </c>
      <c r="Y982" s="159">
        <f t="shared" si="70"/>
        <v>79160.737659285776</v>
      </c>
    </row>
    <row r="983" spans="2:25" x14ac:dyDescent="0.25">
      <c r="B983" s="159">
        <v>943</v>
      </c>
      <c r="C983" s="164">
        <v>302584801.53501499</v>
      </c>
      <c r="D983" s="159">
        <v>85965.333217391249</v>
      </c>
      <c r="E983" s="164">
        <v>8423451.8722877949</v>
      </c>
      <c r="F983" s="159">
        <v>0</v>
      </c>
      <c r="I983" s="159">
        <v>943</v>
      </c>
      <c r="J983" s="164">
        <v>302584801.53501499</v>
      </c>
      <c r="K983" s="159">
        <v>85965.333217391249</v>
      </c>
      <c r="L983" s="164">
        <v>8423451.8722877949</v>
      </c>
      <c r="M983" s="159">
        <v>0</v>
      </c>
      <c r="Q983" s="139">
        <v>943</v>
      </c>
      <c r="R983" s="164">
        <f t="shared" si="67"/>
        <v>1101603547.159595</v>
      </c>
      <c r="S983" s="164">
        <f t="shared" si="68"/>
        <v>-8423451.8722877949</v>
      </c>
      <c r="T983" s="159" t="str">
        <f t="shared" si="69"/>
        <v>TxPost-vaccination</v>
      </c>
      <c r="W983" s="139">
        <v>943</v>
      </c>
      <c r="X983" s="164">
        <f t="shared" si="70"/>
        <v>294161349.66272718</v>
      </c>
      <c r="Y983" s="159">
        <f t="shared" si="70"/>
        <v>85965.333217391249</v>
      </c>
    </row>
    <row r="984" spans="2:25" x14ac:dyDescent="0.25">
      <c r="B984" s="159">
        <v>944</v>
      </c>
      <c r="C984" s="164">
        <v>304120679.21912438</v>
      </c>
      <c r="D984" s="159">
        <v>158943.62714010308</v>
      </c>
      <c r="E984" s="164">
        <v>11833082.298319949</v>
      </c>
      <c r="F984" s="159">
        <v>0</v>
      </c>
      <c r="I984" s="159">
        <v>944</v>
      </c>
      <c r="J984" s="164">
        <v>304120679.21912438</v>
      </c>
      <c r="K984" s="159">
        <v>158943.62714010308</v>
      </c>
      <c r="L984" s="164">
        <v>11833082.298319949</v>
      </c>
      <c r="M984" s="159">
        <v>0</v>
      </c>
      <c r="Q984" s="139">
        <v>944</v>
      </c>
      <c r="R984" s="164">
        <f t="shared" si="67"/>
        <v>2292121096.1136475</v>
      </c>
      <c r="S984" s="164">
        <f t="shared" si="68"/>
        <v>-11833082.298319949</v>
      </c>
      <c r="T984" s="159" t="str">
        <f t="shared" si="69"/>
        <v>TxPost-vaccination</v>
      </c>
      <c r="W984" s="139">
        <v>944</v>
      </c>
      <c r="X984" s="164">
        <f t="shared" si="70"/>
        <v>292287596.92080444</v>
      </c>
      <c r="Y984" s="159">
        <f t="shared" si="70"/>
        <v>158943.62714010308</v>
      </c>
    </row>
    <row r="985" spans="2:25" x14ac:dyDescent="0.25">
      <c r="B985" s="159">
        <v>945</v>
      </c>
      <c r="C985" s="164">
        <v>307795241.98851156</v>
      </c>
      <c r="D985" s="159">
        <v>77114.483222624607</v>
      </c>
      <c r="E985" s="164">
        <v>7478796.6253079288</v>
      </c>
      <c r="F985" s="159">
        <v>0</v>
      </c>
      <c r="I985" s="159">
        <v>945</v>
      </c>
      <c r="J985" s="164">
        <v>307795241.98851156</v>
      </c>
      <c r="K985" s="159">
        <v>77114.483222624607</v>
      </c>
      <c r="L985" s="164">
        <v>7478796.6253079288</v>
      </c>
      <c r="M985" s="159">
        <v>0</v>
      </c>
      <c r="Q985" s="139">
        <v>945</v>
      </c>
      <c r="R985" s="164">
        <f t="shared" si="67"/>
        <v>951820172.78555894</v>
      </c>
      <c r="S985" s="164">
        <f t="shared" si="68"/>
        <v>-7478796.6253079288</v>
      </c>
      <c r="T985" s="159" t="str">
        <f t="shared" si="69"/>
        <v>TxPost-vaccination</v>
      </c>
      <c r="W985" s="139">
        <v>945</v>
      </c>
      <c r="X985" s="164">
        <f t="shared" si="70"/>
        <v>300316445.36320364</v>
      </c>
      <c r="Y985" s="159">
        <f t="shared" si="70"/>
        <v>77114.483222624607</v>
      </c>
    </row>
    <row r="986" spans="2:25" x14ac:dyDescent="0.25">
      <c r="B986" s="159">
        <v>946</v>
      </c>
      <c r="C986" s="164">
        <v>300198136.43868929</v>
      </c>
      <c r="D986" s="159">
        <v>67130.657845821101</v>
      </c>
      <c r="E986" s="164">
        <v>6148314.0018707132</v>
      </c>
      <c r="F986" s="159">
        <v>0</v>
      </c>
      <c r="I986" s="159">
        <v>946</v>
      </c>
      <c r="J986" s="164">
        <v>300198136.43868929</v>
      </c>
      <c r="K986" s="159">
        <v>67130.657845821101</v>
      </c>
      <c r="L986" s="164">
        <v>6148314.0018707132</v>
      </c>
      <c r="M986" s="159">
        <v>0</v>
      </c>
      <c r="Q986" s="139">
        <v>946</v>
      </c>
      <c r="R986" s="164">
        <f t="shared" si="67"/>
        <v>796337921.28738356</v>
      </c>
      <c r="S986" s="164">
        <f t="shared" si="68"/>
        <v>-6148314.0018707132</v>
      </c>
      <c r="T986" s="159" t="str">
        <f t="shared" si="69"/>
        <v>TxPost-vaccination</v>
      </c>
      <c r="W986" s="139">
        <v>946</v>
      </c>
      <c r="X986" s="164">
        <f t="shared" si="70"/>
        <v>294049822.4368186</v>
      </c>
      <c r="Y986" s="159">
        <f t="shared" si="70"/>
        <v>67130.657845821101</v>
      </c>
    </row>
    <row r="987" spans="2:25" x14ac:dyDescent="0.25">
      <c r="B987" s="159">
        <v>947</v>
      </c>
      <c r="C987" s="164">
        <v>315894688.14090633</v>
      </c>
      <c r="D987" s="159">
        <v>85034.459888236437</v>
      </c>
      <c r="E987" s="164">
        <v>7898792.4541467009</v>
      </c>
      <c r="F987" s="159">
        <v>0</v>
      </c>
      <c r="I987" s="159">
        <v>947</v>
      </c>
      <c r="J987" s="164">
        <v>315894688.14090633</v>
      </c>
      <c r="K987" s="159">
        <v>85034.459888236437</v>
      </c>
      <c r="L987" s="164">
        <v>7898792.4541467009</v>
      </c>
      <c r="M987" s="159">
        <v>0</v>
      </c>
      <c r="Q987" s="139">
        <v>947</v>
      </c>
      <c r="R987" s="164">
        <f t="shared" si="67"/>
        <v>1073088444.2881627</v>
      </c>
      <c r="S987" s="164">
        <f t="shared" si="68"/>
        <v>-7898792.4541467009</v>
      </c>
      <c r="T987" s="159" t="str">
        <f t="shared" si="69"/>
        <v>TxPost-vaccination</v>
      </c>
      <c r="W987" s="139">
        <v>947</v>
      </c>
      <c r="X987" s="164">
        <f t="shared" si="70"/>
        <v>307995895.68675965</v>
      </c>
      <c r="Y987" s="159">
        <f t="shared" si="70"/>
        <v>85034.459888236437</v>
      </c>
    </row>
    <row r="988" spans="2:25" x14ac:dyDescent="0.25">
      <c r="B988" s="159">
        <v>948</v>
      </c>
      <c r="C988" s="164">
        <v>322972603.98500597</v>
      </c>
      <c r="D988" s="159">
        <v>88274.734783059495</v>
      </c>
      <c r="E988" s="164">
        <v>7774806.8339636009</v>
      </c>
      <c r="F988" s="159">
        <v>0</v>
      </c>
      <c r="I988" s="159">
        <v>948</v>
      </c>
      <c r="J988" s="164">
        <v>322972603.98500597</v>
      </c>
      <c r="K988" s="159">
        <v>88274.734783059495</v>
      </c>
      <c r="L988" s="164">
        <v>7774806.8339636009</v>
      </c>
      <c r="M988" s="159">
        <v>0</v>
      </c>
      <c r="Q988" s="139">
        <v>948</v>
      </c>
      <c r="R988" s="164">
        <f t="shared" si="67"/>
        <v>1118938331.8223405</v>
      </c>
      <c r="S988" s="164">
        <f t="shared" si="68"/>
        <v>-7774806.8339636009</v>
      </c>
      <c r="T988" s="159" t="str">
        <f t="shared" si="69"/>
        <v>TxPost-vaccination</v>
      </c>
      <c r="W988" s="139">
        <v>948</v>
      </c>
      <c r="X988" s="164">
        <f t="shared" si="70"/>
        <v>315197797.1510424</v>
      </c>
      <c r="Y988" s="159">
        <f t="shared" si="70"/>
        <v>88274.734783059495</v>
      </c>
    </row>
    <row r="989" spans="2:25" x14ac:dyDescent="0.25">
      <c r="B989" s="159">
        <v>949</v>
      </c>
      <c r="C989" s="164">
        <v>336003704.03696561</v>
      </c>
      <c r="D989" s="159">
        <v>70631.682411311514</v>
      </c>
      <c r="E989" s="164">
        <v>8319969.9025511136</v>
      </c>
      <c r="F989" s="159">
        <v>0</v>
      </c>
      <c r="I989" s="159">
        <v>949</v>
      </c>
      <c r="J989" s="164">
        <v>336003704.03696561</v>
      </c>
      <c r="K989" s="159">
        <v>70631.682411311514</v>
      </c>
      <c r="L989" s="164">
        <v>8319969.9025511136</v>
      </c>
      <c r="M989" s="159">
        <v>0</v>
      </c>
      <c r="Q989" s="139">
        <v>949</v>
      </c>
      <c r="R989" s="164">
        <f t="shared" si="67"/>
        <v>817719334.99148059</v>
      </c>
      <c r="S989" s="164">
        <f t="shared" si="68"/>
        <v>-8319969.9025511136</v>
      </c>
      <c r="T989" s="159" t="str">
        <f t="shared" si="69"/>
        <v>TxPost-vaccination</v>
      </c>
      <c r="W989" s="139">
        <v>949</v>
      </c>
      <c r="X989" s="164">
        <f t="shared" si="70"/>
        <v>327683734.13441449</v>
      </c>
      <c r="Y989" s="159">
        <f t="shared" si="70"/>
        <v>70631.682411311514</v>
      </c>
    </row>
    <row r="990" spans="2:25" x14ac:dyDescent="0.25">
      <c r="B990" s="159">
        <v>950</v>
      </c>
      <c r="C990" s="164">
        <v>341144502.15569007</v>
      </c>
      <c r="D990" s="159">
        <v>104493.51466548217</v>
      </c>
      <c r="E990" s="164">
        <v>9895762.5699622706</v>
      </c>
      <c r="F990" s="159">
        <v>0</v>
      </c>
      <c r="I990" s="159">
        <v>950</v>
      </c>
      <c r="J990" s="164">
        <v>341144502.15569007</v>
      </c>
      <c r="K990" s="159">
        <v>104493.51466548217</v>
      </c>
      <c r="L990" s="164">
        <v>9895762.5699622706</v>
      </c>
      <c r="M990" s="159">
        <v>0</v>
      </c>
      <c r="Q990" s="139">
        <v>950</v>
      </c>
      <c r="R990" s="164">
        <f t="shared" si="67"/>
        <v>1365689756.6770954</v>
      </c>
      <c r="S990" s="164">
        <f t="shared" si="68"/>
        <v>-9895762.5699622706</v>
      </c>
      <c r="T990" s="159" t="str">
        <f t="shared" si="69"/>
        <v>TxPost-vaccination</v>
      </c>
      <c r="W990" s="139">
        <v>950</v>
      </c>
      <c r="X990" s="164">
        <f t="shared" si="70"/>
        <v>331248739.58572781</v>
      </c>
      <c r="Y990" s="159">
        <f t="shared" si="70"/>
        <v>104493.51466548217</v>
      </c>
    </row>
    <row r="991" spans="2:25" x14ac:dyDescent="0.25">
      <c r="B991" s="159">
        <v>951</v>
      </c>
      <c r="C991" s="164">
        <v>294949429.52580726</v>
      </c>
      <c r="D991" s="159">
        <v>83969.000485679615</v>
      </c>
      <c r="E991" s="164">
        <v>6734795.5045514954</v>
      </c>
      <c r="F991" s="159">
        <v>0</v>
      </c>
      <c r="I991" s="159">
        <v>951</v>
      </c>
      <c r="J991" s="164">
        <v>294949429.52580726</v>
      </c>
      <c r="K991" s="159">
        <v>83969.000485679615</v>
      </c>
      <c r="L991" s="164">
        <v>6734795.5045514954</v>
      </c>
      <c r="M991" s="159">
        <v>0</v>
      </c>
      <c r="Q991" s="139">
        <v>951</v>
      </c>
      <c r="R991" s="164">
        <f t="shared" si="67"/>
        <v>1076630109.8142428</v>
      </c>
      <c r="S991" s="164">
        <f t="shared" si="68"/>
        <v>-6734795.5045514954</v>
      </c>
      <c r="T991" s="159" t="str">
        <f t="shared" si="69"/>
        <v>TxPost-vaccination</v>
      </c>
      <c r="W991" s="139">
        <v>951</v>
      </c>
      <c r="X991" s="164">
        <f t="shared" si="70"/>
        <v>288214634.02125579</v>
      </c>
      <c r="Y991" s="159">
        <f t="shared" si="70"/>
        <v>83969.000485679615</v>
      </c>
    </row>
    <row r="992" spans="2:25" x14ac:dyDescent="0.25">
      <c r="B992" s="159">
        <v>952</v>
      </c>
      <c r="C992" s="164">
        <v>325091766.81377959</v>
      </c>
      <c r="D992" s="159">
        <v>101608.65346492254</v>
      </c>
      <c r="E992" s="164">
        <v>9241991.6941688135</v>
      </c>
      <c r="F992" s="159">
        <v>0</v>
      </c>
      <c r="I992" s="159">
        <v>952</v>
      </c>
      <c r="J992" s="164">
        <v>325091766.81377959</v>
      </c>
      <c r="K992" s="159">
        <v>101608.65346492254</v>
      </c>
      <c r="L992" s="164">
        <v>9241991.6941688135</v>
      </c>
      <c r="M992" s="159">
        <v>0</v>
      </c>
      <c r="Q992" s="139">
        <v>952</v>
      </c>
      <c r="R992" s="164">
        <f t="shared" si="67"/>
        <v>1334620142.4181151</v>
      </c>
      <c r="S992" s="164">
        <f t="shared" si="68"/>
        <v>-9241991.6941688135</v>
      </c>
      <c r="T992" s="159" t="str">
        <f t="shared" si="69"/>
        <v>TxPost-vaccination</v>
      </c>
      <c r="W992" s="139">
        <v>952</v>
      </c>
      <c r="X992" s="164">
        <f t="shared" si="70"/>
        <v>315849775.11961079</v>
      </c>
      <c r="Y992" s="159">
        <f t="shared" si="70"/>
        <v>101608.65346492254</v>
      </c>
    </row>
    <row r="993" spans="2:25" x14ac:dyDescent="0.25">
      <c r="B993" s="159">
        <v>953</v>
      </c>
      <c r="C993" s="164">
        <v>336945240.27942789</v>
      </c>
      <c r="D993" s="159">
        <v>62506.368266236204</v>
      </c>
      <c r="E993" s="164">
        <v>5459180.7532083597</v>
      </c>
      <c r="F993" s="159">
        <v>0</v>
      </c>
      <c r="I993" s="159">
        <v>953</v>
      </c>
      <c r="J993" s="164">
        <v>336945240.27942789</v>
      </c>
      <c r="K993" s="159">
        <v>62506.368266236204</v>
      </c>
      <c r="L993" s="164">
        <v>5459180.7532083597</v>
      </c>
      <c r="M993" s="159">
        <v>0</v>
      </c>
      <c r="Q993" s="139">
        <v>953</v>
      </c>
      <c r="R993" s="164">
        <f t="shared" si="67"/>
        <v>684056025.62280107</v>
      </c>
      <c r="S993" s="164">
        <f t="shared" si="68"/>
        <v>-5459180.7532083597</v>
      </c>
      <c r="T993" s="159" t="str">
        <f t="shared" si="69"/>
        <v>TxPost-vaccination</v>
      </c>
      <c r="W993" s="139">
        <v>953</v>
      </c>
      <c r="X993" s="164">
        <f t="shared" si="70"/>
        <v>331486059.52621955</v>
      </c>
      <c r="Y993" s="159">
        <f t="shared" si="70"/>
        <v>62506.368266236204</v>
      </c>
    </row>
    <row r="994" spans="2:25" x14ac:dyDescent="0.25">
      <c r="B994" s="159">
        <v>954</v>
      </c>
      <c r="C994" s="164">
        <v>289314690.70470345</v>
      </c>
      <c r="D994" s="159">
        <v>88319.365785795555</v>
      </c>
      <c r="E994" s="164">
        <v>7902951.1745943464</v>
      </c>
      <c r="F994" s="159">
        <v>0</v>
      </c>
      <c r="I994" s="159">
        <v>954</v>
      </c>
      <c r="J994" s="164">
        <v>289314690.70470345</v>
      </c>
      <c r="K994" s="159">
        <v>88319.365785795555</v>
      </c>
      <c r="L994" s="164">
        <v>7902951.1745943464</v>
      </c>
      <c r="M994" s="159">
        <v>0</v>
      </c>
      <c r="Q994" s="139">
        <v>954</v>
      </c>
      <c r="R994" s="164">
        <f t="shared" si="67"/>
        <v>1153325263.785954</v>
      </c>
      <c r="S994" s="164">
        <f t="shared" si="68"/>
        <v>-7902951.1745943464</v>
      </c>
      <c r="T994" s="159" t="str">
        <f t="shared" si="69"/>
        <v>TxPost-vaccination</v>
      </c>
      <c r="W994" s="139">
        <v>954</v>
      </c>
      <c r="X994" s="164">
        <f t="shared" si="70"/>
        <v>281411739.53010911</v>
      </c>
      <c r="Y994" s="159">
        <f t="shared" si="70"/>
        <v>88319.365785795555</v>
      </c>
    </row>
    <row r="995" spans="2:25" x14ac:dyDescent="0.25">
      <c r="B995" s="159">
        <v>955</v>
      </c>
      <c r="C995" s="164">
        <v>306019683.9901731</v>
      </c>
      <c r="D995" s="159">
        <v>51692.078481764707</v>
      </c>
      <c r="E995" s="164">
        <v>6292987.741581643</v>
      </c>
      <c r="F995" s="159">
        <v>0</v>
      </c>
      <c r="I995" s="159">
        <v>955</v>
      </c>
      <c r="J995" s="164">
        <v>306019683.9901731</v>
      </c>
      <c r="K995" s="159">
        <v>51692.078481764707</v>
      </c>
      <c r="L995" s="164">
        <v>6292987.741581643</v>
      </c>
      <c r="M995" s="159">
        <v>0</v>
      </c>
      <c r="Q995" s="139">
        <v>955</v>
      </c>
      <c r="R995" s="164">
        <f t="shared" si="67"/>
        <v>538337123.65862179</v>
      </c>
      <c r="S995" s="164">
        <f t="shared" si="68"/>
        <v>-6292987.741581643</v>
      </c>
      <c r="T995" s="159" t="str">
        <f t="shared" si="69"/>
        <v>TxPost-vaccination</v>
      </c>
      <c r="W995" s="139">
        <v>955</v>
      </c>
      <c r="X995" s="164">
        <f t="shared" si="70"/>
        <v>299726696.24859148</v>
      </c>
      <c r="Y995" s="159">
        <f t="shared" si="70"/>
        <v>51692.078481764707</v>
      </c>
    </row>
    <row r="996" spans="2:25" x14ac:dyDescent="0.25">
      <c r="B996" s="159">
        <v>956</v>
      </c>
      <c r="C996" s="164">
        <v>307362594.88927394</v>
      </c>
      <c r="D996" s="159">
        <v>72160.481485924451</v>
      </c>
      <c r="E996" s="164">
        <v>7743392.7994074421</v>
      </c>
      <c r="F996" s="159">
        <v>0</v>
      </c>
      <c r="I996" s="159">
        <v>956</v>
      </c>
      <c r="J996" s="164">
        <v>307362594.88927394</v>
      </c>
      <c r="K996" s="159">
        <v>72160.481485924451</v>
      </c>
      <c r="L996" s="164">
        <v>7743392.7994074421</v>
      </c>
      <c r="M996" s="159">
        <v>0</v>
      </c>
      <c r="Q996" s="139">
        <v>956</v>
      </c>
      <c r="R996" s="164">
        <f t="shared" si="67"/>
        <v>871332392.3387785</v>
      </c>
      <c r="S996" s="164">
        <f t="shared" si="68"/>
        <v>-7743392.7994074421</v>
      </c>
      <c r="T996" s="159" t="str">
        <f t="shared" si="69"/>
        <v>TxPost-vaccination</v>
      </c>
      <c r="W996" s="139">
        <v>956</v>
      </c>
      <c r="X996" s="164">
        <f t="shared" si="70"/>
        <v>299619202.08986652</v>
      </c>
      <c r="Y996" s="159">
        <f t="shared" si="70"/>
        <v>72160.481485924451</v>
      </c>
    </row>
    <row r="997" spans="2:25" x14ac:dyDescent="0.25">
      <c r="B997" s="159">
        <v>957</v>
      </c>
      <c r="C997" s="164">
        <v>333753445.22788846</v>
      </c>
      <c r="D997" s="159">
        <v>86547.519064321328</v>
      </c>
      <c r="E997" s="164">
        <v>7841964.5152272778</v>
      </c>
      <c r="F997" s="159">
        <v>0</v>
      </c>
      <c r="I997" s="159">
        <v>957</v>
      </c>
      <c r="J997" s="164">
        <v>333753445.22788846</v>
      </c>
      <c r="K997" s="159">
        <v>86547.519064321328</v>
      </c>
      <c r="L997" s="164">
        <v>7841964.5152272778</v>
      </c>
      <c r="M997" s="159">
        <v>0</v>
      </c>
      <c r="Q997" s="139">
        <v>957</v>
      </c>
      <c r="R997" s="164">
        <f t="shared" si="67"/>
        <v>1079944534.2962422</v>
      </c>
      <c r="S997" s="164">
        <f t="shared" si="68"/>
        <v>-7841964.5152272778</v>
      </c>
      <c r="T997" s="159" t="str">
        <f t="shared" si="69"/>
        <v>TxPost-vaccination</v>
      </c>
      <c r="W997" s="139">
        <v>957</v>
      </c>
      <c r="X997" s="164">
        <f t="shared" si="70"/>
        <v>325911480.71266121</v>
      </c>
      <c r="Y997" s="159">
        <f t="shared" si="70"/>
        <v>86547.519064321328</v>
      </c>
    </row>
    <row r="998" spans="2:25" x14ac:dyDescent="0.25">
      <c r="B998" s="159">
        <v>958</v>
      </c>
      <c r="C998" s="164">
        <v>295499361.90067178</v>
      </c>
      <c r="D998" s="159">
        <v>110266.22831377111</v>
      </c>
      <c r="E998" s="164">
        <v>9108908.7189648002</v>
      </c>
      <c r="F998" s="159">
        <v>0</v>
      </c>
      <c r="I998" s="159">
        <v>958</v>
      </c>
      <c r="J998" s="164">
        <v>295499361.90067178</v>
      </c>
      <c r="K998" s="159">
        <v>110266.22831377111</v>
      </c>
      <c r="L998" s="164">
        <v>9108908.7189648002</v>
      </c>
      <c r="M998" s="159">
        <v>0</v>
      </c>
      <c r="Q998" s="139">
        <v>958</v>
      </c>
      <c r="R998" s="164">
        <f t="shared" si="67"/>
        <v>1505628456.2297797</v>
      </c>
      <c r="S998" s="164">
        <f t="shared" si="68"/>
        <v>-9108908.7189648002</v>
      </c>
      <c r="T998" s="159" t="str">
        <f t="shared" si="69"/>
        <v>TxPost-vaccination</v>
      </c>
      <c r="W998" s="139">
        <v>958</v>
      </c>
      <c r="X998" s="164">
        <f t="shared" si="70"/>
        <v>286390453.18170696</v>
      </c>
      <c r="Y998" s="159">
        <f t="shared" si="70"/>
        <v>110266.22831377111</v>
      </c>
    </row>
    <row r="999" spans="2:25" x14ac:dyDescent="0.25">
      <c r="B999" s="159">
        <v>959</v>
      </c>
      <c r="C999" s="164">
        <v>307482455.9965896</v>
      </c>
      <c r="D999" s="159">
        <v>106574.11451504972</v>
      </c>
      <c r="E999" s="164">
        <v>10171082.642694712</v>
      </c>
      <c r="F999" s="159">
        <v>0</v>
      </c>
      <c r="I999" s="159">
        <v>959</v>
      </c>
      <c r="J999" s="164">
        <v>307482455.9965896</v>
      </c>
      <c r="K999" s="159">
        <v>106574.11451504972</v>
      </c>
      <c r="L999" s="164">
        <v>10171082.642694712</v>
      </c>
      <c r="M999" s="159">
        <v>0</v>
      </c>
      <c r="Q999" s="139">
        <v>959</v>
      </c>
      <c r="R999" s="164">
        <f t="shared" si="67"/>
        <v>1433337061.2853246</v>
      </c>
      <c r="S999" s="164">
        <f t="shared" si="68"/>
        <v>-10171082.642694712</v>
      </c>
      <c r="T999" s="159" t="str">
        <f t="shared" si="69"/>
        <v>TxPost-vaccination</v>
      </c>
      <c r="W999" s="139">
        <v>959</v>
      </c>
      <c r="X999" s="164">
        <f t="shared" si="70"/>
        <v>297311373.35389489</v>
      </c>
      <c r="Y999" s="159">
        <f t="shared" si="70"/>
        <v>106574.11451504972</v>
      </c>
    </row>
    <row r="1000" spans="2:25" x14ac:dyDescent="0.25">
      <c r="B1000" s="159">
        <v>960</v>
      </c>
      <c r="C1000" s="164">
        <v>300951640.5264914</v>
      </c>
      <c r="D1000" s="159">
        <v>109160.18800208725</v>
      </c>
      <c r="E1000" s="164">
        <v>8887222.3540952522</v>
      </c>
      <c r="F1000" s="159">
        <v>0</v>
      </c>
      <c r="I1000" s="159">
        <v>960</v>
      </c>
      <c r="J1000" s="164">
        <v>300951640.5264914</v>
      </c>
      <c r="K1000" s="159">
        <v>109160.18800208725</v>
      </c>
      <c r="L1000" s="164">
        <v>8887222.3540952522</v>
      </c>
      <c r="M1000" s="159">
        <v>0</v>
      </c>
      <c r="Q1000" s="139">
        <v>960</v>
      </c>
      <c r="R1000" s="164">
        <f t="shared" si="67"/>
        <v>1482109721.5021086</v>
      </c>
      <c r="S1000" s="164">
        <f t="shared" si="68"/>
        <v>-8887222.3540952522</v>
      </c>
      <c r="T1000" s="159" t="str">
        <f t="shared" si="69"/>
        <v>TxPost-vaccination</v>
      </c>
      <c r="W1000" s="139">
        <v>960</v>
      </c>
      <c r="X1000" s="164">
        <f t="shared" si="70"/>
        <v>292064418.17239612</v>
      </c>
      <c r="Y1000" s="159">
        <f t="shared" si="70"/>
        <v>109160.18800208725</v>
      </c>
    </row>
    <row r="1001" spans="2:25" x14ac:dyDescent="0.25">
      <c r="B1001" s="159">
        <v>961</v>
      </c>
      <c r="C1001" s="164">
        <v>338018624.63200164</v>
      </c>
      <c r="D1001" s="159">
        <v>71704.104492079336</v>
      </c>
      <c r="E1001" s="164">
        <v>6648286.3042864874</v>
      </c>
      <c r="F1001" s="159">
        <v>0</v>
      </c>
      <c r="I1001" s="159">
        <v>961</v>
      </c>
      <c r="J1001" s="164">
        <v>338018624.63200164</v>
      </c>
      <c r="K1001" s="159">
        <v>71704.104492079336</v>
      </c>
      <c r="L1001" s="164">
        <v>6648286.3042864874</v>
      </c>
      <c r="M1001" s="159">
        <v>0</v>
      </c>
      <c r="Q1001" s="139">
        <v>961</v>
      </c>
      <c r="R1001" s="164">
        <f t="shared" ref="R1001:R1040" si="71">K1001*threshold-J1001</f>
        <v>833221738.34944868</v>
      </c>
      <c r="S1001" s="164">
        <f t="shared" ref="S1001:S1040" si="72">M1001*threshold-L1001</f>
        <v>-6648286.3042864874</v>
      </c>
      <c r="T1001" s="159" t="str">
        <f t="shared" si="69"/>
        <v>TxPost-vaccination</v>
      </c>
      <c r="W1001" s="139">
        <v>961</v>
      </c>
      <c r="X1001" s="164">
        <f t="shared" si="70"/>
        <v>331370338.32771516</v>
      </c>
      <c r="Y1001" s="159">
        <f t="shared" si="70"/>
        <v>71704.104492079336</v>
      </c>
    </row>
    <row r="1002" spans="2:25" x14ac:dyDescent="0.25">
      <c r="B1002" s="159">
        <v>962</v>
      </c>
      <c r="C1002" s="164">
        <v>313646722.1888184</v>
      </c>
      <c r="D1002" s="159">
        <v>68042.655513968799</v>
      </c>
      <c r="E1002" s="164">
        <v>6882677.6377309067</v>
      </c>
      <c r="F1002" s="159">
        <v>0</v>
      </c>
      <c r="I1002" s="159">
        <v>962</v>
      </c>
      <c r="J1002" s="164">
        <v>313646722.1888184</v>
      </c>
      <c r="K1002" s="159">
        <v>68042.655513968799</v>
      </c>
      <c r="L1002" s="164">
        <v>6882677.6377309067</v>
      </c>
      <c r="M1002" s="159">
        <v>0</v>
      </c>
      <c r="Q1002" s="139">
        <v>962</v>
      </c>
      <c r="R1002" s="164">
        <f t="shared" si="71"/>
        <v>797786230.03786874</v>
      </c>
      <c r="S1002" s="164">
        <f t="shared" si="72"/>
        <v>-6882677.6377309067</v>
      </c>
      <c r="T1002" s="159" t="str">
        <f t="shared" ref="T1002:T1040" si="73">IF(R1002&gt;S1002,"TxPost-vaccination",IF(S1002&gt;R1002,"TxPre-vaccination","either"))</f>
        <v>TxPost-vaccination</v>
      </c>
      <c r="W1002" s="139">
        <v>962</v>
      </c>
      <c r="X1002" s="164">
        <f t="shared" ref="X1002:Y1040" si="74">J1002-L1002</f>
        <v>306764044.5510875</v>
      </c>
      <c r="Y1002" s="159">
        <f t="shared" si="74"/>
        <v>68042.655513968799</v>
      </c>
    </row>
    <row r="1003" spans="2:25" x14ac:dyDescent="0.25">
      <c r="B1003" s="159">
        <v>963</v>
      </c>
      <c r="C1003" s="164">
        <v>318415277.27762389</v>
      </c>
      <c r="D1003" s="159">
        <v>75173.511203867965</v>
      </c>
      <c r="E1003" s="164">
        <v>7154723.5069427574</v>
      </c>
      <c r="F1003" s="159">
        <v>0</v>
      </c>
      <c r="I1003" s="159">
        <v>963</v>
      </c>
      <c r="J1003" s="164">
        <v>318415277.27762389</v>
      </c>
      <c r="K1003" s="159">
        <v>75173.511203867965</v>
      </c>
      <c r="L1003" s="164">
        <v>7154723.5069427574</v>
      </c>
      <c r="M1003" s="159">
        <v>0</v>
      </c>
      <c r="Q1003" s="139">
        <v>963</v>
      </c>
      <c r="R1003" s="164">
        <f t="shared" si="71"/>
        <v>909495609.73072457</v>
      </c>
      <c r="S1003" s="164">
        <f t="shared" si="72"/>
        <v>-7154723.5069427574</v>
      </c>
      <c r="T1003" s="159" t="str">
        <f t="shared" si="73"/>
        <v>TxPost-vaccination</v>
      </c>
      <c r="W1003" s="139">
        <v>963</v>
      </c>
      <c r="X1003" s="164">
        <f t="shared" si="74"/>
        <v>311260553.77068114</v>
      </c>
      <c r="Y1003" s="159">
        <f t="shared" si="74"/>
        <v>75173.511203867965</v>
      </c>
    </row>
    <row r="1004" spans="2:25" x14ac:dyDescent="0.25">
      <c r="B1004" s="159">
        <v>964</v>
      </c>
      <c r="C1004" s="164">
        <v>306493185.77151912</v>
      </c>
      <c r="D1004" s="159">
        <v>110616.69695098235</v>
      </c>
      <c r="E1004" s="164">
        <v>10090054.727386314</v>
      </c>
      <c r="F1004" s="159">
        <v>0</v>
      </c>
      <c r="I1004" s="159">
        <v>964</v>
      </c>
      <c r="J1004" s="164">
        <v>306493185.77151912</v>
      </c>
      <c r="K1004" s="159">
        <v>110616.69695098235</v>
      </c>
      <c r="L1004" s="164">
        <v>10090054.727386314</v>
      </c>
      <c r="M1004" s="159">
        <v>0</v>
      </c>
      <c r="Q1004" s="139">
        <v>964</v>
      </c>
      <c r="R1004" s="164">
        <f t="shared" si="71"/>
        <v>1500359311.8144333</v>
      </c>
      <c r="S1004" s="164">
        <f t="shared" si="72"/>
        <v>-10090054.727386314</v>
      </c>
      <c r="T1004" s="159" t="str">
        <f t="shared" si="73"/>
        <v>TxPost-vaccination</v>
      </c>
      <c r="W1004" s="139">
        <v>964</v>
      </c>
      <c r="X1004" s="164">
        <f t="shared" si="74"/>
        <v>296403131.04413283</v>
      </c>
      <c r="Y1004" s="159">
        <f t="shared" si="74"/>
        <v>110616.69695098235</v>
      </c>
    </row>
    <row r="1005" spans="2:25" x14ac:dyDescent="0.25">
      <c r="B1005" s="159">
        <v>965</v>
      </c>
      <c r="C1005" s="164">
        <v>303271091.83957988</v>
      </c>
      <c r="D1005" s="159">
        <v>99942.822873645404</v>
      </c>
      <c r="E1005" s="164">
        <v>7972006.5481684385</v>
      </c>
      <c r="F1005" s="159">
        <v>0</v>
      </c>
      <c r="I1005" s="159">
        <v>965</v>
      </c>
      <c r="J1005" s="164">
        <v>303271091.83957988</v>
      </c>
      <c r="K1005" s="159">
        <v>99942.822873645404</v>
      </c>
      <c r="L1005" s="164">
        <v>7972006.5481684385</v>
      </c>
      <c r="M1005" s="159">
        <v>0</v>
      </c>
      <c r="Q1005" s="139">
        <v>965</v>
      </c>
      <c r="R1005" s="164">
        <f t="shared" si="71"/>
        <v>1329230547.6286287</v>
      </c>
      <c r="S1005" s="164">
        <f t="shared" si="72"/>
        <v>-7972006.5481684385</v>
      </c>
      <c r="T1005" s="159" t="str">
        <f t="shared" si="73"/>
        <v>TxPost-vaccination</v>
      </c>
      <c r="W1005" s="139">
        <v>965</v>
      </c>
      <c r="X1005" s="164">
        <f t="shared" si="74"/>
        <v>295299085.29141146</v>
      </c>
      <c r="Y1005" s="159">
        <f t="shared" si="74"/>
        <v>99942.822873645404</v>
      </c>
    </row>
    <row r="1006" spans="2:25" x14ac:dyDescent="0.25">
      <c r="B1006" s="159">
        <v>966</v>
      </c>
      <c r="C1006" s="164">
        <v>302619816.38347441</v>
      </c>
      <c r="D1006" s="159">
        <v>77105.786252880105</v>
      </c>
      <c r="E1006" s="164">
        <v>6479152.4765271461</v>
      </c>
      <c r="F1006" s="159">
        <v>0</v>
      </c>
      <c r="I1006" s="159">
        <v>966</v>
      </c>
      <c r="J1006" s="164">
        <v>302619816.38347441</v>
      </c>
      <c r="K1006" s="159">
        <v>77105.786252880105</v>
      </c>
      <c r="L1006" s="164">
        <v>6479152.4765271461</v>
      </c>
      <c r="M1006" s="159">
        <v>0</v>
      </c>
      <c r="Q1006" s="139">
        <v>966</v>
      </c>
      <c r="R1006" s="164">
        <f t="shared" si="71"/>
        <v>956853538.99145103</v>
      </c>
      <c r="S1006" s="164">
        <f t="shared" si="72"/>
        <v>-6479152.4765271461</v>
      </c>
      <c r="T1006" s="159" t="str">
        <f t="shared" si="73"/>
        <v>TxPost-vaccination</v>
      </c>
      <c r="W1006" s="139">
        <v>966</v>
      </c>
      <c r="X1006" s="164">
        <f t="shared" si="74"/>
        <v>296140663.90694726</v>
      </c>
      <c r="Y1006" s="159">
        <f t="shared" si="74"/>
        <v>77105.786252880105</v>
      </c>
    </row>
    <row r="1007" spans="2:25" x14ac:dyDescent="0.25">
      <c r="B1007" s="159">
        <v>967</v>
      </c>
      <c r="C1007" s="164">
        <v>294045901.66191548</v>
      </c>
      <c r="D1007" s="159">
        <v>87068.055484703727</v>
      </c>
      <c r="E1007" s="164">
        <v>7889542.9472588832</v>
      </c>
      <c r="F1007" s="159">
        <v>0</v>
      </c>
      <c r="I1007" s="159">
        <v>967</v>
      </c>
      <c r="J1007" s="164">
        <v>294045901.66191548</v>
      </c>
      <c r="K1007" s="159">
        <v>87068.055484703727</v>
      </c>
      <c r="L1007" s="164">
        <v>7889542.9472588832</v>
      </c>
      <c r="M1007" s="159">
        <v>0</v>
      </c>
      <c r="Q1007" s="139">
        <v>967</v>
      </c>
      <c r="R1007" s="164">
        <f t="shared" si="71"/>
        <v>1128154705.0168588</v>
      </c>
      <c r="S1007" s="164">
        <f t="shared" si="72"/>
        <v>-7889542.9472588832</v>
      </c>
      <c r="T1007" s="159" t="str">
        <f t="shared" si="73"/>
        <v>TxPost-vaccination</v>
      </c>
      <c r="W1007" s="139">
        <v>967</v>
      </c>
      <c r="X1007" s="164">
        <f t="shared" si="74"/>
        <v>286156358.71465659</v>
      </c>
      <c r="Y1007" s="159">
        <f t="shared" si="74"/>
        <v>87068.055484703727</v>
      </c>
    </row>
    <row r="1008" spans="2:25" x14ac:dyDescent="0.25">
      <c r="B1008" s="159">
        <v>968</v>
      </c>
      <c r="C1008" s="164">
        <v>305680681.57224035</v>
      </c>
      <c r="D1008" s="159">
        <v>110025.01342433695</v>
      </c>
      <c r="E1008" s="164">
        <v>8328232.3284516986</v>
      </c>
      <c r="F1008" s="159">
        <v>0</v>
      </c>
      <c r="I1008" s="159">
        <v>968</v>
      </c>
      <c r="J1008" s="164">
        <v>305680681.57224035</v>
      </c>
      <c r="K1008" s="159">
        <v>110025.01342433695</v>
      </c>
      <c r="L1008" s="164">
        <v>8328232.3284516986</v>
      </c>
      <c r="M1008" s="159">
        <v>0</v>
      </c>
      <c r="Q1008" s="139">
        <v>968</v>
      </c>
      <c r="R1008" s="164">
        <f t="shared" si="71"/>
        <v>1491507046.7034023</v>
      </c>
      <c r="S1008" s="164">
        <f t="shared" si="72"/>
        <v>-8328232.3284516986</v>
      </c>
      <c r="T1008" s="159" t="str">
        <f t="shared" si="73"/>
        <v>TxPost-vaccination</v>
      </c>
      <c r="W1008" s="139">
        <v>968</v>
      </c>
      <c r="X1008" s="164">
        <f t="shared" si="74"/>
        <v>297352449.24378866</v>
      </c>
      <c r="Y1008" s="159">
        <f t="shared" si="74"/>
        <v>110025.01342433695</v>
      </c>
    </row>
    <row r="1009" spans="2:25" x14ac:dyDescent="0.25">
      <c r="B1009" s="159">
        <v>969</v>
      </c>
      <c r="C1009" s="164">
        <v>310297044.82320589</v>
      </c>
      <c r="D1009" s="159">
        <v>87613.60797301124</v>
      </c>
      <c r="E1009" s="164">
        <v>8396789.0929613728</v>
      </c>
      <c r="F1009" s="159">
        <v>0</v>
      </c>
      <c r="I1009" s="159">
        <v>969</v>
      </c>
      <c r="J1009" s="164">
        <v>310297044.82320589</v>
      </c>
      <c r="K1009" s="159">
        <v>87613.60797301124</v>
      </c>
      <c r="L1009" s="164">
        <v>8396789.0929613728</v>
      </c>
      <c r="M1009" s="159">
        <v>0</v>
      </c>
      <c r="Q1009" s="139">
        <v>969</v>
      </c>
      <c r="R1009" s="164">
        <f t="shared" si="71"/>
        <v>1120814810.3671694</v>
      </c>
      <c r="S1009" s="164">
        <f t="shared" si="72"/>
        <v>-8396789.0929613728</v>
      </c>
      <c r="T1009" s="159" t="str">
        <f t="shared" si="73"/>
        <v>TxPost-vaccination</v>
      </c>
      <c r="W1009" s="139">
        <v>969</v>
      </c>
      <c r="X1009" s="164">
        <f t="shared" si="74"/>
        <v>301900255.73024452</v>
      </c>
      <c r="Y1009" s="159">
        <f t="shared" si="74"/>
        <v>87613.60797301124</v>
      </c>
    </row>
    <row r="1010" spans="2:25" x14ac:dyDescent="0.25">
      <c r="B1010" s="159">
        <v>970</v>
      </c>
      <c r="C1010" s="164">
        <v>301457217.71652532</v>
      </c>
      <c r="D1010" s="159">
        <v>54391.834417851212</v>
      </c>
      <c r="E1010" s="164">
        <v>6007747.8572854428</v>
      </c>
      <c r="F1010" s="159">
        <v>0</v>
      </c>
      <c r="I1010" s="159">
        <v>970</v>
      </c>
      <c r="J1010" s="164">
        <v>301457217.71652532</v>
      </c>
      <c r="K1010" s="159">
        <v>54391.834417851212</v>
      </c>
      <c r="L1010" s="164">
        <v>6007747.8572854428</v>
      </c>
      <c r="M1010" s="159">
        <v>0</v>
      </c>
      <c r="Q1010" s="139">
        <v>970</v>
      </c>
      <c r="R1010" s="164">
        <f t="shared" si="71"/>
        <v>586998364.26244164</v>
      </c>
      <c r="S1010" s="164">
        <f t="shared" si="72"/>
        <v>-6007747.8572854428</v>
      </c>
      <c r="T1010" s="159" t="str">
        <f t="shared" si="73"/>
        <v>TxPost-vaccination</v>
      </c>
      <c r="W1010" s="139">
        <v>970</v>
      </c>
      <c r="X1010" s="164">
        <f t="shared" si="74"/>
        <v>295449469.85923988</v>
      </c>
      <c r="Y1010" s="159">
        <f t="shared" si="74"/>
        <v>54391.834417851212</v>
      </c>
    </row>
    <row r="1011" spans="2:25" x14ac:dyDescent="0.25">
      <c r="B1011" s="159">
        <v>971</v>
      </c>
      <c r="C1011" s="164">
        <v>306745247.88123596</v>
      </c>
      <c r="D1011" s="159">
        <v>140787.86423880569</v>
      </c>
      <c r="E1011" s="164">
        <v>11856722.204970026</v>
      </c>
      <c r="F1011" s="159">
        <v>0</v>
      </c>
      <c r="I1011" s="159">
        <v>971</v>
      </c>
      <c r="J1011" s="164">
        <v>306745247.88123596</v>
      </c>
      <c r="K1011" s="159">
        <v>140787.86423880569</v>
      </c>
      <c r="L1011" s="164">
        <v>11856722.204970026</v>
      </c>
      <c r="M1011" s="159">
        <v>0</v>
      </c>
      <c r="Q1011" s="139">
        <v>971</v>
      </c>
      <c r="R1011" s="164">
        <f t="shared" si="71"/>
        <v>1992933834.404171</v>
      </c>
      <c r="S1011" s="164">
        <f t="shared" si="72"/>
        <v>-11856722.204970026</v>
      </c>
      <c r="T1011" s="159" t="str">
        <f t="shared" si="73"/>
        <v>TxPost-vaccination</v>
      </c>
      <c r="W1011" s="139">
        <v>971</v>
      </c>
      <c r="X1011" s="164">
        <f t="shared" si="74"/>
        <v>294888525.67626595</v>
      </c>
      <c r="Y1011" s="159">
        <f t="shared" si="74"/>
        <v>140787.86423880569</v>
      </c>
    </row>
    <row r="1012" spans="2:25" x14ac:dyDescent="0.25">
      <c r="B1012" s="159">
        <v>972</v>
      </c>
      <c r="C1012" s="164">
        <v>308855902.89254206</v>
      </c>
      <c r="D1012" s="159">
        <v>72102.732545463135</v>
      </c>
      <c r="E1012" s="164">
        <v>6184635.9878136627</v>
      </c>
      <c r="F1012" s="159">
        <v>0</v>
      </c>
      <c r="I1012" s="159">
        <v>972</v>
      </c>
      <c r="J1012" s="164">
        <v>308855902.89254206</v>
      </c>
      <c r="K1012" s="159">
        <v>72102.732545463135</v>
      </c>
      <c r="L1012" s="164">
        <v>6184635.9878136627</v>
      </c>
      <c r="M1012" s="159">
        <v>0</v>
      </c>
      <c r="Q1012" s="139">
        <v>972</v>
      </c>
      <c r="R1012" s="164">
        <f t="shared" si="71"/>
        <v>868895792.58858967</v>
      </c>
      <c r="S1012" s="164">
        <f t="shared" si="72"/>
        <v>-6184635.9878136627</v>
      </c>
      <c r="T1012" s="159" t="str">
        <f t="shared" si="73"/>
        <v>TxPost-vaccination</v>
      </c>
      <c r="W1012" s="139">
        <v>972</v>
      </c>
      <c r="X1012" s="164">
        <f t="shared" si="74"/>
        <v>302671266.90472841</v>
      </c>
      <c r="Y1012" s="159">
        <f t="shared" si="74"/>
        <v>72102.732545463135</v>
      </c>
    </row>
    <row r="1013" spans="2:25" x14ac:dyDescent="0.25">
      <c r="B1013" s="159">
        <v>973</v>
      </c>
      <c r="C1013" s="164">
        <v>306934443.25098306</v>
      </c>
      <c r="D1013" s="159">
        <v>79079.766018530878</v>
      </c>
      <c r="E1013" s="164">
        <v>6952190.1049797749</v>
      </c>
      <c r="F1013" s="159">
        <v>0</v>
      </c>
      <c r="I1013" s="159">
        <v>973</v>
      </c>
      <c r="J1013" s="164">
        <v>306934443.25098306</v>
      </c>
      <c r="K1013" s="159">
        <v>79079.766018530878</v>
      </c>
      <c r="L1013" s="164">
        <v>6952190.1049797749</v>
      </c>
      <c r="M1013" s="159">
        <v>0</v>
      </c>
      <c r="Q1013" s="139">
        <v>973</v>
      </c>
      <c r="R1013" s="164">
        <f t="shared" si="71"/>
        <v>984782600.17522049</v>
      </c>
      <c r="S1013" s="164">
        <f t="shared" si="72"/>
        <v>-6952190.1049797749</v>
      </c>
      <c r="T1013" s="159" t="str">
        <f t="shared" si="73"/>
        <v>TxPost-vaccination</v>
      </c>
      <c r="W1013" s="139">
        <v>973</v>
      </c>
      <c r="X1013" s="164">
        <f t="shared" si="74"/>
        <v>299982253.14600331</v>
      </c>
      <c r="Y1013" s="159">
        <f t="shared" si="74"/>
        <v>79079.766018530878</v>
      </c>
    </row>
    <row r="1014" spans="2:25" x14ac:dyDescent="0.25">
      <c r="B1014" s="159">
        <v>974</v>
      </c>
      <c r="C1014" s="164">
        <v>291609582.06646907</v>
      </c>
      <c r="D1014" s="159">
        <v>96992.812098886585</v>
      </c>
      <c r="E1014" s="164">
        <v>9340200.9260067958</v>
      </c>
      <c r="F1014" s="159">
        <v>0</v>
      </c>
      <c r="I1014" s="159">
        <v>974</v>
      </c>
      <c r="J1014" s="164">
        <v>291609582.06646907</v>
      </c>
      <c r="K1014" s="159">
        <v>96992.812098886585</v>
      </c>
      <c r="L1014" s="164">
        <v>9340200.9260067958</v>
      </c>
      <c r="M1014" s="159">
        <v>0</v>
      </c>
      <c r="Q1014" s="139">
        <v>974</v>
      </c>
      <c r="R1014" s="164">
        <f t="shared" si="71"/>
        <v>1292705531.4684939</v>
      </c>
      <c r="S1014" s="164">
        <f t="shared" si="72"/>
        <v>-9340200.9260067958</v>
      </c>
      <c r="T1014" s="159" t="str">
        <f t="shared" si="73"/>
        <v>TxPost-vaccination</v>
      </c>
      <c r="W1014" s="139">
        <v>974</v>
      </c>
      <c r="X1014" s="164">
        <f t="shared" si="74"/>
        <v>282269381.14046228</v>
      </c>
      <c r="Y1014" s="159">
        <f t="shared" si="74"/>
        <v>96992.812098886585</v>
      </c>
    </row>
    <row r="1015" spans="2:25" x14ac:dyDescent="0.25">
      <c r="B1015" s="159">
        <v>975</v>
      </c>
      <c r="C1015" s="164">
        <v>320783939.94468373</v>
      </c>
      <c r="D1015" s="159">
        <v>56915.368147556517</v>
      </c>
      <c r="E1015" s="164">
        <v>7124180.4154991684</v>
      </c>
      <c r="F1015" s="159">
        <v>0</v>
      </c>
      <c r="I1015" s="159">
        <v>975</v>
      </c>
      <c r="J1015" s="164">
        <v>320783939.94468373</v>
      </c>
      <c r="K1015" s="159">
        <v>56915.368147556517</v>
      </c>
      <c r="L1015" s="164">
        <v>7124180.4154991684</v>
      </c>
      <c r="M1015" s="159">
        <v>0</v>
      </c>
      <c r="Q1015" s="139">
        <v>975</v>
      </c>
      <c r="R1015" s="164">
        <f t="shared" si="71"/>
        <v>608891940.12617922</v>
      </c>
      <c r="S1015" s="164">
        <f t="shared" si="72"/>
        <v>-7124180.4154991684</v>
      </c>
      <c r="T1015" s="159" t="str">
        <f t="shared" si="73"/>
        <v>TxPost-vaccination</v>
      </c>
      <c r="W1015" s="139">
        <v>975</v>
      </c>
      <c r="X1015" s="164">
        <f t="shared" si="74"/>
        <v>313659759.52918458</v>
      </c>
      <c r="Y1015" s="159">
        <f t="shared" si="74"/>
        <v>56915.368147556517</v>
      </c>
    </row>
    <row r="1016" spans="2:25" x14ac:dyDescent="0.25">
      <c r="B1016" s="159">
        <v>976</v>
      </c>
      <c r="C1016" s="164">
        <v>303819811.84054899</v>
      </c>
      <c r="D1016" s="159">
        <v>83267.248038115154</v>
      </c>
      <c r="E1016" s="164">
        <v>7096409.8865985433</v>
      </c>
      <c r="F1016" s="159">
        <v>0</v>
      </c>
      <c r="I1016" s="159">
        <v>976</v>
      </c>
      <c r="J1016" s="164">
        <v>303819811.84054899</v>
      </c>
      <c r="K1016" s="159">
        <v>83267.248038115154</v>
      </c>
      <c r="L1016" s="164">
        <v>7096409.8865985433</v>
      </c>
      <c r="M1016" s="159">
        <v>0</v>
      </c>
      <c r="Q1016" s="139">
        <v>976</v>
      </c>
      <c r="R1016" s="164">
        <f t="shared" si="71"/>
        <v>1056297053.2602694</v>
      </c>
      <c r="S1016" s="164">
        <f t="shared" si="72"/>
        <v>-7096409.8865985433</v>
      </c>
      <c r="T1016" s="159" t="str">
        <f t="shared" si="73"/>
        <v>TxPost-vaccination</v>
      </c>
      <c r="W1016" s="139">
        <v>976</v>
      </c>
      <c r="X1016" s="164">
        <f t="shared" si="74"/>
        <v>296723401.95395046</v>
      </c>
      <c r="Y1016" s="159">
        <f t="shared" si="74"/>
        <v>83267.248038115154</v>
      </c>
    </row>
    <row r="1017" spans="2:25" x14ac:dyDescent="0.25">
      <c r="B1017" s="159">
        <v>977</v>
      </c>
      <c r="C1017" s="164">
        <v>286095214.39882976</v>
      </c>
      <c r="D1017" s="159">
        <v>52896.090776168276</v>
      </c>
      <c r="E1017" s="164">
        <v>7459244.3612755705</v>
      </c>
      <c r="F1017" s="159">
        <v>0</v>
      </c>
      <c r="I1017" s="159">
        <v>977</v>
      </c>
      <c r="J1017" s="164">
        <v>286095214.39882976</v>
      </c>
      <c r="K1017" s="159">
        <v>52896.090776168276</v>
      </c>
      <c r="L1017" s="164">
        <v>7459244.3612755705</v>
      </c>
      <c r="M1017" s="159">
        <v>0</v>
      </c>
      <c r="Q1017" s="139">
        <v>977</v>
      </c>
      <c r="R1017" s="164">
        <f t="shared" si="71"/>
        <v>577928358.58676863</v>
      </c>
      <c r="S1017" s="164">
        <f t="shared" si="72"/>
        <v>-7459244.3612755705</v>
      </c>
      <c r="T1017" s="159" t="str">
        <f t="shared" si="73"/>
        <v>TxPost-vaccination</v>
      </c>
      <c r="W1017" s="139">
        <v>977</v>
      </c>
      <c r="X1017" s="164">
        <f t="shared" si="74"/>
        <v>278635970.0375542</v>
      </c>
      <c r="Y1017" s="159">
        <f t="shared" si="74"/>
        <v>52896.090776168276</v>
      </c>
    </row>
    <row r="1018" spans="2:25" x14ac:dyDescent="0.25">
      <c r="B1018" s="159">
        <v>978</v>
      </c>
      <c r="C1018" s="164">
        <v>312555630.47415763</v>
      </c>
      <c r="D1018" s="159">
        <v>101897.16861042964</v>
      </c>
      <c r="E1018" s="164">
        <v>7681292.0695536062</v>
      </c>
      <c r="F1018" s="159">
        <v>0</v>
      </c>
      <c r="I1018" s="159">
        <v>978</v>
      </c>
      <c r="J1018" s="164">
        <v>312555630.47415763</v>
      </c>
      <c r="K1018" s="159">
        <v>101897.16861042964</v>
      </c>
      <c r="L1018" s="164">
        <v>7681292.0695536062</v>
      </c>
      <c r="M1018" s="159">
        <v>0</v>
      </c>
      <c r="Q1018" s="139">
        <v>978</v>
      </c>
      <c r="R1018" s="164">
        <f t="shared" si="71"/>
        <v>1351868987.8298757</v>
      </c>
      <c r="S1018" s="164">
        <f t="shared" si="72"/>
        <v>-7681292.0695536062</v>
      </c>
      <c r="T1018" s="159" t="str">
        <f t="shared" si="73"/>
        <v>TxPost-vaccination</v>
      </c>
      <c r="W1018" s="139">
        <v>978</v>
      </c>
      <c r="X1018" s="164">
        <f t="shared" si="74"/>
        <v>304874338.40460402</v>
      </c>
      <c r="Y1018" s="159">
        <f t="shared" si="74"/>
        <v>101897.16861042964</v>
      </c>
    </row>
    <row r="1019" spans="2:25" x14ac:dyDescent="0.25">
      <c r="B1019" s="159">
        <v>979</v>
      </c>
      <c r="C1019" s="164">
        <v>319682347.41035521</v>
      </c>
      <c r="D1019" s="159">
        <v>89269.115387499871</v>
      </c>
      <c r="E1019" s="164">
        <v>8380539.7556278426</v>
      </c>
      <c r="F1019" s="159">
        <v>0</v>
      </c>
      <c r="I1019" s="159">
        <v>979</v>
      </c>
      <c r="J1019" s="164">
        <v>319682347.41035521</v>
      </c>
      <c r="K1019" s="159">
        <v>89269.115387499871</v>
      </c>
      <c r="L1019" s="164">
        <v>8380539.7556278426</v>
      </c>
      <c r="M1019" s="159">
        <v>0</v>
      </c>
      <c r="Q1019" s="139">
        <v>979</v>
      </c>
      <c r="R1019" s="164">
        <f t="shared" si="71"/>
        <v>1138471155.0999212</v>
      </c>
      <c r="S1019" s="164">
        <f t="shared" si="72"/>
        <v>-8380539.7556278426</v>
      </c>
      <c r="T1019" s="159" t="str">
        <f t="shared" si="73"/>
        <v>TxPost-vaccination</v>
      </c>
      <c r="W1019" s="139">
        <v>979</v>
      </c>
      <c r="X1019" s="164">
        <f t="shared" si="74"/>
        <v>311301807.65472734</v>
      </c>
      <c r="Y1019" s="159">
        <f t="shared" si="74"/>
        <v>89269.115387499871</v>
      </c>
    </row>
    <row r="1020" spans="2:25" x14ac:dyDescent="0.25">
      <c r="B1020" s="159">
        <v>980</v>
      </c>
      <c r="C1020" s="164">
        <v>305918315.79910272</v>
      </c>
      <c r="D1020" s="159">
        <v>94092.423502843943</v>
      </c>
      <c r="E1020" s="164">
        <v>7302664.4329348644</v>
      </c>
      <c r="F1020" s="159">
        <v>0</v>
      </c>
      <c r="I1020" s="159">
        <v>980</v>
      </c>
      <c r="J1020" s="164">
        <v>305918315.79910272</v>
      </c>
      <c r="K1020" s="159">
        <v>94092.423502843943</v>
      </c>
      <c r="L1020" s="164">
        <v>7302664.4329348644</v>
      </c>
      <c r="M1020" s="159">
        <v>0</v>
      </c>
      <c r="Q1020" s="139">
        <v>980</v>
      </c>
      <c r="R1020" s="164">
        <f t="shared" si="71"/>
        <v>1231020818.1307948</v>
      </c>
      <c r="S1020" s="164">
        <f t="shared" si="72"/>
        <v>-7302664.4329348644</v>
      </c>
      <c r="T1020" s="159" t="str">
        <f t="shared" si="73"/>
        <v>TxPost-vaccination</v>
      </c>
      <c r="W1020" s="139">
        <v>980</v>
      </c>
      <c r="X1020" s="164">
        <f t="shared" si="74"/>
        <v>298615651.36616784</v>
      </c>
      <c r="Y1020" s="159">
        <f t="shared" si="74"/>
        <v>94092.423502843943</v>
      </c>
    </row>
    <row r="1021" spans="2:25" x14ac:dyDescent="0.25">
      <c r="B1021" s="159">
        <v>981</v>
      </c>
      <c r="C1021" s="164">
        <v>301919010.8790552</v>
      </c>
      <c r="D1021" s="159">
        <v>82849.823508029323</v>
      </c>
      <c r="E1021" s="164">
        <v>7826531.7584806168</v>
      </c>
      <c r="F1021" s="159">
        <v>0</v>
      </c>
      <c r="I1021" s="159">
        <v>981</v>
      </c>
      <c r="J1021" s="164">
        <v>301919010.8790552</v>
      </c>
      <c r="K1021" s="159">
        <v>82849.823508029323</v>
      </c>
      <c r="L1021" s="164">
        <v>7826531.7584806168</v>
      </c>
      <c r="M1021" s="159">
        <v>0</v>
      </c>
      <c r="Q1021" s="139">
        <v>981</v>
      </c>
      <c r="R1021" s="164">
        <f t="shared" si="71"/>
        <v>1051379493.3817768</v>
      </c>
      <c r="S1021" s="164">
        <f t="shared" si="72"/>
        <v>-7826531.7584806168</v>
      </c>
      <c r="T1021" s="159" t="str">
        <f t="shared" si="73"/>
        <v>TxPost-vaccination</v>
      </c>
      <c r="W1021" s="139">
        <v>981</v>
      </c>
      <c r="X1021" s="164">
        <f t="shared" si="74"/>
        <v>294092479.12057459</v>
      </c>
      <c r="Y1021" s="159">
        <f t="shared" si="74"/>
        <v>82849.823508029323</v>
      </c>
    </row>
    <row r="1022" spans="2:25" x14ac:dyDescent="0.25">
      <c r="B1022" s="159">
        <v>982</v>
      </c>
      <c r="C1022" s="164">
        <v>331576966.33200294</v>
      </c>
      <c r="D1022" s="159">
        <v>140940.06207214552</v>
      </c>
      <c r="E1022" s="164">
        <v>11908630.68279279</v>
      </c>
      <c r="F1022" s="159">
        <v>0</v>
      </c>
      <c r="I1022" s="159">
        <v>982</v>
      </c>
      <c r="J1022" s="164">
        <v>331576966.33200294</v>
      </c>
      <c r="K1022" s="159">
        <v>140940.06207214552</v>
      </c>
      <c r="L1022" s="164">
        <v>11908630.68279279</v>
      </c>
      <c r="M1022" s="159">
        <v>0</v>
      </c>
      <c r="Q1022" s="139">
        <v>982</v>
      </c>
      <c r="R1022" s="164">
        <f t="shared" si="71"/>
        <v>1970588169.5319078</v>
      </c>
      <c r="S1022" s="164">
        <f t="shared" si="72"/>
        <v>-11908630.68279279</v>
      </c>
      <c r="T1022" s="159" t="str">
        <f t="shared" si="73"/>
        <v>TxPost-vaccination</v>
      </c>
      <c r="W1022" s="139">
        <v>982</v>
      </c>
      <c r="X1022" s="164">
        <f t="shared" si="74"/>
        <v>319668335.64921016</v>
      </c>
      <c r="Y1022" s="159">
        <f t="shared" si="74"/>
        <v>140940.06207214552</v>
      </c>
    </row>
    <row r="1023" spans="2:25" x14ac:dyDescent="0.25">
      <c r="B1023" s="159">
        <v>983</v>
      </c>
      <c r="C1023" s="164">
        <v>304908030.7969352</v>
      </c>
      <c r="D1023" s="159">
        <v>67705.478955585975</v>
      </c>
      <c r="E1023" s="164">
        <v>6470973.0782030141</v>
      </c>
      <c r="F1023" s="159">
        <v>0</v>
      </c>
      <c r="I1023" s="159">
        <v>983</v>
      </c>
      <c r="J1023" s="164">
        <v>304908030.7969352</v>
      </c>
      <c r="K1023" s="159">
        <v>67705.478955585975</v>
      </c>
      <c r="L1023" s="164">
        <v>6470973.0782030141</v>
      </c>
      <c r="M1023" s="159">
        <v>0</v>
      </c>
      <c r="Q1023" s="139">
        <v>983</v>
      </c>
      <c r="R1023" s="164">
        <f t="shared" si="71"/>
        <v>801017359.52061808</v>
      </c>
      <c r="S1023" s="164">
        <f t="shared" si="72"/>
        <v>-6470973.0782030141</v>
      </c>
      <c r="T1023" s="159" t="str">
        <f t="shared" si="73"/>
        <v>TxPost-vaccination</v>
      </c>
      <c r="W1023" s="139">
        <v>983</v>
      </c>
      <c r="X1023" s="164">
        <f t="shared" si="74"/>
        <v>298437057.71873218</v>
      </c>
      <c r="Y1023" s="159">
        <f t="shared" si="74"/>
        <v>67705.478955585975</v>
      </c>
    </row>
    <row r="1024" spans="2:25" x14ac:dyDescent="0.25">
      <c r="B1024" s="159">
        <v>984</v>
      </c>
      <c r="C1024" s="164">
        <v>340008043.43062812</v>
      </c>
      <c r="D1024" s="159">
        <v>111656.74555054821</v>
      </c>
      <c r="E1024" s="164">
        <v>9603917.1229607984</v>
      </c>
      <c r="F1024" s="159">
        <v>0</v>
      </c>
      <c r="I1024" s="159">
        <v>984</v>
      </c>
      <c r="J1024" s="164">
        <v>340008043.43062812</v>
      </c>
      <c r="K1024" s="159">
        <v>111656.74555054821</v>
      </c>
      <c r="L1024" s="164">
        <v>9603917.1229607984</v>
      </c>
      <c r="M1024" s="159">
        <v>0</v>
      </c>
      <c r="Q1024" s="139">
        <v>984</v>
      </c>
      <c r="R1024" s="164">
        <f t="shared" si="71"/>
        <v>1483832978.1443303</v>
      </c>
      <c r="S1024" s="164">
        <f t="shared" si="72"/>
        <v>-9603917.1229607984</v>
      </c>
      <c r="T1024" s="159" t="str">
        <f t="shared" si="73"/>
        <v>TxPost-vaccination</v>
      </c>
      <c r="W1024" s="139">
        <v>984</v>
      </c>
      <c r="X1024" s="164">
        <f t="shared" si="74"/>
        <v>330404126.30766732</v>
      </c>
      <c r="Y1024" s="159">
        <f t="shared" si="74"/>
        <v>111656.74555054821</v>
      </c>
    </row>
    <row r="1025" spans="2:25" x14ac:dyDescent="0.25">
      <c r="B1025" s="159">
        <v>985</v>
      </c>
      <c r="C1025" s="164">
        <v>290481062.85942596</v>
      </c>
      <c r="D1025" s="159">
        <v>88056.092396848137</v>
      </c>
      <c r="E1025" s="164">
        <v>8058630.6560197026</v>
      </c>
      <c r="F1025" s="159">
        <v>0</v>
      </c>
      <c r="I1025" s="159">
        <v>985</v>
      </c>
      <c r="J1025" s="164">
        <v>290481062.85942596</v>
      </c>
      <c r="K1025" s="159">
        <v>88056.092396848137</v>
      </c>
      <c r="L1025" s="164">
        <v>8058630.6560197026</v>
      </c>
      <c r="M1025" s="159">
        <v>0</v>
      </c>
      <c r="Q1025" s="139">
        <v>985</v>
      </c>
      <c r="R1025" s="164">
        <f t="shared" si="71"/>
        <v>1147858490.3945324</v>
      </c>
      <c r="S1025" s="164">
        <f t="shared" si="72"/>
        <v>-8058630.6560197026</v>
      </c>
      <c r="T1025" s="159" t="str">
        <f t="shared" si="73"/>
        <v>TxPost-vaccination</v>
      </c>
      <c r="W1025" s="139">
        <v>985</v>
      </c>
      <c r="X1025" s="164">
        <f t="shared" si="74"/>
        <v>282422432.20340627</v>
      </c>
      <c r="Y1025" s="159">
        <f t="shared" si="74"/>
        <v>88056.092396848137</v>
      </c>
    </row>
    <row r="1026" spans="2:25" x14ac:dyDescent="0.25">
      <c r="B1026" s="159">
        <v>986</v>
      </c>
      <c r="C1026" s="164">
        <v>297778528.83111322</v>
      </c>
      <c r="D1026" s="159">
        <v>71258.426677799478</v>
      </c>
      <c r="E1026" s="164">
        <v>6556059.5537351407</v>
      </c>
      <c r="F1026" s="159">
        <v>0</v>
      </c>
      <c r="I1026" s="159">
        <v>986</v>
      </c>
      <c r="J1026" s="164">
        <v>297778528.83111322</v>
      </c>
      <c r="K1026" s="159">
        <v>71258.426677799478</v>
      </c>
      <c r="L1026" s="164">
        <v>6556059.5537351407</v>
      </c>
      <c r="M1026" s="159">
        <v>0</v>
      </c>
      <c r="Q1026" s="139">
        <v>986</v>
      </c>
      <c r="R1026" s="164">
        <f t="shared" si="71"/>
        <v>866181974.11069906</v>
      </c>
      <c r="S1026" s="164">
        <f t="shared" si="72"/>
        <v>-6556059.5537351407</v>
      </c>
      <c r="T1026" s="159" t="str">
        <f t="shared" si="73"/>
        <v>TxPost-vaccination</v>
      </c>
      <c r="W1026" s="139">
        <v>986</v>
      </c>
      <c r="X1026" s="164">
        <f t="shared" si="74"/>
        <v>291222469.27737808</v>
      </c>
      <c r="Y1026" s="159">
        <f t="shared" si="74"/>
        <v>71258.426677799478</v>
      </c>
    </row>
    <row r="1027" spans="2:25" x14ac:dyDescent="0.25">
      <c r="B1027" s="159">
        <v>987</v>
      </c>
      <c r="C1027" s="164">
        <v>294533959.67592752</v>
      </c>
      <c r="D1027" s="159">
        <v>130718.72638826293</v>
      </c>
      <c r="E1027" s="164">
        <v>10177172.706480335</v>
      </c>
      <c r="F1027" s="159">
        <v>0</v>
      </c>
      <c r="I1027" s="159">
        <v>987</v>
      </c>
      <c r="J1027" s="164">
        <v>294533959.67592752</v>
      </c>
      <c r="K1027" s="159">
        <v>130718.72638826293</v>
      </c>
      <c r="L1027" s="164">
        <v>10177172.706480335</v>
      </c>
      <c r="M1027" s="159">
        <v>0</v>
      </c>
      <c r="Q1027" s="139">
        <v>987</v>
      </c>
      <c r="R1027" s="164">
        <f t="shared" si="71"/>
        <v>1840672241.251862</v>
      </c>
      <c r="S1027" s="164">
        <f t="shared" si="72"/>
        <v>-10177172.706480335</v>
      </c>
      <c r="T1027" s="159" t="str">
        <f t="shared" si="73"/>
        <v>TxPost-vaccination</v>
      </c>
      <c r="W1027" s="139">
        <v>987</v>
      </c>
      <c r="X1027" s="164">
        <f t="shared" si="74"/>
        <v>284356786.9694472</v>
      </c>
      <c r="Y1027" s="159">
        <f t="shared" si="74"/>
        <v>130718.72638826293</v>
      </c>
    </row>
    <row r="1028" spans="2:25" x14ac:dyDescent="0.25">
      <c r="B1028" s="159">
        <v>988</v>
      </c>
      <c r="C1028" s="164">
        <v>297280014.3611685</v>
      </c>
      <c r="D1028" s="159">
        <v>118506.45156596127</v>
      </c>
      <c r="E1028" s="164">
        <v>11878203.701640613</v>
      </c>
      <c r="F1028" s="159">
        <v>0</v>
      </c>
      <c r="I1028" s="159">
        <v>988</v>
      </c>
      <c r="J1028" s="164">
        <v>297280014.3611685</v>
      </c>
      <c r="K1028" s="159">
        <v>118506.45156596127</v>
      </c>
      <c r="L1028" s="164">
        <v>11878203.701640613</v>
      </c>
      <c r="M1028" s="159">
        <v>0</v>
      </c>
      <c r="Q1028" s="139">
        <v>988</v>
      </c>
      <c r="R1028" s="164">
        <f t="shared" si="71"/>
        <v>1638446543.1484141</v>
      </c>
      <c r="S1028" s="164">
        <f t="shared" si="72"/>
        <v>-11878203.701640613</v>
      </c>
      <c r="T1028" s="159" t="str">
        <f t="shared" si="73"/>
        <v>TxPost-vaccination</v>
      </c>
      <c r="W1028" s="139">
        <v>988</v>
      </c>
      <c r="X1028" s="164">
        <f t="shared" si="74"/>
        <v>285401810.6595279</v>
      </c>
      <c r="Y1028" s="159">
        <f t="shared" si="74"/>
        <v>118506.45156596127</v>
      </c>
    </row>
    <row r="1029" spans="2:25" x14ac:dyDescent="0.25">
      <c r="B1029" s="159">
        <v>989</v>
      </c>
      <c r="C1029" s="164">
        <v>331719218.0256269</v>
      </c>
      <c r="D1029" s="159">
        <v>91529.954830686838</v>
      </c>
      <c r="E1029" s="164">
        <v>7605914.6244602054</v>
      </c>
      <c r="F1029" s="159">
        <v>0</v>
      </c>
      <c r="I1029" s="159">
        <v>989</v>
      </c>
      <c r="J1029" s="164">
        <v>331719218.0256269</v>
      </c>
      <c r="K1029" s="159">
        <v>91529.954830686838</v>
      </c>
      <c r="L1029" s="164">
        <v>7605914.6244602054</v>
      </c>
      <c r="M1029" s="159">
        <v>0</v>
      </c>
      <c r="Q1029" s="139">
        <v>989</v>
      </c>
      <c r="R1029" s="164">
        <f t="shared" si="71"/>
        <v>1163363640.6050315</v>
      </c>
      <c r="S1029" s="164">
        <f t="shared" si="72"/>
        <v>-7605914.6244602054</v>
      </c>
      <c r="T1029" s="159" t="str">
        <f t="shared" si="73"/>
        <v>TxPost-vaccination</v>
      </c>
      <c r="W1029" s="139">
        <v>989</v>
      </c>
      <c r="X1029" s="164">
        <f t="shared" si="74"/>
        <v>324113303.40116668</v>
      </c>
      <c r="Y1029" s="159">
        <f t="shared" si="74"/>
        <v>91529.954830686838</v>
      </c>
    </row>
    <row r="1030" spans="2:25" x14ac:dyDescent="0.25">
      <c r="B1030" s="159">
        <v>990</v>
      </c>
      <c r="C1030" s="164">
        <v>316607484.1481269</v>
      </c>
      <c r="D1030" s="159">
        <v>92624.469909328764</v>
      </c>
      <c r="E1030" s="164">
        <v>8294813.0244510081</v>
      </c>
      <c r="F1030" s="159">
        <v>0</v>
      </c>
      <c r="I1030" s="159">
        <v>990</v>
      </c>
      <c r="J1030" s="164">
        <v>316607484.1481269</v>
      </c>
      <c r="K1030" s="159">
        <v>92624.469909328764</v>
      </c>
      <c r="L1030" s="164">
        <v>8294813.0244510081</v>
      </c>
      <c r="M1030" s="159">
        <v>0</v>
      </c>
      <c r="Q1030" s="139">
        <v>990</v>
      </c>
      <c r="R1030" s="164">
        <f t="shared" si="71"/>
        <v>1196353573.3259304</v>
      </c>
      <c r="S1030" s="164">
        <f t="shared" si="72"/>
        <v>-8294813.0244510081</v>
      </c>
      <c r="T1030" s="159" t="str">
        <f t="shared" si="73"/>
        <v>TxPost-vaccination</v>
      </c>
      <c r="W1030" s="139">
        <v>990</v>
      </c>
      <c r="X1030" s="164">
        <f t="shared" si="74"/>
        <v>308312671.12367588</v>
      </c>
      <c r="Y1030" s="159">
        <f t="shared" si="74"/>
        <v>92624.469909328764</v>
      </c>
    </row>
    <row r="1031" spans="2:25" x14ac:dyDescent="0.25">
      <c r="B1031" s="159">
        <v>991</v>
      </c>
      <c r="C1031" s="164">
        <v>323262558.31479621</v>
      </c>
      <c r="D1031" s="159">
        <v>60971.115424166623</v>
      </c>
      <c r="E1031" s="164">
        <v>6057132.5696850708</v>
      </c>
      <c r="F1031" s="159">
        <v>0</v>
      </c>
      <c r="I1031" s="159">
        <v>991</v>
      </c>
      <c r="J1031" s="164">
        <v>323262558.31479621</v>
      </c>
      <c r="K1031" s="159">
        <v>60971.115424166623</v>
      </c>
      <c r="L1031" s="164">
        <v>6057132.5696850708</v>
      </c>
      <c r="M1031" s="159">
        <v>0</v>
      </c>
      <c r="Q1031" s="139">
        <v>991</v>
      </c>
      <c r="R1031" s="164">
        <f t="shared" si="71"/>
        <v>672661341.25322926</v>
      </c>
      <c r="S1031" s="164">
        <f t="shared" si="72"/>
        <v>-6057132.5696850708</v>
      </c>
      <c r="T1031" s="159" t="str">
        <f t="shared" si="73"/>
        <v>TxPost-vaccination</v>
      </c>
      <c r="W1031" s="139">
        <v>991</v>
      </c>
      <c r="X1031" s="164">
        <f t="shared" si="74"/>
        <v>317205425.74511117</v>
      </c>
      <c r="Y1031" s="159">
        <f t="shared" si="74"/>
        <v>60971.115424166623</v>
      </c>
    </row>
    <row r="1032" spans="2:25" x14ac:dyDescent="0.25">
      <c r="B1032" s="159">
        <v>992</v>
      </c>
      <c r="C1032" s="164">
        <v>334608320.20330065</v>
      </c>
      <c r="D1032" s="159">
        <v>99523.890931484289</v>
      </c>
      <c r="E1032" s="164">
        <v>9627871.6076862123</v>
      </c>
      <c r="F1032" s="159">
        <v>0</v>
      </c>
      <c r="I1032" s="159">
        <v>992</v>
      </c>
      <c r="J1032" s="164">
        <v>334608320.20330065</v>
      </c>
      <c r="K1032" s="159">
        <v>99523.890931484289</v>
      </c>
      <c r="L1032" s="164">
        <v>9627871.6076862123</v>
      </c>
      <c r="M1032" s="159">
        <v>0</v>
      </c>
      <c r="Q1032" s="139">
        <v>992</v>
      </c>
      <c r="R1032" s="164">
        <f t="shared" si="71"/>
        <v>1291050335.8195806</v>
      </c>
      <c r="S1032" s="164">
        <f t="shared" si="72"/>
        <v>-9627871.6076862123</v>
      </c>
      <c r="T1032" s="159" t="str">
        <f t="shared" si="73"/>
        <v>TxPost-vaccination</v>
      </c>
      <c r="W1032" s="139">
        <v>992</v>
      </c>
      <c r="X1032" s="164">
        <f t="shared" si="74"/>
        <v>324980448.59561443</v>
      </c>
      <c r="Y1032" s="159">
        <f t="shared" si="74"/>
        <v>99523.890931484289</v>
      </c>
    </row>
    <row r="1033" spans="2:25" x14ac:dyDescent="0.25">
      <c r="B1033" s="159">
        <v>993</v>
      </c>
      <c r="C1033" s="164">
        <v>320324923.21158427</v>
      </c>
      <c r="D1033" s="159">
        <v>126502.44877008711</v>
      </c>
      <c r="E1033" s="164">
        <v>9781639.8060033731</v>
      </c>
      <c r="F1033" s="159">
        <v>0</v>
      </c>
      <c r="I1033" s="159">
        <v>993</v>
      </c>
      <c r="J1033" s="164">
        <v>320324923.21158427</v>
      </c>
      <c r="K1033" s="159">
        <v>126502.44877008711</v>
      </c>
      <c r="L1033" s="164">
        <v>9781639.8060033731</v>
      </c>
      <c r="M1033" s="159">
        <v>0</v>
      </c>
      <c r="Q1033" s="139">
        <v>993</v>
      </c>
      <c r="R1033" s="164">
        <f t="shared" si="71"/>
        <v>1746011098.4855545</v>
      </c>
      <c r="S1033" s="164">
        <f t="shared" si="72"/>
        <v>-9781639.8060033731</v>
      </c>
      <c r="T1033" s="159" t="str">
        <f t="shared" si="73"/>
        <v>TxPost-vaccination</v>
      </c>
      <c r="W1033" s="139">
        <v>993</v>
      </c>
      <c r="X1033" s="164">
        <f t="shared" si="74"/>
        <v>310543283.40558088</v>
      </c>
      <c r="Y1033" s="159">
        <f t="shared" si="74"/>
        <v>126502.44877008711</v>
      </c>
    </row>
    <row r="1034" spans="2:25" x14ac:dyDescent="0.25">
      <c r="B1034" s="159">
        <v>994</v>
      </c>
      <c r="C1034" s="164">
        <v>300787733.81493074</v>
      </c>
      <c r="D1034" s="159">
        <v>97075.129963069325</v>
      </c>
      <c r="E1034" s="164">
        <v>9878405.5810264405</v>
      </c>
      <c r="F1034" s="159">
        <v>0</v>
      </c>
      <c r="I1034" s="159">
        <v>994</v>
      </c>
      <c r="J1034" s="164">
        <v>300787733.81493074</v>
      </c>
      <c r="K1034" s="159">
        <v>97075.129963069325</v>
      </c>
      <c r="L1034" s="164">
        <v>9878405.5810264405</v>
      </c>
      <c r="M1034" s="159">
        <v>0</v>
      </c>
      <c r="Q1034" s="139">
        <v>994</v>
      </c>
      <c r="R1034" s="164">
        <f t="shared" si="71"/>
        <v>1284871989.0113444</v>
      </c>
      <c r="S1034" s="164">
        <f t="shared" si="72"/>
        <v>-9878405.5810264405</v>
      </c>
      <c r="T1034" s="159" t="str">
        <f t="shared" si="73"/>
        <v>TxPost-vaccination</v>
      </c>
      <c r="W1034" s="139">
        <v>994</v>
      </c>
      <c r="X1034" s="164">
        <f t="shared" si="74"/>
        <v>290909328.2339043</v>
      </c>
      <c r="Y1034" s="159">
        <f t="shared" si="74"/>
        <v>97075.129963069325</v>
      </c>
    </row>
    <row r="1035" spans="2:25" x14ac:dyDescent="0.25">
      <c r="B1035" s="159">
        <v>995</v>
      </c>
      <c r="C1035" s="164">
        <v>329006600.09370303</v>
      </c>
      <c r="D1035" s="159">
        <v>64495.01127167399</v>
      </c>
      <c r="E1035" s="164">
        <v>6280153.8970622383</v>
      </c>
      <c r="F1035" s="159">
        <v>0</v>
      </c>
      <c r="I1035" s="159">
        <v>995</v>
      </c>
      <c r="J1035" s="164">
        <v>329006600.09370303</v>
      </c>
      <c r="K1035" s="159">
        <v>64495.01127167399</v>
      </c>
      <c r="L1035" s="164">
        <v>6280153.8970622383</v>
      </c>
      <c r="M1035" s="159">
        <v>0</v>
      </c>
      <c r="Q1035" s="139">
        <v>995</v>
      </c>
      <c r="R1035" s="164">
        <f t="shared" si="71"/>
        <v>724477868.43727875</v>
      </c>
      <c r="S1035" s="164">
        <f t="shared" si="72"/>
        <v>-6280153.8970622383</v>
      </c>
      <c r="T1035" s="159" t="str">
        <f t="shared" si="73"/>
        <v>TxPost-vaccination</v>
      </c>
      <c r="W1035" s="139">
        <v>995</v>
      </c>
      <c r="X1035" s="164">
        <f t="shared" si="74"/>
        <v>322726446.19664079</v>
      </c>
      <c r="Y1035" s="159">
        <f t="shared" si="74"/>
        <v>64495.01127167399</v>
      </c>
    </row>
    <row r="1036" spans="2:25" x14ac:dyDescent="0.25">
      <c r="B1036" s="159">
        <v>996</v>
      </c>
      <c r="C1036" s="164">
        <v>283096651.71891838</v>
      </c>
      <c r="D1036" s="159">
        <v>92638.699269782228</v>
      </c>
      <c r="E1036" s="164">
        <v>7114353.5048178807</v>
      </c>
      <c r="F1036" s="159">
        <v>0</v>
      </c>
      <c r="I1036" s="159">
        <v>996</v>
      </c>
      <c r="J1036" s="164">
        <v>283096651.71891838</v>
      </c>
      <c r="K1036" s="159">
        <v>92638.699269782228</v>
      </c>
      <c r="L1036" s="164">
        <v>7114353.5048178807</v>
      </c>
      <c r="M1036" s="159">
        <v>0</v>
      </c>
      <c r="Q1036" s="139">
        <v>996</v>
      </c>
      <c r="R1036" s="164">
        <f t="shared" si="71"/>
        <v>1230096833.1931574</v>
      </c>
      <c r="S1036" s="164">
        <f t="shared" si="72"/>
        <v>-7114353.5048178807</v>
      </c>
      <c r="T1036" s="159" t="str">
        <f t="shared" si="73"/>
        <v>TxPost-vaccination</v>
      </c>
      <c r="W1036" s="139">
        <v>996</v>
      </c>
      <c r="X1036" s="164">
        <f t="shared" si="74"/>
        <v>275982298.21410048</v>
      </c>
      <c r="Y1036" s="159">
        <f t="shared" si="74"/>
        <v>92638.699269782228</v>
      </c>
    </row>
    <row r="1037" spans="2:25" x14ac:dyDescent="0.25">
      <c r="B1037" s="159">
        <v>997</v>
      </c>
      <c r="C1037" s="164">
        <v>333027445.74454814</v>
      </c>
      <c r="D1037" s="159">
        <v>81549.107415004968</v>
      </c>
      <c r="E1037" s="164">
        <v>7965199.8869016394</v>
      </c>
      <c r="F1037" s="159">
        <v>0</v>
      </c>
      <c r="I1037" s="159">
        <v>997</v>
      </c>
      <c r="J1037" s="164">
        <v>333027445.74454814</v>
      </c>
      <c r="K1037" s="159">
        <v>81549.107415004968</v>
      </c>
      <c r="L1037" s="164">
        <v>7965199.8869016394</v>
      </c>
      <c r="M1037" s="159">
        <v>0</v>
      </c>
      <c r="Q1037" s="139">
        <v>997</v>
      </c>
      <c r="R1037" s="164">
        <f t="shared" si="71"/>
        <v>999024698.91495943</v>
      </c>
      <c r="S1037" s="164">
        <f t="shared" si="72"/>
        <v>-7965199.8869016394</v>
      </c>
      <c r="T1037" s="159" t="str">
        <f t="shared" si="73"/>
        <v>TxPost-vaccination</v>
      </c>
      <c r="W1037" s="139">
        <v>997</v>
      </c>
      <c r="X1037" s="164">
        <f t="shared" si="74"/>
        <v>325062245.85764652</v>
      </c>
      <c r="Y1037" s="159">
        <f t="shared" si="74"/>
        <v>81549.107415004968</v>
      </c>
    </row>
    <row r="1038" spans="2:25" x14ac:dyDescent="0.25">
      <c r="B1038" s="159">
        <v>998</v>
      </c>
      <c r="C1038" s="164">
        <v>288113991.10873336</v>
      </c>
      <c r="D1038" s="159">
        <v>68583.514321726398</v>
      </c>
      <c r="E1038" s="164">
        <v>6966639.3366065975</v>
      </c>
      <c r="F1038" s="159">
        <v>0</v>
      </c>
      <c r="I1038" s="159">
        <v>998</v>
      </c>
      <c r="J1038" s="164">
        <v>288113991.10873336</v>
      </c>
      <c r="K1038" s="159">
        <v>68583.514321726398</v>
      </c>
      <c r="L1038" s="164">
        <v>6966639.3366065975</v>
      </c>
      <c r="M1038" s="159">
        <v>0</v>
      </c>
      <c r="Q1038" s="139">
        <v>998</v>
      </c>
      <c r="R1038" s="164">
        <f t="shared" si="71"/>
        <v>832153541.3809247</v>
      </c>
      <c r="S1038" s="164">
        <f t="shared" si="72"/>
        <v>-6966639.3366065975</v>
      </c>
      <c r="T1038" s="159" t="str">
        <f t="shared" si="73"/>
        <v>TxPost-vaccination</v>
      </c>
      <c r="W1038" s="139">
        <v>998</v>
      </c>
      <c r="X1038" s="164">
        <f t="shared" si="74"/>
        <v>281147351.77212673</v>
      </c>
      <c r="Y1038" s="159">
        <f t="shared" si="74"/>
        <v>68583.514321726398</v>
      </c>
    </row>
    <row r="1039" spans="2:25" x14ac:dyDescent="0.25">
      <c r="B1039" s="159">
        <v>999</v>
      </c>
      <c r="C1039" s="164">
        <v>314933183.16993618</v>
      </c>
      <c r="D1039" s="159">
        <v>69810.342241757404</v>
      </c>
      <c r="E1039" s="164">
        <v>6598382.7273996817</v>
      </c>
      <c r="F1039" s="159">
        <v>0</v>
      </c>
      <c r="I1039" s="159">
        <v>999</v>
      </c>
      <c r="J1039" s="164">
        <v>314933183.16993618</v>
      </c>
      <c r="K1039" s="159">
        <v>69810.342241757404</v>
      </c>
      <c r="L1039" s="164">
        <v>6598382.7273996817</v>
      </c>
      <c r="M1039" s="159">
        <v>0</v>
      </c>
      <c r="Q1039" s="139">
        <v>999</v>
      </c>
      <c r="R1039" s="164">
        <f t="shared" si="71"/>
        <v>825373793.20583344</v>
      </c>
      <c r="S1039" s="164">
        <f t="shared" si="72"/>
        <v>-6598382.7273996817</v>
      </c>
      <c r="T1039" s="159" t="str">
        <f t="shared" si="73"/>
        <v>TxPost-vaccination</v>
      </c>
      <c r="W1039" s="139">
        <v>999</v>
      </c>
      <c r="X1039" s="164">
        <f t="shared" si="74"/>
        <v>308334800.44253647</v>
      </c>
      <c r="Y1039" s="159">
        <f t="shared" si="74"/>
        <v>69810.342241757404</v>
      </c>
    </row>
    <row r="1040" spans="2:25" x14ac:dyDescent="0.25">
      <c r="B1040" s="159">
        <v>1000</v>
      </c>
      <c r="C1040" s="164">
        <v>313911309.29510921</v>
      </c>
      <c r="D1040" s="159">
        <v>121661.58974033817</v>
      </c>
      <c r="E1040" s="164">
        <v>8364101.8306230651</v>
      </c>
      <c r="F1040" s="159">
        <v>0</v>
      </c>
      <c r="I1040" s="159">
        <v>1000</v>
      </c>
      <c r="J1040" s="164">
        <v>313911309.29510921</v>
      </c>
      <c r="K1040" s="159">
        <v>121661.58974033817</v>
      </c>
      <c r="L1040" s="164">
        <v>8364101.8306230651</v>
      </c>
      <c r="M1040" s="159">
        <v>0</v>
      </c>
      <c r="Q1040" s="139">
        <v>1000</v>
      </c>
      <c r="R1040" s="164">
        <f t="shared" si="71"/>
        <v>1673352398.0999734</v>
      </c>
      <c r="S1040" s="164">
        <f t="shared" si="72"/>
        <v>-8364101.8306230651</v>
      </c>
      <c r="T1040" s="159" t="str">
        <f t="shared" si="73"/>
        <v>TxPost-vaccination</v>
      </c>
      <c r="W1040" s="139">
        <v>1000</v>
      </c>
      <c r="X1040" s="164">
        <f t="shared" si="74"/>
        <v>305547207.46448612</v>
      </c>
      <c r="Y1040" s="159">
        <f t="shared" si="74"/>
        <v>121661.58974033817</v>
      </c>
    </row>
  </sheetData>
  <phoneticPr fontId="19" type="noConversion"/>
  <dataValidations count="1">
    <dataValidation type="list" allowBlank="1" showInputMessage="1" showErrorMessage="1" sqref="E17" xr:uid="{804A46A2-B5D7-4DC8-B696-814753C4EF4D}">
      <formula1>$G$16:$G$17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SA">
                <anchor moveWithCells="1" sizeWithCells="1">
                  <from>
                    <xdr:col>0</xdr:col>
                    <xdr:colOff>2495550</xdr:colOff>
                    <xdr:row>15</xdr:row>
                    <xdr:rowOff>19050</xdr:rowOff>
                  </from>
                  <to>
                    <xdr:col>0</xdr:col>
                    <xdr:colOff>3438525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EE71-3AB6-48D9-8737-2036FEAA86C5}">
  <sheetPr codeName="Sheet15">
    <tabColor theme="5"/>
  </sheetPr>
  <dimension ref="A15:L63"/>
  <sheetViews>
    <sheetView showGridLines="0" topLeftCell="A10" zoomScaleNormal="100" workbookViewId="0"/>
  </sheetViews>
  <sheetFormatPr defaultColWidth="9.140625" defaultRowHeight="15" x14ac:dyDescent="0.25"/>
  <cols>
    <col min="1" max="1" width="36.28515625" style="1" customWidth="1"/>
    <col min="2" max="2" width="26.7109375" style="1" customWidth="1"/>
    <col min="3" max="3" width="16.140625" style="1" bestFit="1" customWidth="1"/>
    <col min="4" max="4" width="31.85546875" style="1" bestFit="1" customWidth="1"/>
    <col min="5" max="11" width="9.140625" style="1"/>
    <col min="12" max="12" width="8.7109375" style="1" customWidth="1"/>
    <col min="13" max="16384" width="9.140625" style="1"/>
  </cols>
  <sheetData>
    <row r="15" spans="1:2" ht="15.75" thickBot="1" x14ac:dyDescent="0.3">
      <c r="A15" s="112" t="s">
        <v>576</v>
      </c>
      <c r="B15" s="140">
        <f ca="1">Output!D23</f>
        <v>3615.7446895788808</v>
      </c>
    </row>
    <row r="17" spans="1:12" x14ac:dyDescent="0.25">
      <c r="A17" s="1" t="s">
        <v>581</v>
      </c>
      <c r="B17" s="163" t="str">
        <f ca="1">IF(Output!D23&lt;Output!D25,"very cost effective",IF(Output!D23&lt;3*Output!D25," cost effective","not cost-effective"))</f>
        <v>very cost effective</v>
      </c>
    </row>
    <row r="26" spans="1:12" x14ac:dyDescent="0.25">
      <c r="L26" s="140"/>
    </row>
    <row r="48" spans="1:3" x14ac:dyDescent="0.25">
      <c r="A48" s="148" t="s">
        <v>569</v>
      </c>
      <c r="B48" s="149">
        <v>200000</v>
      </c>
      <c r="C48" s="150">
        <f>B48*threshold3</f>
        <v>3266871181.9999909</v>
      </c>
    </row>
    <row r="49" spans="1:7" x14ac:dyDescent="0.25">
      <c r="A49" s="151" t="s">
        <v>570</v>
      </c>
      <c r="B49" s="149">
        <v>-200000</v>
      </c>
      <c r="C49" s="150">
        <f>B49*threshold3</f>
        <v>-3266871181.9999909</v>
      </c>
    </row>
    <row r="54" spans="1:7" x14ac:dyDescent="0.25">
      <c r="E54" s="147"/>
      <c r="F54" s="147"/>
      <c r="G54" s="147"/>
    </row>
    <row r="55" spans="1:7" x14ac:dyDescent="0.25">
      <c r="E55" s="147"/>
      <c r="F55" s="147"/>
      <c r="G55" s="147"/>
    </row>
    <row r="56" spans="1:7" x14ac:dyDescent="0.25">
      <c r="E56" s="147"/>
      <c r="F56" s="147"/>
      <c r="G56" s="147"/>
    </row>
    <row r="57" spans="1:7" x14ac:dyDescent="0.25">
      <c r="E57" s="147"/>
      <c r="F57" s="147"/>
      <c r="G57" s="147"/>
    </row>
    <row r="58" spans="1:7" x14ac:dyDescent="0.25">
      <c r="E58" s="147"/>
      <c r="F58" s="147"/>
      <c r="G58" s="147"/>
    </row>
    <row r="59" spans="1:7" x14ac:dyDescent="0.25">
      <c r="E59" s="147"/>
      <c r="F59" s="147"/>
      <c r="G59" s="147"/>
    </row>
    <row r="60" spans="1:7" x14ac:dyDescent="0.25">
      <c r="E60" s="147"/>
      <c r="F60" s="147"/>
      <c r="G60" s="147"/>
    </row>
    <row r="61" spans="1:7" x14ac:dyDescent="0.25">
      <c r="E61" s="147"/>
      <c r="F61" s="147"/>
      <c r="G61" s="147"/>
    </row>
    <row r="62" spans="1:7" x14ac:dyDescent="0.25">
      <c r="E62" s="147"/>
      <c r="F62" s="147"/>
      <c r="G62" s="147"/>
    </row>
    <row r="63" spans="1:7" x14ac:dyDescent="0.25">
      <c r="E63" s="147"/>
      <c r="F63" s="147"/>
      <c r="G63" s="147"/>
    </row>
  </sheetData>
  <phoneticPr fontId="19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2060"/>
  </sheetPr>
  <dimension ref="A1:AY104"/>
  <sheetViews>
    <sheetView topLeftCell="P1" workbookViewId="0">
      <selection activeCell="U37" sqref="U37"/>
    </sheetView>
  </sheetViews>
  <sheetFormatPr defaultColWidth="9.140625" defaultRowHeight="13.5" x14ac:dyDescent="0.15"/>
  <cols>
    <col min="1" max="1" width="9.85546875" style="92" customWidth="1"/>
    <col min="2" max="2" width="12.140625" style="92" customWidth="1"/>
    <col min="3" max="3" width="13.42578125" style="92" customWidth="1"/>
    <col min="4" max="5" width="9.140625" style="92" customWidth="1"/>
    <col min="6" max="6" width="13.42578125" style="92" customWidth="1"/>
    <col min="7" max="7" width="11.140625" style="92" customWidth="1"/>
    <col min="8" max="8" width="12" style="92" customWidth="1"/>
    <col min="9" max="9" width="15.85546875" style="92" customWidth="1"/>
    <col min="10" max="10" width="18" style="92" customWidth="1"/>
    <col min="11" max="11" width="11.42578125" style="92" customWidth="1"/>
    <col min="12" max="14" width="12.85546875" style="92" customWidth="1"/>
    <col min="15" max="16" width="12" style="92" customWidth="1"/>
    <col min="17" max="17" width="11.85546875" style="92" customWidth="1"/>
    <col min="18" max="18" width="11" style="92" customWidth="1"/>
    <col min="19" max="19" width="13.42578125" style="92" customWidth="1"/>
    <col min="20" max="20" width="13.140625" style="92" customWidth="1"/>
    <col min="21" max="21" width="10.5703125" style="92" customWidth="1"/>
    <col min="22" max="24" width="12" style="92" customWidth="1"/>
    <col min="25" max="26" width="13.5703125" style="92" customWidth="1"/>
    <col min="27" max="27" width="9.42578125" style="92" bestFit="1" customWidth="1"/>
    <col min="28" max="28" width="12.5703125" style="92" customWidth="1"/>
    <col min="29" max="30" width="11.85546875" style="92" customWidth="1"/>
    <col min="31" max="34" width="12.85546875" style="92" customWidth="1"/>
    <col min="35" max="35" width="12" style="92" customWidth="1"/>
    <col min="36" max="36" width="12.140625" style="92" customWidth="1"/>
    <col min="37" max="37" width="9.140625" style="92"/>
    <col min="38" max="38" width="12.42578125" style="92" customWidth="1"/>
    <col min="39" max="39" width="11.140625" style="92" customWidth="1"/>
    <col min="40" max="40" width="14.140625" style="92" customWidth="1"/>
    <col min="41" max="48" width="9.140625" style="92"/>
    <col min="49" max="49" width="9.140625" style="92" bestFit="1" customWidth="1"/>
    <col min="50" max="16384" width="9.140625" style="92"/>
  </cols>
  <sheetData>
    <row r="1" spans="1:51" ht="40.5" x14ac:dyDescent="0.15">
      <c r="G1" s="93" t="s">
        <v>555</v>
      </c>
      <c r="H1" s="93"/>
      <c r="Q1" s="94" t="s">
        <v>553</v>
      </c>
      <c r="R1" s="94"/>
      <c r="AA1" s="93" t="s">
        <v>6</v>
      </c>
      <c r="AB1" s="93"/>
      <c r="AL1" s="93" t="s">
        <v>495</v>
      </c>
      <c r="AM1" s="93"/>
    </row>
    <row r="2" spans="1:51" s="95" customFormat="1" ht="42.75" customHeight="1" x14ac:dyDescent="0.15">
      <c r="A2" s="94" t="s">
        <v>1</v>
      </c>
      <c r="B2" s="94" t="s">
        <v>493</v>
      </c>
      <c r="C2" s="94" t="s">
        <v>494</v>
      </c>
      <c r="D2" s="94" t="s">
        <v>23</v>
      </c>
      <c r="E2" s="94" t="s">
        <v>25</v>
      </c>
      <c r="F2" s="94" t="s">
        <v>22</v>
      </c>
      <c r="G2" s="94" t="s">
        <v>46</v>
      </c>
      <c r="H2" s="94" t="s">
        <v>485</v>
      </c>
      <c r="I2" s="94" t="s">
        <v>47</v>
      </c>
      <c r="J2" s="94" t="s">
        <v>48</v>
      </c>
      <c r="K2" s="94" t="s">
        <v>9</v>
      </c>
      <c r="L2" s="94" t="s">
        <v>10</v>
      </c>
      <c r="M2" s="94" t="s">
        <v>20</v>
      </c>
      <c r="N2" s="94" t="s">
        <v>21</v>
      </c>
      <c r="O2" s="94" t="s">
        <v>11</v>
      </c>
      <c r="P2" s="94" t="s">
        <v>12</v>
      </c>
      <c r="Q2" s="94" t="s">
        <v>46</v>
      </c>
      <c r="R2" s="94" t="s">
        <v>485</v>
      </c>
      <c r="S2" s="94" t="s">
        <v>47</v>
      </c>
      <c r="T2" s="94" t="s">
        <v>48</v>
      </c>
      <c r="U2" s="94" t="s">
        <v>9</v>
      </c>
      <c r="V2" s="94" t="s">
        <v>10</v>
      </c>
      <c r="W2" s="94" t="s">
        <v>20</v>
      </c>
      <c r="X2" s="94" t="s">
        <v>21</v>
      </c>
      <c r="Y2" s="94" t="s">
        <v>11</v>
      </c>
      <c r="Z2" s="94" t="s">
        <v>12</v>
      </c>
      <c r="AA2" s="94" t="s">
        <v>46</v>
      </c>
      <c r="AB2" s="94" t="s">
        <v>485</v>
      </c>
      <c r="AC2" s="94" t="s">
        <v>47</v>
      </c>
      <c r="AD2" s="94" t="s">
        <v>48</v>
      </c>
      <c r="AE2" s="94" t="s">
        <v>9</v>
      </c>
      <c r="AF2" s="94" t="s">
        <v>10</v>
      </c>
      <c r="AG2" s="94" t="s">
        <v>20</v>
      </c>
      <c r="AH2" s="94" t="s">
        <v>521</v>
      </c>
      <c r="AI2" s="94" t="s">
        <v>11</v>
      </c>
      <c r="AJ2" s="94" t="s">
        <v>12</v>
      </c>
      <c r="AL2" s="94" t="str">
        <f>G1</f>
        <v>Pre-vaccination</v>
      </c>
      <c r="AM2" s="94" t="str">
        <f>Q1</f>
        <v>Post-vaccination</v>
      </c>
      <c r="AW2" s="94" t="s">
        <v>514</v>
      </c>
    </row>
    <row r="3" spans="1:51" s="95" customFormat="1" ht="15" customHeight="1" x14ac:dyDescent="0.15">
      <c r="A3" s="96" t="s">
        <v>13</v>
      </c>
      <c r="B3" s="96"/>
      <c r="C3" s="96"/>
      <c r="D3" s="96"/>
      <c r="E3" s="96"/>
      <c r="F3" s="96"/>
      <c r="G3" s="97">
        <f t="shared" ref="G3:AJ3" ca="1" si="0">SUMPRODUCT(G4:G104,$C$4:$C$104)</f>
        <v>5.0531774521761757E-3</v>
      </c>
      <c r="H3" s="97">
        <f t="shared" ca="1" si="0"/>
        <v>1.8457346099831299E-3</v>
      </c>
      <c r="I3" s="97">
        <f t="shared" ca="1" si="0"/>
        <v>3.1895873699437022E-3</v>
      </c>
      <c r="J3" s="97">
        <f t="shared" ca="1" si="0"/>
        <v>7.8540342457169177E-4</v>
      </c>
      <c r="K3" s="97">
        <f t="shared" ca="1" si="0"/>
        <v>5.8338947104528943E-2</v>
      </c>
      <c r="L3" s="97">
        <f t="shared" ca="1" si="0"/>
        <v>1.6618563626196611E-2</v>
      </c>
      <c r="M3" s="97">
        <f t="shared" ca="1" si="0"/>
        <v>3.5771469007701336E-3</v>
      </c>
      <c r="N3" s="97">
        <f t="shared" ca="1" si="0"/>
        <v>1.143762631084335E-3</v>
      </c>
      <c r="O3" s="97">
        <f t="shared" ca="1" si="0"/>
        <v>3.5005074369620042</v>
      </c>
      <c r="P3" s="97">
        <f ca="1">SUMPRODUCT(P4:P104,$C$4:$C$104)</f>
        <v>1.2786029760584889</v>
      </c>
      <c r="Q3" s="97">
        <f t="shared" ca="1" si="0"/>
        <v>1.910603581215834E-3</v>
      </c>
      <c r="R3" s="97">
        <f t="shared" ca="1" si="0"/>
        <v>6.9787122838702053E-4</v>
      </c>
      <c r="S3" s="97">
        <f t="shared" ca="1" si="0"/>
        <v>1.2059812087127086E-3</v>
      </c>
      <c r="T3" s="97">
        <f t="shared" ca="1" si="0"/>
        <v>2.9696059754236761E-4</v>
      </c>
      <c r="U3" s="97">
        <f t="shared" ca="1" si="0"/>
        <v>2.205792341891186E-2</v>
      </c>
      <c r="V3" s="97">
        <f t="shared" ca="1" si="0"/>
        <v>6.283469654365794E-3</v>
      </c>
      <c r="W3" s="97">
        <f t="shared" ca="1" si="0"/>
        <v>1.3525172515370947E-3</v>
      </c>
      <c r="X3" s="97">
        <f t="shared" ca="1" si="0"/>
        <v>4.3245601400154169E-4</v>
      </c>
      <c r="Y3" s="97">
        <f t="shared" ca="1" si="0"/>
        <v>1.32353991294171</v>
      </c>
      <c r="Z3" s="97">
        <f t="shared" ca="1" si="0"/>
        <v>0.48343907336136138</v>
      </c>
      <c r="AA3" s="97">
        <f t="shared" ca="1" si="0"/>
        <v>3.1425738709603408E-3</v>
      </c>
      <c r="AB3" s="97">
        <f t="shared" ca="1" si="0"/>
        <v>1.1478633815961102E-3</v>
      </c>
      <c r="AC3" s="97">
        <f t="shared" ca="1" si="0"/>
        <v>1.983606161230991E-3</v>
      </c>
      <c r="AD3" s="97">
        <f t="shared" ca="1" si="0"/>
        <v>4.8844282702932454E-4</v>
      </c>
      <c r="AE3" s="97">
        <f t="shared" ca="1" si="0"/>
        <v>3.62810236856171E-2</v>
      </c>
      <c r="AF3" s="97">
        <f t="shared" ca="1" si="0"/>
        <v>1.0335093971830814E-2</v>
      </c>
      <c r="AG3" s="97">
        <f t="shared" ca="1" si="0"/>
        <v>2.2246296492330372E-3</v>
      </c>
      <c r="AH3" s="97">
        <f t="shared" ca="1" si="0"/>
        <v>7.1130661708279283E-4</v>
      </c>
      <c r="AI3" s="97">
        <f t="shared" ca="1" si="0"/>
        <v>2.1769675240202937</v>
      </c>
      <c r="AJ3" s="97">
        <f t="shared" ca="1" si="0"/>
        <v>0.79516390269712844</v>
      </c>
      <c r="AV3" s="103" t="s">
        <v>515</v>
      </c>
      <c r="AW3" s="98">
        <f ca="1">Customisation!$H$18+Customisation!$H$19*4</f>
        <v>0.52032398514821054</v>
      </c>
      <c r="AY3" s="98"/>
    </row>
    <row r="4" spans="1:51" x14ac:dyDescent="0.15">
      <c r="A4" s="92">
        <v>0</v>
      </c>
      <c r="B4" s="99">
        <f>'Life table'!D2</f>
        <v>1</v>
      </c>
      <c r="C4" s="99">
        <f>IF($A4&lt;Customisation!$H$13,0,B4)/LOOKUP(Customisation!$H$13,$A$4:$A$104,$B$4:$B$104)</f>
        <v>0</v>
      </c>
      <c r="D4" s="92">
        <f>IF($A4&lt;=Customisation!$H$13,1,1/(1+Customisation!$H$21)^($A4-Customisation!$H$13))</f>
        <v>1</v>
      </c>
      <c r="E4" s="92">
        <v>0</v>
      </c>
      <c r="F4" s="92">
        <f>C4*D4</f>
        <v>0</v>
      </c>
      <c r="G4" s="100">
        <f ca="1">'Age data'!M8*Customisation!$H$22</f>
        <v>6.9909792167730764E-7</v>
      </c>
      <c r="H4" s="100">
        <f ca="1">G4*D4</f>
        <v>6.9909792167730764E-7</v>
      </c>
      <c r="I4" s="100">
        <f ca="1">'Age data'!N8*Customisation!$H$22</f>
        <v>0</v>
      </c>
      <c r="J4" s="101">
        <f ca="1">I4*D4</f>
        <v>0</v>
      </c>
      <c r="K4" s="100">
        <f ca="1">I4*'Life table'!I2</f>
        <v>0</v>
      </c>
      <c r="L4" s="100">
        <f ca="1">J4*'Life table'!J2</f>
        <v>0</v>
      </c>
      <c r="M4" s="100">
        <f ca="1">(G4-I4)*$AW$3+I4*$AW$4</f>
        <v>3.6375741661596826E-7</v>
      </c>
      <c r="N4" s="100">
        <f ca="1">((G4-I4)*$AW$5+I4*$AW$6)/(1+Customisation!$H$21)^($A4-12)</f>
        <v>4.8546480492116545E-7</v>
      </c>
      <c r="O4" s="100">
        <f ca="1">G4*Customisation!$H$17</f>
        <v>4.8428884541590756E-4</v>
      </c>
      <c r="P4" s="100">
        <f ca="1">O4/(1+Customisation!$H$21)^($A4-12)</f>
        <v>6.8759795060409129E-4</v>
      </c>
      <c r="Q4" s="100">
        <f ca="1">IF($A4&lt;Customisation!$H$13,G4,G4*(1-Customisation!$H$11*Customisation!$H$12))</f>
        <v>6.9909792167730764E-7</v>
      </c>
      <c r="R4" s="100">
        <f ca="1">IF($A4&lt;Customisation!$H$13,H4,H4*(1-Customisation!$H$11*Customisation!$H$12))</f>
        <v>6.9909792167730764E-7</v>
      </c>
      <c r="S4" s="100">
        <f ca="1">IF($A4&lt;Customisation!$H$13,I4,I4*(1-Customisation!$H$11*Customisation!$H$12))</f>
        <v>0</v>
      </c>
      <c r="T4" s="100">
        <f ca="1">IF($A4&lt;Customisation!$H$13,J4,J4*(1-Customisation!$H$11*Customisation!$H$12))</f>
        <v>0</v>
      </c>
      <c r="U4" s="100">
        <f ca="1">IF($A4&lt;Customisation!$H$13,K4,K4*(1-Customisation!$H$11*Customisation!$H$12))</f>
        <v>0</v>
      </c>
      <c r="V4" s="100">
        <f ca="1">IF($A4&lt;Customisation!$H$13,L4,L4*(1-Customisation!$H$11*Customisation!$H$12))</f>
        <v>0</v>
      </c>
      <c r="W4" s="100">
        <f ca="1">IF($A4&lt;Customisation!$H$13,M4,M4*(1-Customisation!$H$11*Customisation!$H$12))</f>
        <v>3.6375741661596826E-7</v>
      </c>
      <c r="X4" s="100">
        <f ca="1">IF($A4&lt;Customisation!$H$13,N4,N4*(1-Customisation!$H$11*Customisation!$H$12))</f>
        <v>4.8546480492116545E-7</v>
      </c>
      <c r="Y4" s="100">
        <f ca="1">IF($A4&lt;Customisation!$H$13,O4,O4*(1-Customisation!$H$11*Customisation!$H$12))</f>
        <v>4.8428884541590756E-4</v>
      </c>
      <c r="Z4" s="100">
        <f ca="1">IF($A4&lt;Customisation!$H$13,P4,P4*(1-Customisation!$H$11*Customisation!$H$12))</f>
        <v>6.8759795060409129E-4</v>
      </c>
      <c r="AA4" s="100">
        <f t="shared" ref="AA4:AA15" ca="1" si="1">G4-Q4</f>
        <v>0</v>
      </c>
      <c r="AB4" s="100">
        <f ca="1">H4-R4</f>
        <v>0</v>
      </c>
      <c r="AC4" s="100">
        <f t="shared" ref="AC4:AC15" ca="1" si="2">I4-S4</f>
        <v>0</v>
      </c>
      <c r="AD4" s="100">
        <f t="shared" ref="AD4:AD35" ca="1" si="3">J4-T4</f>
        <v>0</v>
      </c>
      <c r="AE4" s="100">
        <f t="shared" ref="AE4:AE35" ca="1" si="4">K4-U4</f>
        <v>0</v>
      </c>
      <c r="AF4" s="100">
        <f t="shared" ref="AF4:AF15" ca="1" si="5">L4-V4</f>
        <v>0</v>
      </c>
      <c r="AG4" s="100">
        <f ca="1">M4-W4</f>
        <v>0</v>
      </c>
      <c r="AH4" s="100">
        <f ca="1">N4-X4</f>
        <v>0</v>
      </c>
      <c r="AI4" s="100">
        <f t="shared" ref="AI4:AI15" ca="1" si="6">O4-Y4</f>
        <v>0</v>
      </c>
      <c r="AJ4" s="100">
        <f t="shared" ref="AJ4:AJ15" ca="1" si="7">P4-Z4</f>
        <v>0</v>
      </c>
      <c r="AL4" s="102">
        <f ca="1">G4*100000</f>
        <v>6.9909792167730758E-2</v>
      </c>
      <c r="AM4" s="102">
        <f ca="1">Q4*100000</f>
        <v>6.9909792167730758E-2</v>
      </c>
      <c r="AV4" s="103" t="s">
        <v>516</v>
      </c>
      <c r="AW4" s="98">
        <f ca="1">Customisation!$H$18+Customisation!$H$20</f>
        <v>0.81749642824371838</v>
      </c>
      <c r="AY4" s="98"/>
    </row>
    <row r="5" spans="1:51" x14ac:dyDescent="0.15">
      <c r="A5" s="92">
        <f>A4+1</f>
        <v>1</v>
      </c>
      <c r="B5" s="99">
        <f>'Life table'!D3</f>
        <v>0.97989000000000004</v>
      </c>
      <c r="C5" s="99">
        <f>IF($A5&lt;Customisation!$H$13,0,B5)/LOOKUP(Customisation!$H$13,$A$4:$A$104,$B$4:$B$104)</f>
        <v>0</v>
      </c>
      <c r="D5" s="92">
        <f>IF($A5&lt;=Customisation!$H$13,1,1/(1+Customisation!$H$21)^($A5-Customisation!$H$13))</f>
        <v>1</v>
      </c>
      <c r="E5" s="92">
        <f>E4+D4</f>
        <v>1</v>
      </c>
      <c r="F5" s="92">
        <f t="shared" ref="F5:F68" si="8">C5*D5</f>
        <v>0</v>
      </c>
      <c r="G5" s="100">
        <f ca="1">'Age data'!M9*Customisation!$H$22</f>
        <v>6.9909792167730764E-7</v>
      </c>
      <c r="H5" s="100">
        <f t="shared" ref="H5:H68" ca="1" si="9">G5*D5</f>
        <v>6.9909792167730764E-7</v>
      </c>
      <c r="I5" s="100">
        <f ca="1">'Age data'!N9*Customisation!$H$22</f>
        <v>0</v>
      </c>
      <c r="J5" s="101">
        <f t="shared" ref="J5:J68" ca="1" si="10">I5*D5</f>
        <v>0</v>
      </c>
      <c r="K5" s="100">
        <f ca="1">I5*'Life table'!I3</f>
        <v>0</v>
      </c>
      <c r="L5" s="100">
        <f ca="1">J5*'Life table'!J3</f>
        <v>0</v>
      </c>
      <c r="M5" s="100">
        <f t="shared" ref="M5:M68" ca="1" si="11">(G5-I5)*$AW$3+I5*$AW$4</f>
        <v>3.6375741661596826E-7</v>
      </c>
      <c r="N5" s="100">
        <f ca="1">((G5-I5)*$AW$5+I5*$AW$6)/(1+Customisation!$H$21)^($A5-12)</f>
        <v>4.7148937215073147E-7</v>
      </c>
      <c r="O5" s="100">
        <f ca="1">G5*Customisation!$H$17</f>
        <v>4.8428884541590756E-4</v>
      </c>
      <c r="P5" s="100">
        <f ca="1">O5/(1+Customisation!$H$21)^($A5-12)</f>
        <v>6.6780356214514599E-4</v>
      </c>
      <c r="Q5" s="100">
        <f ca="1">IF($A5&lt;Customisation!$H$13,G5,G5*(1-Customisation!$H$11*Customisation!$H$12))</f>
        <v>6.9909792167730764E-7</v>
      </c>
      <c r="R5" s="100">
        <f ca="1">IF($A5&lt;Customisation!$H$13,H5,H5*(1-Customisation!$H$11*Customisation!$H$12))</f>
        <v>6.9909792167730764E-7</v>
      </c>
      <c r="S5" s="100">
        <f ca="1">IF($A5&lt;Customisation!$H$13,I5,I5*(1-Customisation!$H$11*Customisation!$H$12))</f>
        <v>0</v>
      </c>
      <c r="T5" s="100">
        <f ca="1">IF($A5&lt;Customisation!$H$13,J5,J5*(1-Customisation!$H$11*Customisation!$H$12))</f>
        <v>0</v>
      </c>
      <c r="U5" s="100">
        <f ca="1">IF($A5&lt;Customisation!$H$13,K5,K5*(1-Customisation!$H$11*Customisation!$H$12))</f>
        <v>0</v>
      </c>
      <c r="V5" s="100">
        <f ca="1">IF($A5&lt;Customisation!$H$13,L5,L5*(1-Customisation!$H$11*Customisation!$H$12))</f>
        <v>0</v>
      </c>
      <c r="W5" s="100">
        <f ca="1">IF($A5&lt;Customisation!$H$13,M5,M5*(1-Customisation!$H$11*Customisation!$H$12))</f>
        <v>3.6375741661596826E-7</v>
      </c>
      <c r="X5" s="100">
        <f ca="1">IF($A5&lt;Customisation!$H$13,N5,N5*(1-Customisation!$H$11*Customisation!$H$12))</f>
        <v>4.7148937215073147E-7</v>
      </c>
      <c r="Y5" s="100">
        <f ca="1">IF($A5&lt;Customisation!$H$13,O5,O5*(1-Customisation!$H$11*Customisation!$H$12))</f>
        <v>4.8428884541590756E-4</v>
      </c>
      <c r="Z5" s="100">
        <f ca="1">IF($A5&lt;Customisation!$H$13,P5,P5*(1-Customisation!$H$11*Customisation!$H$12))</f>
        <v>6.6780356214514599E-4</v>
      </c>
      <c r="AA5" s="100">
        <f t="shared" ca="1" si="1"/>
        <v>0</v>
      </c>
      <c r="AB5" s="100">
        <f t="shared" ref="AB5:AB68" ca="1" si="12">H5-R5</f>
        <v>0</v>
      </c>
      <c r="AC5" s="100">
        <f t="shared" ca="1" si="2"/>
        <v>0</v>
      </c>
      <c r="AD5" s="100">
        <f t="shared" ca="1" si="3"/>
        <v>0</v>
      </c>
      <c r="AE5" s="100">
        <f t="shared" ca="1" si="4"/>
        <v>0</v>
      </c>
      <c r="AF5" s="100">
        <f t="shared" ca="1" si="5"/>
        <v>0</v>
      </c>
      <c r="AG5" s="100">
        <f t="shared" ref="AG5:AG68" ca="1" si="13">M5-W5</f>
        <v>0</v>
      </c>
      <c r="AH5" s="100">
        <f t="shared" ref="AH5:AH68" ca="1" si="14">N5-X5</f>
        <v>0</v>
      </c>
      <c r="AI5" s="100">
        <f t="shared" ca="1" si="6"/>
        <v>0</v>
      </c>
      <c r="AJ5" s="100">
        <f t="shared" ca="1" si="7"/>
        <v>0</v>
      </c>
      <c r="AL5" s="102">
        <f t="shared" ref="AL5:AL68" ca="1" si="15">G5*100000</f>
        <v>6.9909792167730758E-2</v>
      </c>
      <c r="AM5" s="102">
        <f t="shared" ref="AM5:AM68" ca="1" si="16">Q5*100000</f>
        <v>6.9909792167730758E-2</v>
      </c>
      <c r="AV5" s="103" t="s">
        <v>517</v>
      </c>
      <c r="AW5" s="98">
        <f ca="1">Customisation!$H$18+Customisation!$H$19*(1/(1+'Country selection'!$E$21)+1/(1+'Country selection'!$E$21)^2+1/(1+'Country selection'!$E$21)^3+1/(1+'Country selection'!$E$21)^4)</f>
        <v>0.48909095525702906</v>
      </c>
      <c r="AY5" s="98"/>
    </row>
    <row r="6" spans="1:51" x14ac:dyDescent="0.15">
      <c r="A6" s="92">
        <f t="shared" ref="A6:A15" si="17">A5+1</f>
        <v>2</v>
      </c>
      <c r="B6" s="99">
        <f>'Life table'!D4</f>
        <v>0.97931186490000011</v>
      </c>
      <c r="C6" s="99">
        <f>IF($A6&lt;Customisation!$H$13,0,B6)/LOOKUP(Customisation!$H$13,$A$4:$A$104,$B$4:$B$104)</f>
        <v>0</v>
      </c>
      <c r="D6" s="92">
        <f>IF($A6&lt;=Customisation!$H$13,1,1/(1+Customisation!$H$21)^($A6-Customisation!$H$13))</f>
        <v>1</v>
      </c>
      <c r="E6" s="92">
        <f t="shared" ref="E6:E69" si="18">E5+D5</f>
        <v>2</v>
      </c>
      <c r="F6" s="92">
        <f t="shared" si="8"/>
        <v>0</v>
      </c>
      <c r="G6" s="100">
        <f ca="1">'Age data'!M10*Customisation!$H$22</f>
        <v>6.9909792167730764E-7</v>
      </c>
      <c r="H6" s="100">
        <f t="shared" ca="1" si="9"/>
        <v>6.9909792167730764E-7</v>
      </c>
      <c r="I6" s="100">
        <f ca="1">'Age data'!N10*Customisation!$H$22</f>
        <v>0</v>
      </c>
      <c r="J6" s="101">
        <f t="shared" ca="1" si="10"/>
        <v>0</v>
      </c>
      <c r="K6" s="100">
        <f ca="1">I6*'Life table'!I4</f>
        <v>0</v>
      </c>
      <c r="L6" s="100">
        <f ca="1">J6*'Life table'!J4</f>
        <v>0</v>
      </c>
      <c r="M6" s="100">
        <f t="shared" ca="1" si="11"/>
        <v>3.6375741661596826E-7</v>
      </c>
      <c r="N6" s="100">
        <f ca="1">((G6-I6)*$AW$5+I6*$AW$6)/(1+Customisation!$H$21)^($A6-12)</f>
        <v>4.5791626045309412E-7</v>
      </c>
      <c r="O6" s="100">
        <f ca="1">G6*Customisation!$H$17</f>
        <v>4.8428884541590756E-4</v>
      </c>
      <c r="P6" s="100">
        <f ca="1">O6/(1+Customisation!$H$21)^($A6-12)</f>
        <v>6.4857900932070093E-4</v>
      </c>
      <c r="Q6" s="100">
        <f ca="1">IF($A6&lt;Customisation!$H$13,G6,G6*(1-Customisation!$H$11*Customisation!$H$12))</f>
        <v>6.9909792167730764E-7</v>
      </c>
      <c r="R6" s="100">
        <f ca="1">IF($A6&lt;Customisation!$H$13,H6,H6*(1-Customisation!$H$11*Customisation!$H$12))</f>
        <v>6.9909792167730764E-7</v>
      </c>
      <c r="S6" s="100">
        <f ca="1">IF($A6&lt;Customisation!$H$13,I6,I6*(1-Customisation!$H$11*Customisation!$H$12))</f>
        <v>0</v>
      </c>
      <c r="T6" s="100">
        <f ca="1">IF($A6&lt;Customisation!$H$13,J6,J6*(1-Customisation!$H$11*Customisation!$H$12))</f>
        <v>0</v>
      </c>
      <c r="U6" s="100">
        <f ca="1">IF($A6&lt;Customisation!$H$13,K6,K6*(1-Customisation!$H$11*Customisation!$H$12))</f>
        <v>0</v>
      </c>
      <c r="V6" s="100">
        <f ca="1">IF($A6&lt;Customisation!$H$13,L6,L6*(1-Customisation!$H$11*Customisation!$H$12))</f>
        <v>0</v>
      </c>
      <c r="W6" s="100">
        <f ca="1">IF($A6&lt;Customisation!$H$13,M6,M6*(1-Customisation!$H$11*Customisation!$H$12))</f>
        <v>3.6375741661596826E-7</v>
      </c>
      <c r="X6" s="100">
        <f ca="1">IF($A6&lt;Customisation!$H$13,N6,N6*(1-Customisation!$H$11*Customisation!$H$12))</f>
        <v>4.5791626045309412E-7</v>
      </c>
      <c r="Y6" s="100">
        <f ca="1">IF($A6&lt;Customisation!$H$13,O6,O6*(1-Customisation!$H$11*Customisation!$H$12))</f>
        <v>4.8428884541590756E-4</v>
      </c>
      <c r="Z6" s="100">
        <f ca="1">IF($A6&lt;Customisation!$H$13,P6,P6*(1-Customisation!$H$11*Customisation!$H$12))</f>
        <v>6.4857900932070093E-4</v>
      </c>
      <c r="AA6" s="100">
        <f t="shared" ca="1" si="1"/>
        <v>0</v>
      </c>
      <c r="AB6" s="100">
        <f t="shared" ca="1" si="12"/>
        <v>0</v>
      </c>
      <c r="AC6" s="100">
        <f t="shared" ca="1" si="2"/>
        <v>0</v>
      </c>
      <c r="AD6" s="100">
        <f t="shared" ca="1" si="3"/>
        <v>0</v>
      </c>
      <c r="AE6" s="100">
        <f t="shared" ca="1" si="4"/>
        <v>0</v>
      </c>
      <c r="AF6" s="100">
        <f t="shared" ca="1" si="5"/>
        <v>0</v>
      </c>
      <c r="AG6" s="100">
        <f t="shared" ca="1" si="13"/>
        <v>0</v>
      </c>
      <c r="AH6" s="100">
        <f t="shared" ca="1" si="14"/>
        <v>0</v>
      </c>
      <c r="AI6" s="100">
        <f t="shared" ca="1" si="6"/>
        <v>0</v>
      </c>
      <c r="AJ6" s="100">
        <f t="shared" ca="1" si="7"/>
        <v>0</v>
      </c>
      <c r="AL6" s="102">
        <f t="shared" ca="1" si="15"/>
        <v>6.9909792167730758E-2</v>
      </c>
      <c r="AM6" s="102">
        <f t="shared" ca="1" si="16"/>
        <v>6.9909792167730758E-2</v>
      </c>
      <c r="AV6" s="103" t="s">
        <v>518</v>
      </c>
      <c r="AW6" s="92">
        <f ca="1">Customisation!$H$18+Customisation!$H$20*1/(1+'Country selection'!$E$21)</f>
        <v>0.79597849864680681</v>
      </c>
    </row>
    <row r="7" spans="1:51" x14ac:dyDescent="0.15">
      <c r="A7" s="92">
        <f t="shared" si="17"/>
        <v>3</v>
      </c>
      <c r="B7" s="99">
        <f>'Life table'!D5</f>
        <v>0.9787340708997091</v>
      </c>
      <c r="C7" s="99">
        <f>IF($A7&lt;Customisation!$H$13,0,B7)/LOOKUP(Customisation!$H$13,$A$4:$A$104,$B$4:$B$104)</f>
        <v>0</v>
      </c>
      <c r="D7" s="92">
        <f>IF($A7&lt;=Customisation!$H$13,1,1/(1+Customisation!$H$21)^($A7-Customisation!$H$13))</f>
        <v>1</v>
      </c>
      <c r="E7" s="92">
        <f t="shared" si="18"/>
        <v>3</v>
      </c>
      <c r="F7" s="92">
        <f t="shared" si="8"/>
        <v>0</v>
      </c>
      <c r="G7" s="100">
        <f ca="1">'Age data'!M11*Customisation!$H$22</f>
        <v>6.9909792167730764E-7</v>
      </c>
      <c r="H7" s="100">
        <f t="shared" ca="1" si="9"/>
        <v>6.9909792167730764E-7</v>
      </c>
      <c r="I7" s="100">
        <f ca="1">'Age data'!N11*Customisation!$H$22</f>
        <v>0</v>
      </c>
      <c r="J7" s="101">
        <f t="shared" ca="1" si="10"/>
        <v>0</v>
      </c>
      <c r="K7" s="100">
        <f ca="1">I7*'Life table'!I5</f>
        <v>0</v>
      </c>
      <c r="L7" s="100">
        <f ca="1">J7*'Life table'!J5</f>
        <v>0</v>
      </c>
      <c r="M7" s="100">
        <f t="shared" ca="1" si="11"/>
        <v>3.6375741661596826E-7</v>
      </c>
      <c r="N7" s="100">
        <f ca="1">((G7-I7)*$AW$5+I7*$AW$6)/(1+Customisation!$H$21)^($A7-12)</f>
        <v>4.4473388791531561E-7</v>
      </c>
      <c r="O7" s="100">
        <f ca="1">G7*Customisation!$H$17</f>
        <v>4.8428884541590756E-4</v>
      </c>
      <c r="P7" s="100">
        <f ca="1">O7/(1+Customisation!$H$21)^($A7-12)</f>
        <v>6.2990788785279538E-4</v>
      </c>
      <c r="Q7" s="100">
        <f ca="1">IF($A7&lt;Customisation!$H$13,G7,G7*(1-Customisation!$H$11*Customisation!$H$12))</f>
        <v>6.9909792167730764E-7</v>
      </c>
      <c r="R7" s="100">
        <f ca="1">IF($A7&lt;Customisation!$H$13,H7,H7*(1-Customisation!$H$11*Customisation!$H$12))</f>
        <v>6.9909792167730764E-7</v>
      </c>
      <c r="S7" s="100">
        <f ca="1">IF($A7&lt;Customisation!$H$13,I7,I7*(1-Customisation!$H$11*Customisation!$H$12))</f>
        <v>0</v>
      </c>
      <c r="T7" s="100">
        <f ca="1">IF($A7&lt;Customisation!$H$13,J7,J7*(1-Customisation!$H$11*Customisation!$H$12))</f>
        <v>0</v>
      </c>
      <c r="U7" s="100">
        <f ca="1">IF($A7&lt;Customisation!$H$13,K7,K7*(1-Customisation!$H$11*Customisation!$H$12))</f>
        <v>0</v>
      </c>
      <c r="V7" s="100">
        <f ca="1">IF($A7&lt;Customisation!$H$13,L7,L7*(1-Customisation!$H$11*Customisation!$H$12))</f>
        <v>0</v>
      </c>
      <c r="W7" s="100">
        <f ca="1">IF($A7&lt;Customisation!$H$13,M7,M7*(1-Customisation!$H$11*Customisation!$H$12))</f>
        <v>3.6375741661596826E-7</v>
      </c>
      <c r="X7" s="100">
        <f ca="1">IF($A7&lt;Customisation!$H$13,N7,N7*(1-Customisation!$H$11*Customisation!$H$12))</f>
        <v>4.4473388791531561E-7</v>
      </c>
      <c r="Y7" s="100">
        <f ca="1">IF($A7&lt;Customisation!$H$13,O7,O7*(1-Customisation!$H$11*Customisation!$H$12))</f>
        <v>4.8428884541590756E-4</v>
      </c>
      <c r="Z7" s="100">
        <f ca="1">IF($A7&lt;Customisation!$H$13,P7,P7*(1-Customisation!$H$11*Customisation!$H$12))</f>
        <v>6.2990788785279538E-4</v>
      </c>
      <c r="AA7" s="100">
        <f t="shared" ca="1" si="1"/>
        <v>0</v>
      </c>
      <c r="AB7" s="100">
        <f t="shared" ca="1" si="12"/>
        <v>0</v>
      </c>
      <c r="AC7" s="100">
        <f t="shared" ca="1" si="2"/>
        <v>0</v>
      </c>
      <c r="AD7" s="100">
        <f t="shared" ca="1" si="3"/>
        <v>0</v>
      </c>
      <c r="AE7" s="100">
        <f t="shared" ca="1" si="4"/>
        <v>0</v>
      </c>
      <c r="AF7" s="100">
        <f t="shared" ca="1" si="5"/>
        <v>0</v>
      </c>
      <c r="AG7" s="100">
        <f t="shared" ca="1" si="13"/>
        <v>0</v>
      </c>
      <c r="AH7" s="100">
        <f t="shared" ca="1" si="14"/>
        <v>0</v>
      </c>
      <c r="AI7" s="100">
        <f t="shared" ca="1" si="6"/>
        <v>0</v>
      </c>
      <c r="AJ7" s="100">
        <f t="shared" ca="1" si="7"/>
        <v>0</v>
      </c>
      <c r="AL7" s="102">
        <f t="shared" ca="1" si="15"/>
        <v>6.9909792167730758E-2</v>
      </c>
      <c r="AM7" s="102">
        <f t="shared" ca="1" si="16"/>
        <v>6.9909792167730758E-2</v>
      </c>
    </row>
    <row r="8" spans="1:51" x14ac:dyDescent="0.15">
      <c r="A8" s="92">
        <f t="shared" si="17"/>
        <v>4</v>
      </c>
      <c r="B8" s="99">
        <f>'Life table'!D6</f>
        <v>0.97815661779787832</v>
      </c>
      <c r="C8" s="99">
        <f>IF($A8&lt;Customisation!$H$13,0,B8)/LOOKUP(Customisation!$H$13,$A$4:$A$104,$B$4:$B$104)</f>
        <v>0</v>
      </c>
      <c r="D8" s="92">
        <f>IF($A8&lt;=Customisation!$H$13,1,1/(1+Customisation!$H$21)^($A8-Customisation!$H$13))</f>
        <v>1</v>
      </c>
      <c r="E8" s="92">
        <f t="shared" si="18"/>
        <v>4</v>
      </c>
      <c r="F8" s="92">
        <f t="shared" si="8"/>
        <v>0</v>
      </c>
      <c r="G8" s="100">
        <f ca="1">'Age data'!M12*Customisation!$H$22</f>
        <v>6.9909792167730764E-7</v>
      </c>
      <c r="H8" s="100">
        <f t="shared" ca="1" si="9"/>
        <v>6.9909792167730764E-7</v>
      </c>
      <c r="I8" s="100">
        <f ca="1">'Age data'!N12*Customisation!$H$22</f>
        <v>0</v>
      </c>
      <c r="J8" s="101">
        <f t="shared" ca="1" si="10"/>
        <v>0</v>
      </c>
      <c r="K8" s="100">
        <f ca="1">I8*'Life table'!I6</f>
        <v>0</v>
      </c>
      <c r="L8" s="100">
        <f ca="1">J8*'Life table'!J6</f>
        <v>0</v>
      </c>
      <c r="M8" s="100">
        <f t="shared" ca="1" si="11"/>
        <v>3.6375741661596826E-7</v>
      </c>
      <c r="N8" s="100">
        <f ca="1">((G8-I8)*$AW$5+I8*$AW$6)/(1+Customisation!$H$21)^($A8-12)</f>
        <v>4.3193100604151322E-7</v>
      </c>
      <c r="O8" s="100">
        <f ca="1">G8*Customisation!$H$17</f>
        <v>4.8428884541590756E-4</v>
      </c>
      <c r="P8" s="100">
        <f ca="1">O8/(1+Customisation!$H$21)^($A8-12)</f>
        <v>6.1177426570549606E-4</v>
      </c>
      <c r="Q8" s="100">
        <f ca="1">IF($A8&lt;Customisation!$H$13,G8,G8*(1-Customisation!$H$11*Customisation!$H$12))</f>
        <v>6.9909792167730764E-7</v>
      </c>
      <c r="R8" s="100">
        <f ca="1">IF($A8&lt;Customisation!$H$13,H8,H8*(1-Customisation!$H$11*Customisation!$H$12))</f>
        <v>6.9909792167730764E-7</v>
      </c>
      <c r="S8" s="100">
        <f ca="1">IF($A8&lt;Customisation!$H$13,I8,I8*(1-Customisation!$H$11*Customisation!$H$12))</f>
        <v>0</v>
      </c>
      <c r="T8" s="100">
        <f ca="1">IF($A8&lt;Customisation!$H$13,J8,J8*(1-Customisation!$H$11*Customisation!$H$12))</f>
        <v>0</v>
      </c>
      <c r="U8" s="100">
        <f ca="1">IF($A8&lt;Customisation!$H$13,K8,K8*(1-Customisation!$H$11*Customisation!$H$12))</f>
        <v>0</v>
      </c>
      <c r="V8" s="100">
        <f ca="1">IF($A8&lt;Customisation!$H$13,L8,L8*(1-Customisation!$H$11*Customisation!$H$12))</f>
        <v>0</v>
      </c>
      <c r="W8" s="100">
        <f ca="1">IF($A8&lt;Customisation!$H$13,M8,M8*(1-Customisation!$H$11*Customisation!$H$12))</f>
        <v>3.6375741661596826E-7</v>
      </c>
      <c r="X8" s="100">
        <f ca="1">IF($A8&lt;Customisation!$H$13,N8,N8*(1-Customisation!$H$11*Customisation!$H$12))</f>
        <v>4.3193100604151322E-7</v>
      </c>
      <c r="Y8" s="100">
        <f ca="1">IF($A8&lt;Customisation!$H$13,O8,O8*(1-Customisation!$H$11*Customisation!$H$12))</f>
        <v>4.8428884541590756E-4</v>
      </c>
      <c r="Z8" s="100">
        <f ca="1">IF($A8&lt;Customisation!$H$13,P8,P8*(1-Customisation!$H$11*Customisation!$H$12))</f>
        <v>6.1177426570549606E-4</v>
      </c>
      <c r="AA8" s="100">
        <f t="shared" ca="1" si="1"/>
        <v>0</v>
      </c>
      <c r="AB8" s="100">
        <f t="shared" ca="1" si="12"/>
        <v>0</v>
      </c>
      <c r="AC8" s="100">
        <f t="shared" ca="1" si="2"/>
        <v>0</v>
      </c>
      <c r="AD8" s="100">
        <f t="shared" ca="1" si="3"/>
        <v>0</v>
      </c>
      <c r="AE8" s="100">
        <f t="shared" ca="1" si="4"/>
        <v>0</v>
      </c>
      <c r="AF8" s="100">
        <f t="shared" ca="1" si="5"/>
        <v>0</v>
      </c>
      <c r="AG8" s="100">
        <f t="shared" ca="1" si="13"/>
        <v>0</v>
      </c>
      <c r="AH8" s="100">
        <f t="shared" ca="1" si="14"/>
        <v>0</v>
      </c>
      <c r="AI8" s="100">
        <f t="shared" ca="1" si="6"/>
        <v>0</v>
      </c>
      <c r="AJ8" s="100">
        <f t="shared" ca="1" si="7"/>
        <v>0</v>
      </c>
      <c r="AL8" s="102">
        <f t="shared" ca="1" si="15"/>
        <v>6.9909792167730758E-2</v>
      </c>
      <c r="AM8" s="102">
        <f t="shared" ca="1" si="16"/>
        <v>6.9909792167730758E-2</v>
      </c>
    </row>
    <row r="9" spans="1:51" x14ac:dyDescent="0.15">
      <c r="A9" s="92">
        <f t="shared" si="17"/>
        <v>5</v>
      </c>
      <c r="B9" s="99">
        <f>'Life table'!D7</f>
        <v>0.97757950539337757</v>
      </c>
      <c r="C9" s="99">
        <f>IF($A9&lt;Customisation!$H$13,0,B9)/LOOKUP(Customisation!$H$13,$A$4:$A$104,$B$4:$B$104)</f>
        <v>0</v>
      </c>
      <c r="D9" s="92">
        <f>IF($A9&lt;=Customisation!$H$13,1,1/(1+Customisation!$H$21)^($A9-Customisation!$H$13))</f>
        <v>1</v>
      </c>
      <c r="E9" s="92">
        <f t="shared" si="18"/>
        <v>5</v>
      </c>
      <c r="F9" s="92">
        <f t="shared" si="8"/>
        <v>0</v>
      </c>
      <c r="G9" s="100">
        <f ca="1">'Age data'!M13*Customisation!$H$22</f>
        <v>6.9909792167730764E-7</v>
      </c>
      <c r="H9" s="100">
        <f t="shared" ca="1" si="9"/>
        <v>6.9909792167730764E-7</v>
      </c>
      <c r="I9" s="100">
        <f ca="1">'Age data'!N13*Customisation!$H$22</f>
        <v>0</v>
      </c>
      <c r="J9" s="101">
        <f t="shared" ca="1" si="10"/>
        <v>0</v>
      </c>
      <c r="K9" s="100">
        <f ca="1">I9*'Life table'!I7</f>
        <v>0</v>
      </c>
      <c r="L9" s="100">
        <f ca="1">J9*'Life table'!J7</f>
        <v>0</v>
      </c>
      <c r="M9" s="100">
        <f t="shared" ca="1" si="11"/>
        <v>3.6375741661596826E-7</v>
      </c>
      <c r="N9" s="100">
        <f ca="1">((G9-I9)*$AW$5+I9*$AW$6)/(1+Customisation!$H$21)^($A9-12)</f>
        <v>4.194966901545369E-7</v>
      </c>
      <c r="O9" s="100">
        <f ca="1">G9*Customisation!$H$17</f>
        <v>4.8428884541590756E-4</v>
      </c>
      <c r="P9" s="100">
        <f ca="1">O9/(1+Customisation!$H$21)^($A9-12)</f>
        <v>5.9416266949011804E-4</v>
      </c>
      <c r="Q9" s="100">
        <f ca="1">IF($A9&lt;Customisation!$H$13,G9,G9*(1-Customisation!$H$11*Customisation!$H$12))</f>
        <v>6.9909792167730764E-7</v>
      </c>
      <c r="R9" s="100">
        <f ca="1">IF($A9&lt;Customisation!$H$13,H9,H9*(1-Customisation!$H$11*Customisation!$H$12))</f>
        <v>6.9909792167730764E-7</v>
      </c>
      <c r="S9" s="100">
        <f ca="1">IF($A9&lt;Customisation!$H$13,I9,I9*(1-Customisation!$H$11*Customisation!$H$12))</f>
        <v>0</v>
      </c>
      <c r="T9" s="100">
        <f ca="1">IF($A9&lt;Customisation!$H$13,J9,J9*(1-Customisation!$H$11*Customisation!$H$12))</f>
        <v>0</v>
      </c>
      <c r="U9" s="100">
        <f ca="1">IF($A9&lt;Customisation!$H$13,K9,K9*(1-Customisation!$H$11*Customisation!$H$12))</f>
        <v>0</v>
      </c>
      <c r="V9" s="100">
        <f ca="1">IF($A9&lt;Customisation!$H$13,L9,L9*(1-Customisation!$H$11*Customisation!$H$12))</f>
        <v>0</v>
      </c>
      <c r="W9" s="100">
        <f ca="1">IF($A9&lt;Customisation!$H$13,M9,M9*(1-Customisation!$H$11*Customisation!$H$12))</f>
        <v>3.6375741661596826E-7</v>
      </c>
      <c r="X9" s="100">
        <f ca="1">IF($A9&lt;Customisation!$H$13,N9,N9*(1-Customisation!$H$11*Customisation!$H$12))</f>
        <v>4.194966901545369E-7</v>
      </c>
      <c r="Y9" s="100">
        <f ca="1">IF($A9&lt;Customisation!$H$13,O9,O9*(1-Customisation!$H$11*Customisation!$H$12))</f>
        <v>4.8428884541590756E-4</v>
      </c>
      <c r="Z9" s="100">
        <f ca="1">IF($A9&lt;Customisation!$H$13,P9,P9*(1-Customisation!$H$11*Customisation!$H$12))</f>
        <v>5.9416266949011804E-4</v>
      </c>
      <c r="AA9" s="100">
        <f t="shared" ca="1" si="1"/>
        <v>0</v>
      </c>
      <c r="AB9" s="100">
        <f t="shared" ca="1" si="12"/>
        <v>0</v>
      </c>
      <c r="AC9" s="100">
        <f t="shared" ca="1" si="2"/>
        <v>0</v>
      </c>
      <c r="AD9" s="100">
        <f t="shared" ca="1" si="3"/>
        <v>0</v>
      </c>
      <c r="AE9" s="100">
        <f t="shared" ca="1" si="4"/>
        <v>0</v>
      </c>
      <c r="AF9" s="100">
        <f t="shared" ca="1" si="5"/>
        <v>0</v>
      </c>
      <c r="AG9" s="100">
        <f t="shared" ca="1" si="13"/>
        <v>0</v>
      </c>
      <c r="AH9" s="100">
        <f t="shared" ca="1" si="14"/>
        <v>0</v>
      </c>
      <c r="AI9" s="100">
        <f t="shared" ca="1" si="6"/>
        <v>0</v>
      </c>
      <c r="AJ9" s="100">
        <f t="shared" ca="1" si="7"/>
        <v>0</v>
      </c>
      <c r="AL9" s="102">
        <f t="shared" ca="1" si="15"/>
        <v>6.9909792167730758E-2</v>
      </c>
      <c r="AM9" s="102">
        <f t="shared" ca="1" si="16"/>
        <v>6.9909792167730758E-2</v>
      </c>
    </row>
    <row r="10" spans="1:51" x14ac:dyDescent="0.15">
      <c r="A10" s="92">
        <f t="shared" si="17"/>
        <v>6</v>
      </c>
      <c r="B10" s="99">
        <f>'Life table'!D8</f>
        <v>0.97726667995165173</v>
      </c>
      <c r="C10" s="99">
        <f>IF($A10&lt;Customisation!$H$13,0,B10)/LOOKUP(Customisation!$H$13,$A$4:$A$104,$B$4:$B$104)</f>
        <v>0</v>
      </c>
      <c r="D10" s="92">
        <f>IF($A10&lt;=Customisation!$H$13,1,1/(1+Customisation!$H$21)^($A10-Customisation!$H$13))</f>
        <v>1</v>
      </c>
      <c r="E10" s="92">
        <f t="shared" si="18"/>
        <v>6</v>
      </c>
      <c r="F10" s="92">
        <f t="shared" si="8"/>
        <v>0</v>
      </c>
      <c r="G10" s="100">
        <f ca="1">'Age data'!M14*Customisation!$H$22</f>
        <v>6.9909792167730764E-7</v>
      </c>
      <c r="H10" s="100">
        <f t="shared" ca="1" si="9"/>
        <v>6.9909792167730764E-7</v>
      </c>
      <c r="I10" s="100">
        <f ca="1">'Age data'!N14*Customisation!$H$22</f>
        <v>0</v>
      </c>
      <c r="J10" s="101">
        <f t="shared" ca="1" si="10"/>
        <v>0</v>
      </c>
      <c r="K10" s="100">
        <f ca="1">I10*'Life table'!I8</f>
        <v>0</v>
      </c>
      <c r="L10" s="100">
        <f ca="1">J10*'Life table'!J8</f>
        <v>0</v>
      </c>
      <c r="M10" s="100">
        <f t="shared" ca="1" si="11"/>
        <v>3.6375741661596826E-7</v>
      </c>
      <c r="N10" s="100">
        <f ca="1">((G10-I10)*$AW$5+I10*$AW$6)/(1+Customisation!$H$21)^($A10-12)</f>
        <v>4.074203300739615E-7</v>
      </c>
      <c r="O10" s="100">
        <f ca="1">G10*Customisation!$H$17</f>
        <v>4.8428884541590756E-4</v>
      </c>
      <c r="P10" s="100">
        <f ca="1">O10/(1+Customisation!$H$21)^($A10-12)</f>
        <v>5.7705807126180947E-4</v>
      </c>
      <c r="Q10" s="100">
        <f ca="1">IF($A10&lt;Customisation!$H$13,G10,G10*(1-Customisation!$H$11*Customisation!$H$12))</f>
        <v>6.9909792167730764E-7</v>
      </c>
      <c r="R10" s="100">
        <f ca="1">IF($A10&lt;Customisation!$H$13,H10,H10*(1-Customisation!$H$11*Customisation!$H$12))</f>
        <v>6.9909792167730764E-7</v>
      </c>
      <c r="S10" s="100">
        <f ca="1">IF($A10&lt;Customisation!$H$13,I10,I10*(1-Customisation!$H$11*Customisation!$H$12))</f>
        <v>0</v>
      </c>
      <c r="T10" s="100">
        <f ca="1">IF($A10&lt;Customisation!$H$13,J10,J10*(1-Customisation!$H$11*Customisation!$H$12))</f>
        <v>0</v>
      </c>
      <c r="U10" s="100">
        <f ca="1">IF($A10&lt;Customisation!$H$13,K10,K10*(1-Customisation!$H$11*Customisation!$H$12))</f>
        <v>0</v>
      </c>
      <c r="V10" s="100">
        <f ca="1">IF($A10&lt;Customisation!$H$13,L10,L10*(1-Customisation!$H$11*Customisation!$H$12))</f>
        <v>0</v>
      </c>
      <c r="W10" s="100">
        <f ca="1">IF($A10&lt;Customisation!$H$13,M10,M10*(1-Customisation!$H$11*Customisation!$H$12))</f>
        <v>3.6375741661596826E-7</v>
      </c>
      <c r="X10" s="100">
        <f ca="1">IF($A10&lt;Customisation!$H$13,N10,N10*(1-Customisation!$H$11*Customisation!$H$12))</f>
        <v>4.074203300739615E-7</v>
      </c>
      <c r="Y10" s="100">
        <f ca="1">IF($A10&lt;Customisation!$H$13,O10,O10*(1-Customisation!$H$11*Customisation!$H$12))</f>
        <v>4.8428884541590756E-4</v>
      </c>
      <c r="Z10" s="100">
        <f ca="1">IF($A10&lt;Customisation!$H$13,P10,P10*(1-Customisation!$H$11*Customisation!$H$12))</f>
        <v>5.7705807126180947E-4</v>
      </c>
      <c r="AA10" s="100">
        <f t="shared" ca="1" si="1"/>
        <v>0</v>
      </c>
      <c r="AB10" s="100">
        <f t="shared" ca="1" si="12"/>
        <v>0</v>
      </c>
      <c r="AC10" s="100">
        <f t="shared" ca="1" si="2"/>
        <v>0</v>
      </c>
      <c r="AD10" s="100">
        <f t="shared" ca="1" si="3"/>
        <v>0</v>
      </c>
      <c r="AE10" s="100">
        <f t="shared" ca="1" si="4"/>
        <v>0</v>
      </c>
      <c r="AF10" s="100">
        <f t="shared" ca="1" si="5"/>
        <v>0</v>
      </c>
      <c r="AG10" s="100">
        <f t="shared" ca="1" si="13"/>
        <v>0</v>
      </c>
      <c r="AH10" s="100">
        <f t="shared" ca="1" si="14"/>
        <v>0</v>
      </c>
      <c r="AI10" s="100">
        <f t="shared" ca="1" si="6"/>
        <v>0</v>
      </c>
      <c r="AJ10" s="100">
        <f t="shared" ca="1" si="7"/>
        <v>0</v>
      </c>
      <c r="AL10" s="102">
        <f t="shared" ca="1" si="15"/>
        <v>6.9909792167730758E-2</v>
      </c>
      <c r="AM10" s="102">
        <f t="shared" ca="1" si="16"/>
        <v>6.9909792167730758E-2</v>
      </c>
    </row>
    <row r="11" spans="1:51" x14ac:dyDescent="0.15">
      <c r="A11" s="92">
        <f t="shared" si="17"/>
        <v>7</v>
      </c>
      <c r="B11" s="99">
        <f>'Life table'!D9</f>
        <v>0.9769539546140672</v>
      </c>
      <c r="C11" s="99">
        <f>IF($A11&lt;Customisation!$H$13,0,B11)/LOOKUP(Customisation!$H$13,$A$4:$A$104,$B$4:$B$104)</f>
        <v>0</v>
      </c>
      <c r="D11" s="92">
        <f>IF($A11&lt;=Customisation!$H$13,1,1/(1+Customisation!$H$21)^($A11-Customisation!$H$13))</f>
        <v>1</v>
      </c>
      <c r="E11" s="92">
        <f t="shared" si="18"/>
        <v>7</v>
      </c>
      <c r="F11" s="92">
        <f t="shared" si="8"/>
        <v>0</v>
      </c>
      <c r="G11" s="100">
        <f ca="1">'Age data'!M15*Customisation!$H$22</f>
        <v>6.9909792167730764E-7</v>
      </c>
      <c r="H11" s="100">
        <f t="shared" ca="1" si="9"/>
        <v>6.9909792167730764E-7</v>
      </c>
      <c r="I11" s="100">
        <f ca="1">'Age data'!N15*Customisation!$H$22</f>
        <v>0</v>
      </c>
      <c r="J11" s="101">
        <f t="shared" ca="1" si="10"/>
        <v>0</v>
      </c>
      <c r="K11" s="100">
        <f ca="1">I11*'Life table'!I9</f>
        <v>0</v>
      </c>
      <c r="L11" s="100">
        <f ca="1">J11*'Life table'!J9</f>
        <v>0</v>
      </c>
      <c r="M11" s="100">
        <f t="shared" ca="1" si="11"/>
        <v>3.6375741661596826E-7</v>
      </c>
      <c r="N11" s="100">
        <f ca="1">((G11-I11)*$AW$5+I11*$AW$6)/(1+Customisation!$H$21)^($A11-12)</f>
        <v>3.9569162106243736E-7</v>
      </c>
      <c r="O11" s="100">
        <f ca="1">G11*Customisation!$H$17</f>
        <v>4.8428884541590756E-4</v>
      </c>
      <c r="P11" s="100">
        <f ca="1">O11/(1+Customisation!$H$21)^($A11-12)</f>
        <v>5.6044587569623126E-4</v>
      </c>
      <c r="Q11" s="100">
        <f ca="1">IF($A11&lt;Customisation!$H$13,G11,G11*(1-Customisation!$H$11*Customisation!$H$12))</f>
        <v>6.9909792167730764E-7</v>
      </c>
      <c r="R11" s="100">
        <f ca="1">IF($A11&lt;Customisation!$H$13,H11,H11*(1-Customisation!$H$11*Customisation!$H$12))</f>
        <v>6.9909792167730764E-7</v>
      </c>
      <c r="S11" s="100">
        <f ca="1">IF($A11&lt;Customisation!$H$13,I11,I11*(1-Customisation!$H$11*Customisation!$H$12))</f>
        <v>0</v>
      </c>
      <c r="T11" s="100">
        <f ca="1">IF($A11&lt;Customisation!$H$13,J11,J11*(1-Customisation!$H$11*Customisation!$H$12))</f>
        <v>0</v>
      </c>
      <c r="U11" s="100">
        <f ca="1">IF($A11&lt;Customisation!$H$13,K11,K11*(1-Customisation!$H$11*Customisation!$H$12))</f>
        <v>0</v>
      </c>
      <c r="V11" s="100">
        <f ca="1">IF($A11&lt;Customisation!$H$13,L11,L11*(1-Customisation!$H$11*Customisation!$H$12))</f>
        <v>0</v>
      </c>
      <c r="W11" s="100">
        <f ca="1">IF($A11&lt;Customisation!$H$13,M11,M11*(1-Customisation!$H$11*Customisation!$H$12))</f>
        <v>3.6375741661596826E-7</v>
      </c>
      <c r="X11" s="100">
        <f ca="1">IF($A11&lt;Customisation!$H$13,N11,N11*(1-Customisation!$H$11*Customisation!$H$12))</f>
        <v>3.9569162106243736E-7</v>
      </c>
      <c r="Y11" s="100">
        <f ca="1">IF($A11&lt;Customisation!$H$13,O11,O11*(1-Customisation!$H$11*Customisation!$H$12))</f>
        <v>4.8428884541590756E-4</v>
      </c>
      <c r="Z11" s="100">
        <f ca="1">IF($A11&lt;Customisation!$H$13,P11,P11*(1-Customisation!$H$11*Customisation!$H$12))</f>
        <v>5.6044587569623126E-4</v>
      </c>
      <c r="AA11" s="100">
        <f t="shared" ca="1" si="1"/>
        <v>0</v>
      </c>
      <c r="AB11" s="100">
        <f t="shared" ca="1" si="12"/>
        <v>0</v>
      </c>
      <c r="AC11" s="100">
        <f t="shared" ca="1" si="2"/>
        <v>0</v>
      </c>
      <c r="AD11" s="100">
        <f t="shared" ca="1" si="3"/>
        <v>0</v>
      </c>
      <c r="AE11" s="100">
        <f t="shared" ca="1" si="4"/>
        <v>0</v>
      </c>
      <c r="AF11" s="100">
        <f t="shared" ca="1" si="5"/>
        <v>0</v>
      </c>
      <c r="AG11" s="100">
        <f t="shared" ca="1" si="13"/>
        <v>0</v>
      </c>
      <c r="AH11" s="100">
        <f t="shared" ca="1" si="14"/>
        <v>0</v>
      </c>
      <c r="AI11" s="100">
        <f t="shared" ca="1" si="6"/>
        <v>0</v>
      </c>
      <c r="AJ11" s="100">
        <f t="shared" ca="1" si="7"/>
        <v>0</v>
      </c>
      <c r="AL11" s="102">
        <f t="shared" ca="1" si="15"/>
        <v>6.9909792167730758E-2</v>
      </c>
      <c r="AM11" s="102">
        <f t="shared" ca="1" si="16"/>
        <v>6.9909792167730758E-2</v>
      </c>
    </row>
    <row r="12" spans="1:51" x14ac:dyDescent="0.15">
      <c r="A12" s="92">
        <f t="shared" si="17"/>
        <v>8</v>
      </c>
      <c r="B12" s="99">
        <f>'Life table'!D10</f>
        <v>0.97664132934859071</v>
      </c>
      <c r="C12" s="99">
        <f>IF($A12&lt;Customisation!$H$13,0,B12)/LOOKUP(Customisation!$H$13,$A$4:$A$104,$B$4:$B$104)</f>
        <v>0</v>
      </c>
      <c r="D12" s="92">
        <f>IF($A12&lt;=Customisation!$H$13,1,1/(1+Customisation!$H$21)^($A12-Customisation!$H$13))</f>
        <v>1</v>
      </c>
      <c r="E12" s="92">
        <f t="shared" si="18"/>
        <v>8</v>
      </c>
      <c r="F12" s="92">
        <f t="shared" si="8"/>
        <v>0</v>
      </c>
      <c r="G12" s="100">
        <f ca="1">'Age data'!M16*Customisation!$H$22</f>
        <v>6.9909792167730764E-7</v>
      </c>
      <c r="H12" s="100">
        <f t="shared" ca="1" si="9"/>
        <v>6.9909792167730764E-7</v>
      </c>
      <c r="I12" s="100">
        <f ca="1">'Age data'!N16*Customisation!$H$22</f>
        <v>0</v>
      </c>
      <c r="J12" s="101">
        <f t="shared" ca="1" si="10"/>
        <v>0</v>
      </c>
      <c r="K12" s="100">
        <f ca="1">I12*'Life table'!I10</f>
        <v>0</v>
      </c>
      <c r="L12" s="100">
        <f ca="1">J12*'Life table'!J10</f>
        <v>0</v>
      </c>
      <c r="M12" s="100">
        <f t="shared" ca="1" si="11"/>
        <v>3.6375741661596826E-7</v>
      </c>
      <c r="N12" s="100">
        <f ca="1">((G12-I12)*$AW$5+I12*$AW$6)/(1+Customisation!$H$21)^($A12-12)</f>
        <v>3.8430055503267612E-7</v>
      </c>
      <c r="O12" s="100">
        <f ca="1">G12*Customisation!$H$17</f>
        <v>4.8428884541590756E-4</v>
      </c>
      <c r="P12" s="100">
        <f ca="1">O12/(1+Customisation!$H$21)^($A12-12)</f>
        <v>5.4431190763539177E-4</v>
      </c>
      <c r="Q12" s="100">
        <f ca="1">IF($A12&lt;Customisation!$H$13,G12,G12*(1-Customisation!$H$11*Customisation!$H$12))</f>
        <v>6.9909792167730764E-7</v>
      </c>
      <c r="R12" s="100">
        <f ca="1">IF($A12&lt;Customisation!$H$13,H12,H12*(1-Customisation!$H$11*Customisation!$H$12))</f>
        <v>6.9909792167730764E-7</v>
      </c>
      <c r="S12" s="100">
        <f ca="1">IF($A12&lt;Customisation!$H$13,I12,I12*(1-Customisation!$H$11*Customisation!$H$12))</f>
        <v>0</v>
      </c>
      <c r="T12" s="100">
        <f ca="1">IF($A12&lt;Customisation!$H$13,J12,J12*(1-Customisation!$H$11*Customisation!$H$12))</f>
        <v>0</v>
      </c>
      <c r="U12" s="100">
        <f ca="1">IF($A12&lt;Customisation!$H$13,K12,K12*(1-Customisation!$H$11*Customisation!$H$12))</f>
        <v>0</v>
      </c>
      <c r="V12" s="100">
        <f ca="1">IF($A12&lt;Customisation!$H$13,L12,L12*(1-Customisation!$H$11*Customisation!$H$12))</f>
        <v>0</v>
      </c>
      <c r="W12" s="100">
        <f ca="1">IF($A12&lt;Customisation!$H$13,M12,M12*(1-Customisation!$H$11*Customisation!$H$12))</f>
        <v>3.6375741661596826E-7</v>
      </c>
      <c r="X12" s="100">
        <f ca="1">IF($A12&lt;Customisation!$H$13,N12,N12*(1-Customisation!$H$11*Customisation!$H$12))</f>
        <v>3.8430055503267612E-7</v>
      </c>
      <c r="Y12" s="100">
        <f ca="1">IF($A12&lt;Customisation!$H$13,O12,O12*(1-Customisation!$H$11*Customisation!$H$12))</f>
        <v>4.8428884541590756E-4</v>
      </c>
      <c r="Z12" s="100">
        <f ca="1">IF($A12&lt;Customisation!$H$13,P12,P12*(1-Customisation!$H$11*Customisation!$H$12))</f>
        <v>5.4431190763539177E-4</v>
      </c>
      <c r="AA12" s="100">
        <f t="shared" ca="1" si="1"/>
        <v>0</v>
      </c>
      <c r="AB12" s="100">
        <f t="shared" ca="1" si="12"/>
        <v>0</v>
      </c>
      <c r="AC12" s="100">
        <f t="shared" ca="1" si="2"/>
        <v>0</v>
      </c>
      <c r="AD12" s="100">
        <f t="shared" ca="1" si="3"/>
        <v>0</v>
      </c>
      <c r="AE12" s="100">
        <f t="shared" ca="1" si="4"/>
        <v>0</v>
      </c>
      <c r="AF12" s="100">
        <f t="shared" ca="1" si="5"/>
        <v>0</v>
      </c>
      <c r="AG12" s="100">
        <f t="shared" ca="1" si="13"/>
        <v>0</v>
      </c>
      <c r="AH12" s="100">
        <f t="shared" ca="1" si="14"/>
        <v>0</v>
      </c>
      <c r="AI12" s="100">
        <f t="shared" ca="1" si="6"/>
        <v>0</v>
      </c>
      <c r="AJ12" s="100">
        <f t="shared" ca="1" si="7"/>
        <v>0</v>
      </c>
      <c r="AL12" s="102">
        <f t="shared" ca="1" si="15"/>
        <v>6.9909792167730758E-2</v>
      </c>
      <c r="AM12" s="102">
        <f t="shared" ca="1" si="16"/>
        <v>6.9909792167730758E-2</v>
      </c>
    </row>
    <row r="13" spans="1:51" x14ac:dyDescent="0.15">
      <c r="A13" s="92">
        <f t="shared" si="17"/>
        <v>9</v>
      </c>
      <c r="B13" s="99">
        <f>'Life table'!D11</f>
        <v>0.97632880412319922</v>
      </c>
      <c r="C13" s="99">
        <f>IF($A13&lt;Customisation!$H$13,0,B13)/LOOKUP(Customisation!$H$13,$A$4:$A$104,$B$4:$B$104)</f>
        <v>0</v>
      </c>
      <c r="D13" s="92">
        <f>IF($A13&lt;=Customisation!$H$13,1,1/(1+Customisation!$H$21)^($A13-Customisation!$H$13))</f>
        <v>1</v>
      </c>
      <c r="E13" s="92">
        <f t="shared" si="18"/>
        <v>9</v>
      </c>
      <c r="F13" s="92">
        <f t="shared" si="8"/>
        <v>0</v>
      </c>
      <c r="G13" s="100">
        <f ca="1">'Age data'!M17*Customisation!$H$22</f>
        <v>6.9909792167730764E-7</v>
      </c>
      <c r="H13" s="100">
        <f t="shared" ca="1" si="9"/>
        <v>6.9909792167730764E-7</v>
      </c>
      <c r="I13" s="100">
        <f ca="1">'Age data'!N17*Customisation!$H$22</f>
        <v>0</v>
      </c>
      <c r="J13" s="101">
        <f t="shared" ca="1" si="10"/>
        <v>0</v>
      </c>
      <c r="K13" s="100">
        <f ca="1">I13*'Life table'!I11</f>
        <v>0</v>
      </c>
      <c r="L13" s="100">
        <f ca="1">J13*'Life table'!J11</f>
        <v>0</v>
      </c>
      <c r="M13" s="100">
        <f t="shared" ca="1" si="11"/>
        <v>3.6375741661596826E-7</v>
      </c>
      <c r="N13" s="100">
        <f ca="1">((G13-I13)*$AW$5+I13*$AW$6)/(1+Customisation!$H$21)^($A13-12)</f>
        <v>3.7323741200756687E-7</v>
      </c>
      <c r="O13" s="100">
        <f ca="1">G13*Customisation!$H$17</f>
        <v>4.8428884541590756E-4</v>
      </c>
      <c r="P13" s="100">
        <f ca="1">O13/(1+Customisation!$H$21)^($A13-12)</f>
        <v>5.2864239999200996E-4</v>
      </c>
      <c r="Q13" s="100">
        <f ca="1">IF($A13&lt;Customisation!$H$13,G13,G13*(1-Customisation!$H$11*Customisation!$H$12))</f>
        <v>6.9909792167730764E-7</v>
      </c>
      <c r="R13" s="100">
        <f ca="1">IF($A13&lt;Customisation!$H$13,H13,H13*(1-Customisation!$H$11*Customisation!$H$12))</f>
        <v>6.9909792167730764E-7</v>
      </c>
      <c r="S13" s="100">
        <f ca="1">IF($A13&lt;Customisation!$H$13,I13,I13*(1-Customisation!$H$11*Customisation!$H$12))</f>
        <v>0</v>
      </c>
      <c r="T13" s="100">
        <f ca="1">IF($A13&lt;Customisation!$H$13,J13,J13*(1-Customisation!$H$11*Customisation!$H$12))</f>
        <v>0</v>
      </c>
      <c r="U13" s="100">
        <f ca="1">IF($A13&lt;Customisation!$H$13,K13,K13*(1-Customisation!$H$11*Customisation!$H$12))</f>
        <v>0</v>
      </c>
      <c r="V13" s="100">
        <f ca="1">IF($A13&lt;Customisation!$H$13,L13,L13*(1-Customisation!$H$11*Customisation!$H$12))</f>
        <v>0</v>
      </c>
      <c r="W13" s="100">
        <f ca="1">IF($A13&lt;Customisation!$H$13,M13,M13*(1-Customisation!$H$11*Customisation!$H$12))</f>
        <v>3.6375741661596826E-7</v>
      </c>
      <c r="X13" s="100">
        <f ca="1">IF($A13&lt;Customisation!$H$13,N13,N13*(1-Customisation!$H$11*Customisation!$H$12))</f>
        <v>3.7323741200756687E-7</v>
      </c>
      <c r="Y13" s="100">
        <f ca="1">IF($A13&lt;Customisation!$H$13,O13,O13*(1-Customisation!$H$11*Customisation!$H$12))</f>
        <v>4.8428884541590756E-4</v>
      </c>
      <c r="Z13" s="100">
        <f ca="1">IF($A13&lt;Customisation!$H$13,P13,P13*(1-Customisation!$H$11*Customisation!$H$12))</f>
        <v>5.2864239999200996E-4</v>
      </c>
      <c r="AA13" s="100">
        <f t="shared" ca="1" si="1"/>
        <v>0</v>
      </c>
      <c r="AB13" s="100">
        <f t="shared" ca="1" si="12"/>
        <v>0</v>
      </c>
      <c r="AC13" s="100">
        <f t="shared" ca="1" si="2"/>
        <v>0</v>
      </c>
      <c r="AD13" s="100">
        <f t="shared" ca="1" si="3"/>
        <v>0</v>
      </c>
      <c r="AE13" s="100">
        <f t="shared" ca="1" si="4"/>
        <v>0</v>
      </c>
      <c r="AF13" s="100">
        <f t="shared" ca="1" si="5"/>
        <v>0</v>
      </c>
      <c r="AG13" s="100">
        <f t="shared" ca="1" si="13"/>
        <v>0</v>
      </c>
      <c r="AH13" s="100">
        <f t="shared" ca="1" si="14"/>
        <v>0</v>
      </c>
      <c r="AI13" s="100">
        <f t="shared" ca="1" si="6"/>
        <v>0</v>
      </c>
      <c r="AJ13" s="100">
        <f t="shared" ca="1" si="7"/>
        <v>0</v>
      </c>
      <c r="AL13" s="102">
        <f t="shared" ca="1" si="15"/>
        <v>6.9909792167730758E-2</v>
      </c>
      <c r="AM13" s="102">
        <f t="shared" ca="1" si="16"/>
        <v>6.9909792167730758E-2</v>
      </c>
    </row>
    <row r="14" spans="1:51" x14ac:dyDescent="0.15">
      <c r="A14" s="92">
        <f t="shared" si="17"/>
        <v>10</v>
      </c>
      <c r="B14" s="99">
        <f>'Life table'!D12</f>
        <v>0.97601637890587978</v>
      </c>
      <c r="C14" s="99">
        <f>IF($A14&lt;Customisation!$H$13,0,B14)/LOOKUP(Customisation!$H$13,$A$4:$A$104,$B$4:$B$104)</f>
        <v>0</v>
      </c>
      <c r="D14" s="92">
        <f>IF($A14&lt;=Customisation!$H$13,1,1/(1+Customisation!$H$21)^($A14-Customisation!$H$13))</f>
        <v>1</v>
      </c>
      <c r="E14" s="92">
        <f t="shared" si="18"/>
        <v>10</v>
      </c>
      <c r="F14" s="92">
        <f t="shared" si="8"/>
        <v>0</v>
      </c>
      <c r="G14" s="100">
        <f ca="1">'Age data'!M18*Customisation!$H$22</f>
        <v>6.9909792167730764E-7</v>
      </c>
      <c r="H14" s="100">
        <f t="shared" ca="1" si="9"/>
        <v>6.9909792167730764E-7</v>
      </c>
      <c r="I14" s="100">
        <f ca="1">'Age data'!N18*Customisation!$H$22</f>
        <v>0</v>
      </c>
      <c r="J14" s="101">
        <f t="shared" ca="1" si="10"/>
        <v>0</v>
      </c>
      <c r="K14" s="100">
        <f ca="1">I14*'Life table'!I12</f>
        <v>0</v>
      </c>
      <c r="L14" s="100">
        <f ca="1">J14*'Life table'!J12</f>
        <v>0</v>
      </c>
      <c r="M14" s="100">
        <f t="shared" ca="1" si="11"/>
        <v>3.6375741661596826E-7</v>
      </c>
      <c r="N14" s="100">
        <f ca="1">((G14-I14)*$AW$5+I14*$AW$6)/(1+Customisation!$H$21)^($A14-12)</f>
        <v>3.6249275182613599E-7</v>
      </c>
      <c r="O14" s="100">
        <f ca="1">G14*Customisation!$H$17</f>
        <v>4.8428884541590756E-4</v>
      </c>
      <c r="P14" s="100">
        <f ca="1">O14/(1+Customisation!$H$21)^($A14-12)</f>
        <v>5.134239820020818E-4</v>
      </c>
      <c r="Q14" s="100">
        <f ca="1">IF($A14&lt;Customisation!$H$13,G14,G14*(1-Customisation!$H$11*Customisation!$H$12))</f>
        <v>6.9909792167730764E-7</v>
      </c>
      <c r="R14" s="100">
        <f ca="1">IF($A14&lt;Customisation!$H$13,H14,H14*(1-Customisation!$H$11*Customisation!$H$12))</f>
        <v>6.9909792167730764E-7</v>
      </c>
      <c r="S14" s="100">
        <f ca="1">IF($A14&lt;Customisation!$H$13,I14,I14*(1-Customisation!$H$11*Customisation!$H$12))</f>
        <v>0</v>
      </c>
      <c r="T14" s="100">
        <f ca="1">IF($A14&lt;Customisation!$H$13,J14,J14*(1-Customisation!$H$11*Customisation!$H$12))</f>
        <v>0</v>
      </c>
      <c r="U14" s="100">
        <f ca="1">IF($A14&lt;Customisation!$H$13,K14,K14*(1-Customisation!$H$11*Customisation!$H$12))</f>
        <v>0</v>
      </c>
      <c r="V14" s="100">
        <f ca="1">IF($A14&lt;Customisation!$H$13,L14,L14*(1-Customisation!$H$11*Customisation!$H$12))</f>
        <v>0</v>
      </c>
      <c r="W14" s="100">
        <f ca="1">IF($A14&lt;Customisation!$H$13,M14,M14*(1-Customisation!$H$11*Customisation!$H$12))</f>
        <v>3.6375741661596826E-7</v>
      </c>
      <c r="X14" s="100">
        <f ca="1">IF($A14&lt;Customisation!$H$13,N14,N14*(1-Customisation!$H$11*Customisation!$H$12))</f>
        <v>3.6249275182613599E-7</v>
      </c>
      <c r="Y14" s="100">
        <f ca="1">IF($A14&lt;Customisation!$H$13,O14,O14*(1-Customisation!$H$11*Customisation!$H$12))</f>
        <v>4.8428884541590756E-4</v>
      </c>
      <c r="Z14" s="100">
        <f ca="1">IF($A14&lt;Customisation!$H$13,P14,P14*(1-Customisation!$H$11*Customisation!$H$12))</f>
        <v>5.134239820020818E-4</v>
      </c>
      <c r="AA14" s="100">
        <f t="shared" ca="1" si="1"/>
        <v>0</v>
      </c>
      <c r="AB14" s="100">
        <f t="shared" ca="1" si="12"/>
        <v>0</v>
      </c>
      <c r="AC14" s="100">
        <f t="shared" ca="1" si="2"/>
        <v>0</v>
      </c>
      <c r="AD14" s="100">
        <f t="shared" ca="1" si="3"/>
        <v>0</v>
      </c>
      <c r="AE14" s="100">
        <f t="shared" ca="1" si="4"/>
        <v>0</v>
      </c>
      <c r="AF14" s="100">
        <f t="shared" ca="1" si="5"/>
        <v>0</v>
      </c>
      <c r="AG14" s="100">
        <f t="shared" ca="1" si="13"/>
        <v>0</v>
      </c>
      <c r="AH14" s="100">
        <f t="shared" ca="1" si="14"/>
        <v>0</v>
      </c>
      <c r="AI14" s="100">
        <f t="shared" ca="1" si="6"/>
        <v>0</v>
      </c>
      <c r="AJ14" s="100">
        <f t="shared" ca="1" si="7"/>
        <v>0</v>
      </c>
      <c r="AL14" s="102">
        <f t="shared" ca="1" si="15"/>
        <v>6.9909792167730758E-2</v>
      </c>
      <c r="AM14" s="102">
        <f t="shared" ca="1" si="16"/>
        <v>6.9909792167730758E-2</v>
      </c>
    </row>
    <row r="15" spans="1:51" x14ac:dyDescent="0.15">
      <c r="A15" s="92">
        <f t="shared" si="17"/>
        <v>11</v>
      </c>
      <c r="B15" s="99">
        <f>'Life table'!D13</f>
        <v>0.97576261464736425</v>
      </c>
      <c r="C15" s="99">
        <f>IF($A15&lt;Customisation!$H$13,0,B15)/LOOKUP(Customisation!$H$13,$A$4:$A$104,$B$4:$B$104)</f>
        <v>0</v>
      </c>
      <c r="D15" s="92">
        <f>IF($A15&lt;=Customisation!$H$13,1,1/(1+Customisation!$H$21)^($A15-Customisation!$H$13))</f>
        <v>1</v>
      </c>
      <c r="E15" s="92">
        <f t="shared" si="18"/>
        <v>11</v>
      </c>
      <c r="F15" s="92">
        <f t="shared" si="8"/>
        <v>0</v>
      </c>
      <c r="G15" s="100">
        <f ca="1">'Age data'!M19*Customisation!$H$22</f>
        <v>6.9909792167730764E-7</v>
      </c>
      <c r="H15" s="100">
        <f t="shared" ca="1" si="9"/>
        <v>6.9909792167730764E-7</v>
      </c>
      <c r="I15" s="100">
        <f ca="1">'Age data'!N19*Customisation!$H$22</f>
        <v>0</v>
      </c>
      <c r="J15" s="101">
        <f t="shared" ca="1" si="10"/>
        <v>0</v>
      </c>
      <c r="K15" s="100">
        <f ca="1">I15*'Life table'!I13</f>
        <v>0</v>
      </c>
      <c r="L15" s="100">
        <f ca="1">J15*'Life table'!J13</f>
        <v>0</v>
      </c>
      <c r="M15" s="100">
        <f t="shared" ca="1" si="11"/>
        <v>3.6375741661596826E-7</v>
      </c>
      <c r="N15" s="100">
        <f ca="1">((G15-I15)*$AW$5+I15*$AW$6)/(1+Customisation!$H$21)^($A15-12)</f>
        <v>3.5205740608827465E-7</v>
      </c>
      <c r="O15" s="100">
        <f ca="1">G15*Customisation!$H$17</f>
        <v>4.8428884541590756E-4</v>
      </c>
      <c r="P15" s="100">
        <f ca="1">O15/(1+Customisation!$H$21)^($A15-12)</f>
        <v>4.9864366781563157E-4</v>
      </c>
      <c r="Q15" s="100">
        <f ca="1">IF($A15&lt;Customisation!$H$13,G15,G15*(1-Customisation!$H$11*Customisation!$H$12))</f>
        <v>6.9909792167730764E-7</v>
      </c>
      <c r="R15" s="100">
        <f ca="1">IF($A15&lt;Customisation!$H$13,H15,H15*(1-Customisation!$H$11*Customisation!$H$12))</f>
        <v>6.9909792167730764E-7</v>
      </c>
      <c r="S15" s="100">
        <f ca="1">IF($A15&lt;Customisation!$H$13,I15,I15*(1-Customisation!$H$11*Customisation!$H$12))</f>
        <v>0</v>
      </c>
      <c r="T15" s="100">
        <f ca="1">IF($A15&lt;Customisation!$H$13,J15,J15*(1-Customisation!$H$11*Customisation!$H$12))</f>
        <v>0</v>
      </c>
      <c r="U15" s="100">
        <f ca="1">IF($A15&lt;Customisation!$H$13,K15,K15*(1-Customisation!$H$11*Customisation!$H$12))</f>
        <v>0</v>
      </c>
      <c r="V15" s="100">
        <f ca="1">IF($A15&lt;Customisation!$H$13,L15,L15*(1-Customisation!$H$11*Customisation!$H$12))</f>
        <v>0</v>
      </c>
      <c r="W15" s="100">
        <f ca="1">IF($A15&lt;Customisation!$H$13,M15,M15*(1-Customisation!$H$11*Customisation!$H$12))</f>
        <v>3.6375741661596826E-7</v>
      </c>
      <c r="X15" s="100">
        <f ca="1">IF($A15&lt;Customisation!$H$13,N15,N15*(1-Customisation!$H$11*Customisation!$H$12))</f>
        <v>3.5205740608827465E-7</v>
      </c>
      <c r="Y15" s="100">
        <f ca="1">IF($A15&lt;Customisation!$H$13,O15,O15*(1-Customisation!$H$11*Customisation!$H$12))</f>
        <v>4.8428884541590756E-4</v>
      </c>
      <c r="Z15" s="100">
        <f ca="1">IF($A15&lt;Customisation!$H$13,P15,P15*(1-Customisation!$H$11*Customisation!$H$12))</f>
        <v>4.9864366781563157E-4</v>
      </c>
      <c r="AA15" s="100">
        <f t="shared" ca="1" si="1"/>
        <v>0</v>
      </c>
      <c r="AB15" s="100">
        <f t="shared" ca="1" si="12"/>
        <v>0</v>
      </c>
      <c r="AC15" s="100">
        <f t="shared" ca="1" si="2"/>
        <v>0</v>
      </c>
      <c r="AD15" s="100">
        <f t="shared" ca="1" si="3"/>
        <v>0</v>
      </c>
      <c r="AE15" s="100">
        <f t="shared" ca="1" si="4"/>
        <v>0</v>
      </c>
      <c r="AF15" s="100">
        <f t="shared" ca="1" si="5"/>
        <v>0</v>
      </c>
      <c r="AG15" s="100">
        <f t="shared" ca="1" si="13"/>
        <v>0</v>
      </c>
      <c r="AH15" s="100">
        <f t="shared" ca="1" si="14"/>
        <v>0</v>
      </c>
      <c r="AI15" s="100">
        <f t="shared" ca="1" si="6"/>
        <v>0</v>
      </c>
      <c r="AJ15" s="100">
        <f t="shared" ca="1" si="7"/>
        <v>0</v>
      </c>
      <c r="AL15" s="102">
        <f t="shared" ca="1" si="15"/>
        <v>6.9909792167730758E-2</v>
      </c>
      <c r="AM15" s="102">
        <f t="shared" ca="1" si="16"/>
        <v>6.9909792167730758E-2</v>
      </c>
    </row>
    <row r="16" spans="1:51" x14ac:dyDescent="0.15">
      <c r="A16" s="92">
        <v>12</v>
      </c>
      <c r="B16" s="99">
        <f>'Life table'!D14</f>
        <v>0.97550891636755588</v>
      </c>
      <c r="C16" s="99">
        <f>IF($A16&lt;Customisation!$H$13,0,B16)/LOOKUP(Customisation!$H$13,$A$4:$A$104,$B$4:$B$104)</f>
        <v>1</v>
      </c>
      <c r="D16" s="92">
        <f>IF($A16&lt;=Customisation!$H$13,1,1/(1+Customisation!$H$21)^($A16-Customisation!$H$13))</f>
        <v>1</v>
      </c>
      <c r="E16" s="92">
        <f t="shared" si="18"/>
        <v>12</v>
      </c>
      <c r="F16" s="92">
        <f t="shared" si="8"/>
        <v>1</v>
      </c>
      <c r="G16" s="100">
        <f ca="1">'Age data'!M20*Customisation!$H$22</f>
        <v>6.9909792167730764E-7</v>
      </c>
      <c r="H16" s="100">
        <f t="shared" ca="1" si="9"/>
        <v>6.9909792167730764E-7</v>
      </c>
      <c r="I16" s="100">
        <f ca="1">'Age data'!N20*Customisation!$H$22</f>
        <v>0</v>
      </c>
      <c r="J16" s="101">
        <f t="shared" ca="1" si="10"/>
        <v>0</v>
      </c>
      <c r="K16" s="100">
        <f ca="1">I16*'Life table'!I14</f>
        <v>0</v>
      </c>
      <c r="L16" s="100">
        <f ca="1">J16*'Life table'!J14</f>
        <v>0</v>
      </c>
      <c r="M16" s="100">
        <f t="shared" ca="1" si="11"/>
        <v>3.6375741661596826E-7</v>
      </c>
      <c r="N16" s="100">
        <f ca="1">((G16-I16)*$AW$5+I16*$AW$6)/(1+Customisation!$H$21)^($A16-12)</f>
        <v>3.4192247033135807E-7</v>
      </c>
      <c r="O16" s="100">
        <f ca="1">G16*Customisation!$H$17</f>
        <v>4.8428884541590756E-4</v>
      </c>
      <c r="P16" s="100">
        <f ca="1">O16/(1+Customisation!$H$21)^($A16-12)</f>
        <v>4.8428884541590756E-4</v>
      </c>
      <c r="Q16" s="100">
        <f ca="1">IF($A16&lt;Customisation!$H$13,G16,G16*(1-Customisation!$H$11*Customisation!$H$12))</f>
        <v>2.6432853495021952E-7</v>
      </c>
      <c r="R16" s="100">
        <f ca="1">IF($A16&lt;Customisation!$H$13,H16,H16*(1-Customisation!$H$11*Customisation!$H$12))</f>
        <v>2.6432853495021952E-7</v>
      </c>
      <c r="S16" s="100">
        <f ca="1">IF($A16&lt;Customisation!$H$13,I16,I16*(1-Customisation!$H$11*Customisation!$H$12))</f>
        <v>0</v>
      </c>
      <c r="T16" s="100">
        <f ca="1">IF($A16&lt;Customisation!$H$13,J16,J16*(1-Customisation!$H$11*Customisation!$H$12))</f>
        <v>0</v>
      </c>
      <c r="U16" s="100">
        <f ca="1">IF($A16&lt;Customisation!$H$13,K16,K16*(1-Customisation!$H$11*Customisation!$H$12))</f>
        <v>0</v>
      </c>
      <c r="V16" s="100">
        <f ca="1">IF($A16&lt;Customisation!$H$13,L16,L16*(1-Customisation!$H$11*Customisation!$H$12))</f>
        <v>0</v>
      </c>
      <c r="W16" s="100">
        <f ca="1">IF($A16&lt;Customisation!$H$13,M16,M16*(1-Customisation!$H$11*Customisation!$H$12))</f>
        <v>1.3753647669368626E-7</v>
      </c>
      <c r="X16" s="100">
        <f ca="1">IF($A16&lt;Customisation!$H$13,N16,N16*(1-Customisation!$H$11*Customisation!$H$12))</f>
        <v>1.2928069566049386E-7</v>
      </c>
      <c r="Y16" s="100">
        <f ca="1">IF($A16&lt;Customisation!$H$13,O16,O16*(1-Customisation!$H$11*Customisation!$H$12))</f>
        <v>1.8310934281479406E-4</v>
      </c>
      <c r="Z16" s="100">
        <f ca="1">IF($A16&lt;Customisation!$H$13,P16,P16*(1-Customisation!$H$11*Customisation!$H$12))</f>
        <v>1.8310934281479406E-4</v>
      </c>
      <c r="AA16" s="100">
        <f t="shared" ref="AA16:AA47" ca="1" si="19">G16-Q16</f>
        <v>4.3476938672708812E-7</v>
      </c>
      <c r="AB16" s="100">
        <f t="shared" ca="1" si="12"/>
        <v>4.3476938672708812E-7</v>
      </c>
      <c r="AC16" s="100">
        <f t="shared" ref="AC16:AC47" ca="1" si="20">I16-S16</f>
        <v>0</v>
      </c>
      <c r="AD16" s="100">
        <f t="shared" ca="1" si="3"/>
        <v>0</v>
      </c>
      <c r="AE16" s="100">
        <f t="shared" ca="1" si="4"/>
        <v>0</v>
      </c>
      <c r="AF16" s="100">
        <f t="shared" ref="AF16:AF47" ca="1" si="21">L16-V16</f>
        <v>0</v>
      </c>
      <c r="AG16" s="100">
        <f t="shared" ca="1" si="13"/>
        <v>2.2622093992228199E-7</v>
      </c>
      <c r="AH16" s="100">
        <f t="shared" ca="1" si="14"/>
        <v>2.1264177467086421E-7</v>
      </c>
      <c r="AI16" s="100">
        <f t="shared" ref="AI16:AI47" ca="1" si="22">O16-Y16</f>
        <v>3.011795026011135E-4</v>
      </c>
      <c r="AJ16" s="100">
        <f t="shared" ref="AJ16:AJ47" ca="1" si="23">P16-Z16</f>
        <v>3.011795026011135E-4</v>
      </c>
      <c r="AL16" s="102">
        <f t="shared" ca="1" si="15"/>
        <v>6.9909792167730758E-2</v>
      </c>
      <c r="AM16" s="102">
        <f t="shared" ca="1" si="16"/>
        <v>2.6432853495021953E-2</v>
      </c>
    </row>
    <row r="17" spans="1:39" x14ac:dyDescent="0.15">
      <c r="A17" s="92">
        <f t="shared" ref="A17:A48" si="24">A16+1</f>
        <v>13</v>
      </c>
      <c r="B17" s="99">
        <f>'Life table'!D15</f>
        <v>0.97525528404930029</v>
      </c>
      <c r="C17" s="99">
        <f>IF($A17&lt;Customisation!$H$13,0,B17)/LOOKUP(Customisation!$H$13,$A$4:$A$104,$B$4:$B$104)</f>
        <v>0.99973999999999996</v>
      </c>
      <c r="D17" s="92">
        <f ca="1">IF($A17&lt;=Customisation!$H$13,1,1/(1+Customisation!$H$21)^($A17-Customisation!$H$13))</f>
        <v>0.97121226373412706</v>
      </c>
      <c r="E17" s="92">
        <f t="shared" si="18"/>
        <v>13</v>
      </c>
      <c r="F17" s="92">
        <f t="shared" ca="1" si="8"/>
        <v>0.97095974854555611</v>
      </c>
      <c r="G17" s="100">
        <f ca="1">'Age data'!M21*Customisation!$H$22</f>
        <v>6.9909792167730764E-7</v>
      </c>
      <c r="H17" s="100">
        <f t="shared" ca="1" si="9"/>
        <v>6.7897247508404142E-7</v>
      </c>
      <c r="I17" s="100">
        <f ca="1">'Age data'!N21*Customisation!$H$22</f>
        <v>0</v>
      </c>
      <c r="J17" s="101">
        <f t="shared" ca="1" si="10"/>
        <v>0</v>
      </c>
      <c r="K17" s="100">
        <f ca="1">I17*'Life table'!I15</f>
        <v>0</v>
      </c>
      <c r="L17" s="100">
        <f ca="1">J17*'Life table'!J15</f>
        <v>0</v>
      </c>
      <c r="M17" s="100">
        <f t="shared" ca="1" si="11"/>
        <v>3.6375741661596826E-7</v>
      </c>
      <c r="N17" s="100">
        <f ca="1">((G17-I17)*$AW$5+I17*$AW$6)/(1+Customisation!$H$21)^($A17-12)</f>
        <v>3.3207929643208319E-7</v>
      </c>
      <c r="O17" s="100">
        <f ca="1">G17*Customisation!$H$17</f>
        <v>4.8428884541590756E-4</v>
      </c>
      <c r="P17" s="100">
        <f ca="1">O17/(1+Customisation!$H$21)^($A17-12)</f>
        <v>4.7034726585757031E-4</v>
      </c>
      <c r="Q17" s="100">
        <f ca="1">IF($A17&lt;Customisation!$H$13,G17,G17*(1-Customisation!$H$11*Customisation!$H$12))</f>
        <v>2.6432853495021952E-7</v>
      </c>
      <c r="R17" s="100">
        <f ca="1">IF($A17&lt;Customisation!$H$13,H17,H17*(1-Customisation!$H$11*Customisation!$H$12))</f>
        <v>2.5671911479852803E-7</v>
      </c>
      <c r="S17" s="100">
        <f ca="1">IF($A17&lt;Customisation!$H$13,I17,I17*(1-Customisation!$H$11*Customisation!$H$12))</f>
        <v>0</v>
      </c>
      <c r="T17" s="100">
        <f ca="1">IF($A17&lt;Customisation!$H$13,J17,J17*(1-Customisation!$H$11*Customisation!$H$12))</f>
        <v>0</v>
      </c>
      <c r="U17" s="100">
        <f ca="1">IF($A17&lt;Customisation!$H$13,K17,K17*(1-Customisation!$H$11*Customisation!$H$12))</f>
        <v>0</v>
      </c>
      <c r="V17" s="100">
        <f ca="1">IF($A17&lt;Customisation!$H$13,L17,L17*(1-Customisation!$H$11*Customisation!$H$12))</f>
        <v>0</v>
      </c>
      <c r="W17" s="100">
        <f ca="1">IF($A17&lt;Customisation!$H$13,M17,M17*(1-Customisation!$H$11*Customisation!$H$12))</f>
        <v>1.3753647669368626E-7</v>
      </c>
      <c r="X17" s="100">
        <f ca="1">IF($A17&lt;Customisation!$H$13,N17,N17*(1-Customisation!$H$11*Customisation!$H$12))</f>
        <v>1.2555899708955098E-7</v>
      </c>
      <c r="Y17" s="100">
        <f ca="1">IF($A17&lt;Customisation!$H$13,O17,O17*(1-Customisation!$H$11*Customisation!$H$12))</f>
        <v>1.8310934281479406E-4</v>
      </c>
      <c r="Z17" s="100">
        <f ca="1">IF($A17&lt;Customisation!$H$13,P17,P17*(1-Customisation!$H$11*Customisation!$H$12))</f>
        <v>1.7783803934602445E-4</v>
      </c>
      <c r="AA17" s="100">
        <f t="shared" ca="1" si="19"/>
        <v>4.3476938672708812E-7</v>
      </c>
      <c r="AB17" s="100">
        <f t="shared" ca="1" si="12"/>
        <v>4.2225336028551339E-7</v>
      </c>
      <c r="AC17" s="100">
        <f t="shared" ca="1" si="20"/>
        <v>0</v>
      </c>
      <c r="AD17" s="100">
        <f t="shared" ca="1" si="3"/>
        <v>0</v>
      </c>
      <c r="AE17" s="100">
        <f t="shared" ca="1" si="4"/>
        <v>0</v>
      </c>
      <c r="AF17" s="100">
        <f t="shared" ca="1" si="21"/>
        <v>0</v>
      </c>
      <c r="AG17" s="100">
        <f t="shared" ca="1" si="13"/>
        <v>2.2622093992228199E-7</v>
      </c>
      <c r="AH17" s="100">
        <f t="shared" ca="1" si="14"/>
        <v>2.0652029934253221E-7</v>
      </c>
      <c r="AI17" s="100">
        <f t="shared" ca="1" si="22"/>
        <v>3.011795026011135E-4</v>
      </c>
      <c r="AJ17" s="100">
        <f t="shared" ca="1" si="23"/>
        <v>2.9250922651154589E-4</v>
      </c>
      <c r="AL17" s="102">
        <f t="shared" ca="1" si="15"/>
        <v>6.9909792167730758E-2</v>
      </c>
      <c r="AM17" s="102">
        <f t="shared" ca="1" si="16"/>
        <v>2.6432853495021953E-2</v>
      </c>
    </row>
    <row r="18" spans="1:39" x14ac:dyDescent="0.15">
      <c r="A18" s="92">
        <f t="shared" si="24"/>
        <v>14</v>
      </c>
      <c r="B18" s="99">
        <f>'Life table'!D16</f>
        <v>0.97500171767544741</v>
      </c>
      <c r="C18" s="99">
        <f>IF($A18&lt;Customisation!$H$13,0,B18)/LOOKUP(Customisation!$H$13,$A$4:$A$104,$B$4:$B$104)</f>
        <v>0.99948006759999997</v>
      </c>
      <c r="D18" s="92">
        <f ca="1">IF($A18&lt;=Customisation!$H$13,1,1/(1+Customisation!$H$21)^($A18-Customisation!$H$13))</f>
        <v>0.94325326122756747</v>
      </c>
      <c r="E18" s="92">
        <f t="shared" ca="1" si="18"/>
        <v>13.971212263734127</v>
      </c>
      <c r="F18" s="92">
        <f t="shared" ca="1" si="8"/>
        <v>0.94276283329564958</v>
      </c>
      <c r="G18" s="100">
        <f ca="1">'Age data'!M22*Customisation!$H$22</f>
        <v>6.9909792167730764E-7</v>
      </c>
      <c r="H18" s="100">
        <f t="shared" ca="1" si="9"/>
        <v>6.5942639453953502E-7</v>
      </c>
      <c r="I18" s="100">
        <f ca="1">'Age data'!N22*Customisation!$H$22</f>
        <v>0</v>
      </c>
      <c r="J18" s="101">
        <f t="shared" ca="1" si="10"/>
        <v>0</v>
      </c>
      <c r="K18" s="100">
        <f ca="1">I18*'Life table'!I16</f>
        <v>0</v>
      </c>
      <c r="L18" s="100">
        <f ca="1">J18*'Life table'!J16</f>
        <v>0</v>
      </c>
      <c r="M18" s="100">
        <f t="shared" ca="1" si="11"/>
        <v>3.6375741661596826E-7</v>
      </c>
      <c r="N18" s="100">
        <f ca="1">((G18-I18)*$AW$5+I18*$AW$6)/(1+Customisation!$H$21)^($A18-12)</f>
        <v>3.2251948522703965E-7</v>
      </c>
      <c r="O18" s="100">
        <f ca="1">G18*Customisation!$H$17</f>
        <v>4.8428884541590756E-4</v>
      </c>
      <c r="P18" s="100">
        <f ca="1">O18/(1+Customisation!$H$21)^($A18-12)</f>
        <v>4.5680703281468808E-4</v>
      </c>
      <c r="Q18" s="100">
        <f ca="1">IF($A18&lt;Customisation!$H$13,G18,G18*(1-Customisation!$H$11*Customisation!$H$12))</f>
        <v>2.6432853495021952E-7</v>
      </c>
      <c r="R18" s="100">
        <f ca="1">IF($A18&lt;Customisation!$H$13,H18,H18*(1-Customisation!$H$11*Customisation!$H$12))</f>
        <v>2.4932875262729963E-7</v>
      </c>
      <c r="S18" s="100">
        <f ca="1">IF($A18&lt;Customisation!$H$13,I18,I18*(1-Customisation!$H$11*Customisation!$H$12))</f>
        <v>0</v>
      </c>
      <c r="T18" s="100">
        <f ca="1">IF($A18&lt;Customisation!$H$13,J18,J18*(1-Customisation!$H$11*Customisation!$H$12))</f>
        <v>0</v>
      </c>
      <c r="U18" s="100">
        <f ca="1">IF($A18&lt;Customisation!$H$13,K18,K18*(1-Customisation!$H$11*Customisation!$H$12))</f>
        <v>0</v>
      </c>
      <c r="V18" s="100">
        <f ca="1">IF($A18&lt;Customisation!$H$13,L18,L18*(1-Customisation!$H$11*Customisation!$H$12))</f>
        <v>0</v>
      </c>
      <c r="W18" s="100">
        <f ca="1">IF($A18&lt;Customisation!$H$13,M18,M18*(1-Customisation!$H$11*Customisation!$H$12))</f>
        <v>1.3753647669368626E-7</v>
      </c>
      <c r="X18" s="100">
        <f ca="1">IF($A18&lt;Customisation!$H$13,N18,N18*(1-Customisation!$H$11*Customisation!$H$12))</f>
        <v>1.2194443779552945E-7</v>
      </c>
      <c r="Y18" s="100">
        <f ca="1">IF($A18&lt;Customisation!$H$13,O18,O18*(1-Customisation!$H$11*Customisation!$H$12))</f>
        <v>1.8310934281479406E-4</v>
      </c>
      <c r="Z18" s="100">
        <f ca="1">IF($A18&lt;Customisation!$H$13,P18,P18*(1-Customisation!$H$11*Customisation!$H$12))</f>
        <v>1.7271848477129115E-4</v>
      </c>
      <c r="AA18" s="100">
        <f t="shared" ca="1" si="19"/>
        <v>4.3476938672708812E-7</v>
      </c>
      <c r="AB18" s="100">
        <f t="shared" ca="1" si="12"/>
        <v>4.1009764191223539E-7</v>
      </c>
      <c r="AC18" s="100">
        <f t="shared" ca="1" si="20"/>
        <v>0</v>
      </c>
      <c r="AD18" s="100">
        <f t="shared" ca="1" si="3"/>
        <v>0</v>
      </c>
      <c r="AE18" s="100">
        <f t="shared" ca="1" si="4"/>
        <v>0</v>
      </c>
      <c r="AF18" s="100">
        <f t="shared" ca="1" si="21"/>
        <v>0</v>
      </c>
      <c r="AG18" s="100">
        <f t="shared" ca="1" si="13"/>
        <v>2.2622093992228199E-7</v>
      </c>
      <c r="AH18" s="100">
        <f t="shared" ca="1" si="14"/>
        <v>2.0057504743151021E-7</v>
      </c>
      <c r="AI18" s="100">
        <f t="shared" ca="1" si="22"/>
        <v>3.011795026011135E-4</v>
      </c>
      <c r="AJ18" s="100">
        <f t="shared" ca="1" si="23"/>
        <v>2.8408854804339695E-4</v>
      </c>
      <c r="AL18" s="102">
        <f t="shared" ca="1" si="15"/>
        <v>6.9909792167730758E-2</v>
      </c>
      <c r="AM18" s="102">
        <f t="shared" ca="1" si="16"/>
        <v>2.6432853495021953E-2</v>
      </c>
    </row>
    <row r="19" spans="1:39" x14ac:dyDescent="0.15">
      <c r="A19" s="92">
        <f t="shared" si="24"/>
        <v>15</v>
      </c>
      <c r="B19" s="99">
        <f>'Life table'!D17</f>
        <v>0.97474821722885174</v>
      </c>
      <c r="C19" s="99">
        <f>IF($A19&lt;Customisation!$H$13,0,B19)/LOOKUP(Customisation!$H$13,$A$4:$A$104,$B$4:$B$104)</f>
        <v>0.99922020278242385</v>
      </c>
      <c r="D19" s="92">
        <f ca="1">IF($A19&lt;=Customisation!$H$13,1,1/(1+Customisation!$H$21)^($A19-Customisation!$H$13))</f>
        <v>0.9160991351114236</v>
      </c>
      <c r="E19" s="92">
        <f t="shared" ca="1" si="18"/>
        <v>14.914465524961695</v>
      </c>
      <c r="F19" s="92">
        <f t="shared" ca="1" si="8"/>
        <v>0.91538476355483978</v>
      </c>
      <c r="G19" s="100">
        <f ca="1">'Age data'!M23*Customisation!$H$22</f>
        <v>4.6839560752379613E-5</v>
      </c>
      <c r="H19" s="100">
        <f t="shared" ca="1" si="9"/>
        <v>4.2909681094253945E-5</v>
      </c>
      <c r="I19" s="100">
        <f ca="1">'Age data'!N23*Customisation!$H$22</f>
        <v>8.3891750601276917E-6</v>
      </c>
      <c r="J19" s="101">
        <f t="shared" ca="1" si="10"/>
        <v>7.6853160168813035E-6</v>
      </c>
      <c r="K19" s="100">
        <f ca="1">I19*'Life table'!I17</f>
        <v>5.2295918573941975E-4</v>
      </c>
      <c r="L19" s="100">
        <f ca="1">J19*'Life table'!J17</f>
        <v>2.9782333972148533E-4</v>
      </c>
      <c r="M19" s="100">
        <f t="shared" ca="1" si="11"/>
        <v>2.6864778561443924E-5</v>
      </c>
      <c r="N19" s="100">
        <f ca="1">((G19-I19)*$AW$5+I19*$AW$6)/(1+Customisation!$H$21)^($A19-12)</f>
        <v>2.3345264668757956E-5</v>
      </c>
      <c r="O19" s="100">
        <f ca="1">G19*Customisation!$H$17</f>
        <v>3.2447352642865808E-2</v>
      </c>
      <c r="P19" s="100">
        <f ca="1">O19/(1+Customisation!$H$21)^($A19-12)</f>
        <v>2.9724991692784732E-2</v>
      </c>
      <c r="Q19" s="100">
        <f ca="1">IF($A19&lt;Customisation!$H$13,G19,G19*(1-Customisation!$H$11*Customisation!$H$12))</f>
        <v>1.7710011841664708E-5</v>
      </c>
      <c r="R19" s="100">
        <f ca="1">IF($A19&lt;Customisation!$H$13,H19,H19*(1-Customisation!$H$11*Customisation!$H$12))</f>
        <v>1.6224126530962109E-5</v>
      </c>
      <c r="S19" s="100">
        <f ca="1">IF($A19&lt;Customisation!$H$13,I19,I19*(1-Customisation!$H$11*Customisation!$H$12))</f>
        <v>3.171942419402634E-6</v>
      </c>
      <c r="T19" s="100">
        <f ca="1">IF($A19&lt;Customisation!$H$13,J19,J19*(1-Customisation!$H$11*Customisation!$H$12))</f>
        <v>2.9058137070379895E-6</v>
      </c>
      <c r="U19" s="100">
        <f ca="1">IF($A19&lt;Customisation!$H$13,K19,K19*(1-Customisation!$H$11*Customisation!$H$12))</f>
        <v>1.9773057696067175E-4</v>
      </c>
      <c r="V19" s="100">
        <f ca="1">IF($A19&lt;Customisation!$H$13,L19,L19*(1-Customisation!$H$11*Customisation!$H$12))</f>
        <v>1.1260683892992475E-4</v>
      </c>
      <c r="W19" s="100">
        <f ca="1">IF($A19&lt;Customisation!$H$13,M19,M19*(1-Customisation!$H$11*Customisation!$H$12))</f>
        <v>1.0157557816609136E-5</v>
      </c>
      <c r="X19" s="100">
        <f ca="1">IF($A19&lt;Customisation!$H$13,N19,N19*(1-Customisation!$H$11*Customisation!$H$12))</f>
        <v>8.826831573340398E-6</v>
      </c>
      <c r="Y19" s="100">
        <f ca="1">IF($A19&lt;Customisation!$H$13,O19,O19*(1-Customisation!$H$11*Customisation!$H$12))</f>
        <v>1.2268325968591202E-2</v>
      </c>
      <c r="Z19" s="100">
        <f ca="1">IF($A19&lt;Customisation!$H$13,P19,P19*(1-Customisation!$H$11*Customisation!$H$12))</f>
        <v>1.1239002809091419E-2</v>
      </c>
      <c r="AA19" s="100">
        <f t="shared" ca="1" si="19"/>
        <v>2.9129548910714904E-5</v>
      </c>
      <c r="AB19" s="100">
        <f t="shared" ca="1" si="12"/>
        <v>2.6685554563291836E-5</v>
      </c>
      <c r="AC19" s="100">
        <f t="shared" ca="1" si="20"/>
        <v>5.2172326407250581E-6</v>
      </c>
      <c r="AD19" s="100">
        <f t="shared" ca="1" si="3"/>
        <v>4.779502309843314E-6</v>
      </c>
      <c r="AE19" s="100">
        <f t="shared" ca="1" si="4"/>
        <v>3.25228608778748E-4</v>
      </c>
      <c r="AF19" s="100">
        <f t="shared" ca="1" si="21"/>
        <v>1.8521650079156057E-4</v>
      </c>
      <c r="AG19" s="100">
        <f t="shared" ca="1" si="13"/>
        <v>1.6707220744834786E-5</v>
      </c>
      <c r="AH19" s="100">
        <f t="shared" ca="1" si="14"/>
        <v>1.4518433095417559E-5</v>
      </c>
      <c r="AI19" s="100">
        <f t="shared" ca="1" si="22"/>
        <v>2.0179026674274604E-2</v>
      </c>
      <c r="AJ19" s="100">
        <f t="shared" ca="1" si="23"/>
        <v>1.8485988883693315E-2</v>
      </c>
      <c r="AL19" s="102">
        <f t="shared" ca="1" si="15"/>
        <v>4.683956075237961</v>
      </c>
      <c r="AM19" s="102">
        <f t="shared" ca="1" si="16"/>
        <v>1.7710011841664708</v>
      </c>
    </row>
    <row r="20" spans="1:39" x14ac:dyDescent="0.15">
      <c r="A20" s="92">
        <f t="shared" si="24"/>
        <v>16</v>
      </c>
      <c r="B20" s="99">
        <f>'Life table'!D18</f>
        <v>0.97434857045978784</v>
      </c>
      <c r="C20" s="99">
        <f>IF($A20&lt;Customisation!$H$13,0,B20)/LOOKUP(Customisation!$H$13,$A$4:$A$104,$B$4:$B$104)</f>
        <v>0.99881052249928304</v>
      </c>
      <c r="D20" s="92">
        <f ca="1">IF($A20&lt;=Customisation!$H$13,1,1/(1+Customisation!$H$21)^($A20-Customisation!$H$13))</f>
        <v>0.88972671481644161</v>
      </c>
      <c r="E20" s="92">
        <f t="shared" ca="1" si="18"/>
        <v>15.830564660073119</v>
      </c>
      <c r="F20" s="92">
        <f t="shared" ca="1" si="8"/>
        <v>0.88866840490738064</v>
      </c>
      <c r="G20" s="100">
        <f ca="1">'Age data'!M24*Customisation!$H$22</f>
        <v>4.6839560752379613E-5</v>
      </c>
      <c r="H20" s="100">
        <f t="shared" ca="1" si="9"/>
        <v>4.1674408511659844E-5</v>
      </c>
      <c r="I20" s="100">
        <f ca="1">'Age data'!N24*Customisation!$H$22</f>
        <v>8.3891750601276917E-6</v>
      </c>
      <c r="J20" s="101">
        <f t="shared" ca="1" si="10"/>
        <v>7.4640731662674351E-6</v>
      </c>
      <c r="K20" s="100">
        <f ca="1">I20*'Life table'!I18</f>
        <v>5.1478279140465522E-4</v>
      </c>
      <c r="L20" s="100">
        <f ca="1">J20*'Life table'!J18</f>
        <v>2.8752835575273755E-4</v>
      </c>
      <c r="M20" s="100">
        <f t="shared" ca="1" si="11"/>
        <v>2.6864778561443924E-5</v>
      </c>
      <c r="N20" s="100">
        <f ca="1">((G20-I20)*$AW$5+I20*$AW$6)/(1+Customisation!$H$21)^($A20-12)</f>
        <v>2.2673207346416751E-5</v>
      </c>
      <c r="O20" s="100">
        <f ca="1">G20*Customisation!$H$17</f>
        <v>3.2447352642865808E-2</v>
      </c>
      <c r="P20" s="100">
        <f ca="1">O20/(1+Customisation!$H$21)^($A20-12)</f>
        <v>2.886927647142758E-2</v>
      </c>
      <c r="Q20" s="100">
        <f ca="1">IF($A20&lt;Customisation!$H$13,G20,G20*(1-Customisation!$H$11*Customisation!$H$12))</f>
        <v>1.7710011841664708E-5</v>
      </c>
      <c r="R20" s="100">
        <f ca="1">IF($A20&lt;Customisation!$H$13,H20,H20*(1-Customisation!$H$11*Customisation!$H$12))</f>
        <v>1.5757070655244617E-5</v>
      </c>
      <c r="S20" s="100">
        <f ca="1">IF($A20&lt;Customisation!$H$13,I20,I20*(1-Customisation!$H$11*Customisation!$H$12))</f>
        <v>3.171942419402634E-6</v>
      </c>
      <c r="T20" s="100">
        <f ca="1">IF($A20&lt;Customisation!$H$13,J20,J20*(1-Customisation!$H$11*Customisation!$H$12))</f>
        <v>2.8221619084020211E-6</v>
      </c>
      <c r="U20" s="100">
        <f ca="1">IF($A20&lt;Customisation!$H$13,K20,K20*(1-Customisation!$H$11*Customisation!$H$12))</f>
        <v>1.9463908681505924E-4</v>
      </c>
      <c r="V20" s="100">
        <f ca="1">IF($A20&lt;Customisation!$H$13,L20,L20*(1-Customisation!$H$11*Customisation!$H$12))</f>
        <v>1.0871431122326796E-4</v>
      </c>
      <c r="W20" s="100">
        <f ca="1">IF($A20&lt;Customisation!$H$13,M20,M20*(1-Customisation!$H$11*Customisation!$H$12))</f>
        <v>1.0157557816609136E-5</v>
      </c>
      <c r="X20" s="100">
        <f ca="1">IF($A20&lt;Customisation!$H$13,N20,N20*(1-Customisation!$H$11*Customisation!$H$12))</f>
        <v>8.572727073943795E-6</v>
      </c>
      <c r="Y20" s="100">
        <f ca="1">IF($A20&lt;Customisation!$H$13,O20,O20*(1-Customisation!$H$11*Customisation!$H$12))</f>
        <v>1.2268325968591202E-2</v>
      </c>
      <c r="Z20" s="100">
        <f ca="1">IF($A20&lt;Customisation!$H$13,P20,P20*(1-Customisation!$H$11*Customisation!$H$12))</f>
        <v>1.0915457360331889E-2</v>
      </c>
      <c r="AA20" s="100">
        <f t="shared" ca="1" si="19"/>
        <v>2.9129548910714904E-5</v>
      </c>
      <c r="AB20" s="100">
        <f t="shared" ca="1" si="12"/>
        <v>2.5917337856415228E-5</v>
      </c>
      <c r="AC20" s="100">
        <f t="shared" ca="1" si="20"/>
        <v>5.2172326407250581E-6</v>
      </c>
      <c r="AD20" s="100">
        <f t="shared" ca="1" si="3"/>
        <v>4.6419112578654136E-6</v>
      </c>
      <c r="AE20" s="100">
        <f t="shared" ca="1" si="4"/>
        <v>3.2014370458959598E-4</v>
      </c>
      <c r="AF20" s="100">
        <f t="shared" ca="1" si="21"/>
        <v>1.7881404452946959E-4</v>
      </c>
      <c r="AG20" s="100">
        <f t="shared" ca="1" si="13"/>
        <v>1.6707220744834786E-5</v>
      </c>
      <c r="AH20" s="100">
        <f t="shared" ca="1" si="14"/>
        <v>1.4100480272472956E-5</v>
      </c>
      <c r="AI20" s="100">
        <f t="shared" ca="1" si="22"/>
        <v>2.0179026674274604E-2</v>
      </c>
      <c r="AJ20" s="100">
        <f t="shared" ca="1" si="23"/>
        <v>1.7953819111095691E-2</v>
      </c>
      <c r="AL20" s="102">
        <f t="shared" ca="1" si="15"/>
        <v>4.683956075237961</v>
      </c>
      <c r="AM20" s="102">
        <f t="shared" ca="1" si="16"/>
        <v>1.7710011841664708</v>
      </c>
    </row>
    <row r="21" spans="1:39" x14ac:dyDescent="0.15">
      <c r="A21" s="92">
        <f t="shared" si="24"/>
        <v>17</v>
      </c>
      <c r="B21" s="99">
        <f>'Life table'!D19</f>
        <v>0.97394908754589926</v>
      </c>
      <c r="C21" s="99">
        <f>IF($A21&lt;Customisation!$H$13,0,B21)/LOOKUP(Customisation!$H$13,$A$4:$A$104,$B$4:$B$104)</f>
        <v>0.99840101018505822</v>
      </c>
      <c r="D21" s="92">
        <f ca="1">IF($A21&lt;=Customisation!$H$13,1,1/(1+Customisation!$H$21)^($A21-Customisation!$H$13))</f>
        <v>0.86411349680160421</v>
      </c>
      <c r="E21" s="92">
        <f t="shared" ca="1" si="18"/>
        <v>16.720291374889559</v>
      </c>
      <c r="F21" s="92">
        <f t="shared" ca="1" si="8"/>
        <v>0.86273178812126472</v>
      </c>
      <c r="G21" s="100">
        <f ca="1">'Age data'!M25*Customisation!$H$22</f>
        <v>4.6839560752379613E-5</v>
      </c>
      <c r="H21" s="100">
        <f t="shared" ca="1" si="9"/>
        <v>4.0474696630389929E-5</v>
      </c>
      <c r="I21" s="100">
        <f ca="1">'Age data'!N25*Customisation!$H$22</f>
        <v>8.3891750601276917E-6</v>
      </c>
      <c r="J21" s="101">
        <f t="shared" ca="1" si="10"/>
        <v>7.2491993964877477E-6</v>
      </c>
      <c r="K21" s="100">
        <f ca="1">I21*'Life table'!I19</f>
        <v>5.0660304337319794E-4</v>
      </c>
      <c r="L21" s="100">
        <f ca="1">J21*'Life table'!J19</f>
        <v>2.775303304656903E-4</v>
      </c>
      <c r="M21" s="100">
        <f t="shared" ca="1" si="11"/>
        <v>2.6864778561443924E-5</v>
      </c>
      <c r="N21" s="100">
        <f ca="1">((G21-I21)*$AW$5+I21*$AW$6)/(1+Customisation!$H$21)^($A21-12)</f>
        <v>2.202049703302665E-5</v>
      </c>
      <c r="O21" s="100">
        <f ca="1">G21*Customisation!$H$17</f>
        <v>3.2447352642865808E-2</v>
      </c>
      <c r="P21" s="100">
        <f ca="1">O21/(1+Customisation!$H$21)^($A21-12)</f>
        <v>2.8038195354181547E-2</v>
      </c>
      <c r="Q21" s="100">
        <f ca="1">IF($A21&lt;Customisation!$H$13,G21,G21*(1-Customisation!$H$11*Customisation!$H$12))</f>
        <v>1.7710011841664708E-5</v>
      </c>
      <c r="R21" s="100">
        <f ca="1">IF($A21&lt;Customisation!$H$13,H21,H21*(1-Customisation!$H$11*Customisation!$H$12))</f>
        <v>1.5303460260898708E-5</v>
      </c>
      <c r="S21" s="100">
        <f ca="1">IF($A21&lt;Customisation!$H$13,I21,I21*(1-Customisation!$H$11*Customisation!$H$12))</f>
        <v>3.171942419402634E-6</v>
      </c>
      <c r="T21" s="100">
        <f ca="1">IF($A21&lt;Customisation!$H$13,J21,J21*(1-Customisation!$H$11*Customisation!$H$12))</f>
        <v>2.7409182556833507E-6</v>
      </c>
      <c r="U21" s="100">
        <f ca="1">IF($A21&lt;Customisation!$H$13,K21,K21*(1-Customisation!$H$11*Customisation!$H$12))</f>
        <v>1.9154632863859443E-4</v>
      </c>
      <c r="V21" s="100">
        <f ca="1">IF($A21&lt;Customisation!$H$13,L21,L21*(1-Customisation!$H$11*Customisation!$H$12))</f>
        <v>1.049340634288248E-4</v>
      </c>
      <c r="W21" s="100">
        <f ca="1">IF($A21&lt;Customisation!$H$13,M21,M21*(1-Customisation!$H$11*Customisation!$H$12))</f>
        <v>1.0157557816609136E-5</v>
      </c>
      <c r="X21" s="100">
        <f ca="1">IF($A21&lt;Customisation!$H$13,N21,N21*(1-Customisation!$H$11*Customisation!$H$12))</f>
        <v>8.3259376678597907E-6</v>
      </c>
      <c r="Y21" s="100">
        <f ca="1">IF($A21&lt;Customisation!$H$13,O21,O21*(1-Customisation!$H$11*Customisation!$H$12))</f>
        <v>1.2268325968591202E-2</v>
      </c>
      <c r="Z21" s="100">
        <f ca="1">IF($A21&lt;Customisation!$H$13,P21,P21*(1-Customisation!$H$11*Customisation!$H$12))</f>
        <v>1.0601226052621272E-2</v>
      </c>
      <c r="AA21" s="100">
        <f t="shared" ca="1" si="19"/>
        <v>2.9129548910714904E-5</v>
      </c>
      <c r="AB21" s="100">
        <f t="shared" ca="1" si="12"/>
        <v>2.517123636949122E-5</v>
      </c>
      <c r="AC21" s="100">
        <f t="shared" ca="1" si="20"/>
        <v>5.2172326407250581E-6</v>
      </c>
      <c r="AD21" s="100">
        <f t="shared" ca="1" si="3"/>
        <v>4.508281140804397E-6</v>
      </c>
      <c r="AE21" s="100">
        <f t="shared" ca="1" si="4"/>
        <v>3.1505671473460351E-4</v>
      </c>
      <c r="AF21" s="100">
        <f t="shared" ca="1" si="21"/>
        <v>1.7259626703686551E-4</v>
      </c>
      <c r="AG21" s="100">
        <f t="shared" ca="1" si="13"/>
        <v>1.6707220744834786E-5</v>
      </c>
      <c r="AH21" s="100">
        <f t="shared" ca="1" si="14"/>
        <v>1.369455936516686E-5</v>
      </c>
      <c r="AI21" s="100">
        <f t="shared" ca="1" si="22"/>
        <v>2.0179026674274604E-2</v>
      </c>
      <c r="AJ21" s="100">
        <f t="shared" ca="1" si="23"/>
        <v>1.7436969301560273E-2</v>
      </c>
      <c r="AL21" s="102">
        <f t="shared" ca="1" si="15"/>
        <v>4.683956075237961</v>
      </c>
      <c r="AM21" s="102">
        <f t="shared" ca="1" si="16"/>
        <v>1.7710011841664708</v>
      </c>
    </row>
    <row r="22" spans="1:39" x14ac:dyDescent="0.15">
      <c r="A22" s="92">
        <f t="shared" si="24"/>
        <v>18</v>
      </c>
      <c r="B22" s="99">
        <f>'Life table'!D20</f>
        <v>0.9735497684200054</v>
      </c>
      <c r="C22" s="99">
        <f>IF($A22&lt;Customisation!$H$13,0,B22)/LOOKUP(Customisation!$H$13,$A$4:$A$104,$B$4:$B$104)</f>
        <v>0.99799166577088227</v>
      </c>
      <c r="D22" s="92">
        <f ca="1">IF($A22&lt;=Customisation!$H$13,1,1/(1+Customisation!$H$21)^($A22-Customisation!$H$13))</f>
        <v>0.83923762535189839</v>
      </c>
      <c r="E22" s="92">
        <f t="shared" ca="1" si="18"/>
        <v>17.584404871691163</v>
      </c>
      <c r="F22" s="92">
        <f t="shared" ca="1" si="8"/>
        <v>0.83755215570254071</v>
      </c>
      <c r="G22" s="100">
        <f ca="1">'Age data'!M26*Customisation!$H$22</f>
        <v>4.6839560752379613E-5</v>
      </c>
      <c r="H22" s="100">
        <f t="shared" ca="1" si="9"/>
        <v>3.9309521738353048E-5</v>
      </c>
      <c r="I22" s="100">
        <f ca="1">'Age data'!N26*Customisation!$H$22</f>
        <v>8.3891750601276917E-6</v>
      </c>
      <c r="J22" s="101">
        <f t="shared" ca="1" si="10"/>
        <v>7.0405113561229332E-6</v>
      </c>
      <c r="K22" s="100">
        <f ca="1">I22*'Life table'!I20</f>
        <v>4.9841994026946803E-4</v>
      </c>
      <c r="L22" s="100">
        <f ca="1">J22*'Life table'!J20</f>
        <v>2.6782069426997077E-4</v>
      </c>
      <c r="M22" s="100">
        <f t="shared" ca="1" si="11"/>
        <v>2.6864778561443924E-5</v>
      </c>
      <c r="N22" s="100">
        <f ca="1">((G22-I22)*$AW$5+I22*$AW$6)/(1+Customisation!$H$21)^($A22-12)</f>
        <v>2.138657677199644E-5</v>
      </c>
      <c r="O22" s="100">
        <f ca="1">G22*Customisation!$H$17</f>
        <v>3.2447352642865808E-2</v>
      </c>
      <c r="P22" s="100">
        <f ca="1">O22/(1+Customisation!$H$21)^($A22-12)</f>
        <v>2.7231039180954347E-2</v>
      </c>
      <c r="Q22" s="100">
        <f ca="1">IF($A22&lt;Customisation!$H$13,G22,G22*(1-Customisation!$H$11*Customisation!$H$12))</f>
        <v>1.7710011841664708E-5</v>
      </c>
      <c r="R22" s="100">
        <f ca="1">IF($A22&lt;Customisation!$H$13,H22,H22*(1-Customisation!$H$11*Customisation!$H$12))</f>
        <v>1.4862908282952691E-5</v>
      </c>
      <c r="S22" s="100">
        <f ca="1">IF($A22&lt;Customisation!$H$13,I22,I22*(1-Customisation!$H$11*Customisation!$H$12))</f>
        <v>3.171942419402634E-6</v>
      </c>
      <c r="T22" s="100">
        <f ca="1">IF($A22&lt;Customisation!$H$13,J22,J22*(1-Customisation!$H$11*Customisation!$H$12))</f>
        <v>2.6620134238124217E-6</v>
      </c>
      <c r="U22" s="100">
        <f ca="1">IF($A22&lt;Customisation!$H$13,K22,K22*(1-Customisation!$H$11*Customisation!$H$12))</f>
        <v>1.8845230191117133E-4</v>
      </c>
      <c r="V22" s="100">
        <f ca="1">IF($A22&lt;Customisation!$H$13,L22,L22*(1-Customisation!$H$11*Customisation!$H$12))</f>
        <v>1.0126285538924656E-4</v>
      </c>
      <c r="W22" s="100">
        <f ca="1">IF($A22&lt;Customisation!$H$13,M22,M22*(1-Customisation!$H$11*Customisation!$H$12))</f>
        <v>1.0157557816609136E-5</v>
      </c>
      <c r="X22" s="100">
        <f ca="1">IF($A22&lt;Customisation!$H$13,N22,N22*(1-Customisation!$H$11*Customisation!$H$12))</f>
        <v>8.0862527701113454E-6</v>
      </c>
      <c r="Y22" s="100">
        <f ca="1">IF($A22&lt;Customisation!$H$13,O22,O22*(1-Customisation!$H$11*Customisation!$H$12))</f>
        <v>1.2268325968591202E-2</v>
      </c>
      <c r="Z22" s="100">
        <f ca="1">IF($A22&lt;Customisation!$H$13,P22,P22*(1-Customisation!$H$11*Customisation!$H$12))</f>
        <v>1.0296040752923511E-2</v>
      </c>
      <c r="AA22" s="100">
        <f t="shared" ca="1" si="19"/>
        <v>2.9129548910714904E-5</v>
      </c>
      <c r="AB22" s="100">
        <f t="shared" ca="1" si="12"/>
        <v>2.4446613455400359E-5</v>
      </c>
      <c r="AC22" s="100">
        <f t="shared" ca="1" si="20"/>
        <v>5.2172326407250581E-6</v>
      </c>
      <c r="AD22" s="100">
        <f t="shared" ca="1" si="3"/>
        <v>4.3784979323105115E-6</v>
      </c>
      <c r="AE22" s="100">
        <f t="shared" ca="1" si="4"/>
        <v>3.0996763835829669E-4</v>
      </c>
      <c r="AF22" s="100">
        <f t="shared" ca="1" si="21"/>
        <v>1.6655783888072423E-4</v>
      </c>
      <c r="AG22" s="100">
        <f t="shared" ca="1" si="13"/>
        <v>1.6707220744834786E-5</v>
      </c>
      <c r="AH22" s="100">
        <f t="shared" ca="1" si="14"/>
        <v>1.3300324001885095E-5</v>
      </c>
      <c r="AI22" s="100">
        <f t="shared" ca="1" si="22"/>
        <v>2.0179026674274604E-2</v>
      </c>
      <c r="AJ22" s="100">
        <f t="shared" ca="1" si="23"/>
        <v>1.6934998428030836E-2</v>
      </c>
      <c r="AL22" s="102">
        <f t="shared" ca="1" si="15"/>
        <v>4.683956075237961</v>
      </c>
      <c r="AM22" s="102">
        <f t="shared" ca="1" si="16"/>
        <v>1.7710011841664708</v>
      </c>
    </row>
    <row r="23" spans="1:39" x14ac:dyDescent="0.15">
      <c r="A23" s="92">
        <f t="shared" si="24"/>
        <v>19</v>
      </c>
      <c r="B23" s="99">
        <f>'Life table'!D21</f>
        <v>0.9731506130149532</v>
      </c>
      <c r="C23" s="99">
        <f>IF($A23&lt;Customisation!$H$13,0,B23)/LOOKUP(Customisation!$H$13,$A$4:$A$104,$B$4:$B$104)</f>
        <v>0.99758248918791625</v>
      </c>
      <c r="D23" s="92">
        <f ca="1">IF($A23&lt;=Customisation!$H$13,1,1/(1+Customisation!$H$21)^($A23-Customisation!$H$13))</f>
        <v>0.81507787392887043</v>
      </c>
      <c r="E23" s="92">
        <f t="shared" ca="1" si="18"/>
        <v>18.423642497043062</v>
      </c>
      <c r="F23" s="92">
        <f t="shared" ca="1" si="8"/>
        <v>0.81310741435595713</v>
      </c>
      <c r="G23" s="100">
        <f ca="1">'Age data'!M27*Customisation!$H$22</f>
        <v>4.6839560752379613E-5</v>
      </c>
      <c r="H23" s="100">
        <f t="shared" ca="1" si="9"/>
        <v>3.8177889593811739E-5</v>
      </c>
      <c r="I23" s="100">
        <f ca="1">'Age data'!N27*Customisation!$H$22</f>
        <v>8.3891750601276917E-6</v>
      </c>
      <c r="J23" s="101">
        <f t="shared" ca="1" si="10"/>
        <v>6.8378309720259828E-6</v>
      </c>
      <c r="K23" s="100">
        <f ca="1">I23*'Life table'!I21</f>
        <v>4.9023348071732193E-4</v>
      </c>
      <c r="L23" s="100">
        <f ca="1">J23*'Life table'!J21</f>
        <v>2.5839112426577325E-4</v>
      </c>
      <c r="M23" s="100">
        <f t="shared" ca="1" si="11"/>
        <v>2.6864778561443924E-5</v>
      </c>
      <c r="N23" s="100">
        <f ca="1">((G23-I23)*$AW$5+I23*$AW$6)/(1+Customisation!$H$21)^($A23-12)</f>
        <v>2.0770905640254361E-5</v>
      </c>
      <c r="O23" s="100">
        <f ca="1">G23*Customisation!$H$17</f>
        <v>3.2447352642865808E-2</v>
      </c>
      <c r="P23" s="100">
        <f ca="1">O23/(1+Customisation!$H$21)^($A23-12)</f>
        <v>2.6447119206767379E-2</v>
      </c>
      <c r="Q23" s="100">
        <f ca="1">IF($A23&lt;Customisation!$H$13,G23,G23*(1-Customisation!$H$11*Customisation!$H$12))</f>
        <v>1.7710011841664708E-5</v>
      </c>
      <c r="R23" s="100">
        <f ca="1">IF($A23&lt;Customisation!$H$13,H23,H23*(1-Customisation!$H$11*Customisation!$H$12))</f>
        <v>1.4435038799159189E-5</v>
      </c>
      <c r="S23" s="100">
        <f ca="1">IF($A23&lt;Customisation!$H$13,I23,I23*(1-Customisation!$H$11*Customisation!$H$12))</f>
        <v>3.171942419402634E-6</v>
      </c>
      <c r="T23" s="100">
        <f ca="1">IF($A23&lt;Customisation!$H$13,J23,J23*(1-Customisation!$H$11*Customisation!$H$12))</f>
        <v>2.5853800834314965E-6</v>
      </c>
      <c r="U23" s="100">
        <f ca="1">IF($A23&lt;Customisation!$H$13,K23,K23*(1-Customisation!$H$11*Customisation!$H$12))</f>
        <v>1.8535700611247086E-4</v>
      </c>
      <c r="V23" s="100">
        <f ca="1">IF($A23&lt;Customisation!$H$13,L23,L23*(1-Customisation!$H$11*Customisation!$H$12))</f>
        <v>9.7697540220750657E-5</v>
      </c>
      <c r="W23" s="100">
        <f ca="1">IF($A23&lt;Customisation!$H$13,M23,M23*(1-Customisation!$H$11*Customisation!$H$12))</f>
        <v>1.0157557816609136E-5</v>
      </c>
      <c r="X23" s="100">
        <f ca="1">IF($A23&lt;Customisation!$H$13,N23,N23*(1-Customisation!$H$11*Customisation!$H$12))</f>
        <v>7.8534678579861963E-6</v>
      </c>
      <c r="Y23" s="100">
        <f ca="1">IF($A23&lt;Customisation!$H$13,O23,O23*(1-Customisation!$H$11*Customisation!$H$12))</f>
        <v>1.2268325968591202E-2</v>
      </c>
      <c r="Z23" s="100">
        <f ca="1">IF($A23&lt;Customisation!$H$13,P23,P23*(1-Customisation!$H$11*Customisation!$H$12))</f>
        <v>9.9996410471456677E-3</v>
      </c>
      <c r="AA23" s="100">
        <f t="shared" ca="1" si="19"/>
        <v>2.9129548910714904E-5</v>
      </c>
      <c r="AB23" s="100">
        <f t="shared" ca="1" si="12"/>
        <v>2.3742850794652548E-5</v>
      </c>
      <c r="AC23" s="100">
        <f t="shared" ca="1" si="20"/>
        <v>5.2172326407250581E-6</v>
      </c>
      <c r="AD23" s="100">
        <f t="shared" ca="1" si="3"/>
        <v>4.2524508885944859E-6</v>
      </c>
      <c r="AE23" s="100">
        <f t="shared" ca="1" si="4"/>
        <v>3.0487647460485107E-4</v>
      </c>
      <c r="AF23" s="100">
        <f t="shared" ca="1" si="21"/>
        <v>1.6069358404502258E-4</v>
      </c>
      <c r="AG23" s="100">
        <f t="shared" ca="1" si="13"/>
        <v>1.6707220744834786E-5</v>
      </c>
      <c r="AH23" s="100">
        <f t="shared" ca="1" si="14"/>
        <v>1.2917437782268165E-5</v>
      </c>
      <c r="AI23" s="100">
        <f t="shared" ca="1" si="22"/>
        <v>2.0179026674274604E-2</v>
      </c>
      <c r="AJ23" s="100">
        <f t="shared" ca="1" si="23"/>
        <v>1.6447478159621713E-2</v>
      </c>
      <c r="AL23" s="102">
        <f t="shared" ca="1" si="15"/>
        <v>4.683956075237961</v>
      </c>
      <c r="AM23" s="102">
        <f t="shared" ca="1" si="16"/>
        <v>1.7710011841664708</v>
      </c>
    </row>
    <row r="24" spans="1:39" x14ac:dyDescent="0.15">
      <c r="A24" s="92">
        <f t="shared" si="24"/>
        <v>20</v>
      </c>
      <c r="B24" s="99">
        <f>'Life table'!D22</f>
        <v>0.97275162126361703</v>
      </c>
      <c r="C24" s="99">
        <f>IF($A24&lt;Customisation!$H$13,0,B24)/LOOKUP(Customisation!$H$13,$A$4:$A$104,$B$4:$B$104)</f>
        <v>0.99717348036734921</v>
      </c>
      <c r="D24" s="92">
        <f ca="1">IF($A24&lt;=Customisation!$H$13,1,1/(1+Customisation!$H$21)^($A24-Customisation!$H$13))</f>
        <v>0.7916136270580576</v>
      </c>
      <c r="E24" s="92">
        <f t="shared" ca="1" si="18"/>
        <v>19.238720370971933</v>
      </c>
      <c r="F24" s="92">
        <f t="shared" ca="1" si="8"/>
        <v>0.78937611559970411</v>
      </c>
      <c r="G24" s="100">
        <f ca="1">'Age data'!M28*Customisation!$H$22</f>
        <v>4.6839560752379613E-5</v>
      </c>
      <c r="H24" s="100">
        <f t="shared" ca="1" si="9"/>
        <v>3.7078834576997469E-5</v>
      </c>
      <c r="I24" s="100">
        <f ca="1">'Age data'!N28*Customisation!$H$22</f>
        <v>8.3891750601276917E-6</v>
      </c>
      <c r="J24" s="101">
        <f t="shared" ca="1" si="10"/>
        <v>6.6409852973726809E-6</v>
      </c>
      <c r="K24" s="100">
        <f ca="1">I24*'Life table'!I22</f>
        <v>4.8204366334005084E-4</v>
      </c>
      <c r="L24" s="100">
        <f ca="1">J24*'Life table'!J22</f>
        <v>2.4923353714219213E-4</v>
      </c>
      <c r="M24" s="100">
        <f t="shared" ca="1" si="11"/>
        <v>2.6864778561443924E-5</v>
      </c>
      <c r="N24" s="100">
        <f ca="1">((G24-I24)*$AW$5+I24*$AW$6)/(1+Customisation!$H$21)^($A24-12)</f>
        <v>2.0172958286679385E-5</v>
      </c>
      <c r="O24" s="100">
        <f ca="1">G24*Customisation!$H$17</f>
        <v>3.2447352642865808E-2</v>
      </c>
      <c r="P24" s="100">
        <f ca="1">O24/(1+Customisation!$H$21)^($A24-12)</f>
        <v>2.5685766514050853E-2</v>
      </c>
      <c r="Q24" s="100">
        <f ca="1">IF($A24&lt;Customisation!$H$13,G24,G24*(1-Customisation!$H$11*Customisation!$H$12))</f>
        <v>1.7710011841664708E-5</v>
      </c>
      <c r="R24" s="100">
        <f ca="1">IF($A24&lt;Customisation!$H$13,H24,H24*(1-Customisation!$H$11*Customisation!$H$12))</f>
        <v>1.4019486709221349E-5</v>
      </c>
      <c r="S24" s="100">
        <f ca="1">IF($A24&lt;Customisation!$H$13,I24,I24*(1-Customisation!$H$11*Customisation!$H$12))</f>
        <v>3.171942419402634E-6</v>
      </c>
      <c r="T24" s="100">
        <f ca="1">IF($A24&lt;Customisation!$H$13,J24,J24*(1-Customisation!$H$11*Customisation!$H$12))</f>
        <v>2.5109528434426297E-6</v>
      </c>
      <c r="U24" s="100">
        <f ca="1">IF($A24&lt;Customisation!$H$13,K24,K24*(1-Customisation!$H$11*Customisation!$H$12))</f>
        <v>1.8226044072196015E-4</v>
      </c>
      <c r="V24" s="100">
        <f ca="1">IF($A24&lt;Customisation!$H$13,L24,L24*(1-Customisation!$H$11*Customisation!$H$12))</f>
        <v>9.4235061627984205E-5</v>
      </c>
      <c r="W24" s="100">
        <f ca="1">IF($A24&lt;Customisation!$H$13,M24,M24*(1-Customisation!$H$11*Customisation!$H$12))</f>
        <v>1.0157557816609136E-5</v>
      </c>
      <c r="X24" s="100">
        <f ca="1">IF($A24&lt;Customisation!$H$13,N24,N24*(1-Customisation!$H$11*Customisation!$H$12))</f>
        <v>7.6273842965179782E-6</v>
      </c>
      <c r="Y24" s="100">
        <f ca="1">IF($A24&lt;Customisation!$H$13,O24,O24*(1-Customisation!$H$11*Customisation!$H$12))</f>
        <v>1.2268325968591202E-2</v>
      </c>
      <c r="Z24" s="100">
        <f ca="1">IF($A24&lt;Customisation!$H$13,P24,P24*(1-Customisation!$H$11*Customisation!$H$12))</f>
        <v>9.7117740179270395E-3</v>
      </c>
      <c r="AA24" s="100">
        <f t="shared" ca="1" si="19"/>
        <v>2.9129548910714904E-5</v>
      </c>
      <c r="AB24" s="100">
        <f t="shared" ca="1" si="12"/>
        <v>2.305934786777612E-5</v>
      </c>
      <c r="AC24" s="100">
        <f t="shared" ca="1" si="20"/>
        <v>5.2172326407250581E-6</v>
      </c>
      <c r="AD24" s="100">
        <f t="shared" ca="1" si="3"/>
        <v>4.1300324539300508E-6</v>
      </c>
      <c r="AE24" s="100">
        <f t="shared" ca="1" si="4"/>
        <v>2.9978322261809071E-4</v>
      </c>
      <c r="AF24" s="100">
        <f t="shared" ca="1" si="21"/>
        <v>1.5499847551420792E-4</v>
      </c>
      <c r="AG24" s="100">
        <f t="shared" ca="1" si="13"/>
        <v>1.6707220744834786E-5</v>
      </c>
      <c r="AH24" s="100">
        <f t="shared" ca="1" si="14"/>
        <v>1.2545573990161407E-5</v>
      </c>
      <c r="AI24" s="100">
        <f t="shared" ca="1" si="22"/>
        <v>2.0179026674274604E-2</v>
      </c>
      <c r="AJ24" s="100">
        <f t="shared" ca="1" si="23"/>
        <v>1.5973992496123815E-2</v>
      </c>
      <c r="AL24" s="102">
        <f t="shared" ca="1" si="15"/>
        <v>4.683956075237961</v>
      </c>
      <c r="AM24" s="102">
        <f t="shared" ca="1" si="16"/>
        <v>1.7710011841664708</v>
      </c>
    </row>
    <row r="25" spans="1:39" x14ac:dyDescent="0.15">
      <c r="A25" s="92">
        <f t="shared" si="24"/>
        <v>21</v>
      </c>
      <c r="B25" s="99">
        <f>'Life table'!D23</f>
        <v>0.97227497296919785</v>
      </c>
      <c r="C25" s="99">
        <f>IF($A25&lt;Customisation!$H$13,0,B25)/LOOKUP(Customisation!$H$13,$A$4:$A$104,$B$4:$B$104)</f>
        <v>0.9966848653619691</v>
      </c>
      <c r="D25" s="92">
        <f ca="1">IF($A25&lt;=Customisation!$H$13,1,1/(1+Customisation!$H$21)^($A25-Customisation!$H$13))</f>
        <v>0.76882486273783912</v>
      </c>
      <c r="E25" s="92">
        <f t="shared" ca="1" si="18"/>
        <v>20.030333998029992</v>
      </c>
      <c r="F25" s="92">
        <f t="shared" ca="1" si="8"/>
        <v>0.76627610480479758</v>
      </c>
      <c r="G25" s="100">
        <f ca="1">'Age data'!M29*Customisation!$H$22</f>
        <v>4.6839560752379613E-5</v>
      </c>
      <c r="H25" s="100">
        <f t="shared" ca="1" si="9"/>
        <v>3.6011418866148931E-5</v>
      </c>
      <c r="I25" s="100">
        <f ca="1">'Age data'!N29*Customisation!$H$22</f>
        <v>8.3891750601276917E-6</v>
      </c>
      <c r="J25" s="101">
        <f t="shared" ca="1" si="10"/>
        <v>6.4498063640863756E-6</v>
      </c>
      <c r="K25" s="100">
        <f ca="1">I25*'Life table'!I23</f>
        <v>4.7388874911487918E-4</v>
      </c>
      <c r="L25" s="100">
        <f ca="1">J25*'Life table'!J23</f>
        <v>2.403482184881272E-4</v>
      </c>
      <c r="M25" s="100">
        <f t="shared" ca="1" si="11"/>
        <v>2.6864778561443924E-5</v>
      </c>
      <c r="N25" s="100">
        <f ca="1">((G25-I25)*$AW$5+I25*$AW$6)/(1+Customisation!$H$21)^($A25-12)</f>
        <v>1.9592224483820003E-5</v>
      </c>
      <c r="O25" s="100">
        <f ca="1">G25*Customisation!$H$17</f>
        <v>3.2447352642865808E-2</v>
      </c>
      <c r="P25" s="100">
        <f ca="1">O25/(1+Customisation!$H$21)^($A25-12)</f>
        <v>2.4946331441857567E-2</v>
      </c>
      <c r="Q25" s="100">
        <f ca="1">IF($A25&lt;Customisation!$H$13,G25,G25*(1-Customisation!$H$11*Customisation!$H$12))</f>
        <v>1.7710011841664708E-5</v>
      </c>
      <c r="R25" s="100">
        <f ca="1">IF($A25&lt;Customisation!$H$13,H25,H25*(1-Customisation!$H$11*Customisation!$H$12))</f>
        <v>1.3615897423253373E-5</v>
      </c>
      <c r="S25" s="100">
        <f ca="1">IF($A25&lt;Customisation!$H$13,I25,I25*(1-Customisation!$H$11*Customisation!$H$12))</f>
        <v>3.171942419402634E-6</v>
      </c>
      <c r="T25" s="100">
        <f ca="1">IF($A25&lt;Customisation!$H$13,J25,J25*(1-Customisation!$H$11*Customisation!$H$12))</f>
        <v>2.4386681952095593E-6</v>
      </c>
      <c r="U25" s="100">
        <f ca="1">IF($A25&lt;Customisation!$H$13,K25,K25*(1-Customisation!$H$11*Customisation!$H$12))</f>
        <v>1.7917707219382525E-4</v>
      </c>
      <c r="V25" s="100">
        <f ca="1">IF($A25&lt;Customisation!$H$13,L25,L25*(1-Customisation!$H$11*Customisation!$H$12))</f>
        <v>9.087552759195122E-5</v>
      </c>
      <c r="W25" s="100">
        <f ca="1">IF($A25&lt;Customisation!$H$13,M25,M25*(1-Customisation!$H$11*Customisation!$H$12))</f>
        <v>1.0157557816609136E-5</v>
      </c>
      <c r="X25" s="100">
        <f ca="1">IF($A25&lt;Customisation!$H$13,N25,N25*(1-Customisation!$H$11*Customisation!$H$12))</f>
        <v>7.4078091689913579E-6</v>
      </c>
      <c r="Y25" s="100">
        <f ca="1">IF($A25&lt;Customisation!$H$13,O25,O25*(1-Customisation!$H$11*Customisation!$H$12))</f>
        <v>1.2268325968591202E-2</v>
      </c>
      <c r="Z25" s="100">
        <f ca="1">IF($A25&lt;Customisation!$H$13,P25,P25*(1-Customisation!$H$11*Customisation!$H$12))</f>
        <v>9.4321940288251988E-3</v>
      </c>
      <c r="AA25" s="100">
        <f t="shared" ca="1" si="19"/>
        <v>2.9129548910714904E-5</v>
      </c>
      <c r="AB25" s="100">
        <f t="shared" ca="1" si="12"/>
        <v>2.2395521442895558E-5</v>
      </c>
      <c r="AC25" s="100">
        <f t="shared" ca="1" si="20"/>
        <v>5.2172326407250581E-6</v>
      </c>
      <c r="AD25" s="100">
        <f t="shared" ca="1" si="3"/>
        <v>4.0111381688768163E-6</v>
      </c>
      <c r="AE25" s="100">
        <f t="shared" ca="1" si="4"/>
        <v>2.9471167692105395E-4</v>
      </c>
      <c r="AF25" s="100">
        <f t="shared" ca="1" si="21"/>
        <v>1.4947269089617599E-4</v>
      </c>
      <c r="AG25" s="100">
        <f t="shared" ca="1" si="13"/>
        <v>1.6707220744834786E-5</v>
      </c>
      <c r="AH25" s="100">
        <f t="shared" ca="1" si="14"/>
        <v>1.2184415314828644E-5</v>
      </c>
      <c r="AI25" s="100">
        <f t="shared" ca="1" si="22"/>
        <v>2.0179026674274604E-2</v>
      </c>
      <c r="AJ25" s="100">
        <f t="shared" ca="1" si="23"/>
        <v>1.5514137413032368E-2</v>
      </c>
      <c r="AL25" s="102">
        <f t="shared" ca="1" si="15"/>
        <v>4.683956075237961</v>
      </c>
      <c r="AM25" s="102">
        <f t="shared" ca="1" si="16"/>
        <v>1.7710011841664708</v>
      </c>
    </row>
    <row r="26" spans="1:39" x14ac:dyDescent="0.15">
      <c r="A26" s="92">
        <f t="shared" si="24"/>
        <v>22</v>
      </c>
      <c r="B26" s="99">
        <f>'Life table'!D24</f>
        <v>0.97179855823244299</v>
      </c>
      <c r="C26" s="99">
        <f>IF($A26&lt;Customisation!$H$13,0,B26)/LOOKUP(Customisation!$H$13,$A$4:$A$104,$B$4:$B$104)</f>
        <v>0.99619648977794184</v>
      </c>
      <c r="D26" s="92">
        <f ca="1">IF($A26&lt;=Customisation!$H$13,1,1/(1+Customisation!$H$21)^($A26-Customisation!$H$13))</f>
        <v>0.74669213535469614</v>
      </c>
      <c r="E26" s="92">
        <f t="shared" ca="1" si="18"/>
        <v>20.799158860767832</v>
      </c>
      <c r="F26" s="92">
        <f t="shared" ca="1" si="8"/>
        <v>0.74385208418514415</v>
      </c>
      <c r="G26" s="100">
        <f ca="1">'Age data'!M30*Customisation!$H$22</f>
        <v>4.6839560752379613E-5</v>
      </c>
      <c r="H26" s="100">
        <f t="shared" ca="1" si="9"/>
        <v>3.4974731637270348E-5</v>
      </c>
      <c r="I26" s="100">
        <f ca="1">'Age data'!N30*Customisation!$H$22</f>
        <v>8.3891750601276917E-6</v>
      </c>
      <c r="J26" s="101">
        <f t="shared" ca="1" si="10"/>
        <v>6.2641310395111076E-6</v>
      </c>
      <c r="K26" s="100">
        <f ca="1">I26*'Life table'!I24</f>
        <v>4.6572983702278237E-4</v>
      </c>
      <c r="L26" s="100">
        <f ca="1">J26*'Life table'!J24</f>
        <v>2.3171927195489764E-4</v>
      </c>
      <c r="M26" s="100">
        <f t="shared" ca="1" si="11"/>
        <v>2.6864778561443924E-5</v>
      </c>
      <c r="N26" s="100">
        <f ca="1">((G26-I26)*$AW$5+I26*$AW$6)/(1+Customisation!$H$21)^($A26-12)</f>
        <v>1.9028208692518011E-5</v>
      </c>
      <c r="O26" s="100">
        <f ca="1">G26*Customisation!$H$17</f>
        <v>3.2447352642865808E-2</v>
      </c>
      <c r="P26" s="100">
        <f ca="1">O26/(1+Customisation!$H$21)^($A26-12)</f>
        <v>2.4228183031508314E-2</v>
      </c>
      <c r="Q26" s="100">
        <f ca="1">IF($A26&lt;Customisation!$H$13,G26,G26*(1-Customisation!$H$11*Customisation!$H$12))</f>
        <v>1.7710011841664708E-5</v>
      </c>
      <c r="R26" s="100">
        <f ca="1">IF($A26&lt;Customisation!$H$13,H26,H26*(1-Customisation!$H$11*Customisation!$H$12))</f>
        <v>1.3223926559209573E-5</v>
      </c>
      <c r="S26" s="100">
        <f ca="1">IF($A26&lt;Customisation!$H$13,I26,I26*(1-Customisation!$H$11*Customisation!$H$12))</f>
        <v>3.171942419402634E-6</v>
      </c>
      <c r="T26" s="100">
        <f ca="1">IF($A26&lt;Customisation!$H$13,J26,J26*(1-Customisation!$H$11*Customisation!$H$12))</f>
        <v>2.368464458365894E-6</v>
      </c>
      <c r="U26" s="100">
        <f ca="1">IF($A26&lt;Customisation!$H$13,K26,K26*(1-Customisation!$H$11*Customisation!$H$12))</f>
        <v>1.7609219207443183E-4</v>
      </c>
      <c r="V26" s="100">
        <f ca="1">IF($A26&lt;Customisation!$H$13,L26,L26*(1-Customisation!$H$11*Customisation!$H$12))</f>
        <v>8.7612927712066063E-5</v>
      </c>
      <c r="W26" s="100">
        <f ca="1">IF($A26&lt;Customisation!$H$13,M26,M26*(1-Customisation!$H$11*Customisation!$H$12))</f>
        <v>1.0157557816609136E-5</v>
      </c>
      <c r="X26" s="100">
        <f ca="1">IF($A26&lt;Customisation!$H$13,N26,N26*(1-Customisation!$H$11*Customisation!$H$12))</f>
        <v>7.194555112326518E-6</v>
      </c>
      <c r="Y26" s="100">
        <f ca="1">IF($A26&lt;Customisation!$H$13,O26,O26*(1-Customisation!$H$11*Customisation!$H$12))</f>
        <v>1.2268325968591202E-2</v>
      </c>
      <c r="Z26" s="100">
        <f ca="1">IF($A26&lt;Customisation!$H$13,P26,P26*(1-Customisation!$H$11*Customisation!$H$12))</f>
        <v>9.1606625147148367E-3</v>
      </c>
      <c r="AA26" s="100">
        <f t="shared" ca="1" si="19"/>
        <v>2.9129548910714904E-5</v>
      </c>
      <c r="AB26" s="100">
        <f t="shared" ca="1" si="12"/>
        <v>2.1750805078060776E-5</v>
      </c>
      <c r="AC26" s="100">
        <f t="shared" ca="1" si="20"/>
        <v>5.2172326407250581E-6</v>
      </c>
      <c r="AD26" s="100">
        <f t="shared" ca="1" si="3"/>
        <v>3.8956665811452132E-6</v>
      </c>
      <c r="AE26" s="100">
        <f t="shared" ca="1" si="4"/>
        <v>2.8963764494835051E-4</v>
      </c>
      <c r="AF26" s="100">
        <f t="shared" ca="1" si="21"/>
        <v>1.4410634424283158E-4</v>
      </c>
      <c r="AG26" s="100">
        <f t="shared" ca="1" si="13"/>
        <v>1.6707220744834786E-5</v>
      </c>
      <c r="AH26" s="100">
        <f t="shared" ca="1" si="14"/>
        <v>1.1833653580191493E-5</v>
      </c>
      <c r="AI26" s="100">
        <f t="shared" ca="1" si="22"/>
        <v>2.0179026674274604E-2</v>
      </c>
      <c r="AJ26" s="100">
        <f t="shared" ca="1" si="23"/>
        <v>1.5067520516793477E-2</v>
      </c>
      <c r="AL26" s="102">
        <f t="shared" ca="1" si="15"/>
        <v>4.683956075237961</v>
      </c>
      <c r="AM26" s="102">
        <f t="shared" ca="1" si="16"/>
        <v>1.7710011841664708</v>
      </c>
    </row>
    <row r="27" spans="1:39" x14ac:dyDescent="0.15">
      <c r="A27" s="92">
        <f t="shared" si="24"/>
        <v>23</v>
      </c>
      <c r="B27" s="99">
        <f>'Life table'!D25</f>
        <v>0.9713223769389091</v>
      </c>
      <c r="C27" s="99">
        <f>IF($A27&lt;Customisation!$H$13,0,B27)/LOOKUP(Customisation!$H$13,$A$4:$A$104,$B$4:$B$104)</f>
        <v>0.99570835349795062</v>
      </c>
      <c r="D27" s="92">
        <f ca="1">IF($A27&lt;=Customisation!$H$13,1,1/(1+Customisation!$H$21)^($A27-Customisation!$H$13))</f>
        <v>0.72519655909030356</v>
      </c>
      <c r="E27" s="92">
        <f t="shared" ca="1" si="18"/>
        <v>21.545850996122528</v>
      </c>
      <c r="F27" s="92">
        <f t="shared" ca="1" si="8"/>
        <v>0.72208427181418544</v>
      </c>
      <c r="G27" s="100">
        <f ca="1">'Age data'!M31*Customisation!$H$22</f>
        <v>4.6839560752379613E-5</v>
      </c>
      <c r="H27" s="100">
        <f t="shared" ca="1" si="9"/>
        <v>3.3967888286926927E-5</v>
      </c>
      <c r="I27" s="100">
        <f ca="1">'Age data'!N31*Customisation!$H$22</f>
        <v>8.3891750601276917E-6</v>
      </c>
      <c r="J27" s="101">
        <f t="shared" ca="1" si="10"/>
        <v>6.0838008872107922E-6</v>
      </c>
      <c r="K27" s="100">
        <f ca="1">I27*'Life table'!I25</f>
        <v>4.5756692510384527E-4</v>
      </c>
      <c r="L27" s="100">
        <f ca="1">J27*'Life table'!J25</f>
        <v>2.2333929227979799E-4</v>
      </c>
      <c r="M27" s="100">
        <f t="shared" ca="1" si="11"/>
        <v>2.6864778561443924E-5</v>
      </c>
      <c r="N27" s="100">
        <f ca="1">((G27-I27)*$AW$5+I27*$AW$6)/(1+Customisation!$H$21)^($A27-12)</f>
        <v>1.8480429639065809E-5</v>
      </c>
      <c r="O27" s="100">
        <f ca="1">G27*Customisation!$H$17</f>
        <v>3.2447352642865808E-2</v>
      </c>
      <c r="P27" s="100">
        <f ca="1">O27/(1+Customisation!$H$21)^($A27-12)</f>
        <v>2.353070848819595E-2</v>
      </c>
      <c r="Q27" s="100">
        <f ca="1">IF($A27&lt;Customisation!$H$13,G27,G27*(1-Customisation!$H$11*Customisation!$H$12))</f>
        <v>1.7710011841664708E-5</v>
      </c>
      <c r="R27" s="100">
        <f ca="1">IF($A27&lt;Customisation!$H$13,H27,H27*(1-Customisation!$H$11*Customisation!$H$12))</f>
        <v>1.2843239649023776E-5</v>
      </c>
      <c r="S27" s="100">
        <f ca="1">IF($A27&lt;Customisation!$H$13,I27,I27*(1-Customisation!$H$11*Customisation!$H$12))</f>
        <v>3.171942419402634E-6</v>
      </c>
      <c r="T27" s="100">
        <f ca="1">IF($A27&lt;Customisation!$H$13,J27,J27*(1-Customisation!$H$11*Customisation!$H$12))</f>
        <v>2.3002817281833628E-6</v>
      </c>
      <c r="U27" s="100">
        <f ca="1">IF($A27&lt;Customisation!$H$13,K27,K27*(1-Customisation!$H$11*Customisation!$H$12))</f>
        <v>1.7300579962273708E-4</v>
      </c>
      <c r="V27" s="100">
        <f ca="1">IF($A27&lt;Customisation!$H$13,L27,L27*(1-Customisation!$H$11*Customisation!$H$12))</f>
        <v>8.444446206262283E-5</v>
      </c>
      <c r="W27" s="100">
        <f ca="1">IF($A27&lt;Customisation!$H$13,M27,M27*(1-Customisation!$H$11*Customisation!$H$12))</f>
        <v>1.0157557816609136E-5</v>
      </c>
      <c r="X27" s="100">
        <f ca="1">IF($A27&lt;Customisation!$H$13,N27,N27*(1-Customisation!$H$11*Customisation!$H$12))</f>
        <v>6.987440157202574E-6</v>
      </c>
      <c r="Y27" s="100">
        <f ca="1">IF($A27&lt;Customisation!$H$13,O27,O27*(1-Customisation!$H$11*Customisation!$H$12))</f>
        <v>1.2268325968591202E-2</v>
      </c>
      <c r="Z27" s="100">
        <f ca="1">IF($A27&lt;Customisation!$H$13,P27,P27*(1-Customisation!$H$11*Customisation!$H$12))</f>
        <v>8.8969477782205545E-3</v>
      </c>
      <c r="AA27" s="100">
        <f t="shared" ca="1" si="19"/>
        <v>2.9129548910714904E-5</v>
      </c>
      <c r="AB27" s="100">
        <f t="shared" ca="1" si="12"/>
        <v>2.1124648637903151E-5</v>
      </c>
      <c r="AC27" s="100">
        <f t="shared" ca="1" si="20"/>
        <v>5.2172326407250581E-6</v>
      </c>
      <c r="AD27" s="100">
        <f t="shared" ca="1" si="3"/>
        <v>3.7835191590274295E-6</v>
      </c>
      <c r="AE27" s="100">
        <f t="shared" ca="1" si="4"/>
        <v>2.8456112548110816E-4</v>
      </c>
      <c r="AF27" s="100">
        <f t="shared" ca="1" si="21"/>
        <v>1.3889483021717515E-4</v>
      </c>
      <c r="AG27" s="100">
        <f t="shared" ca="1" si="13"/>
        <v>1.6707220744834786E-5</v>
      </c>
      <c r="AH27" s="100">
        <f t="shared" ca="1" si="14"/>
        <v>1.1492989481863235E-5</v>
      </c>
      <c r="AI27" s="100">
        <f t="shared" ca="1" si="22"/>
        <v>2.0179026674274604E-2</v>
      </c>
      <c r="AJ27" s="100">
        <f t="shared" ca="1" si="23"/>
        <v>1.4633760709975395E-2</v>
      </c>
      <c r="AL27" s="102">
        <f t="shared" ca="1" si="15"/>
        <v>4.683956075237961</v>
      </c>
      <c r="AM27" s="102">
        <f t="shared" ca="1" si="16"/>
        <v>1.7710011841664708</v>
      </c>
    </row>
    <row r="28" spans="1:39" x14ac:dyDescent="0.15">
      <c r="A28" s="92">
        <f t="shared" si="24"/>
        <v>24</v>
      </c>
      <c r="B28" s="99">
        <f>'Life table'!D26</f>
        <v>0.97084642897420903</v>
      </c>
      <c r="C28" s="99">
        <f>IF($A28&lt;Customisation!$H$13,0,B28)/LOOKUP(Customisation!$H$13,$A$4:$A$104,$B$4:$B$104)</f>
        <v>0.99522045640473666</v>
      </c>
      <c r="D28" s="92">
        <f ca="1">IF($A28&lt;=Customisation!$H$13,1,1/(1+Customisation!$H$21)^($A28-Customisation!$H$13))</f>
        <v>0.70431979180629334</v>
      </c>
      <c r="E28" s="92">
        <f t="shared" ca="1" si="18"/>
        <v>22.271047555212832</v>
      </c>
      <c r="F28" s="92">
        <f t="shared" ca="1" si="8"/>
        <v>0.70095346465634834</v>
      </c>
      <c r="G28" s="100">
        <f ca="1">'Age data'!M32*Customisation!$H$22</f>
        <v>4.6839560752379613E-5</v>
      </c>
      <c r="H28" s="100">
        <f t="shared" ca="1" si="9"/>
        <v>3.2990029677414234E-5</v>
      </c>
      <c r="I28" s="100">
        <f ca="1">'Age data'!N32*Customisation!$H$22</f>
        <v>8.3891750601276917E-6</v>
      </c>
      <c r="J28" s="101">
        <f t="shared" ca="1" si="10"/>
        <v>5.9086620317756838E-6</v>
      </c>
      <c r="K28" s="100">
        <f ca="1">I28*'Life table'!I26</f>
        <v>4.4940001139719192E-4</v>
      </c>
      <c r="L28" s="100">
        <f ca="1">J28*'Life table'!J26</f>
        <v>2.1520108736867045E-4</v>
      </c>
      <c r="M28" s="100">
        <f t="shared" ca="1" si="11"/>
        <v>2.6864778561443924E-5</v>
      </c>
      <c r="N28" s="100">
        <f ca="1">((G28-I28)*$AW$5+I28*$AW$6)/(1+Customisation!$H$21)^($A28-12)</f>
        <v>1.7948419904536362E-5</v>
      </c>
      <c r="O28" s="100">
        <f ca="1">G28*Customisation!$H$17</f>
        <v>3.2447352642865808E-2</v>
      </c>
      <c r="P28" s="100">
        <f ca="1">O28/(1+Customisation!$H$21)^($A28-12)</f>
        <v>2.2853312658088629E-2</v>
      </c>
      <c r="Q28" s="100">
        <f ca="1">IF($A28&lt;Customisation!$H$13,G28,G28*(1-Customisation!$H$11*Customisation!$H$12))</f>
        <v>1.7710011841664708E-5</v>
      </c>
      <c r="R28" s="100">
        <f ca="1">IF($A28&lt;Customisation!$H$13,H28,H28*(1-Customisation!$H$11*Customisation!$H$12))</f>
        <v>1.2473511853208275E-5</v>
      </c>
      <c r="S28" s="100">
        <f ca="1">IF($A28&lt;Customisation!$H$13,I28,I28*(1-Customisation!$H$11*Customisation!$H$12))</f>
        <v>3.171942419402634E-6</v>
      </c>
      <c r="T28" s="100">
        <f ca="1">IF($A28&lt;Customisation!$H$13,J28,J28*(1-Customisation!$H$11*Customisation!$H$12))</f>
        <v>2.2340618244552136E-6</v>
      </c>
      <c r="U28" s="100">
        <f ca="1">IF($A28&lt;Customisation!$H$13,K28,K28*(1-Customisation!$H$11*Customisation!$H$12))</f>
        <v>1.6991789409733489E-4</v>
      </c>
      <c r="V28" s="100">
        <f ca="1">IF($A28&lt;Customisation!$H$13,L28,L28*(1-Customisation!$H$11*Customisation!$H$12))</f>
        <v>8.1367411316824779E-5</v>
      </c>
      <c r="W28" s="100">
        <f ca="1">IF($A28&lt;Customisation!$H$13,M28,M28*(1-Customisation!$H$11*Customisation!$H$12))</f>
        <v>1.0157557816609136E-5</v>
      </c>
      <c r="X28" s="100">
        <f ca="1">IF($A28&lt;Customisation!$H$13,N28,N28*(1-Customisation!$H$11*Customisation!$H$12))</f>
        <v>6.7862875727834563E-6</v>
      </c>
      <c r="Y28" s="100">
        <f ca="1">IF($A28&lt;Customisation!$H$13,O28,O28*(1-Customisation!$H$11*Customisation!$H$12))</f>
        <v>1.2268325968591202E-2</v>
      </c>
      <c r="Z28" s="100">
        <f ca="1">IF($A28&lt;Customisation!$H$13,P28,P28*(1-Customisation!$H$11*Customisation!$H$12))</f>
        <v>8.6408247920098987E-3</v>
      </c>
      <c r="AA28" s="100">
        <f t="shared" ca="1" si="19"/>
        <v>2.9129548910714904E-5</v>
      </c>
      <c r="AB28" s="100">
        <f t="shared" ca="1" si="12"/>
        <v>2.0516517824205957E-5</v>
      </c>
      <c r="AC28" s="100">
        <f t="shared" ca="1" si="20"/>
        <v>5.2172326407250581E-6</v>
      </c>
      <c r="AD28" s="100">
        <f t="shared" ca="1" si="3"/>
        <v>3.6746002073204702E-6</v>
      </c>
      <c r="AE28" s="100">
        <f t="shared" ca="1" si="4"/>
        <v>2.7948211729985706E-4</v>
      </c>
      <c r="AF28" s="100">
        <f t="shared" ca="1" si="21"/>
        <v>1.3383367605184567E-4</v>
      </c>
      <c r="AG28" s="100">
        <f t="shared" ca="1" si="13"/>
        <v>1.6707220744834786E-5</v>
      </c>
      <c r="AH28" s="100">
        <f t="shared" ca="1" si="14"/>
        <v>1.1162132331752905E-5</v>
      </c>
      <c r="AI28" s="100">
        <f t="shared" ca="1" si="22"/>
        <v>2.0179026674274604E-2</v>
      </c>
      <c r="AJ28" s="100">
        <f t="shared" ca="1" si="23"/>
        <v>1.4212487866078731E-2</v>
      </c>
      <c r="AL28" s="102">
        <f t="shared" ca="1" si="15"/>
        <v>4.683956075237961</v>
      </c>
      <c r="AM28" s="102">
        <f t="shared" ca="1" si="16"/>
        <v>1.7710011841664708</v>
      </c>
    </row>
    <row r="29" spans="1:39" x14ac:dyDescent="0.15">
      <c r="A29" s="92">
        <f t="shared" si="24"/>
        <v>25</v>
      </c>
      <c r="B29" s="99">
        <f>'Life table'!D27</f>
        <v>0.97037071422401167</v>
      </c>
      <c r="C29" s="99">
        <f>IF($A29&lt;Customisation!$H$13,0,B29)/LOOKUP(Customisation!$H$13,$A$4:$A$104,$B$4:$B$104)</f>
        <v>0.99473279838109829</v>
      </c>
      <c r="D29" s="92">
        <f ca="1">IF($A29&lt;=Customisation!$H$13,1,1/(1+Customisation!$H$21)^($A29-Customisation!$H$13))</f>
        <v>0.68404401939293924</v>
      </c>
      <c r="E29" s="92">
        <f t="shared" ca="1" si="18"/>
        <v>22.975367347019123</v>
      </c>
      <c r="F29" s="92">
        <f t="shared" ca="1" si="8"/>
        <v>0.6804410216265927</v>
      </c>
      <c r="G29" s="100">
        <f ca="1">'Age data'!M33*Customisation!$H$22</f>
        <v>4.6839560752379613E-5</v>
      </c>
      <c r="H29" s="100">
        <f t="shared" ca="1" si="9"/>
        <v>3.2040321403657518E-5</v>
      </c>
      <c r="I29" s="100">
        <f ca="1">'Age data'!N33*Customisation!$H$22</f>
        <v>8.3891750601276917E-6</v>
      </c>
      <c r="J29" s="101">
        <f t="shared" ca="1" si="10"/>
        <v>5.7385650275207489E-6</v>
      </c>
      <c r="K29" s="100">
        <f ca="1">I29*'Life table'!I27</f>
        <v>4.412290939409851E-4</v>
      </c>
      <c r="L29" s="100">
        <f ca="1">J29*'Life table'!J27</f>
        <v>2.0729767215925916E-4</v>
      </c>
      <c r="M29" s="100">
        <f t="shared" ca="1" si="11"/>
        <v>2.6864778561443924E-5</v>
      </c>
      <c r="N29" s="100">
        <f ca="1">((G29-I29)*$AW$5+I29*$AW$6)/(1+Customisation!$H$21)^($A29-12)</f>
        <v>1.7431725525935421E-5</v>
      </c>
      <c r="O29" s="100">
        <f ca="1">G29*Customisation!$H$17</f>
        <v>3.2447352642865808E-2</v>
      </c>
      <c r="P29" s="100">
        <f ca="1">O29/(1+Customisation!$H$21)^($A29-12)</f>
        <v>2.2195417520486035E-2</v>
      </c>
      <c r="Q29" s="100">
        <f ca="1">IF($A29&lt;Customisation!$H$13,G29,G29*(1-Customisation!$H$11*Customisation!$H$12))</f>
        <v>1.7710011841664708E-5</v>
      </c>
      <c r="R29" s="100">
        <f ca="1">IF($A29&lt;Customisation!$H$13,H29,H29*(1-Customisation!$H$11*Customisation!$H$12))</f>
        <v>1.2114427683668877E-5</v>
      </c>
      <c r="S29" s="100">
        <f ca="1">IF($A29&lt;Customisation!$H$13,I29,I29*(1-Customisation!$H$11*Customisation!$H$12))</f>
        <v>3.171942419402634E-6</v>
      </c>
      <c r="T29" s="100">
        <f ca="1">IF($A29&lt;Customisation!$H$13,J29,J29*(1-Customisation!$H$11*Customisation!$H$12))</f>
        <v>2.169748241851142E-6</v>
      </c>
      <c r="U29" s="100">
        <f ca="1">IF($A29&lt;Customisation!$H$13,K29,K29*(1-Customisation!$H$11*Customisation!$H$12))</f>
        <v>1.6682847475645572E-4</v>
      </c>
      <c r="V29" s="100">
        <f ca="1">IF($A29&lt;Customisation!$H$13,L29,L29*(1-Customisation!$H$11*Customisation!$H$12))</f>
        <v>7.8379134426522054E-5</v>
      </c>
      <c r="W29" s="100">
        <f ca="1">IF($A29&lt;Customisation!$H$13,M29,M29*(1-Customisation!$H$11*Customisation!$H$12))</f>
        <v>1.0157557816609136E-5</v>
      </c>
      <c r="X29" s="100">
        <f ca="1">IF($A29&lt;Customisation!$H$13,N29,N29*(1-Customisation!$H$11*Customisation!$H$12))</f>
        <v>6.5909257159137945E-6</v>
      </c>
      <c r="Y29" s="100">
        <f ca="1">IF($A29&lt;Customisation!$H$13,O29,O29*(1-Customisation!$H$11*Customisation!$H$12))</f>
        <v>1.2268325968591202E-2</v>
      </c>
      <c r="Z29" s="100">
        <f ca="1">IF($A29&lt;Customisation!$H$13,P29,P29*(1-Customisation!$H$11*Customisation!$H$12))</f>
        <v>8.3920750067779E-3</v>
      </c>
      <c r="AA29" s="100">
        <f t="shared" ca="1" si="19"/>
        <v>2.9129548910714904E-5</v>
      </c>
      <c r="AB29" s="100">
        <f t="shared" ca="1" si="12"/>
        <v>1.9925893719988643E-5</v>
      </c>
      <c r="AC29" s="100">
        <f t="shared" ca="1" si="20"/>
        <v>5.2172326407250581E-6</v>
      </c>
      <c r="AD29" s="100">
        <f t="shared" ca="1" si="3"/>
        <v>3.5688167856696069E-6</v>
      </c>
      <c r="AE29" s="100">
        <f t="shared" ca="1" si="4"/>
        <v>2.7440061918452939E-4</v>
      </c>
      <c r="AF29" s="100">
        <f t="shared" ca="1" si="21"/>
        <v>1.2891853773273711E-4</v>
      </c>
      <c r="AG29" s="100">
        <f t="shared" ca="1" si="13"/>
        <v>1.6707220744834786E-5</v>
      </c>
      <c r="AH29" s="100">
        <f t="shared" ca="1" si="14"/>
        <v>1.0840799810021626E-5</v>
      </c>
      <c r="AI29" s="100">
        <f t="shared" ca="1" si="22"/>
        <v>2.0179026674274604E-2</v>
      </c>
      <c r="AJ29" s="100">
        <f t="shared" ca="1" si="23"/>
        <v>1.3803342513708135E-2</v>
      </c>
      <c r="AL29" s="102">
        <f t="shared" ca="1" si="15"/>
        <v>4.683956075237961</v>
      </c>
      <c r="AM29" s="102">
        <f t="shared" ca="1" si="16"/>
        <v>1.7710011841664708</v>
      </c>
    </row>
    <row r="30" spans="1:39" x14ac:dyDescent="0.15">
      <c r="A30" s="92">
        <f t="shared" si="24"/>
        <v>26</v>
      </c>
      <c r="B30" s="99">
        <f>'Life table'!D28</f>
        <v>0.96979819550261948</v>
      </c>
      <c r="C30" s="99">
        <f>IF($A30&lt;Customisation!$H$13,0,B30)/LOOKUP(Customisation!$H$13,$A$4:$A$104,$B$4:$B$104)</f>
        <v>0.99414590603005348</v>
      </c>
      <c r="D30" s="92">
        <f ca="1">IF($A30&lt;=Customisation!$H$13,1,1/(1+Customisation!$H$21)^($A30-Customisation!$H$13))</f>
        <v>0.66435194056840763</v>
      </c>
      <c r="E30" s="92">
        <f t="shared" ca="1" si="18"/>
        <v>23.659411366412062</v>
      </c>
      <c r="F30" s="92">
        <f t="shared" ca="1" si="8"/>
        <v>0.66046276187920383</v>
      </c>
      <c r="G30" s="100">
        <f ca="1">'Age data'!M34*Customisation!$H$22</f>
        <v>4.6839560752379613E-5</v>
      </c>
      <c r="H30" s="100">
        <f t="shared" ca="1" si="9"/>
        <v>3.111795308121522E-5</v>
      </c>
      <c r="I30" s="100">
        <f ca="1">'Age data'!N34*Customisation!$H$22</f>
        <v>8.3891750601276917E-6</v>
      </c>
      <c r="J30" s="101">
        <f t="shared" ca="1" si="10"/>
        <v>5.5733647309639197E-6</v>
      </c>
      <c r="K30" s="100">
        <f ca="1">I30*'Life table'!I28</f>
        <v>4.3309792146116233E-4</v>
      </c>
      <c r="L30" s="100">
        <f ca="1">J30*'Life table'!J28</f>
        <v>1.9963156592324446E-4</v>
      </c>
      <c r="M30" s="100">
        <f t="shared" ca="1" si="11"/>
        <v>2.6864778561443924E-5</v>
      </c>
      <c r="N30" s="100">
        <f ca="1">((G30-I30)*$AW$5+I30*$AW$6)/(1+Customisation!$H$21)^($A30-12)</f>
        <v>1.6929905608835708E-5</v>
      </c>
      <c r="O30" s="100">
        <f ca="1">G30*Customisation!$H$17</f>
        <v>3.2447352642865808E-2</v>
      </c>
      <c r="P30" s="100">
        <f ca="1">O30/(1+Customisation!$H$21)^($A30-12)</f>
        <v>2.1556461694595349E-2</v>
      </c>
      <c r="Q30" s="100">
        <f ca="1">IF($A30&lt;Customisation!$H$13,G30,G30*(1-Customisation!$H$11*Customisation!$H$12))</f>
        <v>1.7710011841664708E-5</v>
      </c>
      <c r="R30" s="100">
        <f ca="1">IF($A30&lt;Customisation!$H$13,H30,H30*(1-Customisation!$H$11*Customisation!$H$12))</f>
        <v>1.1765680734499428E-5</v>
      </c>
      <c r="S30" s="100">
        <f ca="1">IF($A30&lt;Customisation!$H$13,I30,I30*(1-Customisation!$H$11*Customisation!$H$12))</f>
        <v>3.171942419402634E-6</v>
      </c>
      <c r="T30" s="100">
        <f ca="1">IF($A30&lt;Customisation!$H$13,J30,J30*(1-Customisation!$H$11*Customisation!$H$12))</f>
        <v>2.1072861017013899E-6</v>
      </c>
      <c r="U30" s="100">
        <f ca="1">IF($A30&lt;Customisation!$H$13,K30,K30*(1-Customisation!$H$11*Customisation!$H$12))</f>
        <v>1.6375408296901854E-4</v>
      </c>
      <c r="V30" s="100">
        <f ca="1">IF($A30&lt;Customisation!$H$13,L30,L30*(1-Customisation!$H$11*Customisation!$H$12))</f>
        <v>7.5480583926934314E-5</v>
      </c>
      <c r="W30" s="100">
        <f ca="1">IF($A30&lt;Customisation!$H$13,M30,M30*(1-Customisation!$H$11*Customisation!$H$12))</f>
        <v>1.0157557816609136E-5</v>
      </c>
      <c r="X30" s="100">
        <f ca="1">IF($A30&lt;Customisation!$H$13,N30,N30*(1-Customisation!$H$11*Customisation!$H$12))</f>
        <v>6.4011878846561078E-6</v>
      </c>
      <c r="Y30" s="100">
        <f ca="1">IF($A30&lt;Customisation!$H$13,O30,O30*(1-Customisation!$H$11*Customisation!$H$12))</f>
        <v>1.2268325968591202E-2</v>
      </c>
      <c r="Z30" s="100">
        <f ca="1">IF($A30&lt;Customisation!$H$13,P30,P30*(1-Customisation!$H$11*Customisation!$H$12))</f>
        <v>8.1504861647593539E-3</v>
      </c>
      <c r="AA30" s="100">
        <f t="shared" ca="1" si="19"/>
        <v>2.9129548910714904E-5</v>
      </c>
      <c r="AB30" s="100">
        <f t="shared" ca="1" si="12"/>
        <v>1.9352272346715791E-5</v>
      </c>
      <c r="AC30" s="100">
        <f t="shared" ca="1" si="20"/>
        <v>5.2172326407250581E-6</v>
      </c>
      <c r="AD30" s="100">
        <f t="shared" ca="1" si="3"/>
        <v>3.4660786292625298E-6</v>
      </c>
      <c r="AE30" s="100">
        <f t="shared" ca="1" si="4"/>
        <v>2.6934383849214379E-4</v>
      </c>
      <c r="AF30" s="100">
        <f t="shared" ca="1" si="21"/>
        <v>1.2415098199631015E-4</v>
      </c>
      <c r="AG30" s="100">
        <f t="shared" ca="1" si="13"/>
        <v>1.6707220744834786E-5</v>
      </c>
      <c r="AH30" s="100">
        <f t="shared" ca="1" si="14"/>
        <v>1.05287177241796E-5</v>
      </c>
      <c r="AI30" s="100">
        <f t="shared" ca="1" si="22"/>
        <v>2.0179026674274604E-2</v>
      </c>
      <c r="AJ30" s="100">
        <f t="shared" ca="1" si="23"/>
        <v>1.3405975529835995E-2</v>
      </c>
      <c r="AL30" s="102">
        <f t="shared" ca="1" si="15"/>
        <v>4.683956075237961</v>
      </c>
      <c r="AM30" s="102">
        <f t="shared" ca="1" si="16"/>
        <v>1.7710011841664708</v>
      </c>
    </row>
    <row r="31" spans="1:39" x14ac:dyDescent="0.15">
      <c r="A31" s="92">
        <f t="shared" si="24"/>
        <v>27</v>
      </c>
      <c r="B31" s="99">
        <f>'Life table'!D29</f>
        <v>0.96922601456727298</v>
      </c>
      <c r="C31" s="99">
        <f>IF($A31&lt;Customisation!$H$13,0,B31)/LOOKUP(Customisation!$H$13,$A$4:$A$104,$B$4:$B$104)</f>
        <v>0.99355935994549571</v>
      </c>
      <c r="D31" s="92">
        <f ca="1">IF($A31&lt;=Customisation!$H$13,1,1/(1+Customisation!$H$21)^($A31-Customisation!$H$13))</f>
        <v>0.64522675211560332</v>
      </c>
      <c r="E31" s="92">
        <f t="shared" ca="1" si="18"/>
        <v>24.323763306980471</v>
      </c>
      <c r="F31" s="92">
        <f t="shared" ca="1" si="8"/>
        <v>0.6410710788516899</v>
      </c>
      <c r="G31" s="100">
        <f ca="1">'Age data'!M35*Customisation!$H$22</f>
        <v>4.6839560752379613E-5</v>
      </c>
      <c r="H31" s="100">
        <f t="shared" ca="1" si="9"/>
        <v>3.0222137654779383E-5</v>
      </c>
      <c r="I31" s="100">
        <f ca="1">'Age data'!N35*Customisation!$H$22</f>
        <v>8.3891750601276917E-6</v>
      </c>
      <c r="J31" s="101">
        <f t="shared" ca="1" si="10"/>
        <v>5.4129201769754116E-6</v>
      </c>
      <c r="K31" s="100">
        <f ca="1">I31*'Life table'!I29</f>
        <v>4.2496194875744415E-4</v>
      </c>
      <c r="L31" s="100">
        <f ca="1">J31*'Life table'!J29</f>
        <v>1.9218670816231756E-4</v>
      </c>
      <c r="M31" s="100">
        <f t="shared" ca="1" si="11"/>
        <v>2.6864778561443924E-5</v>
      </c>
      <c r="N31" s="100">
        <f ca="1">((G31-I31)*$AW$5+I31*$AW$6)/(1+Customisation!$H$21)^($A31-12)</f>
        <v>1.6442531951162423E-5</v>
      </c>
      <c r="O31" s="100">
        <f ca="1">G31*Customisation!$H$17</f>
        <v>3.2447352642865808E-2</v>
      </c>
      <c r="P31" s="100">
        <f ca="1">O31/(1+Customisation!$H$21)^($A31-12)</f>
        <v>2.0935899960505943E-2</v>
      </c>
      <c r="Q31" s="100">
        <f ca="1">IF($A31&lt;Customisation!$H$13,G31,G31*(1-Customisation!$H$11*Customisation!$H$12))</f>
        <v>1.7710011841664708E-5</v>
      </c>
      <c r="R31" s="100">
        <f ca="1">IF($A31&lt;Customisation!$H$13,H31,H31*(1-Customisation!$H$11*Customisation!$H$12))</f>
        <v>1.1426973420526194E-5</v>
      </c>
      <c r="S31" s="100">
        <f ca="1">IF($A31&lt;Customisation!$H$13,I31,I31*(1-Customisation!$H$11*Customisation!$H$12))</f>
        <v>3.171942419402634E-6</v>
      </c>
      <c r="T31" s="100">
        <f ca="1">IF($A31&lt;Customisation!$H$13,J31,J31*(1-Customisation!$H$11*Customisation!$H$12))</f>
        <v>2.0466221051688705E-6</v>
      </c>
      <c r="U31" s="100">
        <f ca="1">IF($A31&lt;Customisation!$H$13,K31,K31*(1-Customisation!$H$11*Customisation!$H$12))</f>
        <v>1.6067787621959915E-4</v>
      </c>
      <c r="V31" s="100">
        <f ca="1">IF($A31&lt;Customisation!$H$13,L31,L31*(1-Customisation!$H$11*Customisation!$H$12))</f>
        <v>7.2665687352593011E-5</v>
      </c>
      <c r="W31" s="100">
        <f ca="1">IF($A31&lt;Customisation!$H$13,M31,M31*(1-Customisation!$H$11*Customisation!$H$12))</f>
        <v>1.0157557816609136E-5</v>
      </c>
      <c r="X31" s="100">
        <f ca="1">IF($A31&lt;Customisation!$H$13,N31,N31*(1-Customisation!$H$11*Customisation!$H$12))</f>
        <v>6.2169121760443276E-6</v>
      </c>
      <c r="Y31" s="100">
        <f ca="1">IF($A31&lt;Customisation!$H$13,O31,O31*(1-Customisation!$H$11*Customisation!$H$12))</f>
        <v>1.2268325968591202E-2</v>
      </c>
      <c r="Z31" s="100">
        <f ca="1">IF($A31&lt;Customisation!$H$13,P31,P31*(1-Customisation!$H$11*Customisation!$H$12))</f>
        <v>7.9158521186096144E-3</v>
      </c>
      <c r="AA31" s="100">
        <f t="shared" ca="1" si="19"/>
        <v>2.9129548910714904E-5</v>
      </c>
      <c r="AB31" s="100">
        <f t="shared" ca="1" si="12"/>
        <v>1.879516423425319E-5</v>
      </c>
      <c r="AC31" s="100">
        <f t="shared" ca="1" si="20"/>
        <v>5.2172326407250581E-6</v>
      </c>
      <c r="AD31" s="100">
        <f t="shared" ca="1" si="3"/>
        <v>3.3662980718065411E-6</v>
      </c>
      <c r="AE31" s="100">
        <f t="shared" ca="1" si="4"/>
        <v>2.6428407253784503E-4</v>
      </c>
      <c r="AF31" s="100">
        <f t="shared" ca="1" si="21"/>
        <v>1.1952102080972455E-4</v>
      </c>
      <c r="AG31" s="100">
        <f t="shared" ca="1" si="13"/>
        <v>1.6707220744834786E-5</v>
      </c>
      <c r="AH31" s="100">
        <f t="shared" ca="1" si="14"/>
        <v>1.0225619775118096E-5</v>
      </c>
      <c r="AI31" s="100">
        <f t="shared" ca="1" si="22"/>
        <v>2.0179026674274604E-2</v>
      </c>
      <c r="AJ31" s="100">
        <f t="shared" ca="1" si="23"/>
        <v>1.3020047841896329E-2</v>
      </c>
      <c r="AL31" s="102">
        <f t="shared" ca="1" si="15"/>
        <v>4.683956075237961</v>
      </c>
      <c r="AM31" s="102">
        <f t="shared" ca="1" si="16"/>
        <v>1.7710011841664708</v>
      </c>
    </row>
    <row r="32" spans="1:39" x14ac:dyDescent="0.15">
      <c r="A32" s="92">
        <f t="shared" si="24"/>
        <v>28</v>
      </c>
      <c r="B32" s="99">
        <f>'Life table'!D30</f>
        <v>0.96865417121867825</v>
      </c>
      <c r="C32" s="99">
        <f>IF($A32&lt;Customisation!$H$13,0,B32)/LOOKUP(Customisation!$H$13,$A$4:$A$104,$B$4:$B$104)</f>
        <v>0.99297315992312785</v>
      </c>
      <c r="D32" s="92">
        <f ca="1">IF($A32&lt;=Customisation!$H$13,1,1/(1+Customisation!$H$21)^($A32-Customisation!$H$13))</f>
        <v>0.62665213454401347</v>
      </c>
      <c r="E32" s="92">
        <f t="shared" ca="1" si="18"/>
        <v>24.968990059096075</v>
      </c>
      <c r="F32" s="92">
        <f t="shared" ca="1" si="8"/>
        <v>0.62224875021074211</v>
      </c>
      <c r="G32" s="100">
        <f ca="1">'Age data'!M36*Customisation!$H$22</f>
        <v>4.6839560752379613E-5</v>
      </c>
      <c r="H32" s="100">
        <f t="shared" ca="1" si="9"/>
        <v>2.9352110726582681E-5</v>
      </c>
      <c r="I32" s="100">
        <f ca="1">'Age data'!N36*Customisation!$H$22</f>
        <v>8.3891750601276917E-6</v>
      </c>
      <c r="J32" s="101">
        <f t="shared" ca="1" si="10"/>
        <v>5.257094458492421E-6</v>
      </c>
      <c r="K32" s="100">
        <f ca="1">I32*'Life table'!I30</f>
        <v>4.1682117299602695E-4</v>
      </c>
      <c r="L32" s="100">
        <f ca="1">J32*'Life table'!J30</f>
        <v>1.8495669964656902E-4</v>
      </c>
      <c r="M32" s="100">
        <f t="shared" ca="1" si="11"/>
        <v>2.6864778561443924E-5</v>
      </c>
      <c r="N32" s="100">
        <f ca="1">((G32-I32)*$AW$5+I32*$AW$6)/(1+Customisation!$H$21)^($A32-12)</f>
        <v>1.5969188677809168E-5</v>
      </c>
      <c r="O32" s="100">
        <f ca="1">G32*Customisation!$H$17</f>
        <v>3.2447352642865808E-2</v>
      </c>
      <c r="P32" s="100">
        <f ca="1">O32/(1+Customisation!$H$21)^($A32-12)</f>
        <v>2.0333202793954196E-2</v>
      </c>
      <c r="Q32" s="100">
        <f ca="1">IF($A32&lt;Customisation!$H$13,G32,G32*(1-Customisation!$H$11*Customisation!$H$12))</f>
        <v>1.7710011841664708E-5</v>
      </c>
      <c r="R32" s="100">
        <f ca="1">IF($A32&lt;Customisation!$H$13,H32,H32*(1-Customisation!$H$11*Customisation!$H$12))</f>
        <v>1.1098016723378944E-5</v>
      </c>
      <c r="S32" s="100">
        <f ca="1">IF($A32&lt;Customisation!$H$13,I32,I32*(1-Customisation!$H$11*Customisation!$H$12))</f>
        <v>3.171942419402634E-6</v>
      </c>
      <c r="T32" s="100">
        <f ca="1">IF($A32&lt;Customisation!$H$13,J32,J32*(1-Customisation!$H$11*Customisation!$H$12))</f>
        <v>1.9877044877693633E-6</v>
      </c>
      <c r="U32" s="100">
        <f ca="1">IF($A32&lt;Customisation!$H$13,K32,K32*(1-Customisation!$H$11*Customisation!$H$12))</f>
        <v>1.5759985343673797E-4</v>
      </c>
      <c r="V32" s="100">
        <f ca="1">IF($A32&lt;Customisation!$H$13,L32,L32*(1-Customisation!$H$11*Customisation!$H$12))</f>
        <v>6.9932025158232262E-5</v>
      </c>
      <c r="W32" s="100">
        <f ca="1">IF($A32&lt;Customisation!$H$13,M32,M32*(1-Customisation!$H$11*Customisation!$H$12))</f>
        <v>1.0157557816609136E-5</v>
      </c>
      <c r="X32" s="100">
        <f ca="1">IF($A32&lt;Customisation!$H$13,N32,N32*(1-Customisation!$H$11*Customisation!$H$12))</f>
        <v>6.0379413479322686E-6</v>
      </c>
      <c r="Y32" s="100">
        <f ca="1">IF($A32&lt;Customisation!$H$13,O32,O32*(1-Customisation!$H$11*Customisation!$H$12))</f>
        <v>1.2268325968591202E-2</v>
      </c>
      <c r="Z32" s="100">
        <f ca="1">IF($A32&lt;Customisation!$H$13,P32,P32*(1-Customisation!$H$11*Customisation!$H$12))</f>
        <v>7.6879726554994286E-3</v>
      </c>
      <c r="AA32" s="100">
        <f t="shared" ca="1" si="19"/>
        <v>2.9129548910714904E-5</v>
      </c>
      <c r="AB32" s="100">
        <f t="shared" ca="1" si="12"/>
        <v>1.8254094003203738E-5</v>
      </c>
      <c r="AC32" s="100">
        <f t="shared" ca="1" si="20"/>
        <v>5.2172326407250581E-6</v>
      </c>
      <c r="AD32" s="100">
        <f t="shared" ca="1" si="3"/>
        <v>3.2693899707230576E-6</v>
      </c>
      <c r="AE32" s="100">
        <f t="shared" ca="1" si="4"/>
        <v>2.5922131955928899E-4</v>
      </c>
      <c r="AF32" s="100">
        <f t="shared" ca="1" si="21"/>
        <v>1.1502467448833675E-4</v>
      </c>
      <c r="AG32" s="100">
        <f t="shared" ca="1" si="13"/>
        <v>1.6707220744834786E-5</v>
      </c>
      <c r="AH32" s="100">
        <f t="shared" ca="1" si="14"/>
        <v>9.9312473298768993E-6</v>
      </c>
      <c r="AI32" s="100">
        <f t="shared" ca="1" si="22"/>
        <v>2.0179026674274604E-2</v>
      </c>
      <c r="AJ32" s="100">
        <f t="shared" ca="1" si="23"/>
        <v>1.2645230138454767E-2</v>
      </c>
      <c r="AL32" s="102">
        <f t="shared" ca="1" si="15"/>
        <v>4.683956075237961</v>
      </c>
      <c r="AM32" s="102">
        <f t="shared" ca="1" si="16"/>
        <v>1.7710011841664708</v>
      </c>
    </row>
    <row r="33" spans="1:39" x14ac:dyDescent="0.15">
      <c r="A33" s="92">
        <f t="shared" si="24"/>
        <v>29</v>
      </c>
      <c r="B33" s="99">
        <f>'Life table'!D31</f>
        <v>0.96808266525765929</v>
      </c>
      <c r="C33" s="99">
        <f>IF($A33&lt;Customisation!$H$13,0,B33)/LOOKUP(Customisation!$H$13,$A$4:$A$104,$B$4:$B$104)</f>
        <v>0.99238730575877332</v>
      </c>
      <c r="D33" s="92">
        <f ca="1">IF($A33&lt;=Customisation!$H$13,1,1/(1+Customisation!$H$21)^($A33-Customisation!$H$13))</f>
        <v>0.60861223816431409</v>
      </c>
      <c r="E33" s="92">
        <f t="shared" ca="1" si="18"/>
        <v>25.595642193640089</v>
      </c>
      <c r="F33" s="92">
        <f t="shared" ca="1" si="8"/>
        <v>0.60397905928370055</v>
      </c>
      <c r="G33" s="100">
        <f ca="1">'Age data'!M37*Customisation!$H$22</f>
        <v>4.6839560752379613E-5</v>
      </c>
      <c r="H33" s="100">
        <f t="shared" ca="1" si="9"/>
        <v>2.8507129904139119E-5</v>
      </c>
      <c r="I33" s="100">
        <f ca="1">'Age data'!N37*Customisation!$H$22</f>
        <v>8.3891750601276917E-6</v>
      </c>
      <c r="J33" s="101">
        <f t="shared" ca="1" si="10"/>
        <v>5.1057546096965587E-6</v>
      </c>
      <c r="K33" s="100">
        <f ca="1">I33*'Life table'!I31</f>
        <v>4.0867559134143345E-4</v>
      </c>
      <c r="L33" s="100">
        <f ca="1">J33*'Life table'!J31</f>
        <v>1.7793532534772925E-4</v>
      </c>
      <c r="M33" s="100">
        <f t="shared" ca="1" si="11"/>
        <v>2.6864778561443924E-5</v>
      </c>
      <c r="N33" s="100">
        <f ca="1">((G33-I33)*$AW$5+I33*$AW$6)/(1+Customisation!$H$21)^($A33-12)</f>
        <v>1.5509471885772431E-5</v>
      </c>
      <c r="O33" s="100">
        <f ca="1">G33*Customisation!$H$17</f>
        <v>3.2447352642865808E-2</v>
      </c>
      <c r="P33" s="100">
        <f ca="1">O33/(1+Customisation!$H$21)^($A33-12)</f>
        <v>1.9747855914481333E-2</v>
      </c>
      <c r="Q33" s="100">
        <f ca="1">IF($A33&lt;Customisation!$H$13,G33,G33*(1-Customisation!$H$11*Customisation!$H$12))</f>
        <v>1.7710011841664708E-5</v>
      </c>
      <c r="R33" s="100">
        <f ca="1">IF($A33&lt;Customisation!$H$13,H33,H33*(1-Customisation!$H$11*Customisation!$H$12))</f>
        <v>1.0778529944872062E-5</v>
      </c>
      <c r="S33" s="100">
        <f ca="1">IF($A33&lt;Customisation!$H$13,I33,I33*(1-Customisation!$H$11*Customisation!$H$12))</f>
        <v>3.171942419402634E-6</v>
      </c>
      <c r="T33" s="100">
        <f ca="1">IF($A33&lt;Customisation!$H$13,J33,J33*(1-Customisation!$H$11*Customisation!$H$12))</f>
        <v>1.9304829752009664E-6</v>
      </c>
      <c r="U33" s="100">
        <f ca="1">IF($A33&lt;Customisation!$H$13,K33,K33*(1-Customisation!$H$11*Customisation!$H$12))</f>
        <v>1.5452001354834257E-4</v>
      </c>
      <c r="V33" s="100">
        <f ca="1">IF($A33&lt;Customisation!$H$13,L33,L33*(1-Customisation!$H$11*Customisation!$H$12))</f>
        <v>6.727724744512369E-5</v>
      </c>
      <c r="W33" s="100">
        <f ca="1">IF($A33&lt;Customisation!$H$13,M33,M33*(1-Customisation!$H$11*Customisation!$H$12))</f>
        <v>1.0157557816609136E-5</v>
      </c>
      <c r="X33" s="100">
        <f ca="1">IF($A33&lt;Customisation!$H$13,N33,N33*(1-Customisation!$H$11*Customisation!$H$12))</f>
        <v>5.8641226848191842E-6</v>
      </c>
      <c r="Y33" s="100">
        <f ca="1">IF($A33&lt;Customisation!$H$13,O33,O33*(1-Customisation!$H$11*Customisation!$H$12))</f>
        <v>1.2268325968591202E-2</v>
      </c>
      <c r="Z33" s="100">
        <f ca="1">IF($A33&lt;Customisation!$H$13,P33,P33*(1-Customisation!$H$11*Customisation!$H$12))</f>
        <v>7.4666533262736689E-3</v>
      </c>
      <c r="AA33" s="100">
        <f t="shared" ca="1" si="19"/>
        <v>2.9129548910714904E-5</v>
      </c>
      <c r="AB33" s="100">
        <f t="shared" ca="1" si="12"/>
        <v>1.7728599959267058E-5</v>
      </c>
      <c r="AC33" s="100">
        <f t="shared" ca="1" si="20"/>
        <v>5.2172326407250581E-6</v>
      </c>
      <c r="AD33" s="100">
        <f t="shared" ca="1" si="3"/>
        <v>3.1752716344955923E-6</v>
      </c>
      <c r="AE33" s="100">
        <f t="shared" ca="1" si="4"/>
        <v>2.5415557779309087E-4</v>
      </c>
      <c r="AF33" s="100">
        <f t="shared" ca="1" si="21"/>
        <v>1.1065807790260556E-4</v>
      </c>
      <c r="AG33" s="100">
        <f t="shared" ca="1" si="13"/>
        <v>1.6707220744834786E-5</v>
      </c>
      <c r="AH33" s="100">
        <f t="shared" ca="1" si="14"/>
        <v>9.645349200953247E-6</v>
      </c>
      <c r="AI33" s="100">
        <f t="shared" ca="1" si="22"/>
        <v>2.0179026674274604E-2</v>
      </c>
      <c r="AJ33" s="100">
        <f t="shared" ca="1" si="23"/>
        <v>1.2281202588207665E-2</v>
      </c>
      <c r="AL33" s="102">
        <f t="shared" ca="1" si="15"/>
        <v>4.683956075237961</v>
      </c>
      <c r="AM33" s="102">
        <f t="shared" ca="1" si="16"/>
        <v>1.7710011841664708</v>
      </c>
    </row>
    <row r="34" spans="1:39" x14ac:dyDescent="0.15">
      <c r="A34" s="92">
        <f t="shared" si="24"/>
        <v>30</v>
      </c>
      <c r="B34" s="99">
        <f>'Life table'!D32</f>
        <v>0.96751149648515733</v>
      </c>
      <c r="C34" s="99">
        <f>IF($A34&lt;Customisation!$H$13,0,B34)/LOOKUP(Customisation!$H$13,$A$4:$A$104,$B$4:$B$104)</f>
        <v>0.99180179724837569</v>
      </c>
      <c r="D34" s="92">
        <f ca="1">IF($A34&lt;=Customisation!$H$13,1,1/(1+Customisation!$H$21)^($A34-Customisation!$H$13))</f>
        <v>0.59109166956385706</v>
      </c>
      <c r="E34" s="92">
        <f t="shared" ca="1" si="18"/>
        <v>26.204254431804404</v>
      </c>
      <c r="F34" s="92">
        <f t="shared" ca="1" si="8"/>
        <v>0.58624578021197649</v>
      </c>
      <c r="G34" s="100">
        <f ca="1">'Age data'!M38*Customisation!$H$22</f>
        <v>4.6839560752379613E-5</v>
      </c>
      <c r="H34" s="100">
        <f t="shared" ca="1" si="9"/>
        <v>2.7686474166761779E-5</v>
      </c>
      <c r="I34" s="100">
        <f ca="1">'Age data'!N38*Customisation!$H$22</f>
        <v>8.3891750601276917E-6</v>
      </c>
      <c r="J34" s="101">
        <f t="shared" ca="1" si="10"/>
        <v>4.9587714925543485E-6</v>
      </c>
      <c r="K34" s="100">
        <f ca="1">I34*'Life table'!I32</f>
        <v>4.0052520095651281E-4</v>
      </c>
      <c r="L34" s="100">
        <f ca="1">J34*'Life table'!J32</f>
        <v>1.7111654913641022E-4</v>
      </c>
      <c r="M34" s="100">
        <f t="shared" ca="1" si="11"/>
        <v>2.6864778561443924E-5</v>
      </c>
      <c r="N34" s="100">
        <f ca="1">((G34-I34)*$AW$5+I34*$AW$6)/(1+Customisation!$H$21)^($A34-12)</f>
        <v>1.5062989299501841E-5</v>
      </c>
      <c r="O34" s="100">
        <f ca="1">G34*Customisation!$H$17</f>
        <v>3.2447352642865808E-2</v>
      </c>
      <c r="P34" s="100">
        <f ca="1">O34/(1+Customisation!$H$21)^($A34-12)</f>
        <v>1.9179359846598781E-2</v>
      </c>
      <c r="Q34" s="100">
        <f ca="1">IF($A34&lt;Customisation!$H$13,G34,G34*(1-Customisation!$H$11*Customisation!$H$12))</f>
        <v>1.7710011841664708E-5</v>
      </c>
      <c r="R34" s="100">
        <f ca="1">IF($A34&lt;Customisation!$H$13,H34,H34*(1-Customisation!$H$11*Customisation!$H$12))</f>
        <v>1.0468240467485271E-5</v>
      </c>
      <c r="S34" s="100">
        <f ca="1">IF($A34&lt;Customisation!$H$13,I34,I34*(1-Customisation!$H$11*Customisation!$H$12))</f>
        <v>3.171942419402634E-6</v>
      </c>
      <c r="T34" s="100">
        <f ca="1">IF($A34&lt;Customisation!$H$13,J34,J34*(1-Customisation!$H$11*Customisation!$H$12))</f>
        <v>1.8749087404451232E-6</v>
      </c>
      <c r="U34" s="100">
        <f ca="1">IF($A34&lt;Customisation!$H$13,K34,K34*(1-Customisation!$H$11*Customisation!$H$12))</f>
        <v>1.5143835548168786E-4</v>
      </c>
      <c r="V34" s="100">
        <f ca="1">IF($A34&lt;Customisation!$H$13,L34,L34*(1-Customisation!$H$11*Customisation!$H$12))</f>
        <v>6.4699071956106396E-5</v>
      </c>
      <c r="W34" s="100">
        <f ca="1">IF($A34&lt;Customisation!$H$13,M34,M34*(1-Customisation!$H$11*Customisation!$H$12))</f>
        <v>1.0157557816609136E-5</v>
      </c>
      <c r="X34" s="100">
        <f ca="1">IF($A34&lt;Customisation!$H$13,N34,N34*(1-Customisation!$H$11*Customisation!$H$12))</f>
        <v>5.6953078675378856E-6</v>
      </c>
      <c r="Y34" s="100">
        <f ca="1">IF($A34&lt;Customisation!$H$13,O34,O34*(1-Customisation!$H$11*Customisation!$H$12))</f>
        <v>1.2268325968591202E-2</v>
      </c>
      <c r="Z34" s="100">
        <f ca="1">IF($A34&lt;Customisation!$H$13,P34,P34*(1-Customisation!$H$11*Customisation!$H$12))</f>
        <v>7.2517052795281981E-3</v>
      </c>
      <c r="AA34" s="100">
        <f t="shared" ca="1" si="19"/>
        <v>2.9129548910714904E-5</v>
      </c>
      <c r="AB34" s="100">
        <f t="shared" ca="1" si="12"/>
        <v>1.7218233699276507E-5</v>
      </c>
      <c r="AC34" s="100">
        <f t="shared" ca="1" si="20"/>
        <v>5.2172326407250581E-6</v>
      </c>
      <c r="AD34" s="100">
        <f t="shared" ca="1" si="3"/>
        <v>3.0838627521092255E-6</v>
      </c>
      <c r="AE34" s="100">
        <f t="shared" ca="1" si="4"/>
        <v>2.4908684547482495E-4</v>
      </c>
      <c r="AF34" s="100">
        <f t="shared" ca="1" si="21"/>
        <v>1.0641747718030382E-4</v>
      </c>
      <c r="AG34" s="100">
        <f t="shared" ca="1" si="13"/>
        <v>1.6707220744834786E-5</v>
      </c>
      <c r="AH34" s="100">
        <f t="shared" ca="1" si="14"/>
        <v>9.367681431963955E-6</v>
      </c>
      <c r="AI34" s="100">
        <f t="shared" ca="1" si="22"/>
        <v>2.0179026674274604E-2</v>
      </c>
      <c r="AJ34" s="100">
        <f t="shared" ca="1" si="23"/>
        <v>1.1927654567070583E-2</v>
      </c>
      <c r="AL34" s="102">
        <f t="shared" ca="1" si="15"/>
        <v>4.683956075237961</v>
      </c>
      <c r="AM34" s="102">
        <f t="shared" ca="1" si="16"/>
        <v>1.7710011841664708</v>
      </c>
    </row>
    <row r="35" spans="1:39" x14ac:dyDescent="0.15">
      <c r="A35" s="92">
        <f t="shared" si="24"/>
        <v>31</v>
      </c>
      <c r="B35" s="99">
        <f>'Life table'!D33</f>
        <v>0.96674716240293412</v>
      </c>
      <c r="C35" s="99">
        <f>IF($A35&lt;Customisation!$H$13,0,B35)/LOOKUP(Customisation!$H$13,$A$4:$A$104,$B$4:$B$104)</f>
        <v>0.99101827382854957</v>
      </c>
      <c r="D35" s="92">
        <f ca="1">IF($A35&lt;=Customisation!$H$13,1,1/(1+Customisation!$H$21)^($A35-Customisation!$H$13))</f>
        <v>0.5740754784714982</v>
      </c>
      <c r="E35" s="92">
        <f t="shared" ca="1" si="18"/>
        <v>26.79534610136826</v>
      </c>
      <c r="F35" s="92">
        <f t="shared" ca="1" si="8"/>
        <v>0.5689192897221228</v>
      </c>
      <c r="G35" s="100">
        <f ca="1">'Age data'!M39*Customisation!$H$22</f>
        <v>4.6839560752379613E-5</v>
      </c>
      <c r="H35" s="100">
        <f t="shared" ca="1" si="9"/>
        <v>2.6889443250317133E-5</v>
      </c>
      <c r="I35" s="100">
        <f ca="1">'Age data'!N39*Customisation!$H$22</f>
        <v>8.3891750601276917E-6</v>
      </c>
      <c r="J35" s="101">
        <f t="shared" ca="1" si="10"/>
        <v>4.816019686623964E-6</v>
      </c>
      <c r="K35" s="100">
        <f ca="1">I35*'Life table'!I33</f>
        <v>3.9244937462648875E-4</v>
      </c>
      <c r="L35" s="100">
        <f ca="1">J35*'Life table'!J33</f>
        <v>1.645113872743689E-4</v>
      </c>
      <c r="M35" s="100">
        <f t="shared" ca="1" si="11"/>
        <v>2.6864778561443924E-5</v>
      </c>
      <c r="N35" s="100">
        <f ca="1">((G35-I35)*$AW$5+I35*$AW$6)/(1+Customisation!$H$21)^($A35-12)</f>
        <v>1.4629359936172115E-5</v>
      </c>
      <c r="O35" s="100">
        <f ca="1">G35*Customisation!$H$17</f>
        <v>3.2447352642865808E-2</v>
      </c>
      <c r="P35" s="100">
        <f ca="1">O35/(1+Customisation!$H$21)^($A35-12)</f>
        <v>1.8627229493586622E-2</v>
      </c>
      <c r="Q35" s="100">
        <f ca="1">IF($A35&lt;Customisation!$H$13,G35,G35*(1-Customisation!$H$11*Customisation!$H$12))</f>
        <v>1.7710011841664708E-5</v>
      </c>
      <c r="R35" s="100">
        <f ca="1">IF($A35&lt;Customisation!$H$13,H35,H35*(1-Customisation!$H$11*Customisation!$H$12))</f>
        <v>1.0166883521739565E-5</v>
      </c>
      <c r="S35" s="100">
        <f ca="1">IF($A35&lt;Customisation!$H$13,I35,I35*(1-Customisation!$H$11*Customisation!$H$12))</f>
        <v>3.171942419402634E-6</v>
      </c>
      <c r="T35" s="100">
        <f ca="1">IF($A35&lt;Customisation!$H$13,J35,J35*(1-Customisation!$H$11*Customisation!$H$12))</f>
        <v>1.8209343621026087E-6</v>
      </c>
      <c r="U35" s="100">
        <f ca="1">IF($A35&lt;Customisation!$H$13,K35,K35*(1-Customisation!$H$11*Customisation!$H$12))</f>
        <v>1.4838489004267457E-4</v>
      </c>
      <c r="V35" s="100">
        <f ca="1">IF($A35&lt;Customisation!$H$13,L35,L35*(1-Customisation!$H$11*Customisation!$H$12))</f>
        <v>6.2201663933617187E-5</v>
      </c>
      <c r="W35" s="100">
        <f ca="1">IF($A35&lt;Customisation!$H$13,M35,M35*(1-Customisation!$H$11*Customisation!$H$12))</f>
        <v>1.0157557816609136E-5</v>
      </c>
      <c r="X35" s="100">
        <f ca="1">IF($A35&lt;Customisation!$H$13,N35,N35*(1-Customisation!$H$11*Customisation!$H$12))</f>
        <v>5.5313528466942531E-6</v>
      </c>
      <c r="Y35" s="100">
        <f ca="1">IF($A35&lt;Customisation!$H$13,O35,O35*(1-Customisation!$H$11*Customisation!$H$12))</f>
        <v>1.2268325968591202E-2</v>
      </c>
      <c r="Z35" s="100">
        <f ca="1">IF($A35&lt;Customisation!$H$13,P35,P35*(1-Customisation!$H$11*Customisation!$H$12))</f>
        <v>7.0429451004633018E-3</v>
      </c>
      <c r="AA35" s="100">
        <f t="shared" ca="1" si="19"/>
        <v>2.9129548910714904E-5</v>
      </c>
      <c r="AB35" s="100">
        <f t="shared" ca="1" si="12"/>
        <v>1.6722559728577567E-5</v>
      </c>
      <c r="AC35" s="100">
        <f t="shared" ca="1" si="20"/>
        <v>5.2172326407250581E-6</v>
      </c>
      <c r="AD35" s="100">
        <f t="shared" ca="1" si="3"/>
        <v>2.9950853245213556E-6</v>
      </c>
      <c r="AE35" s="100">
        <f t="shared" ca="1" si="4"/>
        <v>2.4406448458381418E-4</v>
      </c>
      <c r="AF35" s="100">
        <f t="shared" ca="1" si="21"/>
        <v>1.0230972334075172E-4</v>
      </c>
      <c r="AG35" s="100">
        <f t="shared" ca="1" si="13"/>
        <v>1.6707220744834786E-5</v>
      </c>
      <c r="AH35" s="100">
        <f t="shared" ca="1" si="14"/>
        <v>9.0980070894778627E-6</v>
      </c>
      <c r="AI35" s="100">
        <f t="shared" ca="1" si="22"/>
        <v>2.0179026674274604E-2</v>
      </c>
      <c r="AJ35" s="100">
        <f t="shared" ca="1" si="23"/>
        <v>1.1584284393123319E-2</v>
      </c>
      <c r="AL35" s="102">
        <f t="shared" ca="1" si="15"/>
        <v>4.683956075237961</v>
      </c>
      <c r="AM35" s="102">
        <f t="shared" ca="1" si="16"/>
        <v>1.7710011841664708</v>
      </c>
    </row>
    <row r="36" spans="1:39" x14ac:dyDescent="0.15">
      <c r="A36" s="92">
        <f t="shared" si="24"/>
        <v>32</v>
      </c>
      <c r="B36" s="99">
        <f>'Life table'!D34</f>
        <v>0.96598343214463589</v>
      </c>
      <c r="C36" s="99">
        <f>IF($A36&lt;Customisation!$H$13,0,B36)/LOOKUP(Customisation!$H$13,$A$4:$A$104,$B$4:$B$104)</f>
        <v>0.99023536939222512</v>
      </c>
      <c r="D36" s="92">
        <f ca="1">IF($A36&lt;=Customisation!$H$13,1,1/(1+Customisation!$H$21)^($A36-Customisation!$H$13))</f>
        <v>0.55754914500055586</v>
      </c>
      <c r="E36" s="92">
        <f t="shared" ca="1" si="18"/>
        <v>27.369421579839759</v>
      </c>
      <c r="F36" s="92">
        <f t="shared" ca="1" si="8"/>
        <v>0.55210488355394471</v>
      </c>
      <c r="G36" s="100">
        <f ca="1">'Age data'!M40*Customisation!$H$22</f>
        <v>4.6839560752379613E-5</v>
      </c>
      <c r="H36" s="100">
        <f t="shared" ca="1" si="9"/>
        <v>2.6115357049690845E-5</v>
      </c>
      <c r="I36" s="100">
        <f ca="1">'Age data'!N40*Customisation!$H$22</f>
        <v>8.3891750601276917E-6</v>
      </c>
      <c r="J36" s="101">
        <f t="shared" ca="1" si="10"/>
        <v>4.677377382034181E-6</v>
      </c>
      <c r="K36" s="100">
        <f ca="1">I36*'Life table'!I34</f>
        <v>3.8436716334955593E-4</v>
      </c>
      <c r="L36" s="100">
        <f ca="1">J36*'Life table'!J34</f>
        <v>1.5809693352236871E-4</v>
      </c>
      <c r="M36" s="100">
        <f t="shared" ca="1" si="11"/>
        <v>2.6864778561443924E-5</v>
      </c>
      <c r="N36" s="100">
        <f ca="1">((G36-I36)*$AW$5+I36*$AW$6)/(1+Customisation!$H$21)^($A36-12)</f>
        <v>1.4208213780591064E-5</v>
      </c>
      <c r="O36" s="100">
        <f ca="1">G36*Customisation!$H$17</f>
        <v>3.2447352642865808E-2</v>
      </c>
      <c r="P36" s="100">
        <f ca="1">O36/(1+Customisation!$H$21)^($A36-12)</f>
        <v>1.8090993723561356E-2</v>
      </c>
      <c r="Q36" s="100">
        <f ca="1">IF($A36&lt;Customisation!$H$13,G36,G36*(1-Customisation!$H$11*Customisation!$H$12))</f>
        <v>1.7710011841664708E-5</v>
      </c>
      <c r="R36" s="100">
        <f ca="1">IF($A36&lt;Customisation!$H$13,H36,H36*(1-Customisation!$H$11*Customisation!$H$12))</f>
        <v>9.8742019602698771E-6</v>
      </c>
      <c r="S36" s="100">
        <f ca="1">IF($A36&lt;Customisation!$H$13,I36,I36*(1-Customisation!$H$11*Customisation!$H$12))</f>
        <v>3.171942419402634E-6</v>
      </c>
      <c r="T36" s="100">
        <f ca="1">IF($A36&lt;Customisation!$H$13,J36,J36*(1-Customisation!$H$11*Customisation!$H$12))</f>
        <v>1.768513783928933E-6</v>
      </c>
      <c r="U36" s="100">
        <f ca="1">IF($A36&lt;Customisation!$H$13,K36,K36*(1-Customisation!$H$11*Customisation!$H$12))</f>
        <v>1.4532901045879003E-4</v>
      </c>
      <c r="V36" s="100">
        <f ca="1">IF($A36&lt;Customisation!$H$13,L36,L36*(1-Customisation!$H$11*Customisation!$H$12))</f>
        <v>5.9776362541354174E-5</v>
      </c>
      <c r="W36" s="100">
        <f ca="1">IF($A36&lt;Customisation!$H$13,M36,M36*(1-Customisation!$H$11*Customisation!$H$12))</f>
        <v>1.0157557816609136E-5</v>
      </c>
      <c r="X36" s="100">
        <f ca="1">IF($A36&lt;Customisation!$H$13,N36,N36*(1-Customisation!$H$11*Customisation!$H$12))</f>
        <v>5.3721177197501334E-6</v>
      </c>
      <c r="Y36" s="100">
        <f ca="1">IF($A36&lt;Customisation!$H$13,O36,O36*(1-Customisation!$H$11*Customisation!$H$12))</f>
        <v>1.2268325968591202E-2</v>
      </c>
      <c r="Z36" s="100">
        <f ca="1">IF($A36&lt;Customisation!$H$13,P36,P36*(1-Customisation!$H$11*Customisation!$H$12))</f>
        <v>6.8401946543761409E-3</v>
      </c>
      <c r="AA36" s="100">
        <f t="shared" ca="1" si="19"/>
        <v>2.9129548910714904E-5</v>
      </c>
      <c r="AB36" s="100">
        <f t="shared" ca="1" si="12"/>
        <v>1.624115508942097E-5</v>
      </c>
      <c r="AC36" s="100">
        <f t="shared" ca="1" si="20"/>
        <v>5.2172326407250581E-6</v>
      </c>
      <c r="AD36" s="100">
        <f t="shared" ref="AD36:AD67" ca="1" si="25">J36-T36</f>
        <v>2.9088635981052478E-6</v>
      </c>
      <c r="AE36" s="100">
        <f t="shared" ref="AE36:AE67" ca="1" si="26">K36-U36</f>
        <v>2.390381528907659E-4</v>
      </c>
      <c r="AF36" s="100">
        <f t="shared" ca="1" si="21"/>
        <v>9.8320570981014538E-5</v>
      </c>
      <c r="AG36" s="100">
        <f t="shared" ca="1" si="13"/>
        <v>1.6707220744834786E-5</v>
      </c>
      <c r="AH36" s="100">
        <f t="shared" ca="1" si="14"/>
        <v>8.8360960608409306E-6</v>
      </c>
      <c r="AI36" s="100">
        <f t="shared" ca="1" si="22"/>
        <v>2.0179026674274604E-2</v>
      </c>
      <c r="AJ36" s="100">
        <f t="shared" ca="1" si="23"/>
        <v>1.1250799069185215E-2</v>
      </c>
      <c r="AL36" s="102">
        <f t="shared" ca="1" si="15"/>
        <v>4.683956075237961</v>
      </c>
      <c r="AM36" s="102">
        <f t="shared" ca="1" si="16"/>
        <v>1.7710011841664708</v>
      </c>
    </row>
    <row r="37" spans="1:39" x14ac:dyDescent="0.15">
      <c r="A37" s="92">
        <f t="shared" si="24"/>
        <v>33</v>
      </c>
      <c r="B37" s="99">
        <f>'Life table'!D35</f>
        <v>0.96522030523324165</v>
      </c>
      <c r="C37" s="99">
        <f>IF($A37&lt;Customisation!$H$13,0,B37)/LOOKUP(Customisation!$H$13,$A$4:$A$104,$B$4:$B$104)</f>
        <v>0.98945308345040528</v>
      </c>
      <c r="D37" s="92">
        <f ca="1">IF($A37&lt;=Customisation!$H$13,1,1/(1+Customisation!$H$21)^($A37-Customisation!$H$13))</f>
        <v>0.54149856725901691</v>
      </c>
      <c r="E37" s="92">
        <f t="shared" ca="1" si="18"/>
        <v>27.926970724840317</v>
      </c>
      <c r="F37" s="92">
        <f t="shared" ca="1" si="8"/>
        <v>0.53578742705841098</v>
      </c>
      <c r="G37" s="100">
        <f ca="1">'Age data'!M41*Customisation!$H$22</f>
        <v>4.6839560752379613E-5</v>
      </c>
      <c r="H37" s="100">
        <f t="shared" ca="1" si="9"/>
        <v>2.5363555038455241E-5</v>
      </c>
      <c r="I37" s="100">
        <f ca="1">'Age data'!N41*Customisation!$H$22</f>
        <v>8.3891750601276917E-6</v>
      </c>
      <c r="J37" s="101">
        <f t="shared" ca="1" si="10"/>
        <v>4.5427262755442223E-6</v>
      </c>
      <c r="K37" s="100">
        <f ca="1">I37*'Life table'!I35</f>
        <v>3.7627856207761835E-4</v>
      </c>
      <c r="L37" s="100">
        <f ca="1">J37*'Life table'!J35</f>
        <v>1.5186765766673932E-4</v>
      </c>
      <c r="M37" s="100">
        <f t="shared" ca="1" si="11"/>
        <v>2.6864778561443924E-5</v>
      </c>
      <c r="N37" s="100">
        <f ca="1">((G37-I37)*$AW$5+I37*$AW$6)/(1+Customisation!$H$21)^($A37-12)</f>
        <v>1.3799191469466266E-5</v>
      </c>
      <c r="O37" s="100">
        <f ca="1">G37*Customisation!$H$17</f>
        <v>3.2447352642865808E-2</v>
      </c>
      <c r="P37" s="100">
        <f ca="1">O37/(1+Customisation!$H$21)^($A37-12)</f>
        <v>1.7570194967459908E-2</v>
      </c>
      <c r="Q37" s="100">
        <f ca="1">IF($A37&lt;Customisation!$H$13,G37,G37*(1-Customisation!$H$11*Customisation!$H$12))</f>
        <v>1.7710011841664708E-5</v>
      </c>
      <c r="R37" s="100">
        <f ca="1">IF($A37&lt;Customisation!$H$13,H37,H37*(1-Customisation!$H$11*Customisation!$H$12))</f>
        <v>9.589946038401662E-6</v>
      </c>
      <c r="S37" s="100">
        <f ca="1">IF($A37&lt;Customisation!$H$13,I37,I37*(1-Customisation!$H$11*Customisation!$H$12))</f>
        <v>3.171942419402634E-6</v>
      </c>
      <c r="T37" s="100">
        <f ca="1">IF($A37&lt;Customisation!$H$13,J37,J37*(1-Customisation!$H$11*Customisation!$H$12))</f>
        <v>1.7176022755346262E-6</v>
      </c>
      <c r="U37" s="100">
        <f ca="1">IF($A37&lt;Customisation!$H$13,K37,K37*(1-Customisation!$H$11*Customisation!$H$12))</f>
        <v>1.4227071482135196E-4</v>
      </c>
      <c r="V37" s="100">
        <f ca="1">IF($A37&lt;Customisation!$H$13,L37,L37*(1-Customisation!$H$11*Customisation!$H$12))</f>
        <v>5.7421076808607676E-5</v>
      </c>
      <c r="W37" s="100">
        <f ca="1">IF($A37&lt;Customisation!$H$13,M37,M37*(1-Customisation!$H$11*Customisation!$H$12))</f>
        <v>1.0157557816609136E-5</v>
      </c>
      <c r="X37" s="100">
        <f ca="1">IF($A37&lt;Customisation!$H$13,N37,N37*(1-Customisation!$H$11*Customisation!$H$12))</f>
        <v>5.2174666116447442E-6</v>
      </c>
      <c r="Y37" s="100">
        <f ca="1">IF($A37&lt;Customisation!$H$13,O37,O37*(1-Customisation!$H$11*Customisation!$H$12))</f>
        <v>1.2268325968591202E-2</v>
      </c>
      <c r="Z37" s="100">
        <f ca="1">IF($A37&lt;Customisation!$H$13,P37,P37*(1-Customisation!$H$11*Customisation!$H$12))</f>
        <v>6.643280934658726E-3</v>
      </c>
      <c r="AA37" s="100">
        <f t="shared" ca="1" si="19"/>
        <v>2.9129548910714904E-5</v>
      </c>
      <c r="AB37" s="100">
        <f t="shared" ca="1" si="12"/>
        <v>1.5773609000053579E-5</v>
      </c>
      <c r="AC37" s="100">
        <f t="shared" ca="1" si="20"/>
        <v>5.2172326407250581E-6</v>
      </c>
      <c r="AD37" s="100">
        <f t="shared" ca="1" si="25"/>
        <v>2.8251240000095961E-6</v>
      </c>
      <c r="AE37" s="100">
        <f t="shared" ca="1" si="26"/>
        <v>2.3400784725626639E-4</v>
      </c>
      <c r="AF37" s="100">
        <f t="shared" ca="1" si="21"/>
        <v>9.444658085813165E-5</v>
      </c>
      <c r="AG37" s="100">
        <f t="shared" ca="1" si="13"/>
        <v>1.6707220744834786E-5</v>
      </c>
      <c r="AH37" s="100">
        <f t="shared" ca="1" si="14"/>
        <v>8.5817248578215231E-6</v>
      </c>
      <c r="AI37" s="100">
        <f t="shared" ca="1" si="22"/>
        <v>2.0179026674274604E-2</v>
      </c>
      <c r="AJ37" s="100">
        <f t="shared" ca="1" si="23"/>
        <v>1.0926914032801181E-2</v>
      </c>
      <c r="AL37" s="102">
        <f t="shared" ca="1" si="15"/>
        <v>4.683956075237961</v>
      </c>
      <c r="AM37" s="102">
        <f t="shared" ca="1" si="16"/>
        <v>1.7710011841664708</v>
      </c>
    </row>
    <row r="38" spans="1:39" x14ac:dyDescent="0.15">
      <c r="A38" s="92">
        <f t="shared" si="24"/>
        <v>34</v>
      </c>
      <c r="B38" s="99">
        <f>'Life table'!D36</f>
        <v>0.96445778119210746</v>
      </c>
      <c r="C38" s="99">
        <f>IF($A38&lt;Customisation!$H$13,0,B38)/LOOKUP(Customisation!$H$13,$A$4:$A$104,$B$4:$B$104)</f>
        <v>0.98867141551447946</v>
      </c>
      <c r="D38" s="92">
        <f ca="1">IF($A38&lt;=Customisation!$H$13,1,1/(1+Customisation!$H$21)^($A38-Customisation!$H$13))</f>
        <v>0.52591004931641627</v>
      </c>
      <c r="E38" s="92">
        <f t="shared" ca="1" si="18"/>
        <v>28.468469292099332</v>
      </c>
      <c r="F38" s="92">
        <f t="shared" ca="1" si="8"/>
        <v>0.51995223289095094</v>
      </c>
      <c r="G38" s="100">
        <f ca="1">'Age data'!M42*Customisation!$H$22</f>
        <v>4.6839560752379613E-5</v>
      </c>
      <c r="H38" s="100">
        <f t="shared" ca="1" si="9"/>
        <v>2.4633395705243237E-5</v>
      </c>
      <c r="I38" s="100">
        <f ca="1">'Age data'!N42*Customisation!$H$22</f>
        <v>8.3891750601276917E-6</v>
      </c>
      <c r="J38" s="101">
        <f t="shared" ca="1" si="10"/>
        <v>4.4119514695958041E-6</v>
      </c>
      <c r="K38" s="100">
        <f ca="1">I38*'Life table'!I36</f>
        <v>3.6818356575858864E-4</v>
      </c>
      <c r="L38" s="100">
        <f ca="1">J38*'Life table'!J36</f>
        <v>1.4581818866439219E-4</v>
      </c>
      <c r="M38" s="100">
        <f t="shared" ca="1" si="11"/>
        <v>2.6864778561443924E-5</v>
      </c>
      <c r="N38" s="100">
        <f ca="1">((G38-I38)*$AW$5+I38*$AW$6)/(1+Customisation!$H$21)^($A38-12)</f>
        <v>1.3401943984760986E-5</v>
      </c>
      <c r="O38" s="100">
        <f ca="1">G38*Customisation!$H$17</f>
        <v>3.2447352642865808E-2</v>
      </c>
      <c r="P38" s="100">
        <f ca="1">O38/(1+Customisation!$H$21)^($A38-12)</f>
        <v>1.7064388828596705E-2</v>
      </c>
      <c r="Q38" s="100">
        <f ca="1">IF($A38&lt;Customisation!$H$13,G38,G38*(1-Customisation!$H$11*Customisation!$H$12))</f>
        <v>1.7710011841664708E-5</v>
      </c>
      <c r="R38" s="100">
        <f ca="1">IF($A38&lt;Customisation!$H$13,H38,H38*(1-Customisation!$H$11*Customisation!$H$12))</f>
        <v>9.313873201044202E-6</v>
      </c>
      <c r="S38" s="100">
        <f ca="1">IF($A38&lt;Customisation!$H$13,I38,I38*(1-Customisation!$H$11*Customisation!$H$12))</f>
        <v>3.171942419402634E-6</v>
      </c>
      <c r="T38" s="100">
        <f ca="1">IF($A38&lt;Customisation!$H$13,J38,J38*(1-Customisation!$H$11*Customisation!$H$12))</f>
        <v>1.6681563942168722E-6</v>
      </c>
      <c r="U38" s="100">
        <f ca="1">IF($A38&lt;Customisation!$H$13,K38,K38*(1-Customisation!$H$11*Customisation!$H$12))</f>
        <v>1.3921000122016889E-4</v>
      </c>
      <c r="V38" s="100">
        <f ca="1">IF($A38&lt;Customisation!$H$13,L38,L38*(1-Customisation!$H$11*Customisation!$H$12))</f>
        <v>5.5133775946976339E-5</v>
      </c>
      <c r="W38" s="100">
        <f ca="1">IF($A38&lt;Customisation!$H$13,M38,M38*(1-Customisation!$H$11*Customisation!$H$12))</f>
        <v>1.0157557816609136E-5</v>
      </c>
      <c r="X38" s="100">
        <f ca="1">IF($A38&lt;Customisation!$H$13,N38,N38*(1-Customisation!$H$11*Customisation!$H$12))</f>
        <v>5.0672675588527166E-6</v>
      </c>
      <c r="Y38" s="100">
        <f ca="1">IF($A38&lt;Customisation!$H$13,O38,O38*(1-Customisation!$H$11*Customisation!$H$12))</f>
        <v>1.2268325968591202E-2</v>
      </c>
      <c r="Z38" s="100">
        <f ca="1">IF($A38&lt;Customisation!$H$13,P38,P38*(1-Customisation!$H$11*Customisation!$H$12))</f>
        <v>6.4520359151716685E-3</v>
      </c>
      <c r="AA38" s="100">
        <f t="shared" ca="1" si="19"/>
        <v>2.9129548910714904E-5</v>
      </c>
      <c r="AB38" s="100">
        <f t="shared" ca="1" si="12"/>
        <v>1.5319522504199033E-5</v>
      </c>
      <c r="AC38" s="100">
        <f t="shared" ca="1" si="20"/>
        <v>5.2172326407250581E-6</v>
      </c>
      <c r="AD38" s="100">
        <f t="shared" ca="1" si="25"/>
        <v>2.743795075378932E-6</v>
      </c>
      <c r="AE38" s="100">
        <f t="shared" ca="1" si="26"/>
        <v>2.2897356453841975E-4</v>
      </c>
      <c r="AF38" s="100">
        <f t="shared" ca="1" si="21"/>
        <v>9.0684412717415854E-5</v>
      </c>
      <c r="AG38" s="100">
        <f t="shared" ca="1" si="13"/>
        <v>1.6707220744834786E-5</v>
      </c>
      <c r="AH38" s="100">
        <f t="shared" ca="1" si="14"/>
        <v>8.3346764259082687E-6</v>
      </c>
      <c r="AI38" s="100">
        <f t="shared" ca="1" si="22"/>
        <v>2.0179026674274604E-2</v>
      </c>
      <c r="AJ38" s="100">
        <f t="shared" ca="1" si="23"/>
        <v>1.0612352913425036E-2</v>
      </c>
      <c r="AL38" s="102">
        <f t="shared" ca="1" si="15"/>
        <v>4.683956075237961</v>
      </c>
      <c r="AM38" s="102">
        <f t="shared" ca="1" si="16"/>
        <v>1.7710011841664708</v>
      </c>
    </row>
    <row r="39" spans="1:39" x14ac:dyDescent="0.15">
      <c r="A39" s="92">
        <f t="shared" si="24"/>
        <v>35</v>
      </c>
      <c r="B39" s="99">
        <f>'Life table'!D37</f>
        <v>0.96369585954496573</v>
      </c>
      <c r="C39" s="99">
        <f>IF($A39&lt;Customisation!$H$13,0,B39)/LOOKUP(Customisation!$H$13,$A$4:$A$104,$B$4:$B$104)</f>
        <v>0.98789036509622308</v>
      </c>
      <c r="D39" s="92">
        <f ca="1">IF($A39&lt;=Customisation!$H$13,1,1/(1+Customisation!$H$21)^($A39-Customisation!$H$13))</f>
        <v>0.510770289517123</v>
      </c>
      <c r="E39" s="92">
        <f t="shared" ca="1" si="18"/>
        <v>28.994379341415748</v>
      </c>
      <c r="F39" s="92">
        <f t="shared" ca="1" si="8"/>
        <v>0.50458504779137425</v>
      </c>
      <c r="G39" s="100">
        <f ca="1">'Age data'!M43*Customisation!$H$22</f>
        <v>4.6839560752379613E-5</v>
      </c>
      <c r="H39" s="100">
        <f t="shared" ca="1" si="9"/>
        <v>2.3924256006347807E-5</v>
      </c>
      <c r="I39" s="100">
        <f ca="1">'Age data'!N43*Customisation!$H$22</f>
        <v>8.3891750601276917E-6</v>
      </c>
      <c r="J39" s="101">
        <f t="shared" ca="1" si="10"/>
        <v>4.2849413742712485E-6</v>
      </c>
      <c r="K39" s="100">
        <f ca="1">I39*'Life table'!I37</f>
        <v>3.6008216933638548E-4</v>
      </c>
      <c r="L39" s="100">
        <f ca="1">J39*'Life table'!J37</f>
        <v>1.3994331006063519E-4</v>
      </c>
      <c r="M39" s="100">
        <f t="shared" ca="1" si="11"/>
        <v>2.6864778561443924E-5</v>
      </c>
      <c r="N39" s="100">
        <f ca="1">((G39-I39)*$AW$5+I39*$AW$6)/(1+Customisation!$H$21)^($A39-12)</f>
        <v>1.3016132355877686E-5</v>
      </c>
      <c r="O39" s="100">
        <f ca="1">G39*Customisation!$H$17</f>
        <v>3.2447352642865808E-2</v>
      </c>
      <c r="P39" s="100">
        <f ca="1">O39/(1+Customisation!$H$21)^($A39-12)</f>
        <v>1.6573143703460753E-2</v>
      </c>
      <c r="Q39" s="100">
        <f ca="1">IF($A39&lt;Customisation!$H$13,G39,G39*(1-Customisation!$H$11*Customisation!$H$12))</f>
        <v>1.7710011841664708E-5</v>
      </c>
      <c r="R39" s="100">
        <f ca="1">IF($A39&lt;Customisation!$H$13,H39,H39*(1-Customisation!$H$11*Customisation!$H$12))</f>
        <v>9.0457478757187589E-6</v>
      </c>
      <c r="S39" s="100">
        <f ca="1">IF($A39&lt;Customisation!$H$13,I39,I39*(1-Customisation!$H$11*Customisation!$H$12))</f>
        <v>3.171942419402634E-6</v>
      </c>
      <c r="T39" s="100">
        <f ca="1">IF($A39&lt;Customisation!$H$13,J39,J39*(1-Customisation!$H$11*Customisation!$H$12))</f>
        <v>1.6201339478899269E-6</v>
      </c>
      <c r="U39" s="100">
        <f ca="1">IF($A39&lt;Customisation!$H$13,K39,K39*(1-Customisation!$H$11*Customisation!$H$12))</f>
        <v>1.3614686774353934E-4</v>
      </c>
      <c r="V39" s="100">
        <f ca="1">IF($A39&lt;Customisation!$H$13,L39,L39*(1-Customisation!$H$11*Customisation!$H$12))</f>
        <v>5.2912487617845432E-5</v>
      </c>
      <c r="W39" s="100">
        <f ca="1">IF($A39&lt;Customisation!$H$13,M39,M39*(1-Customisation!$H$11*Customisation!$H$12))</f>
        <v>1.0157557816609136E-5</v>
      </c>
      <c r="X39" s="100">
        <f ca="1">IF($A39&lt;Customisation!$H$13,N39,N39*(1-Customisation!$H$11*Customisation!$H$12))</f>
        <v>4.9213923967798513E-6</v>
      </c>
      <c r="Y39" s="100">
        <f ca="1">IF($A39&lt;Customisation!$H$13,O39,O39*(1-Customisation!$H$11*Customisation!$H$12))</f>
        <v>1.2268325968591202E-2</v>
      </c>
      <c r="Z39" s="100">
        <f ca="1">IF($A39&lt;Customisation!$H$13,P39,P39*(1-Customisation!$H$11*Customisation!$H$12))</f>
        <v>6.2662964068677662E-3</v>
      </c>
      <c r="AA39" s="100">
        <f t="shared" ca="1" si="19"/>
        <v>2.9129548910714904E-5</v>
      </c>
      <c r="AB39" s="100">
        <f t="shared" ca="1" si="12"/>
        <v>1.4878508130629049E-5</v>
      </c>
      <c r="AC39" s="100">
        <f t="shared" ca="1" si="20"/>
        <v>5.2172326407250581E-6</v>
      </c>
      <c r="AD39" s="100">
        <f t="shared" ca="1" si="25"/>
        <v>2.6648074263813215E-6</v>
      </c>
      <c r="AE39" s="100">
        <f t="shared" ca="1" si="26"/>
        <v>2.2393530159284613E-4</v>
      </c>
      <c r="AF39" s="100">
        <f t="shared" ca="1" si="21"/>
        <v>8.703082244278976E-5</v>
      </c>
      <c r="AG39" s="100">
        <f t="shared" ca="1" si="13"/>
        <v>1.6707220744834786E-5</v>
      </c>
      <c r="AH39" s="100">
        <f t="shared" ca="1" si="14"/>
        <v>8.0947399590978344E-6</v>
      </c>
      <c r="AI39" s="100">
        <f t="shared" ca="1" si="22"/>
        <v>2.0179026674274604E-2</v>
      </c>
      <c r="AJ39" s="100">
        <f t="shared" ca="1" si="23"/>
        <v>1.0306847296592987E-2</v>
      </c>
      <c r="AL39" s="102">
        <f t="shared" ca="1" si="15"/>
        <v>4.683956075237961</v>
      </c>
      <c r="AM39" s="102">
        <f t="shared" ca="1" si="16"/>
        <v>1.7710011841664708</v>
      </c>
    </row>
    <row r="40" spans="1:39" x14ac:dyDescent="0.15">
      <c r="A40" s="92">
        <f t="shared" si="24"/>
        <v>36</v>
      </c>
      <c r="B40" s="99">
        <f>'Life table'!D38</f>
        <v>0.96260688322367993</v>
      </c>
      <c r="C40" s="99">
        <f>IF($A40&lt;Customisation!$H$13,0,B40)/LOOKUP(Customisation!$H$13,$A$4:$A$104,$B$4:$B$104)</f>
        <v>0.98677404898366439</v>
      </c>
      <c r="D40" s="92">
        <f ca="1">IF($A40&lt;=Customisation!$H$13,1,1/(1+Customisation!$H$21)^($A40-Customisation!$H$13))</f>
        <v>0.49606636913006041</v>
      </c>
      <c r="E40" s="92">
        <f t="shared" ca="1" si="18"/>
        <v>29.50514963093287</v>
      </c>
      <c r="F40" s="92">
        <f t="shared" ca="1" si="8"/>
        <v>0.48950541963109478</v>
      </c>
      <c r="G40" s="100">
        <f ca="1">'Age data'!M44*Customisation!$H$22</f>
        <v>4.6839560752379613E-5</v>
      </c>
      <c r="H40" s="100">
        <f t="shared" ca="1" si="9"/>
        <v>2.3235530834079835E-5</v>
      </c>
      <c r="I40" s="100">
        <f ca="1">'Age data'!N44*Customisation!$H$22</f>
        <v>8.3891750601276917E-6</v>
      </c>
      <c r="J40" s="101">
        <f t="shared" ca="1" si="10"/>
        <v>4.1615876120740007E-6</v>
      </c>
      <c r="K40" s="100">
        <f ca="1">I40*'Life table'!I38</f>
        <v>3.5209560219064221E-4</v>
      </c>
      <c r="L40" s="100">
        <f ca="1">J40*'Life table'!J38</f>
        <v>1.3426373515039759E-4</v>
      </c>
      <c r="M40" s="100">
        <f t="shared" ca="1" si="11"/>
        <v>2.6864778561443924E-5</v>
      </c>
      <c r="N40" s="100">
        <f ca="1">((G40-I40)*$AW$5+I40*$AW$6)/(1+Customisation!$H$21)^($A40-12)</f>
        <v>1.2641427370414982E-5</v>
      </c>
      <c r="O40" s="100">
        <f ca="1">G40*Customisation!$H$17</f>
        <v>3.2447352642865808E-2</v>
      </c>
      <c r="P40" s="100">
        <f ca="1">O40/(1+Customisation!$H$21)^($A40-12)</f>
        <v>1.6096040413429113E-2</v>
      </c>
      <c r="Q40" s="100">
        <f ca="1">IF($A40&lt;Customisation!$H$13,G40,G40*(1-Customisation!$H$11*Customisation!$H$12))</f>
        <v>1.7710011841664708E-5</v>
      </c>
      <c r="R40" s="100">
        <f ca="1">IF($A40&lt;Customisation!$H$13,H40,H40*(1-Customisation!$H$11*Customisation!$H$12))</f>
        <v>8.785341271544986E-6</v>
      </c>
      <c r="S40" s="100">
        <f ca="1">IF($A40&lt;Customisation!$H$13,I40,I40*(1-Customisation!$H$11*Customisation!$H$12))</f>
        <v>3.171942419402634E-6</v>
      </c>
      <c r="T40" s="100">
        <f ca="1">IF($A40&lt;Customisation!$H$13,J40,J40*(1-Customisation!$H$11*Customisation!$H$12))</f>
        <v>1.573493959082684E-6</v>
      </c>
      <c r="U40" s="100">
        <f ca="1">IF($A40&lt;Customisation!$H$13,K40,K40*(1-Customisation!$H$11*Customisation!$H$12))</f>
        <v>1.3312715115240589E-4</v>
      </c>
      <c r="V40" s="100">
        <f ca="1">IF($A40&lt;Customisation!$H$13,L40,L40*(1-Customisation!$H$11*Customisation!$H$12))</f>
        <v>5.0765043506495179E-5</v>
      </c>
      <c r="W40" s="100">
        <f ca="1">IF($A40&lt;Customisation!$H$13,M40,M40*(1-Customisation!$H$11*Customisation!$H$12))</f>
        <v>1.0157557816609136E-5</v>
      </c>
      <c r="X40" s="100">
        <f ca="1">IF($A40&lt;Customisation!$H$13,N40,N40*(1-Customisation!$H$11*Customisation!$H$12))</f>
        <v>4.7797166504004799E-6</v>
      </c>
      <c r="Y40" s="100">
        <f ca="1">IF($A40&lt;Customisation!$H$13,O40,O40*(1-Customisation!$H$11*Customisation!$H$12))</f>
        <v>1.2268325968591202E-2</v>
      </c>
      <c r="Z40" s="100">
        <f ca="1">IF($A40&lt;Customisation!$H$13,P40,P40*(1-Customisation!$H$11*Customisation!$H$12))</f>
        <v>6.0859039185430699E-3</v>
      </c>
      <c r="AA40" s="100">
        <f t="shared" ca="1" si="19"/>
        <v>2.9129548910714904E-5</v>
      </c>
      <c r="AB40" s="100">
        <f t="shared" ca="1" si="12"/>
        <v>1.4450189562534849E-5</v>
      </c>
      <c r="AC40" s="100">
        <f t="shared" ca="1" si="20"/>
        <v>5.2172326407250581E-6</v>
      </c>
      <c r="AD40" s="100">
        <f t="shared" ca="1" si="25"/>
        <v>2.5880936529913166E-6</v>
      </c>
      <c r="AE40" s="100">
        <f t="shared" ca="1" si="26"/>
        <v>2.1896845103823632E-4</v>
      </c>
      <c r="AF40" s="100">
        <f t="shared" ca="1" si="21"/>
        <v>8.3498691643902408E-5</v>
      </c>
      <c r="AG40" s="100">
        <f t="shared" ca="1" si="13"/>
        <v>1.6707220744834786E-5</v>
      </c>
      <c r="AH40" s="100">
        <f t="shared" ca="1" si="14"/>
        <v>7.8617107200145024E-6</v>
      </c>
      <c r="AI40" s="100">
        <f t="shared" ca="1" si="22"/>
        <v>2.0179026674274604E-2</v>
      </c>
      <c r="AJ40" s="100">
        <f t="shared" ca="1" si="23"/>
        <v>1.0010136494886043E-2</v>
      </c>
      <c r="AL40" s="102">
        <f t="shared" ca="1" si="15"/>
        <v>4.683956075237961</v>
      </c>
      <c r="AM40" s="102">
        <f t="shared" ca="1" si="16"/>
        <v>1.7710011841664708</v>
      </c>
    </row>
    <row r="41" spans="1:39" x14ac:dyDescent="0.15">
      <c r="A41" s="92">
        <f t="shared" si="24"/>
        <v>37</v>
      </c>
      <c r="B41" s="99">
        <f>'Life table'!D39</f>
        <v>0.96151913744563722</v>
      </c>
      <c r="C41" s="99">
        <f>IF($A41&lt;Customisation!$H$13,0,B41)/LOOKUP(Customisation!$H$13,$A$4:$A$104,$B$4:$B$104)</f>
        <v>0.98565899430831283</v>
      </c>
      <c r="D41" s="92">
        <f ca="1">IF($A41&lt;=Customisation!$H$13,1,1/(1+Customisation!$H$21)^($A41-Customisation!$H$13))</f>
        <v>0.4817857413251751</v>
      </c>
      <c r="E41" s="92">
        <f t="shared" ca="1" si="18"/>
        <v>30.001216000062929</v>
      </c>
      <c r="F41" s="92">
        <f t="shared" ca="1" si="8"/>
        <v>0.47487644926665706</v>
      </c>
      <c r="G41" s="100">
        <f ca="1">'Age data'!M45*Customisation!$H$22</f>
        <v>4.6839560752379613E-5</v>
      </c>
      <c r="H41" s="100">
        <f t="shared" ca="1" si="9"/>
        <v>2.2566632500430788E-5</v>
      </c>
      <c r="I41" s="100">
        <f ca="1">'Age data'!N45*Customisation!$H$22</f>
        <v>8.3891750601276917E-6</v>
      </c>
      <c r="J41" s="101">
        <f t="shared" ca="1" si="10"/>
        <v>4.0417849254502906E-6</v>
      </c>
      <c r="K41" s="100">
        <f ca="1">I41*'Life table'!I39</f>
        <v>3.4410000001443969E-4</v>
      </c>
      <c r="L41" s="100">
        <f ca="1">J41*'Life table'!J39</f>
        <v>1.2874732526672135E-4</v>
      </c>
      <c r="M41" s="100">
        <f t="shared" ca="1" si="11"/>
        <v>2.6864778561443924E-5</v>
      </c>
      <c r="N41" s="100">
        <f ca="1">((G41-I41)*$AW$5+I41*$AW$6)/(1+Customisation!$H$21)^($A41-12)</f>
        <v>1.2277509293251289E-5</v>
      </c>
      <c r="O41" s="100">
        <f ca="1">G41*Customisation!$H$17</f>
        <v>3.2447352642865808E-2</v>
      </c>
      <c r="P41" s="100">
        <f ca="1">O41/(1+Customisation!$H$21)^($A41-12)</f>
        <v>1.5632671847082481E-2</v>
      </c>
      <c r="Q41" s="100">
        <f ca="1">IF($A41&lt;Customisation!$H$13,G41,G41*(1-Customisation!$H$11*Customisation!$H$12))</f>
        <v>1.7710011841664708E-5</v>
      </c>
      <c r="R41" s="100">
        <f ca="1">IF($A41&lt;Customisation!$H$13,H41,H41*(1-Customisation!$H$11*Customisation!$H$12))</f>
        <v>8.5324311840140602E-6</v>
      </c>
      <c r="S41" s="100">
        <f ca="1">IF($A41&lt;Customisation!$H$13,I41,I41*(1-Customisation!$H$11*Customisation!$H$12))</f>
        <v>3.171942419402634E-6</v>
      </c>
      <c r="T41" s="100">
        <f ca="1">IF($A41&lt;Customisation!$H$13,J41,J41*(1-Customisation!$H$11*Customisation!$H$12))</f>
        <v>1.5281966299726676E-6</v>
      </c>
      <c r="U41" s="100">
        <f ca="1">IF($A41&lt;Customisation!$H$13,K41,K41*(1-Customisation!$H$11*Customisation!$H$12))</f>
        <v>1.3010401842128622E-4</v>
      </c>
      <c r="V41" s="100">
        <f ca="1">IF($A41&lt;Customisation!$H$13,L41,L41*(1-Customisation!$H$11*Customisation!$H$12))</f>
        <v>4.8679292000842579E-5</v>
      </c>
      <c r="W41" s="100">
        <f ca="1">IF($A41&lt;Customisation!$H$13,M41,M41*(1-Customisation!$H$11*Customisation!$H$12))</f>
        <v>1.0157557816609136E-5</v>
      </c>
      <c r="X41" s="100">
        <f ca="1">IF($A41&lt;Customisation!$H$13,N41,N41*(1-Customisation!$H$11*Customisation!$H$12))</f>
        <v>4.6421194280431501E-6</v>
      </c>
      <c r="Y41" s="100">
        <f ca="1">IF($A41&lt;Customisation!$H$13,O41,O41*(1-Customisation!$H$11*Customisation!$H$12))</f>
        <v>1.2268325968591202E-2</v>
      </c>
      <c r="Z41" s="100">
        <f ca="1">IF($A41&lt;Customisation!$H$13,P41,P41*(1-Customisation!$H$11*Customisation!$H$12))</f>
        <v>5.9107045215966089E-3</v>
      </c>
      <c r="AA41" s="100">
        <f t="shared" ca="1" si="19"/>
        <v>2.9129548910714904E-5</v>
      </c>
      <c r="AB41" s="100">
        <f t="shared" ca="1" si="12"/>
        <v>1.4034201316416728E-5</v>
      </c>
      <c r="AC41" s="100">
        <f t="shared" ca="1" si="20"/>
        <v>5.2172326407250581E-6</v>
      </c>
      <c r="AD41" s="100">
        <f t="shared" ca="1" si="25"/>
        <v>2.5135882954776228E-6</v>
      </c>
      <c r="AE41" s="100">
        <f t="shared" ca="1" si="26"/>
        <v>2.1399598159315347E-4</v>
      </c>
      <c r="AF41" s="100">
        <f t="shared" ca="1" si="21"/>
        <v>8.0068033265878773E-5</v>
      </c>
      <c r="AG41" s="100">
        <f t="shared" ca="1" si="13"/>
        <v>1.6707220744834786E-5</v>
      </c>
      <c r="AH41" s="100">
        <f t="shared" ca="1" si="14"/>
        <v>7.6353898652081378E-6</v>
      </c>
      <c r="AI41" s="100">
        <f t="shared" ca="1" si="22"/>
        <v>2.0179026674274604E-2</v>
      </c>
      <c r="AJ41" s="100">
        <f t="shared" ca="1" si="23"/>
        <v>9.7219673254858724E-3</v>
      </c>
      <c r="AL41" s="102">
        <f t="shared" ca="1" si="15"/>
        <v>4.683956075237961</v>
      </c>
      <c r="AM41" s="102">
        <f t="shared" ca="1" si="16"/>
        <v>1.7710011841664708</v>
      </c>
    </row>
    <row r="42" spans="1:39" x14ac:dyDescent="0.15">
      <c r="A42" s="92">
        <f t="shared" si="24"/>
        <v>38</v>
      </c>
      <c r="B42" s="99">
        <f>'Life table'!D40</f>
        <v>0.96043262082032366</v>
      </c>
      <c r="C42" s="99">
        <f>IF($A42&lt;Customisation!$H$13,0,B42)/LOOKUP(Customisation!$H$13,$A$4:$A$104,$B$4:$B$104)</f>
        <v>0.98454519964474452</v>
      </c>
      <c r="D42" s="92">
        <f ca="1">IF($A42&lt;=Customisation!$H$13,1,1/(1+Customisation!$H$21)^($A42-Customisation!$H$13))</f>
        <v>0.46791622046724779</v>
      </c>
      <c r="E42" s="92">
        <f t="shared" ca="1" si="18"/>
        <v>30.483001741388104</v>
      </c>
      <c r="F42" s="92">
        <f t="shared" ca="1" si="8"/>
        <v>0.46068466869694075</v>
      </c>
      <c r="G42" s="100">
        <f ca="1">'Age data'!M46*Customisation!$H$22</f>
        <v>4.6839560752379613E-5</v>
      </c>
      <c r="H42" s="100">
        <f t="shared" ca="1" si="9"/>
        <v>2.1916990235599507E-5</v>
      </c>
      <c r="I42" s="100">
        <f ca="1">'Age data'!N46*Customisation!$H$22</f>
        <v>8.3891750601276917E-6</v>
      </c>
      <c r="J42" s="101">
        <f t="shared" ca="1" si="10"/>
        <v>3.9254310869730461E-6</v>
      </c>
      <c r="K42" s="100">
        <f ca="1">I42*'Life table'!I40</f>
        <v>3.3609535258664409E-4</v>
      </c>
      <c r="L42" s="100">
        <f ca="1">J42*'Life table'!J40</f>
        <v>1.2338870736500036E-4</v>
      </c>
      <c r="M42" s="100">
        <f t="shared" ca="1" si="11"/>
        <v>2.6864778561443924E-5</v>
      </c>
      <c r="N42" s="100">
        <f ca="1">((G42-I42)*$AW$5+I42*$AW$6)/(1+Customisation!$H$21)^($A42-12)</f>
        <v>1.1924067593715364E-5</v>
      </c>
      <c r="O42" s="100">
        <f ca="1">G42*Customisation!$H$17</f>
        <v>3.2447352642865808E-2</v>
      </c>
      <c r="P42" s="100">
        <f ca="1">O42/(1+Customisation!$H$21)^($A42-12)</f>
        <v>1.5182642612817734E-2</v>
      </c>
      <c r="Q42" s="100">
        <f ca="1">IF($A42&lt;Customisation!$H$13,G42,G42*(1-Customisation!$H$11*Customisation!$H$12))</f>
        <v>1.7710011841664708E-5</v>
      </c>
      <c r="R42" s="100">
        <f ca="1">IF($A42&lt;Customisation!$H$13,H42,H42*(1-Customisation!$H$11*Customisation!$H$12))</f>
        <v>8.2868018053819531E-6</v>
      </c>
      <c r="S42" s="100">
        <f ca="1">IF($A42&lt;Customisation!$H$13,I42,I42*(1-Customisation!$H$11*Customisation!$H$12))</f>
        <v>3.171942419402634E-6</v>
      </c>
      <c r="T42" s="100">
        <f ca="1">IF($A42&lt;Customisation!$H$13,J42,J42*(1-Customisation!$H$11*Customisation!$H$12))</f>
        <v>1.4842033084266184E-6</v>
      </c>
      <c r="U42" s="100">
        <f ca="1">IF($A42&lt;Customisation!$H$13,K42,K42*(1-Customisation!$H$11*Customisation!$H$12))</f>
        <v>1.2707746568557535E-4</v>
      </c>
      <c r="V42" s="100">
        <f ca="1">IF($A42&lt;Customisation!$H$13,L42,L42*(1-Customisation!$H$11*Customisation!$H$12))</f>
        <v>4.6653201555713589E-5</v>
      </c>
      <c r="W42" s="100">
        <f ca="1">IF($A42&lt;Customisation!$H$13,M42,M42*(1-Customisation!$H$11*Customisation!$H$12))</f>
        <v>1.0157557816609136E-5</v>
      </c>
      <c r="X42" s="100">
        <f ca="1">IF($A42&lt;Customisation!$H$13,N42,N42*(1-Customisation!$H$11*Customisation!$H$12))</f>
        <v>4.5084833182339572E-6</v>
      </c>
      <c r="Y42" s="100">
        <f ca="1">IF($A42&lt;Customisation!$H$13,O42,O42*(1-Customisation!$H$11*Customisation!$H$12))</f>
        <v>1.2268325968591202E-2</v>
      </c>
      <c r="Z42" s="100">
        <f ca="1">IF($A42&lt;Customisation!$H$13,P42,P42*(1-Customisation!$H$11*Customisation!$H$12))</f>
        <v>5.7405487186833826E-3</v>
      </c>
      <c r="AA42" s="100">
        <f t="shared" ca="1" si="19"/>
        <v>2.9129548910714904E-5</v>
      </c>
      <c r="AB42" s="100">
        <f t="shared" ca="1" si="12"/>
        <v>1.3630188430217554E-5</v>
      </c>
      <c r="AC42" s="100">
        <f t="shared" ca="1" si="20"/>
        <v>5.2172326407250581E-6</v>
      </c>
      <c r="AD42" s="100">
        <f t="shared" ca="1" si="25"/>
        <v>2.4412277785464279E-6</v>
      </c>
      <c r="AE42" s="100">
        <f t="shared" ca="1" si="26"/>
        <v>2.0901788690106873E-4</v>
      </c>
      <c r="AF42" s="100">
        <f t="shared" ca="1" si="21"/>
        <v>7.6735505809286765E-5</v>
      </c>
      <c r="AG42" s="100">
        <f t="shared" ca="1" si="13"/>
        <v>1.6707220744834786E-5</v>
      </c>
      <c r="AH42" s="100">
        <f t="shared" ca="1" si="14"/>
        <v>7.4155842754814065E-6</v>
      </c>
      <c r="AI42" s="100">
        <f t="shared" ca="1" si="22"/>
        <v>2.0179026674274604E-2</v>
      </c>
      <c r="AJ42" s="100">
        <f t="shared" ca="1" si="23"/>
        <v>9.442093894134352E-3</v>
      </c>
      <c r="AL42" s="102">
        <f t="shared" ca="1" si="15"/>
        <v>4.683956075237961</v>
      </c>
      <c r="AM42" s="102">
        <f t="shared" ca="1" si="16"/>
        <v>1.7710011841664708</v>
      </c>
    </row>
    <row r="43" spans="1:39" x14ac:dyDescent="0.15">
      <c r="A43" s="92">
        <f t="shared" si="24"/>
        <v>39</v>
      </c>
      <c r="B43" s="99">
        <f>'Life table'!D41</f>
        <v>0.95934733195879673</v>
      </c>
      <c r="C43" s="99">
        <f>IF($A43&lt;Customisation!$H$13,0,B43)/LOOKUP(Customisation!$H$13,$A$4:$A$104,$B$4:$B$104)</f>
        <v>0.98343266356914594</v>
      </c>
      <c r="D43" s="92">
        <f ca="1">IF($A43&lt;=Customisation!$H$13,1,1/(1+Customisation!$H$21)^($A43-Customisation!$H$13))</f>
        <v>0.45444597171791257</v>
      </c>
      <c r="E43" s="92">
        <f t="shared" ca="1" si="18"/>
        <v>30.950917961855353</v>
      </c>
      <c r="F43" s="92">
        <f t="shared" ca="1" si="8"/>
        <v>0.44691701241481552</v>
      </c>
      <c r="G43" s="100">
        <f ca="1">'Age data'!M47*Customisation!$H$22</f>
        <v>4.6839560752379613E-5</v>
      </c>
      <c r="H43" s="100">
        <f t="shared" ca="1" si="9"/>
        <v>2.1286049700955353E-5</v>
      </c>
      <c r="I43" s="100">
        <f ca="1">'Age data'!N47*Customisation!$H$22</f>
        <v>8.3891750601276917E-6</v>
      </c>
      <c r="J43" s="101">
        <f t="shared" ca="1" si="10"/>
        <v>3.8124268121114064E-6</v>
      </c>
      <c r="K43" s="100">
        <f ca="1">I43*'Life table'!I41</f>
        <v>3.2808164967455756E-4</v>
      </c>
      <c r="L43" s="100">
        <f ca="1">J43*'Life table'!J41</f>
        <v>1.181847679161939E-4</v>
      </c>
      <c r="M43" s="100">
        <f t="shared" ca="1" si="11"/>
        <v>2.6864778561443924E-5</v>
      </c>
      <c r="N43" s="100">
        <f ca="1">((G43-I43)*$AW$5+I43*$AW$6)/(1+Customisation!$H$21)^($A43-12)</f>
        <v>1.1580800680611042E-5</v>
      </c>
      <c r="O43" s="100">
        <f ca="1">G43*Customisation!$H$17</f>
        <v>3.2447352642865808E-2</v>
      </c>
      <c r="P43" s="100">
        <f ca="1">O43/(1+Customisation!$H$21)^($A43-12)</f>
        <v>1.474556870146093E-2</v>
      </c>
      <c r="Q43" s="100">
        <f ca="1">IF($A43&lt;Customisation!$H$13,G43,G43*(1-Customisation!$H$11*Customisation!$H$12))</f>
        <v>1.7710011841664708E-5</v>
      </c>
      <c r="R43" s="100">
        <f ca="1">IF($A43&lt;Customisation!$H$13,H43,H43*(1-Customisation!$H$11*Customisation!$H$12))</f>
        <v>8.048243540521056E-6</v>
      </c>
      <c r="S43" s="100">
        <f ca="1">IF($A43&lt;Customisation!$H$13,I43,I43*(1-Customisation!$H$11*Customisation!$H$12))</f>
        <v>3.171942419402634E-6</v>
      </c>
      <c r="T43" s="100">
        <f ca="1">IF($A43&lt;Customisation!$H$13,J43,J43*(1-Customisation!$H$11*Customisation!$H$12))</f>
        <v>1.4414764550186965E-6</v>
      </c>
      <c r="U43" s="100">
        <f ca="1">IF($A43&lt;Customisation!$H$13,K43,K43*(1-Customisation!$H$11*Customisation!$H$12))</f>
        <v>1.2404748907629586E-4</v>
      </c>
      <c r="V43" s="100">
        <f ca="1">IF($A43&lt;Customisation!$H$13,L43,L43*(1-Customisation!$H$11*Customisation!$H$12))</f>
        <v>4.4685594947511426E-5</v>
      </c>
      <c r="W43" s="100">
        <f ca="1">IF($A43&lt;Customisation!$H$13,M43,M43*(1-Customisation!$H$11*Customisation!$H$12))</f>
        <v>1.0157557816609136E-5</v>
      </c>
      <c r="X43" s="100">
        <f ca="1">IF($A43&lt;Customisation!$H$13,N43,N43*(1-Customisation!$H$11*Customisation!$H$12))</f>
        <v>4.3786942895095496E-6</v>
      </c>
      <c r="Y43" s="100">
        <f ca="1">IF($A43&lt;Customisation!$H$13,O43,O43*(1-Customisation!$H$11*Customisation!$H$12))</f>
        <v>1.2268325968591202E-2</v>
      </c>
      <c r="Z43" s="100">
        <f ca="1">IF($A43&lt;Customisation!$H$13,P43,P43*(1-Customisation!$H$11*Customisation!$H$12))</f>
        <v>5.5752913161485297E-3</v>
      </c>
      <c r="AA43" s="100">
        <f t="shared" ca="1" si="19"/>
        <v>2.9129548910714904E-5</v>
      </c>
      <c r="AB43" s="100">
        <f t="shared" ca="1" si="12"/>
        <v>1.3237806160434297E-5</v>
      </c>
      <c r="AC43" s="100">
        <f t="shared" ca="1" si="20"/>
        <v>5.2172326407250581E-6</v>
      </c>
      <c r="AD43" s="100">
        <f t="shared" ca="1" si="25"/>
        <v>2.3709503570927099E-6</v>
      </c>
      <c r="AE43" s="100">
        <f t="shared" ca="1" si="26"/>
        <v>2.040341605982617E-4</v>
      </c>
      <c r="AF43" s="100">
        <f t="shared" ca="1" si="21"/>
        <v>7.3499172968682463E-5</v>
      </c>
      <c r="AG43" s="100">
        <f t="shared" ca="1" si="13"/>
        <v>1.6707220744834786E-5</v>
      </c>
      <c r="AH43" s="100">
        <f t="shared" ca="1" si="14"/>
        <v>7.2021063911014924E-6</v>
      </c>
      <c r="AI43" s="100">
        <f t="shared" ca="1" si="22"/>
        <v>2.0179026674274604E-2</v>
      </c>
      <c r="AJ43" s="100">
        <f t="shared" ca="1" si="23"/>
        <v>9.170277385312401E-3</v>
      </c>
      <c r="AL43" s="102">
        <f t="shared" ca="1" si="15"/>
        <v>4.683956075237961</v>
      </c>
      <c r="AM43" s="102">
        <f t="shared" ca="1" si="16"/>
        <v>1.7710011841664708</v>
      </c>
    </row>
    <row r="44" spans="1:39" x14ac:dyDescent="0.15">
      <c r="A44" s="92">
        <f t="shared" si="24"/>
        <v>40</v>
      </c>
      <c r="B44" s="99">
        <f>'Life table'!D42</f>
        <v>0.95826326947368334</v>
      </c>
      <c r="C44" s="99">
        <f>IF($A44&lt;Customisation!$H$13,0,B44)/LOOKUP(Customisation!$H$13,$A$4:$A$104,$B$4:$B$104)</f>
        <v>0.98232138465931285</v>
      </c>
      <c r="D44" s="92">
        <f ca="1">IF($A44&lt;=Customisation!$H$13,1,1/(1+Customisation!$H$21)^($A44-Customisation!$H$13))</f>
        <v>0.44136350093700899</v>
      </c>
      <c r="E44" s="92">
        <f t="shared" ca="1" si="18"/>
        <v>31.405363933573266</v>
      </c>
      <c r="F44" s="92">
        <f t="shared" ca="1" si="8"/>
        <v>0.43356080537852459</v>
      </c>
      <c r="G44" s="100">
        <f ca="1">'Age data'!M48*Customisation!$H$22</f>
        <v>1.2234213629352885E-4</v>
      </c>
      <c r="H44" s="100">
        <f t="shared" ca="1" si="9"/>
        <v>5.3997353586624598E-5</v>
      </c>
      <c r="I44" s="100">
        <f ca="1">'Age data'!N48*Customisation!$H$22</f>
        <v>3.3556700240510767E-5</v>
      </c>
      <c r="J44" s="101">
        <f t="shared" ca="1" si="10"/>
        <v>1.4810702698045604E-5</v>
      </c>
      <c r="K44" s="100">
        <f ca="1">I44*'Life table'!I42</f>
        <v>1.2802355241356286E-3</v>
      </c>
      <c r="L44" s="100">
        <f ca="1">J44*'Life table'!J42</f>
        <v>4.5252399249911916E-4</v>
      </c>
      <c r="M44" s="100">
        <f t="shared" ca="1" si="11"/>
        <v>7.3629674500490653E-5</v>
      </c>
      <c r="N44" s="100">
        <f ca="1">((G44-I44)*$AW$5+I44*$AW$6)/(1+Customisation!$H$21)^($A44-12)</f>
        <v>3.0954837413913361E-5</v>
      </c>
      <c r="O44" s="100">
        <f ca="1">G44*Customisation!$H$17</f>
        <v>8.4750547947783833E-2</v>
      </c>
      <c r="P44" s="100">
        <f ca="1">O44/(1+Customisation!$H$21)^($A44-12)</f>
        <v>3.7405798548563712E-2</v>
      </c>
      <c r="Q44" s="100">
        <f ca="1">IF($A44&lt;Customisation!$H$13,G44,G44*(1-Customisation!$H$11*Customisation!$H$12))</f>
        <v>4.6257493616288416E-5</v>
      </c>
      <c r="R44" s="100">
        <f ca="1">IF($A44&lt;Customisation!$H$13,H44,H44*(1-Customisation!$H$11*Customisation!$H$12))</f>
        <v>2.0416369327056397E-5</v>
      </c>
      <c r="S44" s="100">
        <f ca="1">IF($A44&lt;Customisation!$H$13,I44,I44*(1-Customisation!$H$11*Customisation!$H$12))</f>
        <v>1.2687769677610536E-5</v>
      </c>
      <c r="T44" s="100">
        <f ca="1">IF($A44&lt;Customisation!$H$13,J44,J44*(1-Customisation!$H$11*Customisation!$H$12))</f>
        <v>5.5999184439926121E-6</v>
      </c>
      <c r="U44" s="100">
        <f ca="1">IF($A44&lt;Customisation!$H$13,K44,K44*(1-Customisation!$H$11*Customisation!$H$12))</f>
        <v>4.8405633888037555E-4</v>
      </c>
      <c r="V44" s="100">
        <f ca="1">IF($A44&lt;Customisation!$H$13,L44,L44*(1-Customisation!$H$11*Customisation!$H$12))</f>
        <v>1.7109906961263811E-4</v>
      </c>
      <c r="W44" s="100">
        <f ca="1">IF($A44&lt;Customisation!$H$13,M44,M44*(1-Customisation!$H$11*Customisation!$H$12))</f>
        <v>2.7839338933923725E-5</v>
      </c>
      <c r="X44" s="100">
        <f ca="1">IF($A44&lt;Customisation!$H$13,N44,N44*(1-Customisation!$H$11*Customisation!$H$12))</f>
        <v>1.1704006791510322E-5</v>
      </c>
      <c r="Y44" s="100">
        <f ca="1">IF($A44&lt;Customisation!$H$13,O44,O44*(1-Customisation!$H$11*Customisation!$H$12))</f>
        <v>3.2044134992588964E-2</v>
      </c>
      <c r="Z44" s="100">
        <f ca="1">IF($A44&lt;Customisation!$H$13,P44,P44*(1-Customisation!$H$11*Customisation!$H$12))</f>
        <v>1.4143111604827181E-2</v>
      </c>
      <c r="AA44" s="100">
        <f t="shared" ca="1" si="19"/>
        <v>7.6084642677240431E-5</v>
      </c>
      <c r="AB44" s="100">
        <f t="shared" ca="1" si="12"/>
        <v>3.3580984259568204E-5</v>
      </c>
      <c r="AC44" s="100">
        <f t="shared" ca="1" si="20"/>
        <v>2.0868930562900232E-5</v>
      </c>
      <c r="AD44" s="100">
        <f t="shared" ca="1" si="25"/>
        <v>9.2107842540529919E-6</v>
      </c>
      <c r="AE44" s="100">
        <f t="shared" ca="1" si="26"/>
        <v>7.9617918525525303E-4</v>
      </c>
      <c r="AF44" s="100">
        <f t="shared" ca="1" si="21"/>
        <v>2.8142492288648106E-4</v>
      </c>
      <c r="AG44" s="100">
        <f t="shared" ca="1" si="13"/>
        <v>4.5790335566566932E-5</v>
      </c>
      <c r="AH44" s="100">
        <f t="shared" ca="1" si="14"/>
        <v>1.9250830622403039E-5</v>
      </c>
      <c r="AI44" s="100">
        <f t="shared" ca="1" si="22"/>
        <v>5.2706412955194869E-2</v>
      </c>
      <c r="AJ44" s="100">
        <f t="shared" ca="1" si="23"/>
        <v>2.3262686943736531E-2</v>
      </c>
      <c r="AL44" s="102">
        <f t="shared" ca="1" si="15"/>
        <v>12.234213629352885</v>
      </c>
      <c r="AM44" s="102">
        <f t="shared" ca="1" si="16"/>
        <v>4.6257493616288414</v>
      </c>
    </row>
    <row r="45" spans="1:39" x14ac:dyDescent="0.15">
      <c r="A45" s="92">
        <f t="shared" si="24"/>
        <v>41</v>
      </c>
      <c r="B45" s="99">
        <f>'Life table'!D43</f>
        <v>0.95662463928288333</v>
      </c>
      <c r="C45" s="99">
        <f>IF($A45&lt;Customisation!$H$13,0,B45)/LOOKUP(Customisation!$H$13,$A$4:$A$104,$B$4:$B$104)</f>
        <v>0.98064161509154546</v>
      </c>
      <c r="D45" s="92">
        <f ca="1">IF($A45&lt;=Customisation!$H$13,1,1/(1+Customisation!$H$21)^($A45-Customisation!$H$13))</f>
        <v>0.42865764487465191</v>
      </c>
      <c r="E45" s="92">
        <f t="shared" ca="1" si="18"/>
        <v>31.846727434510274</v>
      </c>
      <c r="F45" s="92">
        <f t="shared" ca="1" si="8"/>
        <v>0.42035952519121678</v>
      </c>
      <c r="G45" s="100">
        <f ca="1">'Age data'!M49*Customisation!$H$22</f>
        <v>1.2234213629352885E-4</v>
      </c>
      <c r="H45" s="100">
        <f t="shared" ca="1" si="9"/>
        <v>5.2442892012517748E-5</v>
      </c>
      <c r="I45" s="100">
        <f ca="1">'Age data'!N49*Customisation!$H$22</f>
        <v>3.3556700240510767E-5</v>
      </c>
      <c r="J45" s="101">
        <f t="shared" ca="1" si="10"/>
        <v>1.4384336094862011E-5</v>
      </c>
      <c r="K45" s="100">
        <f ca="1">I45*'Life table'!I43</f>
        <v>1.2488430364661805E-3</v>
      </c>
      <c r="L45" s="100">
        <f ca="1">J45*'Life table'!J43</f>
        <v>4.3304384621286864E-4</v>
      </c>
      <c r="M45" s="100">
        <f t="shared" ca="1" si="11"/>
        <v>7.3629674500490653E-5</v>
      </c>
      <c r="N45" s="100">
        <f ca="1">((G45-I45)*$AW$5+I45*$AW$6)/(1+Customisation!$H$21)^($A45-12)</f>
        <v>3.006371771828864E-5</v>
      </c>
      <c r="O45" s="100">
        <f ca="1">G45*Customisation!$H$17</f>
        <v>8.4750547947783833E-2</v>
      </c>
      <c r="P45" s="100">
        <f ca="1">O45/(1+Customisation!$H$21)^($A45-12)</f>
        <v>3.632897028513328E-2</v>
      </c>
      <c r="Q45" s="100">
        <f ca="1">IF($A45&lt;Customisation!$H$13,G45,G45*(1-Customisation!$H$11*Customisation!$H$12))</f>
        <v>4.6257493616288416E-5</v>
      </c>
      <c r="R45" s="100">
        <f ca="1">IF($A45&lt;Customisation!$H$13,H45,H45*(1-Customisation!$H$11*Customisation!$H$12))</f>
        <v>1.9828628271362436E-5</v>
      </c>
      <c r="S45" s="100">
        <f ca="1">IF($A45&lt;Customisation!$H$13,I45,I45*(1-Customisation!$H$11*Customisation!$H$12))</f>
        <v>1.2687769677610536E-5</v>
      </c>
      <c r="T45" s="100">
        <f ca="1">IF($A45&lt;Customisation!$H$13,J45,J45*(1-Customisation!$H$11*Customisation!$H$12))</f>
        <v>5.4387094687165536E-6</v>
      </c>
      <c r="U45" s="100">
        <f ca="1">IF($A45&lt;Customisation!$H$13,K45,K45*(1-Customisation!$H$11*Customisation!$H$12))</f>
        <v>4.7218685677091759E-4</v>
      </c>
      <c r="V45" s="100">
        <f ca="1">IF($A45&lt;Customisation!$H$13,L45,L45*(1-Customisation!$H$11*Customisation!$H$12))</f>
        <v>1.6373363714774613E-4</v>
      </c>
      <c r="W45" s="100">
        <f ca="1">IF($A45&lt;Customisation!$H$13,M45,M45*(1-Customisation!$H$11*Customisation!$H$12))</f>
        <v>2.7839338933923725E-5</v>
      </c>
      <c r="X45" s="100">
        <f ca="1">IF($A45&lt;Customisation!$H$13,N45,N45*(1-Customisation!$H$11*Customisation!$H$12))</f>
        <v>1.1367074930742336E-5</v>
      </c>
      <c r="Y45" s="100">
        <f ca="1">IF($A45&lt;Customisation!$H$13,O45,O45*(1-Customisation!$H$11*Customisation!$H$12))</f>
        <v>3.2044134992588964E-2</v>
      </c>
      <c r="Z45" s="100">
        <f ca="1">IF($A45&lt;Customisation!$H$13,P45,P45*(1-Customisation!$H$11*Customisation!$H$12))</f>
        <v>1.3735963437968606E-2</v>
      </c>
      <c r="AA45" s="100">
        <f t="shared" ca="1" si="19"/>
        <v>7.6084642677240431E-5</v>
      </c>
      <c r="AB45" s="100">
        <f t="shared" ca="1" si="12"/>
        <v>3.2614263741155309E-5</v>
      </c>
      <c r="AC45" s="100">
        <f t="shared" ca="1" si="20"/>
        <v>2.0868930562900232E-5</v>
      </c>
      <c r="AD45" s="100">
        <f t="shared" ca="1" si="25"/>
        <v>8.9456266261454561E-6</v>
      </c>
      <c r="AE45" s="100">
        <f t="shared" ca="1" si="26"/>
        <v>7.7665617969526293E-4</v>
      </c>
      <c r="AF45" s="100">
        <f t="shared" ca="1" si="21"/>
        <v>2.6931020906512251E-4</v>
      </c>
      <c r="AG45" s="100">
        <f t="shared" ca="1" si="13"/>
        <v>4.5790335566566932E-5</v>
      </c>
      <c r="AH45" s="100">
        <f t="shared" ca="1" si="14"/>
        <v>1.8696642787546306E-5</v>
      </c>
      <c r="AI45" s="100">
        <f t="shared" ca="1" si="22"/>
        <v>5.2706412955194869E-2</v>
      </c>
      <c r="AJ45" s="100">
        <f t="shared" ca="1" si="23"/>
        <v>2.2593006847164674E-2</v>
      </c>
      <c r="AL45" s="102">
        <f t="shared" ca="1" si="15"/>
        <v>12.234213629352885</v>
      </c>
      <c r="AM45" s="102">
        <f t="shared" ca="1" si="16"/>
        <v>4.6257493616288414</v>
      </c>
    </row>
    <row r="46" spans="1:39" x14ac:dyDescent="0.15">
      <c r="A46" s="92">
        <f t="shared" si="24"/>
        <v>42</v>
      </c>
      <c r="B46" s="99">
        <f>'Life table'!D44</f>
        <v>0.95498881114970957</v>
      </c>
      <c r="C46" s="99">
        <f>IF($A46&lt;Customisation!$H$13,0,B46)/LOOKUP(Customisation!$H$13,$A$4:$A$104,$B$4:$B$104)</f>
        <v>0.97896471792973883</v>
      </c>
      <c r="D46" s="92">
        <f ca="1">IF($A46&lt;=Customisation!$H$13,1,1/(1+Customisation!$H$21)^($A46-Customisation!$H$13))</f>
        <v>0.4163175616456502</v>
      </c>
      <c r="E46" s="92">
        <f t="shared" ca="1" si="18"/>
        <v>32.275385079384925</v>
      </c>
      <c r="F46" s="92">
        <f t="shared" ca="1" si="8"/>
        <v>0.40756020430563061</v>
      </c>
      <c r="G46" s="100">
        <f ca="1">'Age data'!M50*Customisation!$H$22</f>
        <v>1.2234213629352885E-4</v>
      </c>
      <c r="H46" s="100">
        <f t="shared" ca="1" si="9"/>
        <v>5.0933179868241735E-5</v>
      </c>
      <c r="I46" s="100">
        <f ca="1">'Age data'!N50*Customisation!$H$22</f>
        <v>3.3556700240510767E-5</v>
      </c>
      <c r="J46" s="101">
        <f t="shared" ca="1" si="10"/>
        <v>1.3970243621003447E-5</v>
      </c>
      <c r="K46" s="100">
        <f ca="1">I46*'Life table'!I44</f>
        <v>1.2173967756908062E-3</v>
      </c>
      <c r="L46" s="100">
        <f ca="1">J46*'Life table'!J44</f>
        <v>4.1412625079849982E-4</v>
      </c>
      <c r="M46" s="100">
        <f t="shared" ca="1" si="11"/>
        <v>7.3629674500490653E-5</v>
      </c>
      <c r="N46" s="100">
        <f ca="1">((G46-I46)*$AW$5+I46*$AW$6)/(1+Customisation!$H$21)^($A46-12)</f>
        <v>2.9198251341442895E-5</v>
      </c>
      <c r="O46" s="100">
        <f ca="1">G46*Customisation!$H$17</f>
        <v>8.4750547947783833E-2</v>
      </c>
      <c r="P46" s="100">
        <f ca="1">O46/(1+Customisation!$H$21)^($A46-12)</f>
        <v>3.5283141469754128E-2</v>
      </c>
      <c r="Q46" s="100">
        <f ca="1">IF($A46&lt;Customisation!$H$13,G46,G46*(1-Customisation!$H$11*Customisation!$H$12))</f>
        <v>4.6257493616288416E-5</v>
      </c>
      <c r="R46" s="100">
        <f ca="1">IF($A46&lt;Customisation!$H$13,H46,H46*(1-Customisation!$H$11*Customisation!$H$12))</f>
        <v>1.9257806950172423E-5</v>
      </c>
      <c r="S46" s="100">
        <f ca="1">IF($A46&lt;Customisation!$H$13,I46,I46*(1-Customisation!$H$11*Customisation!$H$12))</f>
        <v>1.2687769677610536E-5</v>
      </c>
      <c r="T46" s="100">
        <f ca="1">IF($A46&lt;Customisation!$H$13,J46,J46*(1-Customisation!$H$11*Customisation!$H$12))</f>
        <v>5.2821413349044364E-6</v>
      </c>
      <c r="U46" s="100">
        <f ca="1">IF($A46&lt;Customisation!$H$13,K46,K46*(1-Customisation!$H$11*Customisation!$H$12))</f>
        <v>4.6029704308004813E-4</v>
      </c>
      <c r="V46" s="100">
        <f ca="1">IF($A46&lt;Customisation!$H$13,L46,L46*(1-Customisation!$H$11*Customisation!$H$12))</f>
        <v>1.5658090485430178E-4</v>
      </c>
      <c r="W46" s="100">
        <f ca="1">IF($A46&lt;Customisation!$H$13,M46,M46*(1-Customisation!$H$11*Customisation!$H$12))</f>
        <v>2.7839338933923725E-5</v>
      </c>
      <c r="X46" s="100">
        <f ca="1">IF($A46&lt;Customisation!$H$13,N46,N46*(1-Customisation!$H$11*Customisation!$H$12))</f>
        <v>1.1039842575521708E-5</v>
      </c>
      <c r="Y46" s="100">
        <f ca="1">IF($A46&lt;Customisation!$H$13,O46,O46*(1-Customisation!$H$11*Customisation!$H$12))</f>
        <v>3.2044134992588964E-2</v>
      </c>
      <c r="Z46" s="100">
        <f ca="1">IF($A46&lt;Customisation!$H$13,P46,P46*(1-Customisation!$H$11*Customisation!$H$12))</f>
        <v>1.3340536145158692E-2</v>
      </c>
      <c r="AA46" s="100">
        <f t="shared" ca="1" si="19"/>
        <v>7.6084642677240431E-5</v>
      </c>
      <c r="AB46" s="100">
        <f t="shared" ca="1" si="12"/>
        <v>3.1675372918069313E-5</v>
      </c>
      <c r="AC46" s="100">
        <f t="shared" ca="1" si="20"/>
        <v>2.0868930562900232E-5</v>
      </c>
      <c r="AD46" s="100">
        <f t="shared" ca="1" si="25"/>
        <v>8.6881022860990096E-6</v>
      </c>
      <c r="AE46" s="100">
        <f t="shared" ca="1" si="26"/>
        <v>7.5709973261075809E-4</v>
      </c>
      <c r="AF46" s="100">
        <f t="shared" ca="1" si="21"/>
        <v>2.5754534594419807E-4</v>
      </c>
      <c r="AG46" s="100">
        <f t="shared" ca="1" si="13"/>
        <v>4.5790335566566932E-5</v>
      </c>
      <c r="AH46" s="100">
        <f t="shared" ca="1" si="14"/>
        <v>1.8158408765921188E-5</v>
      </c>
      <c r="AI46" s="100">
        <f t="shared" ca="1" si="22"/>
        <v>5.2706412955194869E-2</v>
      </c>
      <c r="AJ46" s="100">
        <f t="shared" ca="1" si="23"/>
        <v>2.1942605324595438E-2</v>
      </c>
      <c r="AL46" s="102">
        <f t="shared" ca="1" si="15"/>
        <v>12.234213629352885</v>
      </c>
      <c r="AM46" s="102">
        <f t="shared" ca="1" si="16"/>
        <v>4.6257493616288414</v>
      </c>
    </row>
    <row r="47" spans="1:39" x14ac:dyDescent="0.15">
      <c r="A47" s="92">
        <f t="shared" si="24"/>
        <v>43</v>
      </c>
      <c r="B47" s="99">
        <f>'Life table'!D45</f>
        <v>0.95335578028264356</v>
      </c>
      <c r="C47" s="99">
        <f>IF($A47&lt;Customisation!$H$13,0,B47)/LOOKUP(Customisation!$H$13,$A$4:$A$104,$B$4:$B$104)</f>
        <v>0.97729068826207899</v>
      </c>
      <c r="D47" s="92">
        <f ca="1">IF($A47&lt;=Customisation!$H$13,1,1/(1+Customisation!$H$21)^($A47-Customisation!$H$13))</f>
        <v>0.40433272147814386</v>
      </c>
      <c r="E47" s="92">
        <f t="shared" ca="1" si="18"/>
        <v>32.691702641030574</v>
      </c>
      <c r="F47" s="92">
        <f t="shared" ca="1" si="8"/>
        <v>0.39515060366025473</v>
      </c>
      <c r="G47" s="100">
        <f ca="1">'Age data'!M51*Customisation!$H$22</f>
        <v>1.2234213629352885E-4</v>
      </c>
      <c r="H47" s="100">
        <f t="shared" ca="1" si="9"/>
        <v>4.9466928919012515E-5</v>
      </c>
      <c r="I47" s="100">
        <f ca="1">'Age data'!N51*Customisation!$H$22</f>
        <v>3.3556700240510767E-5</v>
      </c>
      <c r="J47" s="101">
        <f t="shared" ca="1" si="10"/>
        <v>1.3568071932072003E-5</v>
      </c>
      <c r="K47" s="100">
        <f ca="1">I47*'Life table'!I45</f>
        <v>1.1858966496999881E-3</v>
      </c>
      <c r="L47" s="100">
        <f ca="1">J47*'Life table'!J45</f>
        <v>3.9575467297134998E-4</v>
      </c>
      <c r="M47" s="100">
        <f t="shared" ca="1" si="11"/>
        <v>7.3629674500490653E-5</v>
      </c>
      <c r="N47" s="100">
        <f ca="1">((G47-I47)*$AW$5+I47*$AW$6)/(1+Customisation!$H$21)^($A47-12)</f>
        <v>2.8357699782400764E-5</v>
      </c>
      <c r="O47" s="100">
        <f ca="1">G47*Customisation!$H$17</f>
        <v>8.4750547947783833E-2</v>
      </c>
      <c r="P47" s="100">
        <f ca="1">O47/(1+Customisation!$H$21)^($A47-12)</f>
        <v>3.4267419698491355E-2</v>
      </c>
      <c r="Q47" s="100">
        <f ca="1">IF($A47&lt;Customisation!$H$13,G47,G47*(1-Customisation!$H$11*Customisation!$H$12))</f>
        <v>4.6257493616288416E-5</v>
      </c>
      <c r="R47" s="100">
        <f ca="1">IF($A47&lt;Customisation!$H$13,H47,H47*(1-Customisation!$H$11*Customisation!$H$12))</f>
        <v>1.8703418282631761E-5</v>
      </c>
      <c r="S47" s="100">
        <f ca="1">IF($A47&lt;Customisation!$H$13,I47,I47*(1-Customisation!$H$11*Customisation!$H$12))</f>
        <v>1.2687769677610536E-5</v>
      </c>
      <c r="T47" s="100">
        <f ca="1">IF($A47&lt;Customisation!$H$13,J47,J47*(1-Customisation!$H$11*Customisation!$H$12))</f>
        <v>5.1300804432361398E-6</v>
      </c>
      <c r="U47" s="100">
        <f ca="1">IF($A47&lt;Customisation!$H$13,K47,K47*(1-Customisation!$H$11*Customisation!$H$12))</f>
        <v>4.4838686298120988E-4</v>
      </c>
      <c r="V47" s="100">
        <f ca="1">IF($A47&lt;Customisation!$H$13,L47,L47*(1-Customisation!$H$11*Customisation!$H$12))</f>
        <v>1.4963462150657933E-4</v>
      </c>
      <c r="W47" s="100">
        <f ca="1">IF($A47&lt;Customisation!$H$13,M47,M47*(1-Customisation!$H$11*Customisation!$H$12))</f>
        <v>2.7839338933923725E-5</v>
      </c>
      <c r="X47" s="100">
        <f ca="1">IF($A47&lt;Customisation!$H$13,N47,N47*(1-Customisation!$H$11*Customisation!$H$12))</f>
        <v>1.0722030499040834E-5</v>
      </c>
      <c r="Y47" s="100">
        <f ca="1">IF($A47&lt;Customisation!$H$13,O47,O47*(1-Customisation!$H$11*Customisation!$H$12))</f>
        <v>3.2044134992588964E-2</v>
      </c>
      <c r="Z47" s="100">
        <f ca="1">IF($A47&lt;Customisation!$H$13,P47,P47*(1-Customisation!$H$11*Customisation!$H$12))</f>
        <v>1.2956492308966516E-2</v>
      </c>
      <c r="AA47" s="100">
        <f t="shared" ca="1" si="19"/>
        <v>7.6084642677240431E-5</v>
      </c>
      <c r="AB47" s="100">
        <f t="shared" ca="1" si="12"/>
        <v>3.0763510636380758E-5</v>
      </c>
      <c r="AC47" s="100">
        <f t="shared" ca="1" si="20"/>
        <v>2.0868930562900232E-5</v>
      </c>
      <c r="AD47" s="100">
        <f t="shared" ca="1" si="25"/>
        <v>8.4379914888358631E-6</v>
      </c>
      <c r="AE47" s="100">
        <f t="shared" ca="1" si="26"/>
        <v>7.3750978671877825E-4</v>
      </c>
      <c r="AF47" s="100">
        <f t="shared" ca="1" si="21"/>
        <v>2.4612005146477066E-4</v>
      </c>
      <c r="AG47" s="100">
        <f t="shared" ca="1" si="13"/>
        <v>4.5790335566566932E-5</v>
      </c>
      <c r="AH47" s="100">
        <f t="shared" ca="1" si="14"/>
        <v>1.7635669283359931E-5</v>
      </c>
      <c r="AI47" s="100">
        <f t="shared" ca="1" si="22"/>
        <v>5.2706412955194869E-2</v>
      </c>
      <c r="AJ47" s="100">
        <f t="shared" ca="1" si="23"/>
        <v>2.131092738952484E-2</v>
      </c>
      <c r="AL47" s="102">
        <f t="shared" ca="1" si="15"/>
        <v>12.234213629352885</v>
      </c>
      <c r="AM47" s="102">
        <f t="shared" ca="1" si="16"/>
        <v>4.6257493616288414</v>
      </c>
    </row>
    <row r="48" spans="1:39" x14ac:dyDescent="0.15">
      <c r="A48" s="92">
        <f t="shared" si="24"/>
        <v>44</v>
      </c>
      <c r="B48" s="99">
        <f>'Life table'!D46</f>
        <v>0.95172554189836023</v>
      </c>
      <c r="C48" s="99">
        <f>IF($A48&lt;Customisation!$H$13,0,B48)/LOOKUP(Customisation!$H$13,$A$4:$A$104,$B$4:$B$104)</f>
        <v>0.97561952118515083</v>
      </c>
      <c r="D48" s="92">
        <f ca="1">IF($A48&lt;=Customisation!$H$13,1,1/(1+Customisation!$H$21)^($A48-Customisation!$H$13))</f>
        <v>0.39269289772856841</v>
      </c>
      <c r="E48" s="92">
        <f t="shared" ca="1" si="18"/>
        <v>33.096035362508715</v>
      </c>
      <c r="F48" s="92">
        <f t="shared" ca="1" si="8"/>
        <v>0.38311885685475533</v>
      </c>
      <c r="G48" s="100">
        <f ca="1">'Age data'!M52*Customisation!$H$22</f>
        <v>1.2234213629352885E-4</v>
      </c>
      <c r="H48" s="100">
        <f t="shared" ca="1" si="9"/>
        <v>4.8042888015409299E-5</v>
      </c>
      <c r="I48" s="100">
        <f ca="1">'Age data'!N52*Customisation!$H$22</f>
        <v>3.3556700240510767E-5</v>
      </c>
      <c r="J48" s="101">
        <f t="shared" ca="1" si="10"/>
        <v>1.3177477855655122E-5</v>
      </c>
      <c r="K48" s="100">
        <f ca="1">I48*'Life table'!I46</f>
        <v>1.1543425662264302E-3</v>
      </c>
      <c r="L48" s="100">
        <f ca="1">J48*'Life table'!J46</f>
        <v>3.7791305482239409E-4</v>
      </c>
      <c r="M48" s="100">
        <f t="shared" ca="1" si="11"/>
        <v>7.3629674500490653E-5</v>
      </c>
      <c r="N48" s="100">
        <f ca="1">((G48-I48)*$AW$5+I48*$AW$6)/(1+Customisation!$H$21)^($A48-12)</f>
        <v>2.7541345799958207E-5</v>
      </c>
      <c r="O48" s="100">
        <f ca="1">G48*Customisation!$H$17</f>
        <v>8.4750547947783833E-2</v>
      </c>
      <c r="P48" s="100">
        <f ca="1">O48/(1+Customisation!$H$21)^($A48-12)</f>
        <v>3.3280938257699212E-2</v>
      </c>
      <c r="Q48" s="100">
        <f ca="1">IF($A48&lt;Customisation!$H$13,G48,G48*(1-Customisation!$H$11*Customisation!$H$12))</f>
        <v>4.6257493616288416E-5</v>
      </c>
      <c r="R48" s="100">
        <f ca="1">IF($A48&lt;Customisation!$H$13,H48,H48*(1-Customisation!$H$11*Customisation!$H$12))</f>
        <v>1.8164989209841052E-5</v>
      </c>
      <c r="S48" s="100">
        <f ca="1">IF($A48&lt;Customisation!$H$13,I48,I48*(1-Customisation!$H$11*Customisation!$H$12))</f>
        <v>1.2687769677610536E-5</v>
      </c>
      <c r="T48" s="100">
        <f ca="1">IF($A48&lt;Customisation!$H$13,J48,J48*(1-Customisation!$H$11*Customisation!$H$12))</f>
        <v>4.9823970404135454E-6</v>
      </c>
      <c r="U48" s="100">
        <f ca="1">IF($A48&lt;Customisation!$H$13,K48,K48*(1-Customisation!$H$11*Customisation!$H$12))</f>
        <v>4.3645628158818945E-4</v>
      </c>
      <c r="V48" s="100">
        <f ca="1">IF($A48&lt;Customisation!$H$13,L48,L48*(1-Customisation!$H$11*Customisation!$H$12))</f>
        <v>1.4288871561811696E-4</v>
      </c>
      <c r="W48" s="100">
        <f ca="1">IF($A48&lt;Customisation!$H$13,M48,M48*(1-Customisation!$H$11*Customisation!$H$12))</f>
        <v>2.7839338933923725E-5</v>
      </c>
      <c r="X48" s="100">
        <f ca="1">IF($A48&lt;Customisation!$H$13,N48,N48*(1-Customisation!$H$11*Customisation!$H$12))</f>
        <v>1.04133675127998E-5</v>
      </c>
      <c r="Y48" s="100">
        <f ca="1">IF($A48&lt;Customisation!$H$13,O48,O48*(1-Customisation!$H$11*Customisation!$H$12))</f>
        <v>3.2044134992588964E-2</v>
      </c>
      <c r="Z48" s="100">
        <f ca="1">IF($A48&lt;Customisation!$H$13,P48,P48*(1-Customisation!$H$11*Customisation!$H$12))</f>
        <v>1.2583504225445179E-2</v>
      </c>
      <c r="AA48" s="100">
        <f t="shared" ref="AA48:AA78" ca="1" si="27">G48-Q48</f>
        <v>7.6084642677240431E-5</v>
      </c>
      <c r="AB48" s="100">
        <f t="shared" ca="1" si="12"/>
        <v>2.9877898805568247E-5</v>
      </c>
      <c r="AC48" s="100">
        <f t="shared" ref="AC48:AC78" ca="1" si="28">I48-S48</f>
        <v>2.0868930562900232E-5</v>
      </c>
      <c r="AD48" s="100">
        <f t="shared" ca="1" si="25"/>
        <v>8.1950808152415756E-6</v>
      </c>
      <c r="AE48" s="100">
        <f t="shared" ca="1" si="26"/>
        <v>7.1788628463824076E-4</v>
      </c>
      <c r="AF48" s="100">
        <f t="shared" ref="AF48:AF78" ca="1" si="29">L48-V48</f>
        <v>2.3502433920427713E-4</v>
      </c>
      <c r="AG48" s="100">
        <f t="shared" ca="1" si="13"/>
        <v>4.5790335566566932E-5</v>
      </c>
      <c r="AH48" s="100">
        <f t="shared" ca="1" si="14"/>
        <v>1.7127978287158409E-5</v>
      </c>
      <c r="AI48" s="100">
        <f t="shared" ref="AI48:AI78" ca="1" si="30">O48-Y48</f>
        <v>5.2706412955194869E-2</v>
      </c>
      <c r="AJ48" s="100">
        <f t="shared" ref="AJ48:AJ78" ca="1" si="31">P48-Z48</f>
        <v>2.0697434032254033E-2</v>
      </c>
      <c r="AL48" s="102">
        <f t="shared" ca="1" si="15"/>
        <v>12.234213629352885</v>
      </c>
      <c r="AM48" s="102">
        <f t="shared" ca="1" si="16"/>
        <v>4.6257493616288414</v>
      </c>
    </row>
    <row r="49" spans="1:39" x14ac:dyDescent="0.15">
      <c r="A49" s="92">
        <f t="shared" ref="A49:A104" si="32">A48+1</f>
        <v>45</v>
      </c>
      <c r="B49" s="99">
        <f>'Life table'!D47</f>
        <v>0.95009809122171407</v>
      </c>
      <c r="C49" s="99">
        <f>IF($A49&lt;Customisation!$H$13,0,B49)/LOOKUP(Customisation!$H$13,$A$4:$A$104,$B$4:$B$104)</f>
        <v>0.9739512118039243</v>
      </c>
      <c r="D49" s="92">
        <f ca="1">IF($A49&lt;=Customisation!$H$13,1,1/(1+Customisation!$H$21)^($A49-Customisation!$H$13))</f>
        <v>0.38138815815527699</v>
      </c>
      <c r="E49" s="92">
        <f t="shared" ca="1" si="18"/>
        <v>33.488728260237281</v>
      </c>
      <c r="F49" s="92">
        <f t="shared" ca="1" si="8"/>
        <v>0.37145345880299874</v>
      </c>
      <c r="G49" s="100">
        <f ca="1">'Age data'!M53*Customisation!$H$22</f>
        <v>1.2723582174527001E-4</v>
      </c>
      <c r="H49" s="100">
        <f t="shared" ca="1" si="9"/>
        <v>4.8526235706801668E-5</v>
      </c>
      <c r="I49" s="100">
        <f ca="1">'Age data'!N53*Customisation!$H$22</f>
        <v>4.4742266987347689E-5</v>
      </c>
      <c r="J49" s="101">
        <f t="shared" ca="1" si="10"/>
        <v>1.706417079799619E-5</v>
      </c>
      <c r="K49" s="100">
        <f ca="1">I49*'Life table'!I47</f>
        <v>1.496979243793052E-3</v>
      </c>
      <c r="L49" s="100">
        <f ca="1">J49*'Life table'!J47</f>
        <v>4.8078106684301631E-4</v>
      </c>
      <c r="M49" s="100">
        <f t="shared" ca="1" si="11"/>
        <v>7.950001861436784E-5</v>
      </c>
      <c r="N49" s="100">
        <f ca="1">((G49-I49)*$AW$5+I49*$AW$6)/(1+Customisation!$H$21)^($A49-12)</f>
        <v>2.8970524433048016E-5</v>
      </c>
      <c r="O49" s="100">
        <f ca="1">G49*Customisation!$H$17</f>
        <v>8.8140569865695198E-2</v>
      </c>
      <c r="P49" s="100">
        <f ca="1">O49/(1+Customisation!$H$21)^($A49-12)</f>
        <v>3.3615769599833999E-2</v>
      </c>
      <c r="Q49" s="100">
        <f ca="1">IF($A49&lt;Customisation!$H$13,G49,G49*(1-Customisation!$H$11*Customisation!$H$12))</f>
        <v>4.8107793360939958E-5</v>
      </c>
      <c r="R49" s="100">
        <f ca="1">IF($A49&lt;Customisation!$H$13,H49,H49*(1-Customisation!$H$11*Customisation!$H$12))</f>
        <v>1.8347742702843551E-5</v>
      </c>
      <c r="S49" s="100">
        <f ca="1">IF($A49&lt;Customisation!$H$13,I49,I49*(1-Customisation!$H$11*Customisation!$H$12))</f>
        <v>1.6917026236814049E-5</v>
      </c>
      <c r="T49" s="100">
        <f ca="1">IF($A49&lt;Customisation!$H$13,J49,J49*(1-Customisation!$H$11*Customisation!$H$12))</f>
        <v>6.4519534779230066E-6</v>
      </c>
      <c r="U49" s="100">
        <f ca="1">IF($A49&lt;Customisation!$H$13,K49,K49*(1-Customisation!$H$11*Customisation!$H$12))</f>
        <v>5.6600701860668823E-4</v>
      </c>
      <c r="V49" s="100">
        <f ca="1">IF($A49&lt;Customisation!$H$13,L49,L49*(1-Customisation!$H$11*Customisation!$H$12))</f>
        <v>1.8178305368940584E-4</v>
      </c>
      <c r="W49" s="100">
        <f ca="1">IF($A49&lt;Customisation!$H$13,M49,M49*(1-Customisation!$H$11*Customisation!$H$12))</f>
        <v>3.005891277495574E-5</v>
      </c>
      <c r="X49" s="100">
        <f ca="1">IF($A49&lt;Customisation!$H$13,N49,N49*(1-Customisation!$H$11*Customisation!$H$12))</f>
        <v>1.0953739158248861E-5</v>
      </c>
      <c r="Y49" s="100">
        <f ca="1">IF($A49&lt;Customisation!$H$13,O49,O49*(1-Customisation!$H$11*Customisation!$H$12))</f>
        <v>3.332590039229253E-2</v>
      </c>
      <c r="Z49" s="100">
        <f ca="1">IF($A49&lt;Customisation!$H$13,P49,P49*(1-Customisation!$H$11*Customisation!$H$12))</f>
        <v>1.2710103769482669E-2</v>
      </c>
      <c r="AA49" s="100">
        <f t="shared" ca="1" si="27"/>
        <v>7.9128028384330048E-5</v>
      </c>
      <c r="AB49" s="100">
        <f t="shared" ca="1" si="12"/>
        <v>3.0178493003958117E-5</v>
      </c>
      <c r="AC49" s="100">
        <f t="shared" ca="1" si="28"/>
        <v>2.782524075053364E-5</v>
      </c>
      <c r="AD49" s="100">
        <f t="shared" ca="1" si="25"/>
        <v>1.0612217320073184E-5</v>
      </c>
      <c r="AE49" s="100">
        <f t="shared" ca="1" si="26"/>
        <v>9.3097222518636377E-4</v>
      </c>
      <c r="AF49" s="100">
        <f t="shared" ca="1" si="29"/>
        <v>2.9899801315361044E-4</v>
      </c>
      <c r="AG49" s="100">
        <f t="shared" ca="1" si="13"/>
        <v>4.9441105839412101E-5</v>
      </c>
      <c r="AH49" s="100">
        <f t="shared" ca="1" si="14"/>
        <v>1.8016785274799154E-5</v>
      </c>
      <c r="AI49" s="100">
        <f t="shared" ca="1" si="30"/>
        <v>5.4814669473402668E-2</v>
      </c>
      <c r="AJ49" s="100">
        <f t="shared" ca="1" si="31"/>
        <v>2.090566583035133E-2</v>
      </c>
      <c r="AL49" s="102">
        <f t="shared" ca="1" si="15"/>
        <v>12.723582174527001</v>
      </c>
      <c r="AM49" s="102">
        <f t="shared" ca="1" si="16"/>
        <v>4.8107793360939954</v>
      </c>
    </row>
    <row r="50" spans="1:39" x14ac:dyDescent="0.15">
      <c r="A50" s="92">
        <f t="shared" si="32"/>
        <v>46</v>
      </c>
      <c r="B50" s="99">
        <f>'Life table'!D48</f>
        <v>0.94756132931815218</v>
      </c>
      <c r="C50" s="99">
        <f>IF($A50&lt;Customisation!$H$13,0,B50)/LOOKUP(Customisation!$H$13,$A$4:$A$104,$B$4:$B$104)</f>
        <v>0.97135076206840787</v>
      </c>
      <c r="D50" s="92">
        <f ca="1">IF($A50&lt;=Customisation!$H$13,1,1/(1+Customisation!$H$21)^($A50-Customisation!$H$13))</f>
        <v>0.37040885644337579</v>
      </c>
      <c r="E50" s="92">
        <f t="shared" ca="1" si="18"/>
        <v>33.870116418392556</v>
      </c>
      <c r="F50" s="92">
        <f t="shared" ca="1" si="8"/>
        <v>0.35979692498316057</v>
      </c>
      <c r="G50" s="100">
        <f ca="1">'Age data'!M54*Customisation!$H$22</f>
        <v>1.2723582174527001E-4</v>
      </c>
      <c r="H50" s="100">
        <f t="shared" ca="1" si="9"/>
        <v>4.7129275231298671E-5</v>
      </c>
      <c r="I50" s="100">
        <f ca="1">'Age data'!N54*Customisation!$H$22</f>
        <v>4.4742266987347689E-5</v>
      </c>
      <c r="J50" s="101">
        <f t="shared" ca="1" si="10"/>
        <v>1.657293194946766E-5</v>
      </c>
      <c r="K50" s="100">
        <f ca="1">I50*'Life table'!I48</f>
        <v>1.4561847209370342E-3</v>
      </c>
      <c r="L50" s="100">
        <f ca="1">J50*'Life table'!J48</f>
        <v>4.5863732248588757E-4</v>
      </c>
      <c r="M50" s="100">
        <f t="shared" ca="1" si="11"/>
        <v>7.950001861436784E-5</v>
      </c>
      <c r="N50" s="100">
        <f ca="1">((G50-I50)*$AW$5+I50*$AW$6)/(1+Customisation!$H$21)^($A50-12)</f>
        <v>2.8136528616185397E-5</v>
      </c>
      <c r="O50" s="100">
        <f ca="1">G50*Customisation!$H$17</f>
        <v>8.8140569865695198E-2</v>
      </c>
      <c r="P50" s="100">
        <f ca="1">O50/(1+Customisation!$H$21)^($A50-12)</f>
        <v>3.2648047690219624E-2</v>
      </c>
      <c r="Q50" s="100">
        <f ca="1">IF($A50&lt;Customisation!$H$13,G50,G50*(1-Customisation!$H$11*Customisation!$H$12))</f>
        <v>4.8107793360939958E-5</v>
      </c>
      <c r="R50" s="100">
        <f ca="1">IF($A50&lt;Customisation!$H$13,H50,H50*(1-Customisation!$H$11*Customisation!$H$12))</f>
        <v>1.7819552724839995E-5</v>
      </c>
      <c r="S50" s="100">
        <f ca="1">IF($A50&lt;Customisation!$H$13,I50,I50*(1-Customisation!$H$11*Customisation!$H$12))</f>
        <v>1.6917026236814049E-5</v>
      </c>
      <c r="T50" s="100">
        <f ca="1">IF($A50&lt;Customisation!$H$13,J50,J50*(1-Customisation!$H$11*Customisation!$H$12))</f>
        <v>6.266216342800876E-6</v>
      </c>
      <c r="U50" s="100">
        <f ca="1">IF($A50&lt;Customisation!$H$13,K50,K50*(1-Customisation!$H$11*Customisation!$H$12))</f>
        <v>5.505826322279489E-4</v>
      </c>
      <c r="V50" s="100">
        <f ca="1">IF($A50&lt;Customisation!$H$13,L50,L50*(1-Customisation!$H$11*Customisation!$H$12))</f>
        <v>1.7341051627692332E-4</v>
      </c>
      <c r="W50" s="100">
        <f ca="1">IF($A50&lt;Customisation!$H$13,M50,M50*(1-Customisation!$H$11*Customisation!$H$12))</f>
        <v>3.005891277495574E-5</v>
      </c>
      <c r="X50" s="100">
        <f ca="1">IF($A50&lt;Customisation!$H$13,N50,N50*(1-Customisation!$H$11*Customisation!$H$12))</f>
        <v>1.0638405804236027E-5</v>
      </c>
      <c r="Y50" s="100">
        <f ca="1">IF($A50&lt;Customisation!$H$13,O50,O50*(1-Customisation!$H$11*Customisation!$H$12))</f>
        <v>3.332590039229253E-2</v>
      </c>
      <c r="Z50" s="100">
        <f ca="1">IF($A50&lt;Customisation!$H$13,P50,P50*(1-Customisation!$H$11*Customisation!$H$12))</f>
        <v>1.2344208654254922E-2</v>
      </c>
      <c r="AA50" s="100">
        <f t="shared" ca="1" si="27"/>
        <v>7.9128028384330048E-5</v>
      </c>
      <c r="AB50" s="100">
        <f t="shared" ca="1" si="12"/>
        <v>2.9309722506458677E-5</v>
      </c>
      <c r="AC50" s="100">
        <f t="shared" ca="1" si="28"/>
        <v>2.782524075053364E-5</v>
      </c>
      <c r="AD50" s="100">
        <f t="shared" ca="1" si="25"/>
        <v>1.0306715606666784E-5</v>
      </c>
      <c r="AE50" s="100">
        <f t="shared" ca="1" si="26"/>
        <v>9.0560208870908525E-4</v>
      </c>
      <c r="AF50" s="100">
        <f t="shared" ca="1" si="29"/>
        <v>2.8522680620896425E-4</v>
      </c>
      <c r="AG50" s="100">
        <f t="shared" ca="1" si="13"/>
        <v>4.9441105839412101E-5</v>
      </c>
      <c r="AH50" s="100">
        <f t="shared" ca="1" si="14"/>
        <v>1.7498122811949372E-5</v>
      </c>
      <c r="AI50" s="100">
        <f t="shared" ca="1" si="30"/>
        <v>5.4814669473402668E-2</v>
      </c>
      <c r="AJ50" s="100">
        <f t="shared" ca="1" si="31"/>
        <v>2.0303839035964701E-2</v>
      </c>
      <c r="AL50" s="102">
        <f t="shared" ca="1" si="15"/>
        <v>12.723582174527001</v>
      </c>
      <c r="AM50" s="102">
        <f t="shared" ca="1" si="16"/>
        <v>4.8107793360939954</v>
      </c>
    </row>
    <row r="51" spans="1:39" x14ac:dyDescent="0.15">
      <c r="A51" s="92">
        <f t="shared" si="32"/>
        <v>47</v>
      </c>
      <c r="B51" s="99">
        <f>'Life table'!D49</f>
        <v>0.94503134056887272</v>
      </c>
      <c r="C51" s="99">
        <f>IF($A51&lt;Customisation!$H$13,0,B51)/LOOKUP(Customisation!$H$13,$A$4:$A$104,$B$4:$B$104)</f>
        <v>0.9687572555336853</v>
      </c>
      <c r="D51" s="92">
        <f ca="1">IF($A51&lt;=Customisation!$H$13,1,1/(1+Customisation!$H$21)^($A51-Customisation!$H$13))</f>
        <v>0.35974562397354026</v>
      </c>
      <c r="E51" s="92">
        <f t="shared" ca="1" si="18"/>
        <v>34.240525274835932</v>
      </c>
      <c r="F51" s="92">
        <f t="shared" ca="1" si="8"/>
        <v>0.34850618337086003</v>
      </c>
      <c r="G51" s="100">
        <f ca="1">'Age data'!M55*Customisation!$H$22</f>
        <v>1.2723582174527001E-4</v>
      </c>
      <c r="H51" s="100">
        <f t="shared" ca="1" si="9"/>
        <v>4.5772530085538305E-5</v>
      </c>
      <c r="I51" s="100">
        <f ca="1">'Age data'!N55*Customisation!$H$22</f>
        <v>4.4742266987347689E-5</v>
      </c>
      <c r="J51" s="101">
        <f t="shared" ca="1" si="10"/>
        <v>1.6095834755354125E-5</v>
      </c>
      <c r="K51" s="100">
        <f ca="1">I51*'Life table'!I49</f>
        <v>1.4152809851063484E-3</v>
      </c>
      <c r="L51" s="100">
        <f ca="1">J51*'Life table'!J49</f>
        <v>4.3713196204210386E-4</v>
      </c>
      <c r="M51" s="100">
        <f t="shared" ca="1" si="11"/>
        <v>7.950001861436784E-5</v>
      </c>
      <c r="N51" s="100">
        <f ca="1">((G51-I51)*$AW$5+I51*$AW$6)/(1+Customisation!$H$21)^($A51-12)</f>
        <v>2.7326541650945459E-5</v>
      </c>
      <c r="O51" s="100">
        <f ca="1">G51*Customisation!$H$17</f>
        <v>8.8140569865695198E-2</v>
      </c>
      <c r="P51" s="100">
        <f ca="1">O51/(1+Customisation!$H$21)^($A51-12)</f>
        <v>3.170818430371794E-2</v>
      </c>
      <c r="Q51" s="100">
        <f ca="1">IF($A51&lt;Customisation!$H$13,G51,G51*(1-Customisation!$H$11*Customisation!$H$12))</f>
        <v>4.8107793360939958E-5</v>
      </c>
      <c r="R51" s="100">
        <f ca="1">IF($A51&lt;Customisation!$H$13,H51,H51*(1-Customisation!$H$11*Customisation!$H$12))</f>
        <v>1.7306568140621483E-5</v>
      </c>
      <c r="S51" s="100">
        <f ca="1">IF($A51&lt;Customisation!$H$13,I51,I51*(1-Customisation!$H$11*Customisation!$H$12))</f>
        <v>1.6917026236814049E-5</v>
      </c>
      <c r="T51" s="100">
        <f ca="1">IF($A51&lt;Customisation!$H$13,J51,J51*(1-Customisation!$H$11*Customisation!$H$12))</f>
        <v>6.0858261593394213E-6</v>
      </c>
      <c r="U51" s="100">
        <f ca="1">IF($A51&lt;Customisation!$H$13,K51,K51*(1-Customisation!$H$11*Customisation!$H$12))</f>
        <v>5.35116952484294E-4</v>
      </c>
      <c r="V51" s="100">
        <f ca="1">IF($A51&lt;Customisation!$H$13,L51,L51*(1-Customisation!$H$11*Customisation!$H$12))</f>
        <v>1.6527935146664426E-4</v>
      </c>
      <c r="W51" s="100">
        <f ca="1">IF($A51&lt;Customisation!$H$13,M51,M51*(1-Customisation!$H$11*Customisation!$H$12))</f>
        <v>3.005891277495574E-5</v>
      </c>
      <c r="X51" s="100">
        <f ca="1">IF($A51&lt;Customisation!$H$13,N51,N51*(1-Customisation!$H$11*Customisation!$H$12))</f>
        <v>1.0332150183654347E-5</v>
      </c>
      <c r="Y51" s="100">
        <f ca="1">IF($A51&lt;Customisation!$H$13,O51,O51*(1-Customisation!$H$11*Customisation!$H$12))</f>
        <v>3.332590039229253E-2</v>
      </c>
      <c r="Z51" s="100">
        <f ca="1">IF($A51&lt;Customisation!$H$13,P51,P51*(1-Customisation!$H$11*Customisation!$H$12))</f>
        <v>1.1988846831105326E-2</v>
      </c>
      <c r="AA51" s="100">
        <f t="shared" ca="1" si="27"/>
        <v>7.9128028384330048E-5</v>
      </c>
      <c r="AB51" s="100">
        <f t="shared" ca="1" si="12"/>
        <v>2.8465961944916822E-5</v>
      </c>
      <c r="AC51" s="100">
        <f t="shared" ca="1" si="28"/>
        <v>2.782524075053364E-5</v>
      </c>
      <c r="AD51" s="100">
        <f t="shared" ca="1" si="25"/>
        <v>1.0010008596014704E-5</v>
      </c>
      <c r="AE51" s="100">
        <f t="shared" ca="1" si="26"/>
        <v>8.8016403262205437E-4</v>
      </c>
      <c r="AF51" s="100">
        <f t="shared" ca="1" si="29"/>
        <v>2.718526105754596E-4</v>
      </c>
      <c r="AG51" s="100">
        <f t="shared" ca="1" si="13"/>
        <v>4.9441105839412101E-5</v>
      </c>
      <c r="AH51" s="100">
        <f t="shared" ca="1" si="14"/>
        <v>1.6994391467291112E-5</v>
      </c>
      <c r="AI51" s="100">
        <f t="shared" ca="1" si="30"/>
        <v>5.4814669473402668E-2</v>
      </c>
      <c r="AJ51" s="100">
        <f t="shared" ca="1" si="31"/>
        <v>1.9719337472612612E-2</v>
      </c>
      <c r="AL51" s="102">
        <f t="shared" ca="1" si="15"/>
        <v>12.723582174527001</v>
      </c>
      <c r="AM51" s="102">
        <f t="shared" ca="1" si="16"/>
        <v>4.8107793360939954</v>
      </c>
    </row>
    <row r="52" spans="1:39" x14ac:dyDescent="0.15">
      <c r="A52" s="92">
        <f t="shared" si="32"/>
        <v>48</v>
      </c>
      <c r="B52" s="99">
        <f>'Life table'!D50</f>
        <v>0.94250810688955389</v>
      </c>
      <c r="C52" s="99">
        <f>IF($A52&lt;Customisation!$H$13,0,B52)/LOOKUP(Customisation!$H$13,$A$4:$A$104,$B$4:$B$104)</f>
        <v>0.96617067366141041</v>
      </c>
      <c r="D52" s="92">
        <f ca="1">IF($A52&lt;=Customisation!$H$13,1,1/(1+Customisation!$H$21)^($A52-Customisation!$H$13))</f>
        <v>0.34938936182778801</v>
      </c>
      <c r="E52" s="92">
        <f t="shared" ca="1" si="18"/>
        <v>34.60027089880947</v>
      </c>
      <c r="F52" s="92">
        <f t="shared" ca="1" si="8"/>
        <v>0.33756975508728421</v>
      </c>
      <c r="G52" s="100">
        <f ca="1">'Age data'!M56*Customisation!$H$22</f>
        <v>1.2723582174527001E-4</v>
      </c>
      <c r="H52" s="100">
        <f t="shared" ca="1" si="9"/>
        <v>4.4454842561214081E-5</v>
      </c>
      <c r="I52" s="100">
        <f ca="1">'Age data'!N56*Customisation!$H$22</f>
        <v>4.4742266987347689E-5</v>
      </c>
      <c r="J52" s="101">
        <f t="shared" ca="1" si="10"/>
        <v>1.5632472109437917E-5</v>
      </c>
      <c r="K52" s="100">
        <f ca="1">I52*'Life table'!I50</f>
        <v>1.3742677439216996E-3</v>
      </c>
      <c r="L52" s="100">
        <f ca="1">J52*'Life table'!J50</f>
        <v>4.1624589820013258E-4</v>
      </c>
      <c r="M52" s="100">
        <f t="shared" ca="1" si="11"/>
        <v>7.950001861436784E-5</v>
      </c>
      <c r="N52" s="100">
        <f ca="1">((G52-I52)*$AW$5+I52*$AW$6)/(1+Customisation!$H$21)^($A52-12)</f>
        <v>2.6539872376839649E-5</v>
      </c>
      <c r="O52" s="100">
        <f ca="1">G52*Customisation!$H$17</f>
        <v>8.8140569865695198E-2</v>
      </c>
      <c r="P52" s="100">
        <f ca="1">O52/(1+Customisation!$H$21)^($A52-12)</f>
        <v>3.0795377456512809E-2</v>
      </c>
      <c r="Q52" s="100">
        <f ca="1">IF($A52&lt;Customisation!$H$13,G52,G52*(1-Customisation!$H$11*Customisation!$H$12))</f>
        <v>4.8107793360939958E-5</v>
      </c>
      <c r="R52" s="100">
        <f ca="1">IF($A52&lt;Customisation!$H$13,H52,H52*(1-Customisation!$H$11*Customisation!$H$12))</f>
        <v>1.6808351221321909E-5</v>
      </c>
      <c r="S52" s="100">
        <f ca="1">IF($A52&lt;Customisation!$H$13,I52,I52*(1-Customisation!$H$11*Customisation!$H$12))</f>
        <v>1.6917026236814049E-5</v>
      </c>
      <c r="T52" s="100">
        <f ca="1">IF($A52&lt;Customisation!$H$13,J52,J52*(1-Customisation!$H$11*Customisation!$H$12))</f>
        <v>5.9106290009044067E-6</v>
      </c>
      <c r="U52" s="100">
        <f ca="1">IF($A52&lt;Customisation!$H$13,K52,K52*(1-Customisation!$H$11*Customisation!$H$12))</f>
        <v>5.1960986882727486E-4</v>
      </c>
      <c r="V52" s="100">
        <f ca="1">IF($A52&lt;Customisation!$H$13,L52,L52*(1-Customisation!$H$11*Customisation!$H$12))</f>
        <v>1.573823423567054E-4</v>
      </c>
      <c r="W52" s="100">
        <f ca="1">IF($A52&lt;Customisation!$H$13,M52,M52*(1-Customisation!$H$11*Customisation!$H$12))</f>
        <v>3.005891277495574E-5</v>
      </c>
      <c r="X52" s="100">
        <f ca="1">IF($A52&lt;Customisation!$H$13,N52,N52*(1-Customisation!$H$11*Customisation!$H$12))</f>
        <v>1.0034710969107915E-5</v>
      </c>
      <c r="Y52" s="100">
        <f ca="1">IF($A52&lt;Customisation!$H$13,O52,O52*(1-Customisation!$H$11*Customisation!$H$12))</f>
        <v>3.332590039229253E-2</v>
      </c>
      <c r="Z52" s="100">
        <f ca="1">IF($A52&lt;Customisation!$H$13,P52,P52*(1-Customisation!$H$11*Customisation!$H$12))</f>
        <v>1.1643715070399517E-2</v>
      </c>
      <c r="AA52" s="100">
        <f t="shared" ca="1" si="27"/>
        <v>7.9128028384330048E-5</v>
      </c>
      <c r="AB52" s="100">
        <f t="shared" ca="1" si="12"/>
        <v>2.7646491339892173E-5</v>
      </c>
      <c r="AC52" s="100">
        <f t="shared" ca="1" si="28"/>
        <v>2.782524075053364E-5</v>
      </c>
      <c r="AD52" s="100">
        <f t="shared" ca="1" si="25"/>
        <v>9.7218431085335095E-6</v>
      </c>
      <c r="AE52" s="100">
        <f t="shared" ca="1" si="26"/>
        <v>8.5465787509442475E-4</v>
      </c>
      <c r="AF52" s="100">
        <f t="shared" ca="1" si="29"/>
        <v>2.5886355584342719E-4</v>
      </c>
      <c r="AG52" s="100">
        <f t="shared" ca="1" si="13"/>
        <v>4.9441105839412101E-5</v>
      </c>
      <c r="AH52" s="100">
        <f t="shared" ca="1" si="14"/>
        <v>1.6505161407731736E-5</v>
      </c>
      <c r="AI52" s="100">
        <f t="shared" ca="1" si="30"/>
        <v>5.4814669473402668E-2</v>
      </c>
      <c r="AJ52" s="100">
        <f t="shared" ca="1" si="31"/>
        <v>1.9151662386113294E-2</v>
      </c>
      <c r="AL52" s="102">
        <f t="shared" ca="1" si="15"/>
        <v>12.723582174527001</v>
      </c>
      <c r="AM52" s="102">
        <f t="shared" ca="1" si="16"/>
        <v>4.8107793360939954</v>
      </c>
    </row>
    <row r="53" spans="1:39" x14ac:dyDescent="0.15">
      <c r="A53" s="92">
        <f t="shared" si="32"/>
        <v>49</v>
      </c>
      <c r="B53" s="99">
        <f>'Life table'!D51</f>
        <v>0.93999161024415878</v>
      </c>
      <c r="C53" s="99">
        <f>IF($A53&lt;Customisation!$H$13,0,B53)/LOOKUP(Customisation!$H$13,$A$4:$A$104,$B$4:$B$104)</f>
        <v>0.9635909979627344</v>
      </c>
      <c r="D53" s="92">
        <f ca="1">IF($A53&lt;=Customisation!$H$13,1,1/(1+Customisation!$H$21)^($A53-Customisation!$H$13))</f>
        <v>0.33933123302538798</v>
      </c>
      <c r="E53" s="92">
        <f t="shared" ca="1" si="18"/>
        <v>34.949660260637259</v>
      </c>
      <c r="F53" s="92">
        <f t="shared" ca="1" si="8"/>
        <v>0.32697652147085876</v>
      </c>
      <c r="G53" s="100">
        <f ca="1">'Age data'!M57*Customisation!$H$22</f>
        <v>1.2723582174527001E-4</v>
      </c>
      <c r="H53" s="100">
        <f t="shared" ca="1" si="9"/>
        <v>4.3175088277820945E-5</v>
      </c>
      <c r="I53" s="100">
        <f ca="1">'Age data'!N57*Customisation!$H$22</f>
        <v>4.4742266987347689E-5</v>
      </c>
      <c r="J53" s="101">
        <f t="shared" ca="1" si="10"/>
        <v>1.5182448625167803E-5</v>
      </c>
      <c r="K53" s="100">
        <f ca="1">I53*'Life table'!I51</f>
        <v>1.3331447042210503E-3</v>
      </c>
      <c r="L53" s="100">
        <f ca="1">J53*'Life table'!J51</f>
        <v>3.9596059122900282E-4</v>
      </c>
      <c r="M53" s="100">
        <f t="shared" ca="1" si="11"/>
        <v>7.950001861436784E-5</v>
      </c>
      <c r="N53" s="100">
        <f ca="1">((G53-I53)*$AW$5+I53*$AW$6)/(1+Customisation!$H$21)^($A53-12)</f>
        <v>2.577584953032526E-5</v>
      </c>
      <c r="O53" s="100">
        <f ca="1">G53*Customisation!$H$17</f>
        <v>8.8140569865695198E-2</v>
      </c>
      <c r="P53" s="100">
        <f ca="1">O53/(1+Customisation!$H$21)^($A53-12)</f>
        <v>2.9908848252086711E-2</v>
      </c>
      <c r="Q53" s="100">
        <f ca="1">IF($A53&lt;Customisation!$H$13,G53,G53*(1-Customisation!$H$11*Customisation!$H$12))</f>
        <v>4.8107793360939958E-5</v>
      </c>
      <c r="R53" s="100">
        <f ca="1">IF($A53&lt;Customisation!$H$13,H53,H53*(1-Customisation!$H$11*Customisation!$H$12))</f>
        <v>1.6324476839298331E-5</v>
      </c>
      <c r="S53" s="100">
        <f ca="1">IF($A53&lt;Customisation!$H$13,I53,I53*(1-Customisation!$H$11*Customisation!$H$12))</f>
        <v>1.6917026236814049E-5</v>
      </c>
      <c r="T53" s="100">
        <f ca="1">IF($A53&lt;Customisation!$H$13,J53,J53*(1-Customisation!$H$11*Customisation!$H$12))</f>
        <v>5.7404753720609503E-6</v>
      </c>
      <c r="U53" s="100">
        <f ca="1">IF($A53&lt;Customisation!$H$13,K53,K53*(1-Customisation!$H$11*Customisation!$H$12))</f>
        <v>5.0406127041248828E-4</v>
      </c>
      <c r="V53" s="100">
        <f ca="1">IF($A53&lt;Customisation!$H$13,L53,L53*(1-Customisation!$H$11*Customisation!$H$12))</f>
        <v>1.49712479085149E-4</v>
      </c>
      <c r="W53" s="100">
        <f ca="1">IF($A53&lt;Customisation!$H$13,M53,M53*(1-Customisation!$H$11*Customisation!$H$12))</f>
        <v>3.005891277495574E-5</v>
      </c>
      <c r="X53" s="100">
        <f ca="1">IF($A53&lt;Customisation!$H$13,N53,N53*(1-Customisation!$H$11*Customisation!$H$12))</f>
        <v>9.7458343562249716E-6</v>
      </c>
      <c r="Y53" s="100">
        <f ca="1">IF($A53&lt;Customisation!$H$13,O53,O53*(1-Customisation!$H$11*Customisation!$H$12))</f>
        <v>3.332590039229253E-2</v>
      </c>
      <c r="Z53" s="100">
        <f ca="1">IF($A53&lt;Customisation!$H$13,P53,P53*(1-Customisation!$H$11*Customisation!$H$12))</f>
        <v>1.1308518871797886E-2</v>
      </c>
      <c r="AA53" s="100">
        <f t="shared" ca="1" si="27"/>
        <v>7.9128028384330048E-5</v>
      </c>
      <c r="AB53" s="100">
        <f t="shared" ca="1" si="12"/>
        <v>2.6850611438522614E-5</v>
      </c>
      <c r="AC53" s="100">
        <f t="shared" ca="1" si="28"/>
        <v>2.782524075053364E-5</v>
      </c>
      <c r="AD53" s="100">
        <f t="shared" ca="1" si="25"/>
        <v>9.441973253106853E-6</v>
      </c>
      <c r="AE53" s="100">
        <f t="shared" ca="1" si="26"/>
        <v>8.2908343380856198E-4</v>
      </c>
      <c r="AF53" s="100">
        <f t="shared" ca="1" si="29"/>
        <v>2.4624811214385379E-4</v>
      </c>
      <c r="AG53" s="100">
        <f t="shared" ca="1" si="13"/>
        <v>4.9441105839412101E-5</v>
      </c>
      <c r="AH53" s="100">
        <f t="shared" ca="1" si="14"/>
        <v>1.6030015174100289E-5</v>
      </c>
      <c r="AI53" s="100">
        <f t="shared" ca="1" si="30"/>
        <v>5.4814669473402668E-2</v>
      </c>
      <c r="AJ53" s="100">
        <f t="shared" ca="1" si="31"/>
        <v>1.8600329380288827E-2</v>
      </c>
      <c r="AL53" s="102">
        <f t="shared" ca="1" si="15"/>
        <v>12.723582174527001</v>
      </c>
      <c r="AM53" s="102">
        <f t="shared" ca="1" si="16"/>
        <v>4.8107793360939954</v>
      </c>
    </row>
    <row r="54" spans="1:39" x14ac:dyDescent="0.15">
      <c r="A54" s="92">
        <f t="shared" si="32"/>
        <v>50</v>
      </c>
      <c r="B54" s="99">
        <f>'Life table'!D52</f>
        <v>0.93748183264480689</v>
      </c>
      <c r="C54" s="99">
        <f>IF($A54&lt;Customisation!$H$13,0,B54)/LOOKUP(Customisation!$H$13,$A$4:$A$104,$B$4:$B$104)</f>
        <v>0.96101820999817389</v>
      </c>
      <c r="D54" s="92">
        <f ca="1">IF($A54&lt;=Customisation!$H$13,1,1/(1+Customisation!$H$21)^($A54-Customisation!$H$13))</f>
        <v>0.32956265498227966</v>
      </c>
      <c r="E54" s="92">
        <f t="shared" ca="1" si="18"/>
        <v>35.28899149366265</v>
      </c>
      <c r="F54" s="92">
        <f t="shared" ca="1" si="8"/>
        <v>0.31671571277331617</v>
      </c>
      <c r="G54" s="100">
        <f ca="1">'Age data'!M58*Customisation!$H$22</f>
        <v>1.2164303837185154E-4</v>
      </c>
      <c r="H54" s="100">
        <f t="shared" ca="1" si="9"/>
        <v>4.0089002685938713E-5</v>
      </c>
      <c r="I54" s="100">
        <f ca="1">'Age data'!N58*Customisation!$H$22</f>
        <v>5.4529637890829994E-5</v>
      </c>
      <c r="J54" s="101">
        <f t="shared" ca="1" si="10"/>
        <v>1.7970932238524249E-5</v>
      </c>
      <c r="K54" s="100">
        <f ca="1">I54*'Life table'!I52</f>
        <v>1.5745172284451078E-3</v>
      </c>
      <c r="L54" s="100">
        <f ca="1">J54*'Life table'!J52</f>
        <v>4.5856447797421805E-4</v>
      </c>
      <c r="M54" s="100">
        <f t="shared" ca="1" si="11"/>
        <v>7.9498496204309809E-5</v>
      </c>
      <c r="N54" s="100">
        <f ca="1">((G54-I54)*$AW$5+I54*$AW$6)/(1+Customisation!$H$21)^($A54-12)</f>
        <v>2.512222386607224E-5</v>
      </c>
      <c r="O54" s="100">
        <f ca="1">G54*Customisation!$H$17</f>
        <v>8.426625910236793E-2</v>
      </c>
      <c r="P54" s="100">
        <f ca="1">O54/(1+Customisation!$H$21)^($A54-12)</f>
        <v>2.7771012075201065E-2</v>
      </c>
      <c r="Q54" s="100">
        <f ca="1">IF($A54&lt;Customisation!$H$13,G54,G54*(1-Customisation!$H$11*Customisation!$H$12))</f>
        <v>4.5993165081338198E-5</v>
      </c>
      <c r="R54" s="100">
        <f ca="1">IF($A54&lt;Customisation!$H$13,H54,H54*(1-Customisation!$H$11*Customisation!$H$12))</f>
        <v>1.5157629595244092E-5</v>
      </c>
      <c r="S54" s="100">
        <f ca="1">IF($A54&lt;Customisation!$H$13,I54,I54*(1-Customisation!$H$11*Customisation!$H$12))</f>
        <v>2.0617625726117119E-5</v>
      </c>
      <c r="T54" s="100">
        <f ca="1">IF($A54&lt;Customisation!$H$13,J54,J54*(1-Customisation!$H$11*Customisation!$H$12))</f>
        <v>6.79479947373011E-6</v>
      </c>
      <c r="U54" s="100">
        <f ca="1">IF($A54&lt;Customisation!$H$13,K54,K54*(1-Customisation!$H$11*Customisation!$H$12))</f>
        <v>5.9532408743289322E-4</v>
      </c>
      <c r="V54" s="100">
        <f ca="1">IF($A54&lt;Customisation!$H$13,L54,L54*(1-Customisation!$H$11*Customisation!$H$12))</f>
        <v>1.7338297380761864E-4</v>
      </c>
      <c r="W54" s="100">
        <f ca="1">IF($A54&lt;Customisation!$H$13,M54,M54*(1-Customisation!$H$11*Customisation!$H$12))</f>
        <v>3.005833715256043E-5</v>
      </c>
      <c r="X54" s="100">
        <f ca="1">IF($A54&lt;Customisation!$H$13,N54,N54*(1-Customisation!$H$11*Customisation!$H$12))</f>
        <v>9.4986988564893372E-6</v>
      </c>
      <c r="Y54" s="100">
        <f ca="1">IF($A54&lt;Customisation!$H$13,O54,O54*(1-Customisation!$H$11*Customisation!$H$12))</f>
        <v>3.1861025649774173E-2</v>
      </c>
      <c r="Z54" s="100">
        <f ca="1">IF($A54&lt;Customisation!$H$13,P54,P54*(1-Customisation!$H$11*Customisation!$H$12))</f>
        <v>1.0500204203598089E-2</v>
      </c>
      <c r="AA54" s="100">
        <f t="shared" ca="1" si="27"/>
        <v>7.5649873290513343E-5</v>
      </c>
      <c r="AB54" s="100">
        <f t="shared" ca="1" si="12"/>
        <v>2.4931373090694619E-5</v>
      </c>
      <c r="AC54" s="100">
        <f t="shared" ca="1" si="28"/>
        <v>3.3912012164712878E-5</v>
      </c>
      <c r="AD54" s="100">
        <f t="shared" ca="1" si="25"/>
        <v>1.1176132764794139E-5</v>
      </c>
      <c r="AE54" s="100">
        <f t="shared" ca="1" si="26"/>
        <v>9.7919314101221466E-4</v>
      </c>
      <c r="AF54" s="100">
        <f t="shared" ca="1" si="29"/>
        <v>2.8518150416659944E-4</v>
      </c>
      <c r="AG54" s="100">
        <f t="shared" ca="1" si="13"/>
        <v>4.9440159051749379E-5</v>
      </c>
      <c r="AH54" s="100">
        <f t="shared" ca="1" si="14"/>
        <v>1.5623525009582903E-5</v>
      </c>
      <c r="AI54" s="100">
        <f t="shared" ca="1" si="30"/>
        <v>5.2405233452593757E-2</v>
      </c>
      <c r="AJ54" s="100">
        <f t="shared" ca="1" si="31"/>
        <v>1.7270807871602976E-2</v>
      </c>
      <c r="AL54" s="102">
        <f t="shared" ca="1" si="15"/>
        <v>12.164303837185154</v>
      </c>
      <c r="AM54" s="102">
        <f t="shared" ca="1" si="16"/>
        <v>4.5993165081338194</v>
      </c>
    </row>
    <row r="55" spans="1:39" x14ac:dyDescent="0.15">
      <c r="A55" s="92">
        <f t="shared" si="32"/>
        <v>51</v>
      </c>
      <c r="B55" s="99">
        <f>'Life table'!D53</f>
        <v>0.93361940749431027</v>
      </c>
      <c r="C55" s="99">
        <f>IF($A55&lt;Customisation!$H$13,0,B55)/LOOKUP(Customisation!$H$13,$A$4:$A$104,$B$4:$B$104)</f>
        <v>0.9570588149729814</v>
      </c>
      <c r="D55" s="92">
        <f ca="1">IF($A55&lt;=Customisation!$H$13,1,1/(1+Customisation!$H$21)^($A55-Customisation!$H$13))</f>
        <v>0.32007529218756886</v>
      </c>
      <c r="E55" s="92">
        <f t="shared" ca="1" si="18"/>
        <v>35.618554148644932</v>
      </c>
      <c r="F55" s="92">
        <f t="shared" ca="1" si="8"/>
        <v>0.30633087984316543</v>
      </c>
      <c r="G55" s="100">
        <f ca="1">'Age data'!M59*Customisation!$H$22</f>
        <v>1.2164303837185154E-4</v>
      </c>
      <c r="H55" s="100">
        <f t="shared" ca="1" si="9"/>
        <v>3.8934931049454036E-5</v>
      </c>
      <c r="I55" s="100">
        <f ca="1">'Age data'!N59*Customisation!$H$22</f>
        <v>5.4529637890829994E-5</v>
      </c>
      <c r="J55" s="101">
        <f t="shared" ca="1" si="10"/>
        <v>1.7453589780789738E-5</v>
      </c>
      <c r="K55" s="100">
        <f ca="1">I55*'Life table'!I53</f>
        <v>1.5263886428167378E-3</v>
      </c>
      <c r="L55" s="100">
        <f ca="1">J55*'Life table'!J53</f>
        <v>4.3570738886107178E-4</v>
      </c>
      <c r="M55" s="100">
        <f t="shared" ca="1" si="11"/>
        <v>7.9498496204309809E-5</v>
      </c>
      <c r="N55" s="100">
        <f ca="1">((G55-I55)*$AW$5+I55*$AW$6)/(1+Customisation!$H$21)^($A55-12)</f>
        <v>2.439901191100353E-5</v>
      </c>
      <c r="O55" s="100">
        <f ca="1">G55*Customisation!$H$17</f>
        <v>8.426625910236793E-2</v>
      </c>
      <c r="P55" s="100">
        <f ca="1">O55/(1+Customisation!$H$21)^($A55-12)</f>
        <v>2.6971547503743802E-2</v>
      </c>
      <c r="Q55" s="100">
        <f ca="1">IF($A55&lt;Customisation!$H$13,G55,G55*(1-Customisation!$H$11*Customisation!$H$12))</f>
        <v>4.5993165081338198E-5</v>
      </c>
      <c r="R55" s="100">
        <f ca="1">IF($A55&lt;Customisation!$H$13,H55,H55*(1-Customisation!$H$11*Customisation!$H$12))</f>
        <v>1.4721275752040414E-5</v>
      </c>
      <c r="S55" s="100">
        <f ca="1">IF($A55&lt;Customisation!$H$13,I55,I55*(1-Customisation!$H$11*Customisation!$H$12))</f>
        <v>2.0617625726117119E-5</v>
      </c>
      <c r="T55" s="100">
        <f ca="1">IF($A55&lt;Customisation!$H$13,J55,J55*(1-Customisation!$H$11*Customisation!$H$12))</f>
        <v>6.5991925785008745E-6</v>
      </c>
      <c r="U55" s="100">
        <f ca="1">IF($A55&lt;Customisation!$H$13,K55,K55*(1-Customisation!$H$11*Customisation!$H$12))</f>
        <v>5.7712669600330552E-4</v>
      </c>
      <c r="V55" s="100">
        <f ca="1">IF($A55&lt;Customisation!$H$13,L55,L55*(1-Customisation!$H$11*Customisation!$H$12))</f>
        <v>1.6474072114005406E-4</v>
      </c>
      <c r="W55" s="100">
        <f ca="1">IF($A55&lt;Customisation!$H$13,M55,M55*(1-Customisation!$H$11*Customisation!$H$12))</f>
        <v>3.005833715256043E-5</v>
      </c>
      <c r="X55" s="100">
        <f ca="1">IF($A55&lt;Customisation!$H$13,N55,N55*(1-Customisation!$H$11*Customisation!$H$12))</f>
        <v>9.2252528189397731E-6</v>
      </c>
      <c r="Y55" s="100">
        <f ca="1">IF($A55&lt;Customisation!$H$13,O55,O55*(1-Customisation!$H$11*Customisation!$H$12))</f>
        <v>3.1861025649774173E-2</v>
      </c>
      <c r="Z55" s="100">
        <f ca="1">IF($A55&lt;Customisation!$H$13,P55,P55*(1-Customisation!$H$11*Customisation!$H$12))</f>
        <v>1.0197927094247095E-2</v>
      </c>
      <c r="AA55" s="100">
        <f t="shared" ca="1" si="27"/>
        <v>7.5649873290513343E-5</v>
      </c>
      <c r="AB55" s="100">
        <f t="shared" ca="1" si="12"/>
        <v>2.4213655297413622E-5</v>
      </c>
      <c r="AC55" s="100">
        <f t="shared" ca="1" si="28"/>
        <v>3.3912012164712878E-5</v>
      </c>
      <c r="AD55" s="100">
        <f t="shared" ca="1" si="25"/>
        <v>1.0854397202288863E-5</v>
      </c>
      <c r="AE55" s="100">
        <f t="shared" ca="1" si="26"/>
        <v>9.4926194681343231E-4</v>
      </c>
      <c r="AF55" s="100">
        <f t="shared" ca="1" si="29"/>
        <v>2.7096666772101773E-4</v>
      </c>
      <c r="AG55" s="100">
        <f t="shared" ca="1" si="13"/>
        <v>4.9440159051749379E-5</v>
      </c>
      <c r="AH55" s="100">
        <f t="shared" ca="1" si="14"/>
        <v>1.5173759092063757E-5</v>
      </c>
      <c r="AI55" s="100">
        <f t="shared" ca="1" si="30"/>
        <v>5.2405233452593757E-2</v>
      </c>
      <c r="AJ55" s="100">
        <f t="shared" ca="1" si="31"/>
        <v>1.6773620409496707E-2</v>
      </c>
      <c r="AL55" s="102">
        <f t="shared" ca="1" si="15"/>
        <v>12.164303837185154</v>
      </c>
      <c r="AM55" s="102">
        <f t="shared" ca="1" si="16"/>
        <v>4.5993165081338194</v>
      </c>
    </row>
    <row r="56" spans="1:39" x14ac:dyDescent="0.15">
      <c r="A56" s="92">
        <f t="shared" si="32"/>
        <v>52</v>
      </c>
      <c r="B56" s="99">
        <f>'Life table'!D54</f>
        <v>0.92977289553543374</v>
      </c>
      <c r="C56" s="99">
        <f>IF($A56&lt;Customisation!$H$13,0,B56)/LOOKUP(Customisation!$H$13,$A$4:$A$104,$B$4:$B$104)</f>
        <v>0.95311573265529281</v>
      </c>
      <c r="D56" s="92">
        <f ca="1">IF($A56&lt;=Customisation!$H$13,1,1/(1+Customisation!$H$21)^($A56-Customisation!$H$13))</f>
        <v>0.31086104909085088</v>
      </c>
      <c r="E56" s="92">
        <f t="shared" ca="1" si="18"/>
        <v>35.9386294408325</v>
      </c>
      <c r="F56" s="92">
        <f t="shared" ca="1" si="8"/>
        <v>0.29628655655821928</v>
      </c>
      <c r="G56" s="100">
        <f ca="1">'Age data'!M60*Customisation!$H$22</f>
        <v>1.2164303837185154E-4</v>
      </c>
      <c r="H56" s="100">
        <f t="shared" ca="1" si="9"/>
        <v>3.78140825228724E-5</v>
      </c>
      <c r="I56" s="100">
        <f ca="1">'Age data'!N60*Customisation!$H$22</f>
        <v>5.4529637890829994E-5</v>
      </c>
      <c r="J56" s="101">
        <f t="shared" ca="1" si="10"/>
        <v>1.6951140441287625E-5</v>
      </c>
      <c r="K56" s="100">
        <f ca="1">I56*'Life table'!I54</f>
        <v>1.4780609470819407E-3</v>
      </c>
      <c r="L56" s="100">
        <f ca="1">J56*'Life table'!J54</f>
        <v>4.1347099008288355E-4</v>
      </c>
      <c r="M56" s="100">
        <f t="shared" ca="1" si="11"/>
        <v>7.9498496204309809E-5</v>
      </c>
      <c r="N56" s="100">
        <f ca="1">((G56-I56)*$AW$5+I56*$AW$6)/(1+Customisation!$H$21)^($A56-12)</f>
        <v>2.3696619590961665E-5</v>
      </c>
      <c r="O56" s="100">
        <f ca="1">G56*Customisation!$H$17</f>
        <v>8.426625910236793E-2</v>
      </c>
      <c r="P56" s="100">
        <f ca="1">O56/(1+Customisation!$H$21)^($A56-12)</f>
        <v>2.6195097707523558E-2</v>
      </c>
      <c r="Q56" s="100">
        <f ca="1">IF($A56&lt;Customisation!$H$13,G56,G56*(1-Customisation!$H$11*Customisation!$H$12))</f>
        <v>4.5993165081338198E-5</v>
      </c>
      <c r="R56" s="100">
        <f ca="1">IF($A56&lt;Customisation!$H$13,H56,H56*(1-Customisation!$H$11*Customisation!$H$12))</f>
        <v>1.4297483548193483E-5</v>
      </c>
      <c r="S56" s="100">
        <f ca="1">IF($A56&lt;Customisation!$H$13,I56,I56*(1-Customisation!$H$11*Customisation!$H$12))</f>
        <v>2.0617625726117119E-5</v>
      </c>
      <c r="T56" s="100">
        <f ca="1">IF($A56&lt;Customisation!$H$13,J56,J56*(1-Customisation!$H$11*Customisation!$H$12))</f>
        <v>6.4092167629832841E-6</v>
      </c>
      <c r="U56" s="100">
        <f ca="1">IF($A56&lt;Customisation!$H$13,K56,K56*(1-Customisation!$H$11*Customisation!$H$12))</f>
        <v>5.5885402115333593E-4</v>
      </c>
      <c r="V56" s="100">
        <f ca="1">IF($A56&lt;Customisation!$H$13,L56,L56*(1-Customisation!$H$11*Customisation!$H$12))</f>
        <v>1.5633315114255605E-4</v>
      </c>
      <c r="W56" s="100">
        <f ca="1">IF($A56&lt;Customisation!$H$13,M56,M56*(1-Customisation!$H$11*Customisation!$H$12))</f>
        <v>3.005833715256043E-5</v>
      </c>
      <c r="X56" s="100">
        <f ca="1">IF($A56&lt;Customisation!$H$13,N56,N56*(1-Customisation!$H$11*Customisation!$H$12))</f>
        <v>8.9596786738021326E-6</v>
      </c>
      <c r="Y56" s="100">
        <f ca="1">IF($A56&lt;Customisation!$H$13,O56,O56*(1-Customisation!$H$11*Customisation!$H$12))</f>
        <v>3.1861025649774173E-2</v>
      </c>
      <c r="Z56" s="100">
        <f ca="1">IF($A56&lt;Customisation!$H$13,P56,P56*(1-Customisation!$H$11*Customisation!$H$12))</f>
        <v>9.9043518585993084E-3</v>
      </c>
      <c r="AA56" s="100">
        <f t="shared" ca="1" si="27"/>
        <v>7.5649873290513343E-5</v>
      </c>
      <c r="AB56" s="100">
        <f t="shared" ca="1" si="12"/>
        <v>2.3516598974678917E-5</v>
      </c>
      <c r="AC56" s="100">
        <f t="shared" ca="1" si="28"/>
        <v>3.3912012164712878E-5</v>
      </c>
      <c r="AD56" s="100">
        <f t="shared" ca="1" si="25"/>
        <v>1.0541923678304341E-5</v>
      </c>
      <c r="AE56" s="100">
        <f t="shared" ca="1" si="26"/>
        <v>9.1920692592860473E-4</v>
      </c>
      <c r="AF56" s="100">
        <f t="shared" ca="1" si="29"/>
        <v>2.5713783894032753E-4</v>
      </c>
      <c r="AG56" s="100">
        <f t="shared" ca="1" si="13"/>
        <v>4.9440159051749379E-5</v>
      </c>
      <c r="AH56" s="100">
        <f t="shared" ca="1" si="14"/>
        <v>1.4736940917159532E-5</v>
      </c>
      <c r="AI56" s="100">
        <f t="shared" ca="1" si="30"/>
        <v>5.2405233452593757E-2</v>
      </c>
      <c r="AJ56" s="100">
        <f t="shared" ca="1" si="31"/>
        <v>1.6290745848924249E-2</v>
      </c>
      <c r="AL56" s="102">
        <f t="shared" ca="1" si="15"/>
        <v>12.164303837185154</v>
      </c>
      <c r="AM56" s="102">
        <f t="shared" ca="1" si="16"/>
        <v>4.5993165081338194</v>
      </c>
    </row>
    <row r="57" spans="1:39" x14ac:dyDescent="0.15">
      <c r="A57" s="92">
        <f t="shared" si="32"/>
        <v>53</v>
      </c>
      <c r="B57" s="99">
        <f>'Life table'!D55</f>
        <v>0.92594223120582775</v>
      </c>
      <c r="C57" s="99">
        <f>IF($A57&lt;Customisation!$H$13,0,B57)/LOOKUP(Customisation!$H$13,$A$4:$A$104,$B$4:$B$104)</f>
        <v>0.94918889583675292</v>
      </c>
      <c r="D57" s="92">
        <f ca="1">IF($A57&lt;=Customisation!$H$13,1,1/(1+Customisation!$H$21)^($A57-Customisation!$H$13))</f>
        <v>0.30191206319429087</v>
      </c>
      <c r="E57" s="92">
        <f t="shared" ca="1" si="18"/>
        <v>36.249490489923353</v>
      </c>
      <c r="F57" s="92">
        <f t="shared" ca="1" si="8"/>
        <v>0.28657157790318494</v>
      </c>
      <c r="G57" s="100">
        <f ca="1">'Age data'!M61*Customisation!$H$22</f>
        <v>1.2164303837185154E-4</v>
      </c>
      <c r="H57" s="100">
        <f t="shared" ca="1" si="9"/>
        <v>3.672550068806799E-5</v>
      </c>
      <c r="I57" s="100">
        <f ca="1">'Age data'!N61*Customisation!$H$22</f>
        <v>5.4529637890829994E-5</v>
      </c>
      <c r="J57" s="101">
        <f t="shared" ca="1" si="10"/>
        <v>1.6463155480858062E-5</v>
      </c>
      <c r="K57" s="100">
        <f ca="1">I57*'Life table'!I55</f>
        <v>1.4295333175133205E-3</v>
      </c>
      <c r="L57" s="100">
        <f ca="1">J57*'Life table'!J55</f>
        <v>3.9186788812779061E-4</v>
      </c>
      <c r="M57" s="100">
        <f t="shared" ca="1" si="11"/>
        <v>7.9498496204309809E-5</v>
      </c>
      <c r="N57" s="100">
        <f ca="1">((G57-I57)*$AW$5+I57*$AW$6)/(1+Customisation!$H$21)^($A57-12)</f>
        <v>2.3014447555784341E-5</v>
      </c>
      <c r="O57" s="100">
        <f ca="1">G57*Customisation!$H$17</f>
        <v>8.426625910236793E-2</v>
      </c>
      <c r="P57" s="100">
        <f ca="1">O57/(1+Customisation!$H$21)^($A57-12)</f>
        <v>2.5441000143260596E-2</v>
      </c>
      <c r="Q57" s="100">
        <f ca="1">IF($A57&lt;Customisation!$H$13,G57,G57*(1-Customisation!$H$11*Customisation!$H$12))</f>
        <v>4.5993165081338198E-5</v>
      </c>
      <c r="R57" s="100">
        <f ca="1">IF($A57&lt;Customisation!$H$13,H57,H57*(1-Customisation!$H$11*Customisation!$H$12))</f>
        <v>1.388589136254243E-5</v>
      </c>
      <c r="S57" s="100">
        <f ca="1">IF($A57&lt;Customisation!$H$13,I57,I57*(1-Customisation!$H$11*Customisation!$H$12))</f>
        <v>2.0617625726117119E-5</v>
      </c>
      <c r="T57" s="100">
        <f ca="1">IF($A57&lt;Customisation!$H$13,J57,J57*(1-Customisation!$H$11*Customisation!$H$12))</f>
        <v>6.2247099211397085E-6</v>
      </c>
      <c r="U57" s="100">
        <f ca="1">IF($A57&lt;Customisation!$H$13,K57,K57*(1-Customisation!$H$11*Customisation!$H$12))</f>
        <v>5.4050575143211493E-4</v>
      </c>
      <c r="V57" s="100">
        <f ca="1">IF($A57&lt;Customisation!$H$13,L57,L57*(1-Customisation!$H$11*Customisation!$H$12))</f>
        <v>1.4816503032127041E-4</v>
      </c>
      <c r="W57" s="100">
        <f ca="1">IF($A57&lt;Customisation!$H$13,M57,M57*(1-Customisation!$H$11*Customisation!$H$12))</f>
        <v>3.005833715256043E-5</v>
      </c>
      <c r="X57" s="100">
        <f ca="1">IF($A57&lt;Customisation!$H$13,N57,N57*(1-Customisation!$H$11*Customisation!$H$12))</f>
        <v>8.7017498071137489E-6</v>
      </c>
      <c r="Y57" s="100">
        <f ca="1">IF($A57&lt;Customisation!$H$13,O57,O57*(1-Customisation!$H$11*Customisation!$H$12))</f>
        <v>3.1861025649774173E-2</v>
      </c>
      <c r="Z57" s="100">
        <f ca="1">IF($A57&lt;Customisation!$H$13,P57,P57*(1-Customisation!$H$11*Customisation!$H$12))</f>
        <v>9.6192279894095432E-3</v>
      </c>
      <c r="AA57" s="100">
        <f t="shared" ca="1" si="27"/>
        <v>7.5649873290513343E-5</v>
      </c>
      <c r="AB57" s="100">
        <f t="shared" ca="1" si="12"/>
        <v>2.2839609325525558E-5</v>
      </c>
      <c r="AC57" s="100">
        <f t="shared" ca="1" si="28"/>
        <v>3.3912012164712878E-5</v>
      </c>
      <c r="AD57" s="100">
        <f t="shared" ca="1" si="25"/>
        <v>1.0238445559718353E-5</v>
      </c>
      <c r="AE57" s="100">
        <f t="shared" ca="1" si="26"/>
        <v>8.8902756608120559E-4</v>
      </c>
      <c r="AF57" s="100">
        <f t="shared" ca="1" si="29"/>
        <v>2.437028578065202E-4</v>
      </c>
      <c r="AG57" s="100">
        <f t="shared" ca="1" si="13"/>
        <v>4.9440159051749379E-5</v>
      </c>
      <c r="AH57" s="100">
        <f t="shared" ca="1" si="14"/>
        <v>1.4312697748670592E-5</v>
      </c>
      <c r="AI57" s="100">
        <f t="shared" ca="1" si="30"/>
        <v>5.2405233452593757E-2</v>
      </c>
      <c r="AJ57" s="100">
        <f t="shared" ca="1" si="31"/>
        <v>1.5821772153851055E-2</v>
      </c>
      <c r="AL57" s="102">
        <f t="shared" ca="1" si="15"/>
        <v>12.164303837185154</v>
      </c>
      <c r="AM57" s="102">
        <f t="shared" ca="1" si="16"/>
        <v>4.5993165081338194</v>
      </c>
    </row>
    <row r="58" spans="1:39" x14ac:dyDescent="0.15">
      <c r="A58" s="92">
        <f t="shared" si="32"/>
        <v>54</v>
      </c>
      <c r="B58" s="99">
        <f>'Life table'!D56</f>
        <v>0.92212734921325967</v>
      </c>
      <c r="C58" s="99">
        <f>IF($A58&lt;Customisation!$H$13,0,B58)/LOOKUP(Customisation!$H$13,$A$4:$A$104,$B$4:$B$104)</f>
        <v>0.94527823758590546</v>
      </c>
      <c r="D58" s="92">
        <f ca="1">IF($A58&lt;=Customisation!$H$13,1,1/(1+Customisation!$H$21)^($A58-Customisation!$H$13))</f>
        <v>0.29322069834356801</v>
      </c>
      <c r="E58" s="92">
        <f t="shared" ca="1" si="18"/>
        <v>36.551402553117647</v>
      </c>
      <c r="F58" s="92">
        <f t="shared" ca="1" si="8"/>
        <v>0.27717514495391637</v>
      </c>
      <c r="G58" s="100">
        <f ca="1">'Age data'!M62*Customisation!$H$22</f>
        <v>1.2164303837185154E-4</v>
      </c>
      <c r="H58" s="100">
        <f t="shared" ca="1" si="9"/>
        <v>3.5668256660027749E-5</v>
      </c>
      <c r="I58" s="100">
        <f ca="1">'Age data'!N62*Customisation!$H$22</f>
        <v>5.4529637890829994E-5</v>
      </c>
      <c r="J58" s="101">
        <f t="shared" ca="1" si="10"/>
        <v>1.5989218502771058E-5</v>
      </c>
      <c r="K58" s="100">
        <f ca="1">I58*'Life table'!I56</f>
        <v>1.3808049269756855E-3</v>
      </c>
      <c r="L58" s="100">
        <f ca="1">J58*'Life table'!J56</f>
        <v>3.7088107911620658E-4</v>
      </c>
      <c r="M58" s="100">
        <f t="shared" ca="1" si="11"/>
        <v>7.9498496204309809E-5</v>
      </c>
      <c r="N58" s="100">
        <f ca="1">((G58-I58)*$AW$5+I58*$AW$6)/(1+Customisation!$H$21)^($A58-12)</f>
        <v>2.2351913709243652E-5</v>
      </c>
      <c r="O58" s="100">
        <f ca="1">G58*Customisation!$H$17</f>
        <v>8.426625910236793E-2</v>
      </c>
      <c r="P58" s="100">
        <f ca="1">O58/(1+Customisation!$H$21)^($A58-12)</f>
        <v>2.4708611340796369E-2</v>
      </c>
      <c r="Q58" s="100">
        <f ca="1">IF($A58&lt;Customisation!$H$13,G58,G58*(1-Customisation!$H$11*Customisation!$H$12))</f>
        <v>4.5993165081338198E-5</v>
      </c>
      <c r="R58" s="100">
        <f ca="1">IF($A58&lt;Customisation!$H$13,H58,H58*(1-Customisation!$H$11*Customisation!$H$12))</f>
        <v>1.3486147984180993E-5</v>
      </c>
      <c r="S58" s="100">
        <f ca="1">IF($A58&lt;Customisation!$H$13,I58,I58*(1-Customisation!$H$11*Customisation!$H$12))</f>
        <v>2.0617625726117119E-5</v>
      </c>
      <c r="T58" s="100">
        <f ca="1">IF($A58&lt;Customisation!$H$13,J58,J58*(1-Customisation!$H$11*Customisation!$H$12))</f>
        <v>6.0455146135983758E-6</v>
      </c>
      <c r="U58" s="100">
        <f ca="1">IF($A58&lt;Customisation!$H$13,K58,K58*(1-Customisation!$H$11*Customisation!$H$12))</f>
        <v>5.2208157410028682E-4</v>
      </c>
      <c r="V58" s="100">
        <f ca="1">IF($A58&lt;Customisation!$H$13,L58,L58*(1-Customisation!$H$11*Customisation!$H$12))</f>
        <v>1.4022992951879274E-4</v>
      </c>
      <c r="W58" s="100">
        <f ca="1">IF($A58&lt;Customisation!$H$13,M58,M58*(1-Customisation!$H$11*Customisation!$H$12))</f>
        <v>3.005833715256043E-5</v>
      </c>
      <c r="X58" s="100">
        <f ca="1">IF($A58&lt;Customisation!$H$13,N58,N58*(1-Customisation!$H$11*Customisation!$H$12))</f>
        <v>8.4512461286149469E-6</v>
      </c>
      <c r="Y58" s="100">
        <f ca="1">IF($A58&lt;Customisation!$H$13,O58,O58*(1-Customisation!$H$11*Customisation!$H$12))</f>
        <v>3.1861025649774173E-2</v>
      </c>
      <c r="Z58" s="100">
        <f ca="1">IF($A58&lt;Customisation!$H$13,P58,P58*(1-Customisation!$H$11*Customisation!$H$12))</f>
        <v>9.3423121909691157E-3</v>
      </c>
      <c r="AA58" s="100">
        <f t="shared" ca="1" si="27"/>
        <v>7.5649873290513343E-5</v>
      </c>
      <c r="AB58" s="100">
        <f t="shared" ca="1" si="12"/>
        <v>2.2182108675846756E-5</v>
      </c>
      <c r="AC58" s="100">
        <f t="shared" ca="1" si="28"/>
        <v>3.3912012164712878E-5</v>
      </c>
      <c r="AD58" s="100">
        <f t="shared" ca="1" si="25"/>
        <v>9.9437038891726831E-6</v>
      </c>
      <c r="AE58" s="100">
        <f t="shared" ca="1" si="26"/>
        <v>8.5872335287539864E-4</v>
      </c>
      <c r="AF58" s="100">
        <f t="shared" ca="1" si="29"/>
        <v>2.3065114959741384E-4</v>
      </c>
      <c r="AG58" s="100">
        <f t="shared" ca="1" si="13"/>
        <v>4.9440159051749379E-5</v>
      </c>
      <c r="AH58" s="100">
        <f t="shared" ca="1" si="14"/>
        <v>1.3900667580628705E-5</v>
      </c>
      <c r="AI58" s="100">
        <f t="shared" ca="1" si="30"/>
        <v>5.2405233452593757E-2</v>
      </c>
      <c r="AJ58" s="100">
        <f t="shared" ca="1" si="31"/>
        <v>1.5366299149827253E-2</v>
      </c>
      <c r="AL58" s="102">
        <f t="shared" ca="1" si="15"/>
        <v>12.164303837185154</v>
      </c>
      <c r="AM58" s="102">
        <f t="shared" ca="1" si="16"/>
        <v>4.5993165081338194</v>
      </c>
    </row>
    <row r="59" spans="1:39" x14ac:dyDescent="0.15">
      <c r="A59" s="92">
        <f t="shared" si="32"/>
        <v>55</v>
      </c>
      <c r="B59" s="99">
        <f>'Life table'!D57</f>
        <v>0.91832818453450105</v>
      </c>
      <c r="C59" s="99">
        <f>IF($A59&lt;Customisation!$H$13,0,B59)/LOOKUP(Customisation!$H$13,$A$4:$A$104,$B$4:$B$104)</f>
        <v>0.94138369124705157</v>
      </c>
      <c r="D59" s="92">
        <f ca="1">IF($A59&lt;=Customisation!$H$13,1,1/(1+Customisation!$H$21)^($A59-Customisation!$H$13))</f>
        <v>0.28477953821195828</v>
      </c>
      <c r="E59" s="92">
        <f t="shared" ca="1" si="18"/>
        <v>36.844623251461215</v>
      </c>
      <c r="F59" s="92">
        <f t="shared" ca="1" si="8"/>
        <v>0.26808681287360409</v>
      </c>
      <c r="G59" s="100">
        <f ca="1">'Age data'!M63*Customisation!$H$22</f>
        <v>1.0766107993830538E-4</v>
      </c>
      <c r="H59" s="100">
        <f t="shared" ca="1" si="9"/>
        <v>3.0659672628231331E-5</v>
      </c>
      <c r="I59" s="100">
        <f ca="1">'Age data'!N63*Customisation!$H$22</f>
        <v>6.1520617107603076E-5</v>
      </c>
      <c r="J59" s="101">
        <f t="shared" ca="1" si="10"/>
        <v>1.7519812930417904E-5</v>
      </c>
      <c r="K59" s="100">
        <f ca="1">I59*'Life table'!I57</f>
        <v>1.5026281429775818E-3</v>
      </c>
      <c r="L59" s="100">
        <f ca="1">J59*'Life table'!J57</f>
        <v>3.9542630268392723E-4</v>
      </c>
      <c r="M59" s="100">
        <f t="shared" ca="1" si="11"/>
        <v>7.4300874245468814E-5</v>
      </c>
      <c r="N59" s="100">
        <f ca="1">((G59-I59)*$AW$5+I59*$AW$6)/(1+Customisation!$H$21)^($A59-12)</f>
        <v>2.0371980924473862E-5</v>
      </c>
      <c r="O59" s="100">
        <f ca="1">G59*Customisation!$H$17</f>
        <v>7.4580482194049766E-2</v>
      </c>
      <c r="P59" s="100">
        <f ca="1">O59/(1+Customisation!$H$21)^($A59-12)</f>
        <v>2.1238995278846672E-2</v>
      </c>
      <c r="Q59" s="100">
        <f ca="1">IF($A59&lt;Customisation!$H$13,G59,G59*(1-Customisation!$H$11*Customisation!$H$12))</f>
        <v>4.0706594382333804E-5</v>
      </c>
      <c r="R59" s="100">
        <f ca="1">IF($A59&lt;Customisation!$H$13,H59,H59*(1-Customisation!$H$11*Customisation!$H$12))</f>
        <v>1.1592405150382515E-5</v>
      </c>
      <c r="S59" s="100">
        <f ca="1">IF($A59&lt;Customisation!$H$13,I59,I59*(1-Customisation!$H$11*Customisation!$H$12))</f>
        <v>2.3260911075619317E-5</v>
      </c>
      <c r="T59" s="100">
        <f ca="1">IF($A59&lt;Customisation!$H$13,J59,J59*(1-Customisation!$H$11*Customisation!$H$12))</f>
        <v>6.6242315145042944E-6</v>
      </c>
      <c r="U59" s="100">
        <f ca="1">IF($A59&lt;Customisation!$H$13,K59,K59*(1-Customisation!$H$11*Customisation!$H$12))</f>
        <v>5.6814286424322765E-4</v>
      </c>
      <c r="V59" s="100">
        <f ca="1">IF($A59&lt;Customisation!$H$13,L59,L59*(1-Customisation!$H$11*Customisation!$H$12))</f>
        <v>1.4951046488373114E-4</v>
      </c>
      <c r="W59" s="100">
        <f ca="1">IF($A59&lt;Customisation!$H$13,M59,M59*(1-Customisation!$H$11*Customisation!$H$12))</f>
        <v>2.8093119183796835E-5</v>
      </c>
      <c r="X59" s="100">
        <f ca="1">IF($A59&lt;Customisation!$H$13,N59,N59*(1-Customisation!$H$11*Customisation!$H$12))</f>
        <v>7.7026346450584588E-6</v>
      </c>
      <c r="Y59" s="100">
        <f ca="1">IF($A59&lt;Customisation!$H$13,O59,O59*(1-Customisation!$H$11*Customisation!$H$12))</f>
        <v>2.8198838793478287E-2</v>
      </c>
      <c r="Z59" s="100">
        <f ca="1">IF($A59&lt;Customisation!$H$13,P59,P59*(1-Customisation!$H$11*Customisation!$H$12))</f>
        <v>8.0304522897202014E-3</v>
      </c>
      <c r="AA59" s="100">
        <f t="shared" ca="1" si="27"/>
        <v>6.6954485555971579E-5</v>
      </c>
      <c r="AB59" s="100">
        <f t="shared" ca="1" si="12"/>
        <v>1.9067267477848815E-5</v>
      </c>
      <c r="AC59" s="100">
        <f t="shared" ca="1" si="28"/>
        <v>3.8259706031983759E-5</v>
      </c>
      <c r="AD59" s="100">
        <f t="shared" ca="1" si="25"/>
        <v>1.089558141591361E-5</v>
      </c>
      <c r="AE59" s="100">
        <f t="shared" ca="1" si="26"/>
        <v>9.3448527873435416E-4</v>
      </c>
      <c r="AF59" s="100">
        <f t="shared" ca="1" si="29"/>
        <v>2.4591583780019606E-4</v>
      </c>
      <c r="AG59" s="100">
        <f t="shared" ca="1" si="13"/>
        <v>4.620775506167198E-5</v>
      </c>
      <c r="AH59" s="100">
        <f t="shared" ca="1" si="14"/>
        <v>1.2669346279415403E-5</v>
      </c>
      <c r="AI59" s="100">
        <f t="shared" ca="1" si="30"/>
        <v>4.6381643400571479E-2</v>
      </c>
      <c r="AJ59" s="100">
        <f t="shared" ca="1" si="31"/>
        <v>1.320854298912647E-2</v>
      </c>
      <c r="AL59" s="102">
        <f t="shared" ca="1" si="15"/>
        <v>10.766107993830538</v>
      </c>
      <c r="AM59" s="102">
        <f t="shared" ca="1" si="16"/>
        <v>4.0706594382333803</v>
      </c>
    </row>
    <row r="60" spans="1:39" x14ac:dyDescent="0.15">
      <c r="A60" s="92">
        <f t="shared" si="32"/>
        <v>56</v>
      </c>
      <c r="B60" s="99">
        <f>'Life table'!D58</f>
        <v>0.91246006743532559</v>
      </c>
      <c r="C60" s="99">
        <f>IF($A60&lt;Customisation!$H$13,0,B60)/LOOKUP(Customisation!$H$13,$A$4:$A$104,$B$4:$B$104)</f>
        <v>0.93536824945998287</v>
      </c>
      <c r="D60" s="92">
        <f ca="1">IF($A60&lt;=Customisation!$H$13,1,1/(1+Customisation!$H$21)^($A60-Customisation!$H$13))</f>
        <v>0.27658137997199539</v>
      </c>
      <c r="E60" s="92">
        <f t="shared" ca="1" si="18"/>
        <v>37.129402789673172</v>
      </c>
      <c r="F60" s="92">
        <f t="shared" ca="1" si="8"/>
        <v>0.25870544121763167</v>
      </c>
      <c r="G60" s="100">
        <f ca="1">'Age data'!M64*Customisation!$H$22</f>
        <v>1.0766107993830538E-4</v>
      </c>
      <c r="H60" s="100">
        <f t="shared" ca="1" si="9"/>
        <v>2.977705005861181E-5</v>
      </c>
      <c r="I60" s="100">
        <f ca="1">'Age data'!N64*Customisation!$H$22</f>
        <v>6.1520617107603076E-5</v>
      </c>
      <c r="J60" s="101">
        <f t="shared" ca="1" si="10"/>
        <v>1.7015457176349606E-5</v>
      </c>
      <c r="K60" s="100">
        <f ca="1">I60*'Life table'!I58</f>
        <v>1.4505732472918326E-3</v>
      </c>
      <c r="L60" s="100">
        <f ca="1">J60*'Life table'!J58</f>
        <v>3.7375281596733432E-4</v>
      </c>
      <c r="M60" s="100">
        <f t="shared" ca="1" si="11"/>
        <v>7.4300874245468814E-5</v>
      </c>
      <c r="N60" s="100">
        <f ca="1">((G60-I60)*$AW$5+I60*$AW$6)/(1+Customisation!$H$21)^($A60-12)</f>
        <v>1.9785517710406715E-5</v>
      </c>
      <c r="O60" s="100">
        <f ca="1">G60*Customisation!$H$17</f>
        <v>7.4580482194049766E-2</v>
      </c>
      <c r="P60" s="100">
        <f ca="1">O60/(1+Customisation!$H$21)^($A60-12)</f>
        <v>2.0627572684207111E-2</v>
      </c>
      <c r="Q60" s="100">
        <f ca="1">IF($A60&lt;Customisation!$H$13,G60,G60*(1-Customisation!$H$11*Customisation!$H$12))</f>
        <v>4.0706594382333804E-5</v>
      </c>
      <c r="R60" s="100">
        <f ca="1">IF($A60&lt;Customisation!$H$13,H60,H60*(1-Customisation!$H$11*Customisation!$H$12))</f>
        <v>1.1258686048226159E-5</v>
      </c>
      <c r="S60" s="100">
        <f ca="1">IF($A60&lt;Customisation!$H$13,I60,I60*(1-Customisation!$H$11*Customisation!$H$12))</f>
        <v>2.3260911075619317E-5</v>
      </c>
      <c r="T60" s="100">
        <f ca="1">IF($A60&lt;Customisation!$H$13,J60,J60*(1-Customisation!$H$11*Customisation!$H$12))</f>
        <v>6.4335348847006625E-6</v>
      </c>
      <c r="U60" s="100">
        <f ca="1">IF($A60&lt;Customisation!$H$13,K60,K60*(1-Customisation!$H$11*Customisation!$H$12))</f>
        <v>5.4846093716699209E-4</v>
      </c>
      <c r="V60" s="100">
        <f ca="1">IF($A60&lt;Customisation!$H$13,L60,L60*(1-Customisation!$H$11*Customisation!$H$12))</f>
        <v>1.4131573162331042E-4</v>
      </c>
      <c r="W60" s="100">
        <f ca="1">IF($A60&lt;Customisation!$H$13,M60,M60*(1-Customisation!$H$11*Customisation!$H$12))</f>
        <v>2.8093119183796835E-5</v>
      </c>
      <c r="X60" s="100">
        <f ca="1">IF($A60&lt;Customisation!$H$13,N60,N60*(1-Customisation!$H$11*Customisation!$H$12))</f>
        <v>7.4808932303441394E-6</v>
      </c>
      <c r="Y60" s="100">
        <f ca="1">IF($A60&lt;Customisation!$H$13,O60,O60*(1-Customisation!$H$11*Customisation!$H$12))</f>
        <v>2.8198838793478287E-2</v>
      </c>
      <c r="Z60" s="100">
        <f ca="1">IF($A60&lt;Customisation!$H$13,P60,P60*(1-Customisation!$H$11*Customisation!$H$12))</f>
        <v>7.7992737471080601E-3</v>
      </c>
      <c r="AA60" s="100">
        <f t="shared" ca="1" si="27"/>
        <v>6.6954485555971579E-5</v>
      </c>
      <c r="AB60" s="100">
        <f t="shared" ca="1" si="12"/>
        <v>1.8518364010385651E-5</v>
      </c>
      <c r="AC60" s="100">
        <f t="shared" ca="1" si="28"/>
        <v>3.8259706031983759E-5</v>
      </c>
      <c r="AD60" s="100">
        <f t="shared" ca="1" si="25"/>
        <v>1.0581922291648942E-5</v>
      </c>
      <c r="AE60" s="100">
        <f t="shared" ca="1" si="26"/>
        <v>9.0211231012484047E-4</v>
      </c>
      <c r="AF60" s="100">
        <f t="shared" ca="1" si="29"/>
        <v>2.324370843440239E-4</v>
      </c>
      <c r="AG60" s="100">
        <f t="shared" ca="1" si="13"/>
        <v>4.620775506167198E-5</v>
      </c>
      <c r="AH60" s="100">
        <f t="shared" ca="1" si="14"/>
        <v>1.2304624480062575E-5</v>
      </c>
      <c r="AI60" s="100">
        <f t="shared" ca="1" si="30"/>
        <v>4.6381643400571479E-2</v>
      </c>
      <c r="AJ60" s="100">
        <f t="shared" ca="1" si="31"/>
        <v>1.2828298937099051E-2</v>
      </c>
      <c r="AL60" s="102">
        <f t="shared" ca="1" si="15"/>
        <v>10.766107993830538</v>
      </c>
      <c r="AM60" s="102">
        <f t="shared" ca="1" si="16"/>
        <v>4.0706594382333803</v>
      </c>
    </row>
    <row r="61" spans="1:39" x14ac:dyDescent="0.15">
      <c r="A61" s="92">
        <f t="shared" si="32"/>
        <v>57</v>
      </c>
      <c r="B61" s="99">
        <f>'Life table'!D59</f>
        <v>0.90662944760441389</v>
      </c>
      <c r="C61" s="99">
        <f>IF($A61&lt;Customisation!$H$13,0,B61)/LOOKUP(Customisation!$H$13,$A$4:$A$104,$B$4:$B$104)</f>
        <v>0.92939124634593362</v>
      </c>
      <c r="D61" s="92">
        <f ca="1">IF($A61&lt;=Customisation!$H$13,1,1/(1+Customisation!$H$21)^($A61-Customisation!$H$13))</f>
        <v>0.26861922814931033</v>
      </c>
      <c r="E61" s="92">
        <f t="shared" ca="1" si="18"/>
        <v>37.405984169645166</v>
      </c>
      <c r="F61" s="92">
        <f t="shared" ca="1" si="8"/>
        <v>0.24965235924217022</v>
      </c>
      <c r="G61" s="100">
        <f ca="1">'Age data'!M65*Customisation!$H$22</f>
        <v>1.0766107993830538E-4</v>
      </c>
      <c r="H61" s="100">
        <f t="shared" ca="1" si="9"/>
        <v>2.8919836194748788E-5</v>
      </c>
      <c r="I61" s="100">
        <f ca="1">'Age data'!N65*Customisation!$H$22</f>
        <v>6.1520617107603076E-5</v>
      </c>
      <c r="J61" s="101">
        <f t="shared" ca="1" si="10"/>
        <v>1.6525620682713595E-5</v>
      </c>
      <c r="K61" s="100">
        <f ca="1">I61*'Life table'!I59</f>
        <v>1.3981835816425845E-3</v>
      </c>
      <c r="L61" s="100">
        <f ca="1">J61*'Life table'!J59</f>
        <v>3.526907693549708E-4</v>
      </c>
      <c r="M61" s="100">
        <f t="shared" ca="1" si="11"/>
        <v>7.4300874245468814E-5</v>
      </c>
      <c r="N61" s="100">
        <f ca="1">((G61-I61)*$AW$5+I61*$AW$6)/(1+Customisation!$H$21)^($A61-12)</f>
        <v>1.9215937444675765E-5</v>
      </c>
      <c r="O61" s="100">
        <f ca="1">G61*Customisation!$H$17</f>
        <v>7.4580482194049766E-2</v>
      </c>
      <c r="P61" s="100">
        <f ca="1">O61/(1+Customisation!$H$21)^($A61-12)</f>
        <v>2.0033751561969029E-2</v>
      </c>
      <c r="Q61" s="100">
        <f ca="1">IF($A61&lt;Customisation!$H$13,G61,G61*(1-Customisation!$H$11*Customisation!$H$12))</f>
        <v>4.0706594382333804E-5</v>
      </c>
      <c r="R61" s="100">
        <f ca="1">IF($A61&lt;Customisation!$H$13,H61,H61*(1-Customisation!$H$11*Customisation!$H$12))</f>
        <v>1.0934573963569558E-5</v>
      </c>
      <c r="S61" s="100">
        <f ca="1">IF($A61&lt;Customisation!$H$13,I61,I61*(1-Customisation!$H$11*Customisation!$H$12))</f>
        <v>2.3260911075619317E-5</v>
      </c>
      <c r="T61" s="100">
        <f ca="1">IF($A61&lt;Customisation!$H$13,J61,J61*(1-Customisation!$H$11*Customisation!$H$12))</f>
        <v>6.248327979182605E-6</v>
      </c>
      <c r="U61" s="100">
        <f ca="1">IF($A61&lt;Customisation!$H$13,K61,K61*(1-Customisation!$H$11*Customisation!$H$12))</f>
        <v>5.2865243375394705E-4</v>
      </c>
      <c r="V61" s="100">
        <f ca="1">IF($A61&lt;Customisation!$H$13,L61,L61*(1-Customisation!$H$11*Customisation!$H$12))</f>
        <v>1.3335218352586797E-4</v>
      </c>
      <c r="W61" s="100">
        <f ca="1">IF($A61&lt;Customisation!$H$13,M61,M61*(1-Customisation!$H$11*Customisation!$H$12))</f>
        <v>2.8093119183796835E-5</v>
      </c>
      <c r="X61" s="100">
        <f ca="1">IF($A61&lt;Customisation!$H$13,N61,N61*(1-Customisation!$H$11*Customisation!$H$12))</f>
        <v>7.2655352489958373E-6</v>
      </c>
      <c r="Y61" s="100">
        <f ca="1">IF($A61&lt;Customisation!$H$13,O61,O61*(1-Customisation!$H$11*Customisation!$H$12))</f>
        <v>2.8198838793478287E-2</v>
      </c>
      <c r="Z61" s="100">
        <f ca="1">IF($A61&lt;Customisation!$H$13,P61,P61*(1-Customisation!$H$11*Customisation!$H$12))</f>
        <v>7.5747503114109663E-3</v>
      </c>
      <c r="AA61" s="100">
        <f t="shared" ca="1" si="27"/>
        <v>6.6954485555971579E-5</v>
      </c>
      <c r="AB61" s="100">
        <f t="shared" ca="1" si="12"/>
        <v>1.798526223117923E-5</v>
      </c>
      <c r="AC61" s="100">
        <f t="shared" ca="1" si="28"/>
        <v>3.8259706031983759E-5</v>
      </c>
      <c r="AD61" s="100">
        <f t="shared" ca="1" si="25"/>
        <v>1.0277292703530989E-5</v>
      </c>
      <c r="AE61" s="100">
        <f t="shared" ca="1" si="26"/>
        <v>8.6953114788863742E-4</v>
      </c>
      <c r="AF61" s="100">
        <f t="shared" ca="1" si="29"/>
        <v>2.1933858582910283E-4</v>
      </c>
      <c r="AG61" s="100">
        <f t="shared" ca="1" si="13"/>
        <v>4.620775506167198E-5</v>
      </c>
      <c r="AH61" s="100">
        <f t="shared" ca="1" si="14"/>
        <v>1.1950402195679927E-5</v>
      </c>
      <c r="AI61" s="100">
        <f t="shared" ca="1" si="30"/>
        <v>4.6381643400571479E-2</v>
      </c>
      <c r="AJ61" s="100">
        <f t="shared" ca="1" si="31"/>
        <v>1.2459001250558063E-2</v>
      </c>
      <c r="AL61" s="102">
        <f t="shared" ca="1" si="15"/>
        <v>10.766107993830538</v>
      </c>
      <c r="AM61" s="102">
        <f t="shared" ca="1" si="16"/>
        <v>4.0706594382333803</v>
      </c>
    </row>
    <row r="62" spans="1:39" x14ac:dyDescent="0.15">
      <c r="A62" s="92">
        <f t="shared" si="32"/>
        <v>58</v>
      </c>
      <c r="B62" s="99">
        <f>'Life table'!D60</f>
        <v>0.90083608543422167</v>
      </c>
      <c r="C62" s="99">
        <f>IF($A62&lt;Customisation!$H$13,0,B62)/LOOKUP(Customisation!$H$13,$A$4:$A$104,$B$4:$B$104)</f>
        <v>0.92345243628178308</v>
      </c>
      <c r="D62" s="92">
        <f ca="1">IF($A62&lt;=Customisation!$H$13,1,1/(1+Customisation!$H$21)^($A62-Customisation!$H$13))</f>
        <v>0.26088628865340563</v>
      </c>
      <c r="E62" s="92">
        <f t="shared" ca="1" si="18"/>
        <v>37.674603397794478</v>
      </c>
      <c r="F62" s="92">
        <f t="shared" ca="1" si="8"/>
        <v>0.24091607884949992</v>
      </c>
      <c r="G62" s="100">
        <f ca="1">'Age data'!M66*Customisation!$H$22</f>
        <v>1.0766107993830538E-4</v>
      </c>
      <c r="H62" s="100">
        <f t="shared" ca="1" si="9"/>
        <v>2.8087299577522115E-5</v>
      </c>
      <c r="I62" s="100">
        <f ca="1">'Age data'!N66*Customisation!$H$22</f>
        <v>6.1520617107603076E-5</v>
      </c>
      <c r="J62" s="101">
        <f t="shared" ca="1" si="10"/>
        <v>1.6049885472869779E-5</v>
      </c>
      <c r="K62" s="100">
        <f ca="1">I62*'Life table'!I60</f>
        <v>1.3454569930925013E-3</v>
      </c>
      <c r="L62" s="100">
        <f ca="1">J62*'Life table'!J60</f>
        <v>3.3222019603945462E-4</v>
      </c>
      <c r="M62" s="100">
        <f t="shared" ca="1" si="11"/>
        <v>7.4300874245468814E-5</v>
      </c>
      <c r="N62" s="100">
        <f ca="1">((G62-I62)*$AW$5+I62*$AW$6)/(1+Customisation!$H$21)^($A62-12)</f>
        <v>1.8662754105416928E-5</v>
      </c>
      <c r="O62" s="100">
        <f ca="1">G62*Customisation!$H$17</f>
        <v>7.4580482194049766E-2</v>
      </c>
      <c r="P62" s="100">
        <f ca="1">O62/(1+Customisation!$H$21)^($A62-12)</f>
        <v>1.9457025205587047E-2</v>
      </c>
      <c r="Q62" s="100">
        <f ca="1">IF($A62&lt;Customisation!$H$13,G62,G62*(1-Customisation!$H$11*Customisation!$H$12))</f>
        <v>4.0706594382333804E-5</v>
      </c>
      <c r="R62" s="100">
        <f ca="1">IF($A62&lt;Customisation!$H$13,H62,H62*(1-Customisation!$H$11*Customisation!$H$12))</f>
        <v>1.0619792332126637E-5</v>
      </c>
      <c r="S62" s="100">
        <f ca="1">IF($A62&lt;Customisation!$H$13,I62,I62*(1-Customisation!$H$11*Customisation!$H$12))</f>
        <v>2.3260911075619317E-5</v>
      </c>
      <c r="T62" s="100">
        <f ca="1">IF($A62&lt;Customisation!$H$13,J62,J62*(1-Customisation!$H$11*Customisation!$H$12))</f>
        <v>6.0684527612152205E-6</v>
      </c>
      <c r="U62" s="100">
        <f ca="1">IF($A62&lt;Customisation!$H$13,K62,K62*(1-Customisation!$H$11*Customisation!$H$12))</f>
        <v>5.0871653997968454E-4</v>
      </c>
      <c r="V62" s="100">
        <f ca="1">IF($A62&lt;Customisation!$H$13,L62,L62*(1-Customisation!$H$11*Customisation!$H$12))</f>
        <v>1.2561227115264958E-4</v>
      </c>
      <c r="W62" s="100">
        <f ca="1">IF($A62&lt;Customisation!$H$13,M62,M62*(1-Customisation!$H$11*Customisation!$H$12))</f>
        <v>2.8093119183796835E-5</v>
      </c>
      <c r="X62" s="100">
        <f ca="1">IF($A62&lt;Customisation!$H$13,N62,N62*(1-Customisation!$H$11*Customisation!$H$12))</f>
        <v>7.0563769364173417E-6</v>
      </c>
      <c r="Y62" s="100">
        <f ca="1">IF($A62&lt;Customisation!$H$13,O62,O62*(1-Customisation!$H$11*Customisation!$H$12))</f>
        <v>2.8198838793478287E-2</v>
      </c>
      <c r="Z62" s="100">
        <f ca="1">IF($A62&lt;Customisation!$H$13,P62,P62*(1-Customisation!$H$11*Customisation!$H$12))</f>
        <v>7.3566903971662287E-3</v>
      </c>
      <c r="AA62" s="100">
        <f t="shared" ca="1" si="27"/>
        <v>6.6954485555971579E-5</v>
      </c>
      <c r="AB62" s="100">
        <f t="shared" ca="1" si="12"/>
        <v>1.7467507245395478E-5</v>
      </c>
      <c r="AC62" s="100">
        <f t="shared" ca="1" si="28"/>
        <v>3.8259706031983759E-5</v>
      </c>
      <c r="AD62" s="100">
        <f t="shared" ca="1" si="25"/>
        <v>9.9814327116545579E-6</v>
      </c>
      <c r="AE62" s="100">
        <f t="shared" ca="1" si="26"/>
        <v>8.3674045311281679E-4</v>
      </c>
      <c r="AF62" s="100">
        <f t="shared" ca="1" si="29"/>
        <v>2.0660792488680504E-4</v>
      </c>
      <c r="AG62" s="100">
        <f t="shared" ca="1" si="13"/>
        <v>4.620775506167198E-5</v>
      </c>
      <c r="AH62" s="100">
        <f t="shared" ca="1" si="14"/>
        <v>1.1606377168999585E-5</v>
      </c>
      <c r="AI62" s="100">
        <f t="shared" ca="1" si="30"/>
        <v>4.6381643400571479E-2</v>
      </c>
      <c r="AJ62" s="100">
        <f t="shared" ca="1" si="31"/>
        <v>1.2100334808420817E-2</v>
      </c>
      <c r="AL62" s="102">
        <f t="shared" ca="1" si="15"/>
        <v>10.766107993830538</v>
      </c>
      <c r="AM62" s="102">
        <f t="shared" ca="1" si="16"/>
        <v>4.0706594382333803</v>
      </c>
    </row>
    <row r="63" spans="1:39" x14ac:dyDescent="0.15">
      <c r="A63" s="92">
        <f t="shared" si="32"/>
        <v>59</v>
      </c>
      <c r="B63" s="99">
        <f>'Life table'!D61</f>
        <v>0.89507974284829694</v>
      </c>
      <c r="C63" s="99">
        <f>IF($A63&lt;Customisation!$H$13,0,B63)/LOOKUP(Customisation!$H$13,$A$4:$A$104,$B$4:$B$104)</f>
        <v>0.91755157521394248</v>
      </c>
      <c r="D63" s="92">
        <f ca="1">IF($A63&lt;=Customisation!$H$13,1,1/(1+Customisation!$H$21)^($A63-Customisation!$H$13))</f>
        <v>0.25337596298026899</v>
      </c>
      <c r="E63" s="92">
        <f t="shared" ca="1" si="18"/>
        <v>37.93548968644788</v>
      </c>
      <c r="F63" s="92">
        <f t="shared" ca="1" si="8"/>
        <v>0.23248551395389538</v>
      </c>
      <c r="G63" s="100">
        <f ca="1">'Age data'!M67*Customisation!$H$22</f>
        <v>1.0766107993830538E-4</v>
      </c>
      <c r="H63" s="100">
        <f t="shared" ca="1" si="9"/>
        <v>2.7278729804863842E-5</v>
      </c>
      <c r="I63" s="100">
        <f ca="1">'Age data'!N67*Customisation!$H$22</f>
        <v>6.1520617107603076E-5</v>
      </c>
      <c r="J63" s="101">
        <f t="shared" ca="1" si="10"/>
        <v>1.5587845602779342E-5</v>
      </c>
      <c r="K63" s="100">
        <f ca="1">I63*'Life table'!I61</f>
        <v>1.2923913148585029E-3</v>
      </c>
      <c r="L63" s="100">
        <f ca="1">J63*'Life table'!J61</f>
        <v>3.1231904220156714E-4</v>
      </c>
      <c r="M63" s="100">
        <f t="shared" ca="1" si="11"/>
        <v>7.4300874245468814E-5</v>
      </c>
      <c r="N63" s="100">
        <f ca="1">((G63-I63)*$AW$5+I63*$AW$6)/(1+Customisation!$H$21)^($A63-12)</f>
        <v>1.8125495662235346E-5</v>
      </c>
      <c r="O63" s="100">
        <f ca="1">G63*Customisation!$H$17</f>
        <v>7.4580482194049766E-2</v>
      </c>
      <c r="P63" s="100">
        <f ca="1">O63/(1+Customisation!$H$21)^($A63-12)</f>
        <v>1.8896901495450164E-2</v>
      </c>
      <c r="Q63" s="100">
        <f ca="1">IF($A63&lt;Customisation!$H$13,G63,G63*(1-Customisation!$H$11*Customisation!$H$12))</f>
        <v>4.0706594382333804E-5</v>
      </c>
      <c r="R63" s="100">
        <f ca="1">IF($A63&lt;Customisation!$H$13,H63,H63*(1-Customisation!$H$11*Customisation!$H$12))</f>
        <v>1.0314072551271035E-5</v>
      </c>
      <c r="S63" s="100">
        <f ca="1">IF($A63&lt;Customisation!$H$13,I63,I63*(1-Customisation!$H$11*Customisation!$H$12))</f>
        <v>2.3260911075619317E-5</v>
      </c>
      <c r="T63" s="100">
        <f ca="1">IF($A63&lt;Customisation!$H$13,J63,J63*(1-Customisation!$H$11*Customisation!$H$12))</f>
        <v>5.8937557435834493E-6</v>
      </c>
      <c r="U63" s="100">
        <f ca="1">IF($A63&lt;Customisation!$H$13,K63,K63*(1-Customisation!$H$11*Customisation!$H$12))</f>
        <v>4.8865243658472834E-4</v>
      </c>
      <c r="V63" s="100">
        <f ca="1">IF($A63&lt;Customisation!$H$13,L63,L63*(1-Customisation!$H$11*Customisation!$H$12))</f>
        <v>1.1808765596688758E-4</v>
      </c>
      <c r="W63" s="100">
        <f ca="1">IF($A63&lt;Customisation!$H$13,M63,M63*(1-Customisation!$H$11*Customisation!$H$12))</f>
        <v>2.8093119183796835E-5</v>
      </c>
      <c r="X63" s="100">
        <f ca="1">IF($A63&lt;Customisation!$H$13,N63,N63*(1-Customisation!$H$11*Customisation!$H$12))</f>
        <v>6.8532398181791704E-6</v>
      </c>
      <c r="Y63" s="100">
        <f ca="1">IF($A63&lt;Customisation!$H$13,O63,O63*(1-Customisation!$H$11*Customisation!$H$12))</f>
        <v>2.8198838793478287E-2</v>
      </c>
      <c r="Z63" s="100">
        <f ca="1">IF($A63&lt;Customisation!$H$13,P63,P63*(1-Customisation!$H$11*Customisation!$H$12))</f>
        <v>7.1449079342229271E-3</v>
      </c>
      <c r="AA63" s="100">
        <f t="shared" ca="1" si="27"/>
        <v>6.6954485555971579E-5</v>
      </c>
      <c r="AB63" s="100">
        <f t="shared" ca="1" si="12"/>
        <v>1.6964657253592807E-5</v>
      </c>
      <c r="AC63" s="100">
        <f t="shared" ca="1" si="28"/>
        <v>3.8259706031983759E-5</v>
      </c>
      <c r="AD63" s="100">
        <f t="shared" ca="1" si="25"/>
        <v>9.6940898591958923E-6</v>
      </c>
      <c r="AE63" s="100">
        <f t="shared" ca="1" si="26"/>
        <v>8.0373887827377458E-4</v>
      </c>
      <c r="AF63" s="100">
        <f t="shared" ca="1" si="29"/>
        <v>1.9423138623467955E-4</v>
      </c>
      <c r="AG63" s="100">
        <f t="shared" ca="1" si="13"/>
        <v>4.620775506167198E-5</v>
      </c>
      <c r="AH63" s="100">
        <f t="shared" ca="1" si="14"/>
        <v>1.1272255844056176E-5</v>
      </c>
      <c r="AI63" s="100">
        <f t="shared" ca="1" si="30"/>
        <v>4.6381643400571479E-2</v>
      </c>
      <c r="AJ63" s="100">
        <f t="shared" ca="1" si="31"/>
        <v>1.1751993561227237E-2</v>
      </c>
      <c r="AL63" s="102">
        <f t="shared" ca="1" si="15"/>
        <v>10.766107993830538</v>
      </c>
      <c r="AM63" s="102">
        <f t="shared" ca="1" si="16"/>
        <v>4.0706594382333803</v>
      </c>
    </row>
    <row r="64" spans="1:39" x14ac:dyDescent="0.15">
      <c r="A64" s="92">
        <f t="shared" si="32"/>
        <v>60</v>
      </c>
      <c r="B64" s="99">
        <f>'Life table'!D62</f>
        <v>0.88936018329149635</v>
      </c>
      <c r="C64" s="99">
        <f>IF($A64&lt;Customisation!$H$13,0,B64)/LOOKUP(Customisation!$H$13,$A$4:$A$104,$B$4:$B$104)</f>
        <v>0.91168842064832534</v>
      </c>
      <c r="D64" s="92">
        <f ca="1">IF($A64&lt;=Customisation!$H$13,1,1/(1+Customisation!$H$21)^($A64-Customisation!$H$13))</f>
        <v>0.24608184258188137</v>
      </c>
      <c r="E64" s="92">
        <f t="shared" ca="1" si="18"/>
        <v>38.188865649428152</v>
      </c>
      <c r="F64" s="92">
        <f t="shared" ca="1" si="8"/>
        <v>0.22434996641370525</v>
      </c>
      <c r="G64" s="100">
        <f ca="1">'Age data'!M68*Customisation!$H$22</f>
        <v>9.2280925661404614E-5</v>
      </c>
      <c r="H64" s="100">
        <f t="shared" ca="1" si="9"/>
        <v>2.2708660221920066E-5</v>
      </c>
      <c r="I64" s="100">
        <f ca="1">'Age data'!N68*Customisation!$H$22</f>
        <v>6.921069424605345E-5</v>
      </c>
      <c r="J64" s="101">
        <f t="shared" ca="1" si="10"/>
        <v>1.7031495166440047E-5</v>
      </c>
      <c r="K64" s="100">
        <f ca="1">I64*'Life table'!I62</f>
        <v>1.3938574120005618E-3</v>
      </c>
      <c r="L64" s="100">
        <f ca="1">J64*'Life table'!J62</f>
        <v>3.2954274886113065E-4</v>
      </c>
      <c r="M64" s="100">
        <f t="shared" ca="1" si="11"/>
        <v>6.8583490090743721E-5</v>
      </c>
      <c r="N64" s="100">
        <f ca="1">((G64-I64)*$AW$5+I64*$AW$6)/(1+Customisation!$H$21)^($A64-12)</f>
        <v>1.6333354032429842E-5</v>
      </c>
      <c r="O64" s="100">
        <f ca="1">G64*Customisation!$H$17</f>
        <v>6.3926127594899795E-2</v>
      </c>
      <c r="P64" s="100">
        <f ca="1">O64/(1+Customisation!$H$21)^($A64-12)</f>
        <v>1.5731059267677393E-2</v>
      </c>
      <c r="Q64" s="100">
        <f ca="1">IF($A64&lt;Customisation!$H$13,G64,G64*(1-Customisation!$H$11*Customisation!$H$12))</f>
        <v>3.4891366613428975E-5</v>
      </c>
      <c r="R64" s="100">
        <f ca="1">IF($A64&lt;Customisation!$H$13,H64,H64*(1-Customisation!$H$11*Customisation!$H$12))</f>
        <v>8.5861317864325396E-6</v>
      </c>
      <c r="S64" s="100">
        <f ca="1">IF($A64&lt;Customisation!$H$13,I64,I64*(1-Customisation!$H$11*Customisation!$H$12))</f>
        <v>2.6168524960071728E-5</v>
      </c>
      <c r="T64" s="100">
        <f ca="1">IF($A64&lt;Customisation!$H$13,J64,J64*(1-Customisation!$H$11*Customisation!$H$12))</f>
        <v>6.4395988398244043E-6</v>
      </c>
      <c r="U64" s="100">
        <f ca="1">IF($A64&lt;Customisation!$H$13,K64,K64*(1-Customisation!$H$11*Customisation!$H$12))</f>
        <v>5.2701671142097492E-4</v>
      </c>
      <c r="V64" s="100">
        <f ca="1">IF($A64&lt;Customisation!$H$13,L64,L64*(1-Customisation!$H$11*Customisation!$H$12))</f>
        <v>1.2459992986524459E-4</v>
      </c>
      <c r="W64" s="100">
        <f ca="1">IF($A64&lt;Customisation!$H$13,M64,M64*(1-Customisation!$H$11*Customisation!$H$12))</f>
        <v>2.5931379418156879E-5</v>
      </c>
      <c r="X64" s="100">
        <f ca="1">IF($A64&lt;Customisation!$H$13,N64,N64*(1-Customisation!$H$11*Customisation!$H$12))</f>
        <v>6.1756320657584066E-6</v>
      </c>
      <c r="Y64" s="100">
        <f ca="1">IF($A64&lt;Customisation!$H$13,O64,O64*(1-Customisation!$H$11*Customisation!$H$12))</f>
        <v>2.4170433251552815E-2</v>
      </c>
      <c r="Z64" s="100">
        <f ca="1">IF($A64&lt;Customisation!$H$13,P64,P64*(1-Customisation!$H$11*Customisation!$H$12))</f>
        <v>5.9479047505444907E-3</v>
      </c>
      <c r="AA64" s="100">
        <f t="shared" ca="1" si="27"/>
        <v>5.7389559047975639E-5</v>
      </c>
      <c r="AB64" s="100">
        <f t="shared" ca="1" si="12"/>
        <v>1.4122528435487527E-5</v>
      </c>
      <c r="AC64" s="100">
        <f t="shared" ca="1" si="28"/>
        <v>4.3042169285981723E-5</v>
      </c>
      <c r="AD64" s="100">
        <f t="shared" ca="1" si="25"/>
        <v>1.0591896326615642E-5</v>
      </c>
      <c r="AE64" s="100">
        <f t="shared" ca="1" si="26"/>
        <v>8.6684070057958687E-4</v>
      </c>
      <c r="AF64" s="100">
        <f t="shared" ca="1" si="29"/>
        <v>2.0494281899588606E-4</v>
      </c>
      <c r="AG64" s="100">
        <f t="shared" ca="1" si="13"/>
        <v>4.2652110672586842E-5</v>
      </c>
      <c r="AH64" s="100">
        <f t="shared" ca="1" si="14"/>
        <v>1.0157721966671435E-5</v>
      </c>
      <c r="AI64" s="100">
        <f t="shared" ca="1" si="30"/>
        <v>3.9755694343346984E-2</v>
      </c>
      <c r="AJ64" s="100">
        <f t="shared" ca="1" si="31"/>
        <v>9.7831545171329012E-3</v>
      </c>
      <c r="AL64" s="102">
        <f t="shared" ca="1" si="15"/>
        <v>9.2280925661404609</v>
      </c>
      <c r="AM64" s="102">
        <f t="shared" ca="1" si="16"/>
        <v>3.4891366613428976</v>
      </c>
    </row>
    <row r="65" spans="1:39" x14ac:dyDescent="0.15">
      <c r="A65" s="92">
        <f t="shared" si="32"/>
        <v>61</v>
      </c>
      <c r="B65" s="99">
        <f>'Life table'!D63</f>
        <v>0.88010194378343187</v>
      </c>
      <c r="C65" s="99">
        <f>IF($A65&lt;Customisation!$H$13,0,B65)/LOOKUP(Customisation!$H$13,$A$4:$A$104,$B$4:$B$104)</f>
        <v>0.90219774418937626</v>
      </c>
      <c r="D65" s="92">
        <f ca="1">IF($A65&lt;=Customisation!$H$13,1,1/(1+Customisation!$H$21)^($A65-Customisation!$H$13))</f>
        <v>0.23899770339781412</v>
      </c>
      <c r="E65" s="92">
        <f t="shared" ca="1" si="18"/>
        <v>38.434947492010032</v>
      </c>
      <c r="F65" s="92">
        <f t="shared" ca="1" si="8"/>
        <v>0.21562318887194953</v>
      </c>
      <c r="G65" s="100">
        <f ca="1">'Age data'!M69*Customisation!$H$22</f>
        <v>9.2280925661404614E-5</v>
      </c>
      <c r="H65" s="100">
        <f t="shared" ca="1" si="9"/>
        <v>2.2054929300500114E-5</v>
      </c>
      <c r="I65" s="100">
        <f ca="1">'Age data'!N69*Customisation!$H$22</f>
        <v>6.921069424605345E-5</v>
      </c>
      <c r="J65" s="101">
        <f t="shared" ca="1" si="10"/>
        <v>1.6541196975375084E-5</v>
      </c>
      <c r="K65" s="100">
        <f ca="1">I65*'Life table'!I63</f>
        <v>1.3389453808325259E-3</v>
      </c>
      <c r="L65" s="100">
        <f ca="1">J65*'Life table'!J63</f>
        <v>3.0941307984860177E-4</v>
      </c>
      <c r="M65" s="100">
        <f t="shared" ca="1" si="11"/>
        <v>6.8583490090743721E-5</v>
      </c>
      <c r="N65" s="100">
        <f ca="1">((G65-I65)*$AW$5+I65*$AW$6)/(1+Customisation!$H$21)^($A65-12)</f>
        <v>1.5863153744207121E-5</v>
      </c>
      <c r="O65" s="100">
        <f ca="1">G65*Customisation!$H$17</f>
        <v>6.3926127594899795E-2</v>
      </c>
      <c r="P65" s="100">
        <f ca="1">O65/(1+Customisation!$H$21)^($A65-12)</f>
        <v>1.5278197682296681E-2</v>
      </c>
      <c r="Q65" s="100">
        <f ca="1">IF($A65&lt;Customisation!$H$13,G65,G65*(1-Customisation!$H$11*Customisation!$H$12))</f>
        <v>3.4891366613428975E-5</v>
      </c>
      <c r="R65" s="100">
        <f ca="1">IF($A65&lt;Customisation!$H$13,H65,H65*(1-Customisation!$H$11*Customisation!$H$12))</f>
        <v>8.3389564890206932E-6</v>
      </c>
      <c r="S65" s="100">
        <f ca="1">IF($A65&lt;Customisation!$H$13,I65,I65*(1-Customisation!$H$11*Customisation!$H$12))</f>
        <v>2.6168524960071728E-5</v>
      </c>
      <c r="T65" s="100">
        <f ca="1">IF($A65&lt;Customisation!$H$13,J65,J65*(1-Customisation!$H$11*Customisation!$H$12))</f>
        <v>6.2542173667655186E-6</v>
      </c>
      <c r="U65" s="100">
        <f ca="1">IF($A65&lt;Customisation!$H$13,K65,K65*(1-Customisation!$H$11*Customisation!$H$12))</f>
        <v>5.06254503009651E-4</v>
      </c>
      <c r="V65" s="100">
        <f ca="1">IF($A65&lt;Customisation!$H$13,L65,L65*(1-Customisation!$H$11*Customisation!$H$12))</f>
        <v>1.1698891321918079E-4</v>
      </c>
      <c r="W65" s="100">
        <f ca="1">IF($A65&lt;Customisation!$H$13,M65,M65*(1-Customisation!$H$11*Customisation!$H$12))</f>
        <v>2.5931379418156879E-5</v>
      </c>
      <c r="X65" s="100">
        <f ca="1">IF($A65&lt;Customisation!$H$13,N65,N65*(1-Customisation!$H$11*Customisation!$H$12))</f>
        <v>5.9978495985742859E-6</v>
      </c>
      <c r="Y65" s="100">
        <f ca="1">IF($A65&lt;Customisation!$H$13,O65,O65*(1-Customisation!$H$11*Customisation!$H$12))</f>
        <v>2.4170433251552815E-2</v>
      </c>
      <c r="Z65" s="100">
        <f ca="1">IF($A65&lt;Customisation!$H$13,P65,P65*(1-Customisation!$H$11*Customisation!$H$12))</f>
        <v>5.7766780372512832E-3</v>
      </c>
      <c r="AA65" s="100">
        <f t="shared" ca="1" si="27"/>
        <v>5.7389559047975639E-5</v>
      </c>
      <c r="AB65" s="100">
        <f t="shared" ca="1" si="12"/>
        <v>1.3715972811479421E-5</v>
      </c>
      <c r="AC65" s="100">
        <f t="shared" ca="1" si="28"/>
        <v>4.3042169285981723E-5</v>
      </c>
      <c r="AD65" s="100">
        <f t="shared" ca="1" si="25"/>
        <v>1.0286979608609565E-5</v>
      </c>
      <c r="AE65" s="100">
        <f t="shared" ca="1" si="26"/>
        <v>8.3269087782287491E-4</v>
      </c>
      <c r="AF65" s="100">
        <f t="shared" ca="1" si="29"/>
        <v>1.9242416662942099E-4</v>
      </c>
      <c r="AG65" s="100">
        <f t="shared" ca="1" si="13"/>
        <v>4.2652110672586842E-5</v>
      </c>
      <c r="AH65" s="100">
        <f t="shared" ca="1" si="14"/>
        <v>9.8653041456328339E-6</v>
      </c>
      <c r="AI65" s="100">
        <f t="shared" ca="1" si="30"/>
        <v>3.9755694343346984E-2</v>
      </c>
      <c r="AJ65" s="100">
        <f t="shared" ca="1" si="31"/>
        <v>9.501519645045399E-3</v>
      </c>
      <c r="AL65" s="102">
        <f t="shared" ca="1" si="15"/>
        <v>9.2280925661404609</v>
      </c>
      <c r="AM65" s="102">
        <f t="shared" ca="1" si="16"/>
        <v>3.4891366613428976</v>
      </c>
    </row>
    <row r="66" spans="1:39" x14ac:dyDescent="0.15">
      <c r="A66" s="92">
        <f t="shared" si="32"/>
        <v>62</v>
      </c>
      <c r="B66" s="99">
        <f>'Life table'!D64</f>
        <v>0.8709400825486463</v>
      </c>
      <c r="C66" s="99">
        <f>IF($A66&lt;Customisation!$H$13,0,B66)/LOOKUP(Customisation!$H$13,$A$4:$A$104,$B$4:$B$104)</f>
        <v>0.89280586567236486</v>
      </c>
      <c r="D66" s="92">
        <f ca="1">IF($A66&lt;=Customisation!$H$13,1,1/(1+Customisation!$H$21)^($A66-Customisation!$H$13))</f>
        <v>0.23211750054424848</v>
      </c>
      <c r="E66" s="92">
        <f t="shared" ca="1" si="18"/>
        <v>38.673945195407846</v>
      </c>
      <c r="F66" s="92">
        <f t="shared" ca="1" si="8"/>
        <v>0.20723586601111338</v>
      </c>
      <c r="G66" s="100">
        <f ca="1">'Age data'!M70*Customisation!$H$22</f>
        <v>9.2280925661404614E-5</v>
      </c>
      <c r="H66" s="100">
        <f t="shared" ca="1" si="9"/>
        <v>2.1420017812434841E-5</v>
      </c>
      <c r="I66" s="100">
        <f ca="1">'Age data'!N70*Customisation!$H$22</f>
        <v>6.921069424605345E-5</v>
      </c>
      <c r="J66" s="101">
        <f t="shared" ca="1" si="10"/>
        <v>1.6065013359326127E-5</v>
      </c>
      <c r="K66" s="100">
        <f ca="1">I66*'Life table'!I64</f>
        <v>1.2834557021089777E-3</v>
      </c>
      <c r="L66" s="100">
        <f ca="1">J66*'Life table'!J64</f>
        <v>2.8983055717843277E-4</v>
      </c>
      <c r="M66" s="100">
        <f t="shared" ca="1" si="11"/>
        <v>6.8583490090743721E-5</v>
      </c>
      <c r="N66" s="100">
        <f ca="1">((G66-I66)*$AW$5+I66*$AW$6)/(1+Customisation!$H$21)^($A66-12)</f>
        <v>1.5406489457873887E-5</v>
      </c>
      <c r="O66" s="100">
        <f ca="1">G66*Customisation!$H$17</f>
        <v>6.3926127594899795E-2</v>
      </c>
      <c r="P66" s="100">
        <f ca="1">O66/(1+Customisation!$H$21)^($A66-12)</f>
        <v>1.4838372956800851E-2</v>
      </c>
      <c r="Q66" s="100">
        <f ca="1">IF($A66&lt;Customisation!$H$13,G66,G66*(1-Customisation!$H$11*Customisation!$H$12))</f>
        <v>3.4891366613428975E-5</v>
      </c>
      <c r="R66" s="100">
        <f ca="1">IF($A66&lt;Customisation!$H$13,H66,H66*(1-Customisation!$H$11*Customisation!$H$12))</f>
        <v>8.0988968088821737E-6</v>
      </c>
      <c r="S66" s="100">
        <f ca="1">IF($A66&lt;Customisation!$H$13,I66,I66*(1-Customisation!$H$11*Customisation!$H$12))</f>
        <v>2.6168524960071728E-5</v>
      </c>
      <c r="T66" s="100">
        <f ca="1">IF($A66&lt;Customisation!$H$13,J66,J66*(1-Customisation!$H$11*Customisation!$H$12))</f>
        <v>6.0741726066616295E-6</v>
      </c>
      <c r="U66" s="100">
        <f ca="1">IF($A66&lt;Customisation!$H$13,K66,K66*(1-Customisation!$H$11*Customisation!$H$12))</f>
        <v>4.8527388637920396E-4</v>
      </c>
      <c r="V66" s="100">
        <f ca="1">IF($A66&lt;Customisation!$H$13,L66,L66*(1-Customisation!$H$11*Customisation!$H$12))</f>
        <v>1.0958477230052921E-4</v>
      </c>
      <c r="W66" s="100">
        <f ca="1">IF($A66&lt;Customisation!$H$13,M66,M66*(1-Customisation!$H$11*Customisation!$H$12))</f>
        <v>2.5931379418156879E-5</v>
      </c>
      <c r="X66" s="100">
        <f ca="1">IF($A66&lt;Customisation!$H$13,N66,N66*(1-Customisation!$H$11*Customisation!$H$12))</f>
        <v>5.8251850861681564E-6</v>
      </c>
      <c r="Y66" s="100">
        <f ca="1">IF($A66&lt;Customisation!$H$13,O66,O66*(1-Customisation!$H$11*Customisation!$H$12))</f>
        <v>2.4170433251552815E-2</v>
      </c>
      <c r="Z66" s="100">
        <f ca="1">IF($A66&lt;Customisation!$H$13,P66,P66*(1-Customisation!$H$11*Customisation!$H$12))</f>
        <v>5.610380553422032E-3</v>
      </c>
      <c r="AA66" s="100">
        <f t="shared" ca="1" si="27"/>
        <v>5.7389559047975639E-5</v>
      </c>
      <c r="AB66" s="100">
        <f t="shared" ca="1" si="12"/>
        <v>1.3321121003552667E-5</v>
      </c>
      <c r="AC66" s="100">
        <f t="shared" ca="1" si="28"/>
        <v>4.3042169285981723E-5</v>
      </c>
      <c r="AD66" s="100">
        <f t="shared" ca="1" si="25"/>
        <v>9.9908407526644971E-6</v>
      </c>
      <c r="AE66" s="100">
        <f t="shared" ca="1" si="26"/>
        <v>7.9818181572977368E-4</v>
      </c>
      <c r="AF66" s="100">
        <f t="shared" ca="1" si="29"/>
        <v>1.8024578487790355E-4</v>
      </c>
      <c r="AG66" s="100">
        <f t="shared" ca="1" si="13"/>
        <v>4.2652110672586842E-5</v>
      </c>
      <c r="AH66" s="100">
        <f t="shared" ca="1" si="14"/>
        <v>9.5813043717057317E-6</v>
      </c>
      <c r="AI66" s="100">
        <f t="shared" ca="1" si="30"/>
        <v>3.9755694343346984E-2</v>
      </c>
      <c r="AJ66" s="100">
        <f t="shared" ca="1" si="31"/>
        <v>9.227992403378819E-3</v>
      </c>
      <c r="AL66" s="102">
        <f t="shared" ca="1" si="15"/>
        <v>9.2280925661404609</v>
      </c>
      <c r="AM66" s="102">
        <f t="shared" ca="1" si="16"/>
        <v>3.4891366613428976</v>
      </c>
    </row>
    <row r="67" spans="1:39" x14ac:dyDescent="0.15">
      <c r="A67" s="92">
        <f t="shared" si="32"/>
        <v>63</v>
      </c>
      <c r="B67" s="99">
        <f>'Life table'!D65</f>
        <v>0.86187359628931481</v>
      </c>
      <c r="C67" s="99">
        <f>IF($A67&lt;Customisation!$H$13,0,B67)/LOOKUP(Customisation!$H$13,$A$4:$A$104,$B$4:$B$104)</f>
        <v>0.88351175661071546</v>
      </c>
      <c r="D67" s="92">
        <f ca="1">IF($A67&lt;=Customisation!$H$13,1,1/(1+Customisation!$H$21)^($A67-Customisation!$H$13))</f>
        <v>0.22543536315588703</v>
      </c>
      <c r="E67" s="92">
        <f t="shared" ca="1" si="18"/>
        <v>38.906062695952095</v>
      </c>
      <c r="F67" s="92">
        <f t="shared" ca="1" si="8"/>
        <v>0.19917479370403232</v>
      </c>
      <c r="G67" s="100">
        <f ca="1">'Age data'!M71*Customisation!$H$22</f>
        <v>9.2280925661404614E-5</v>
      </c>
      <c r="H67" s="100">
        <f t="shared" ca="1" si="9"/>
        <v>2.0803383988840162E-5</v>
      </c>
      <c r="I67" s="100">
        <f ca="1">'Age data'!N71*Customisation!$H$22</f>
        <v>6.921069424605345E-5</v>
      </c>
      <c r="J67" s="101">
        <f t="shared" ca="1" si="10"/>
        <v>1.5602537991630121E-5</v>
      </c>
      <c r="K67" s="100">
        <f ca="1">I67*'Life table'!I65</f>
        <v>1.2273822992617906E-3</v>
      </c>
      <c r="L67" s="100">
        <f ca="1">J67*'Life table'!J65</f>
        <v>2.7077500662960703E-4</v>
      </c>
      <c r="M67" s="100">
        <f t="shared" ca="1" si="11"/>
        <v>6.8583490090743721E-5</v>
      </c>
      <c r="N67" s="100">
        <f ca="1">((G67-I67)*$AW$5+I67*$AW$6)/(1+Customisation!$H$21)^($A67-12)</f>
        <v>1.4962971502577661E-5</v>
      </c>
      <c r="O67" s="100">
        <f ca="1">G67*Customisation!$H$17</f>
        <v>6.3926127594899795E-2</v>
      </c>
      <c r="P67" s="100">
        <f ca="1">O67/(1+Customisation!$H$21)^($A67-12)</f>
        <v>1.4411209789505806E-2</v>
      </c>
      <c r="Q67" s="100">
        <f ca="1">IF($A67&lt;Customisation!$H$13,G67,G67*(1-Customisation!$H$11*Customisation!$H$12))</f>
        <v>3.4891366613428975E-5</v>
      </c>
      <c r="R67" s="100">
        <f ca="1">IF($A67&lt;Customisation!$H$13,H67,H67*(1-Customisation!$H$11*Customisation!$H$12))</f>
        <v>7.8657479035035532E-6</v>
      </c>
      <c r="S67" s="100">
        <f ca="1">IF($A67&lt;Customisation!$H$13,I67,I67*(1-Customisation!$H$11*Customisation!$H$12))</f>
        <v>2.6168524960071728E-5</v>
      </c>
      <c r="T67" s="100">
        <f ca="1">IF($A67&lt;Customisation!$H$13,J67,J67*(1-Customisation!$H$11*Customisation!$H$12))</f>
        <v>5.8993109276276641E-6</v>
      </c>
      <c r="U67" s="100">
        <f ca="1">IF($A67&lt;Customisation!$H$13,K67,K67*(1-Customisation!$H$11*Customisation!$H$12))</f>
        <v>4.6407256398260855E-4</v>
      </c>
      <c r="V67" s="100">
        <f ca="1">IF($A67&lt;Customisation!$H$13,L67,L67*(1-Customisation!$H$11*Customisation!$H$12))</f>
        <v>1.0237987924755583E-4</v>
      </c>
      <c r="W67" s="100">
        <f ca="1">IF($A67&lt;Customisation!$H$13,M67,M67*(1-Customisation!$H$11*Customisation!$H$12))</f>
        <v>2.5931379418156879E-5</v>
      </c>
      <c r="X67" s="100">
        <f ca="1">IF($A67&lt;Customisation!$H$13,N67,N67*(1-Customisation!$H$11*Customisation!$H$12))</f>
        <v>5.6574911942076506E-6</v>
      </c>
      <c r="Y67" s="100">
        <f ca="1">IF($A67&lt;Customisation!$H$13,O67,O67*(1-Customisation!$H$11*Customisation!$H$12))</f>
        <v>2.4170433251552815E-2</v>
      </c>
      <c r="Z67" s="100">
        <f ca="1">IF($A67&lt;Customisation!$H$13,P67,P67*(1-Customisation!$H$11*Customisation!$H$12))</f>
        <v>5.448870397698936E-3</v>
      </c>
      <c r="AA67" s="100">
        <f t="shared" ca="1" si="27"/>
        <v>5.7389559047975639E-5</v>
      </c>
      <c r="AB67" s="100">
        <f t="shared" ca="1" si="12"/>
        <v>1.2937636085336609E-5</v>
      </c>
      <c r="AC67" s="100">
        <f t="shared" ca="1" si="28"/>
        <v>4.3042169285981723E-5</v>
      </c>
      <c r="AD67" s="100">
        <f t="shared" ca="1" si="25"/>
        <v>9.703227064002456E-6</v>
      </c>
      <c r="AE67" s="100">
        <f t="shared" ca="1" si="26"/>
        <v>7.6330973527918215E-4</v>
      </c>
      <c r="AF67" s="100">
        <f t="shared" ca="1" si="29"/>
        <v>1.683951273820512E-4</v>
      </c>
      <c r="AG67" s="100">
        <f t="shared" ca="1" si="13"/>
        <v>4.2652110672586842E-5</v>
      </c>
      <c r="AH67" s="100">
        <f t="shared" ca="1" si="14"/>
        <v>9.3054803083700113E-6</v>
      </c>
      <c r="AI67" s="100">
        <f t="shared" ca="1" si="30"/>
        <v>3.9755694343346984E-2</v>
      </c>
      <c r="AJ67" s="100">
        <f t="shared" ca="1" si="31"/>
        <v>8.9623393918068697E-3</v>
      </c>
      <c r="AL67" s="102">
        <f t="shared" ca="1" si="15"/>
        <v>9.2280925661404609</v>
      </c>
      <c r="AM67" s="102">
        <f t="shared" ca="1" si="16"/>
        <v>3.4891366613428976</v>
      </c>
    </row>
    <row r="68" spans="1:39" x14ac:dyDescent="0.15">
      <c r="A68" s="92">
        <f t="shared" si="32"/>
        <v>64</v>
      </c>
      <c r="B68" s="99">
        <f>'Life table'!D66</f>
        <v>0.852901492151943</v>
      </c>
      <c r="C68" s="99">
        <f>IF($A68&lt;Customisation!$H$13,0,B68)/LOOKUP(Customisation!$H$13,$A$4:$A$104,$B$4:$B$104)</f>
        <v>0.87431439922439791</v>
      </c>
      <c r="D68" s="92">
        <f ca="1">IF($A68&lt;=Customisation!$H$13,1,1/(1+Customisation!$H$21)^($A68-Customisation!$H$13))</f>
        <v>0.21894558937635406</v>
      </c>
      <c r="E68" s="92">
        <f t="shared" ca="1" si="18"/>
        <v>39.131498059107983</v>
      </c>
      <c r="F68" s="92">
        <f t="shared" ca="1" si="8"/>
        <v>0.19142728143841872</v>
      </c>
      <c r="G68" s="100">
        <f ca="1">'Age data'!M72*Customisation!$H$22</f>
        <v>9.2280925661404614E-5</v>
      </c>
      <c r="H68" s="100">
        <f t="shared" ca="1" si="9"/>
        <v>2.0204501657131747E-5</v>
      </c>
      <c r="I68" s="100">
        <f ca="1">'Age data'!N72*Customisation!$H$22</f>
        <v>6.921069424605345E-5</v>
      </c>
      <c r="J68" s="101">
        <f t="shared" ca="1" si="10"/>
        <v>1.5153376242848809E-5</v>
      </c>
      <c r="K68" s="100">
        <f ca="1">I68*'Life table'!I66</f>
        <v>1.1707190318003297E-3</v>
      </c>
      <c r="L68" s="100">
        <f ca="1">J68*'Life table'!J66</f>
        <v>2.5222678822225264E-4</v>
      </c>
      <c r="M68" s="100">
        <f t="shared" ca="1" si="11"/>
        <v>6.8583490090743721E-5</v>
      </c>
      <c r="N68" s="100">
        <f ca="1">((G68-I68)*$AW$5+I68*$AW$6)/(1+Customisation!$H$21)^($A68-12)</f>
        <v>1.4532221425207682E-5</v>
      </c>
      <c r="O68" s="100">
        <f ca="1">G68*Customisation!$H$17</f>
        <v>6.3926127594899795E-2</v>
      </c>
      <c r="P68" s="100">
        <f ca="1">O68/(1+Customisation!$H$21)^($A68-12)</f>
        <v>1.3996343682813345E-2</v>
      </c>
      <c r="Q68" s="100">
        <f ca="1">IF($A68&lt;Customisation!$H$13,G68,G68*(1-Customisation!$H$11*Customisation!$H$12))</f>
        <v>3.4891366613428975E-5</v>
      </c>
      <c r="R68" s="100">
        <f ca="1">IF($A68&lt;Customisation!$H$13,H68,H68*(1-Customisation!$H$11*Customisation!$H$12))</f>
        <v>7.6393108273236499E-6</v>
      </c>
      <c r="S68" s="100">
        <f ca="1">IF($A68&lt;Customisation!$H$13,I68,I68*(1-Customisation!$H$11*Customisation!$H$12))</f>
        <v>2.6168524960071728E-5</v>
      </c>
      <c r="T68" s="100">
        <f ca="1">IF($A68&lt;Customisation!$H$13,J68,J68*(1-Customisation!$H$11*Customisation!$H$12))</f>
        <v>5.7294831204927366E-6</v>
      </c>
      <c r="U68" s="100">
        <f ca="1">IF($A68&lt;Customisation!$H$13,K68,K68*(1-Customisation!$H$11*Customisation!$H$12))</f>
        <v>4.4264821410377439E-4</v>
      </c>
      <c r="V68" s="100">
        <f ca="1">IF($A68&lt;Customisation!$H$13,L68,L68*(1-Customisation!$H$11*Customisation!$H$12))</f>
        <v>9.5366808194806023E-5</v>
      </c>
      <c r="W68" s="100">
        <f ca="1">IF($A68&lt;Customisation!$H$13,M68,M68*(1-Customisation!$H$11*Customisation!$H$12))</f>
        <v>2.5931379418156879E-5</v>
      </c>
      <c r="X68" s="100">
        <f ca="1">IF($A68&lt;Customisation!$H$13,N68,N68*(1-Customisation!$H$11*Customisation!$H$12))</f>
        <v>5.4946248297823019E-6</v>
      </c>
      <c r="Y68" s="100">
        <f ca="1">IF($A68&lt;Customisation!$H$13,O68,O68*(1-Customisation!$H$11*Customisation!$H$12))</f>
        <v>2.4170433251552815E-2</v>
      </c>
      <c r="Z68" s="100">
        <f ca="1">IF($A68&lt;Customisation!$H$13,P68,P68*(1-Customisation!$H$11*Customisation!$H$12))</f>
        <v>5.2920097537430561E-3</v>
      </c>
      <c r="AA68" s="100">
        <f t="shared" ca="1" si="27"/>
        <v>5.7389559047975639E-5</v>
      </c>
      <c r="AB68" s="100">
        <f t="shared" ca="1" si="12"/>
        <v>1.2565190829808097E-5</v>
      </c>
      <c r="AC68" s="100">
        <f t="shared" ca="1" si="28"/>
        <v>4.3042169285981723E-5</v>
      </c>
      <c r="AD68" s="100">
        <f t="shared" ref="AD68:AD104" ca="1" si="33">J68-T68</f>
        <v>9.4238931223560714E-6</v>
      </c>
      <c r="AE68" s="100">
        <f t="shared" ref="AE68:AE104" ca="1" si="34">K68-U68</f>
        <v>7.2807081769655536E-4</v>
      </c>
      <c r="AF68" s="100">
        <f t="shared" ca="1" si="29"/>
        <v>1.5685998002744662E-4</v>
      </c>
      <c r="AG68" s="100">
        <f t="shared" ca="1" si="13"/>
        <v>4.2652110672586842E-5</v>
      </c>
      <c r="AH68" s="100">
        <f t="shared" ca="1" si="14"/>
        <v>9.0375965954253801E-6</v>
      </c>
      <c r="AI68" s="100">
        <f t="shared" ca="1" si="30"/>
        <v>3.9755694343346984E-2</v>
      </c>
      <c r="AJ68" s="100">
        <f t="shared" ca="1" si="31"/>
        <v>8.7043339290702893E-3</v>
      </c>
      <c r="AL68" s="102">
        <f t="shared" ca="1" si="15"/>
        <v>9.2280925661404609</v>
      </c>
      <c r="AM68" s="102">
        <f t="shared" ca="1" si="16"/>
        <v>3.4891366613428976</v>
      </c>
    </row>
    <row r="69" spans="1:39" x14ac:dyDescent="0.15">
      <c r="A69" s="92">
        <f t="shared" si="32"/>
        <v>65</v>
      </c>
      <c r="B69" s="99">
        <f>'Life table'!D67</f>
        <v>0.84402278761864125</v>
      </c>
      <c r="C69" s="99">
        <f>IF($A69&lt;Customisation!$H$13,0,B69)/LOOKUP(Customisation!$H$13,$A$4:$A$104,$B$4:$B$104)</f>
        <v>0.86521278632847187</v>
      </c>
      <c r="D69" s="92">
        <f ca="1">IF($A69&lt;=Customisation!$H$13,1,1/(1+Customisation!$H$21)^($A69-Customisation!$H$13))</f>
        <v>0.21264264149281142</v>
      </c>
      <c r="E69" s="92">
        <f t="shared" ca="1" si="18"/>
        <v>39.350443648484337</v>
      </c>
      <c r="F69" s="92">
        <f t="shared" ref="F69:F104" ca="1" si="35">C69*D69</f>
        <v>0.1839811323382417</v>
      </c>
      <c r="G69" s="100">
        <f ca="1">'Age data'!M73*Customisation!$H$22</f>
        <v>8.3891750601276921E-5</v>
      </c>
      <c r="H69" s="100">
        <f t="shared" ref="H69:H104" ca="1" si="36">G69*D69</f>
        <v>1.7838963447311674E-5</v>
      </c>
      <c r="I69" s="100">
        <f ca="1">'Age data'!N73*Customisation!$H$22</f>
        <v>8.0396260992890379E-5</v>
      </c>
      <c r="J69" s="101">
        <f t="shared" ref="J69:J104" ca="1" si="37">I69*D69</f>
        <v>1.7095673303673688E-5</v>
      </c>
      <c r="K69" s="100">
        <f ca="1">I69*'Life table'!I67</f>
        <v>1.2934127766008811E-3</v>
      </c>
      <c r="L69" s="100">
        <f ca="1">J69*'Life table'!J67</f>
        <v>2.7197225412111385E-4</v>
      </c>
      <c r="M69" s="100">
        <f t="shared" ref="M69:M104" ca="1" si="38">(G69-I69)*$AW$3+I69*$AW$4</f>
        <v>6.7542443288917507E-5</v>
      </c>
      <c r="N69" s="100">
        <f ca="1">((G69-I69)*$AW$5+I69*$AW$6)/(1+Customisation!$H$21)^($A69-12)</f>
        <v>1.3971324855999515E-5</v>
      </c>
      <c r="O69" s="100">
        <f ca="1">G69*Customisation!$H$17</f>
        <v>5.8114661449908907E-2</v>
      </c>
      <c r="P69" s="100">
        <f ca="1">O69/(1+Customisation!$H$21)^($A69-12)</f>
        <v>1.2357655120169087E-2</v>
      </c>
      <c r="Q69" s="100">
        <f ca="1">IF($A69&lt;Customisation!$H$13,G69,G69*(1-Customisation!$H$11*Customisation!$H$12))</f>
        <v>3.171942419402634E-5</v>
      </c>
      <c r="R69" s="100">
        <f ca="1">IF($A69&lt;Customisation!$H$13,H69,H69*(1-Customisation!$H$11*Customisation!$H$12))</f>
        <v>6.7449021472487522E-6</v>
      </c>
      <c r="S69" s="100">
        <f ca="1">IF($A69&lt;Customisation!$H$13,I69,I69*(1-Customisation!$H$11*Customisation!$H$12))</f>
        <v>3.0397781519275243E-5</v>
      </c>
      <c r="T69" s="100">
        <f ca="1">IF($A69&lt;Customisation!$H$13,J69,J69*(1-Customisation!$H$11*Customisation!$H$12))</f>
        <v>6.463864557780054E-6</v>
      </c>
      <c r="U69" s="100">
        <f ca="1">IF($A69&lt;Customisation!$H$13,K69,K69*(1-Customisation!$H$11*Customisation!$H$12))</f>
        <v>4.8903865070080337E-4</v>
      </c>
      <c r="V69" s="100">
        <f ca="1">IF($A69&lt;Customisation!$H$13,L69,L69*(1-Customisation!$H$11*Customisation!$H$12))</f>
        <v>1.0283255785750441E-4</v>
      </c>
      <c r="W69" s="100">
        <f ca="1">IF($A69&lt;Customisation!$H$13,M69,M69*(1-Customisation!$H$11*Customisation!$H$12))</f>
        <v>2.5537760202008856E-5</v>
      </c>
      <c r="X69" s="100">
        <f ca="1">IF($A69&lt;Customisation!$H$13,N69,N69*(1-Customisation!$H$11*Customisation!$H$12))</f>
        <v>5.2825501492544516E-6</v>
      </c>
      <c r="Y69" s="100">
        <f ca="1">IF($A69&lt;Customisation!$H$13,O69,O69*(1-Customisation!$H$11*Customisation!$H$12))</f>
        <v>2.1973121137775286E-2</v>
      </c>
      <c r="Z69" s="100">
        <f ca="1">IF($A69&lt;Customisation!$H$13,P69,P69*(1-Customisation!$H$11*Customisation!$H$12))</f>
        <v>4.6724225205780666E-3</v>
      </c>
      <c r="AA69" s="100">
        <f t="shared" ca="1" si="27"/>
        <v>5.2172326407250581E-5</v>
      </c>
      <c r="AB69" s="100">
        <f t="shared" ref="AB69:AB104" ca="1" si="39">H69-R69</f>
        <v>1.1094061300062922E-5</v>
      </c>
      <c r="AC69" s="100">
        <f t="shared" ca="1" si="28"/>
        <v>4.999847947361514E-5</v>
      </c>
      <c r="AD69" s="100">
        <f t="shared" ca="1" si="33"/>
        <v>1.0631808745893633E-5</v>
      </c>
      <c r="AE69" s="100">
        <f t="shared" ca="1" si="34"/>
        <v>8.0437412590007775E-4</v>
      </c>
      <c r="AF69" s="100">
        <f t="shared" ca="1" si="29"/>
        <v>1.6913969626360944E-4</v>
      </c>
      <c r="AG69" s="100">
        <f t="shared" ref="AG69:AG104" ca="1" si="40">M69-W69</f>
        <v>4.2004683086908651E-5</v>
      </c>
      <c r="AH69" s="100">
        <f t="shared" ref="AH69:AH104" ca="1" si="41">N69-X69</f>
        <v>8.688774706745063E-6</v>
      </c>
      <c r="AI69" s="100">
        <f t="shared" ca="1" si="30"/>
        <v>3.6141540312133624E-2</v>
      </c>
      <c r="AJ69" s="100">
        <f t="shared" ca="1" si="31"/>
        <v>7.6852325995910202E-3</v>
      </c>
      <c r="AL69" s="102">
        <f t="shared" ref="AL69:AL104" ca="1" si="42">G69*100000</f>
        <v>8.3891750601276929</v>
      </c>
      <c r="AM69" s="102">
        <f t="shared" ref="AM69:AM104" ca="1" si="43">Q69*100000</f>
        <v>3.171942419402634</v>
      </c>
    </row>
    <row r="70" spans="1:39" x14ac:dyDescent="0.15">
      <c r="A70" s="92">
        <f t="shared" si="32"/>
        <v>66</v>
      </c>
      <c r="B70" s="99">
        <f>'Life table'!D68</f>
        <v>0.82904138313841036</v>
      </c>
      <c r="C70" s="99">
        <f>IF($A70&lt;Customisation!$H$13,0,B70)/LOOKUP(Customisation!$H$13,$A$4:$A$104,$B$4:$B$104)</f>
        <v>0.84985525937114148</v>
      </c>
      <c r="D70" s="92">
        <f ca="1">IF($A70&lt;=Customisation!$H$13,1,1/(1+Customisation!$H$21)^($A70-Customisation!$H$13))</f>
        <v>0.2065211412106378</v>
      </c>
      <c r="E70" s="92">
        <f t="shared" ref="E70:E104" ca="1" si="44">E69+D69</f>
        <v>39.56308628997715</v>
      </c>
      <c r="F70" s="92">
        <f t="shared" ca="1" si="35"/>
        <v>0.17551307802919072</v>
      </c>
      <c r="G70" s="100">
        <f ca="1">'Age data'!M74*Customisation!$H$22</f>
        <v>8.3891750601276921E-5</v>
      </c>
      <c r="H70" s="100">
        <f t="shared" ca="1" si="36"/>
        <v>1.732542007233392E-5</v>
      </c>
      <c r="I70" s="100">
        <f ca="1">'Age data'!N74*Customisation!$H$22</f>
        <v>8.0396260992890379E-5</v>
      </c>
      <c r="J70" s="101">
        <f t="shared" ca="1" si="37"/>
        <v>1.6603527569320007E-5</v>
      </c>
      <c r="K70" s="100">
        <f ca="1">I70*'Life table'!I68</f>
        <v>1.2356630515900256E-3</v>
      </c>
      <c r="L70" s="100">
        <f ca="1">J70*'Life table'!J68</f>
        <v>2.5325541708418514E-4</v>
      </c>
      <c r="M70" s="100">
        <f t="shared" ca="1" si="38"/>
        <v>6.7542443288917507E-5</v>
      </c>
      <c r="N70" s="100">
        <f ca="1">((G70-I70)*$AW$5+I70*$AW$6)/(1+Customisation!$H$21)^($A70-12)</f>
        <v>1.3569122040760166E-5</v>
      </c>
      <c r="O70" s="100">
        <f ca="1">G70*Customisation!$H$17</f>
        <v>5.8114661449908907E-2</v>
      </c>
      <c r="P70" s="100">
        <f ca="1">O70/(1+Customisation!$H$21)^($A70-12)</f>
        <v>1.2001906203705047E-2</v>
      </c>
      <c r="Q70" s="100">
        <f ca="1">IF($A70&lt;Customisation!$H$13,G70,G70*(1-Customisation!$H$11*Customisation!$H$12))</f>
        <v>3.171942419402634E-5</v>
      </c>
      <c r="R70" s="100">
        <f ca="1">IF($A70&lt;Customisation!$H$13,H70,H70*(1-Customisation!$H$11*Customisation!$H$12))</f>
        <v>6.5507316830946353E-6</v>
      </c>
      <c r="S70" s="100">
        <f ca="1">IF($A70&lt;Customisation!$H$13,I70,I70*(1-Customisation!$H$11*Customisation!$H$12))</f>
        <v>3.0397781519275243E-5</v>
      </c>
      <c r="T70" s="100">
        <f ca="1">IF($A70&lt;Customisation!$H$13,J70,J70*(1-Customisation!$H$11*Customisation!$H$12))</f>
        <v>6.2777845296323587E-6</v>
      </c>
      <c r="U70" s="100">
        <f ca="1">IF($A70&lt;Customisation!$H$13,K70,K70*(1-Customisation!$H$11*Customisation!$H$12))</f>
        <v>4.6720351182744893E-4</v>
      </c>
      <c r="V70" s="100">
        <f ca="1">IF($A70&lt;Customisation!$H$13,L70,L70*(1-Customisation!$H$11*Customisation!$H$12))</f>
        <v>9.5755732194794155E-5</v>
      </c>
      <c r="W70" s="100">
        <f ca="1">IF($A70&lt;Customisation!$H$13,M70,M70*(1-Customisation!$H$11*Customisation!$H$12))</f>
        <v>2.5537760202008856E-5</v>
      </c>
      <c r="X70" s="100">
        <f ca="1">IF($A70&lt;Customisation!$H$13,N70,N70*(1-Customisation!$H$11*Customisation!$H$12))</f>
        <v>5.1304774887464663E-6</v>
      </c>
      <c r="Y70" s="100">
        <f ca="1">IF($A70&lt;Customisation!$H$13,O70,O70*(1-Customisation!$H$11*Customisation!$H$12))</f>
        <v>2.1973121137775286E-2</v>
      </c>
      <c r="Z70" s="100">
        <f ca="1">IF($A70&lt;Customisation!$H$13,P70,P70*(1-Customisation!$H$11*Customisation!$H$12))</f>
        <v>4.537914053332941E-3</v>
      </c>
      <c r="AA70" s="100">
        <f t="shared" ca="1" si="27"/>
        <v>5.2172326407250581E-5</v>
      </c>
      <c r="AB70" s="100">
        <f t="shared" ca="1" si="39"/>
        <v>1.0774688389239284E-5</v>
      </c>
      <c r="AC70" s="100">
        <f t="shared" ca="1" si="28"/>
        <v>4.999847947361514E-5</v>
      </c>
      <c r="AD70" s="100">
        <f t="shared" ca="1" si="33"/>
        <v>1.0325743039687648E-5</v>
      </c>
      <c r="AE70" s="100">
        <f t="shared" ca="1" si="34"/>
        <v>7.6845953976257663E-4</v>
      </c>
      <c r="AF70" s="100">
        <f t="shared" ca="1" si="29"/>
        <v>1.5749968488939099E-4</v>
      </c>
      <c r="AG70" s="100">
        <f t="shared" ca="1" si="40"/>
        <v>4.2004683086908651E-5</v>
      </c>
      <c r="AH70" s="100">
        <f t="shared" ca="1" si="41"/>
        <v>8.4386445520137006E-6</v>
      </c>
      <c r="AI70" s="100">
        <f t="shared" ca="1" si="30"/>
        <v>3.6141540312133624E-2</v>
      </c>
      <c r="AJ70" s="100">
        <f t="shared" ca="1" si="31"/>
        <v>7.4639921503721063E-3</v>
      </c>
      <c r="AL70" s="102">
        <f t="shared" ca="1" si="42"/>
        <v>8.3891750601276929</v>
      </c>
      <c r="AM70" s="102">
        <f t="shared" ca="1" si="43"/>
        <v>3.171942419402634</v>
      </c>
    </row>
    <row r="71" spans="1:39" x14ac:dyDescent="0.15">
      <c r="A71" s="92">
        <f t="shared" si="32"/>
        <v>67</v>
      </c>
      <c r="B71" s="99">
        <f>'Life table'!D69</f>
        <v>0.81432589858770354</v>
      </c>
      <c r="C71" s="99">
        <f>IF($A71&lt;Customisation!$H$13,0,B71)/LOOKUP(Customisation!$H$13,$A$4:$A$104,$B$4:$B$104)</f>
        <v>0.83477032851730371</v>
      </c>
      <c r="D71" s="92">
        <f ca="1">IF($A71&lt;=Customisation!$H$13,1,1/(1+Customisation!$H$21)^($A71-Customisation!$H$13))</f>
        <v>0.20057586506413885</v>
      </c>
      <c r="E71" s="92">
        <f t="shared" ca="1" si="44"/>
        <v>39.769607431187787</v>
      </c>
      <c r="F71" s="92">
        <f t="shared" ca="1" si="35"/>
        <v>0.16743478077223356</v>
      </c>
      <c r="G71" s="100">
        <f ca="1">'Age data'!M75*Customisation!$H$22</f>
        <v>8.3891750601276921E-5</v>
      </c>
      <c r="H71" s="100">
        <f t="shared" ca="1" si="36"/>
        <v>1.6826660448596109E-5</v>
      </c>
      <c r="I71" s="100">
        <f ca="1">'Age data'!N75*Customisation!$H$22</f>
        <v>8.0396260992890379E-5</v>
      </c>
      <c r="J71" s="101">
        <f t="shared" ca="1" si="37"/>
        <v>1.6125549596571272E-5</v>
      </c>
      <c r="K71" s="100">
        <f ca="1">I71*'Life table'!I69</f>
        <v>1.1768697453941937E-3</v>
      </c>
      <c r="L71" s="100">
        <f ca="1">J71*'Life table'!J69</f>
        <v>2.3500329979033713E-4</v>
      </c>
      <c r="M71" s="100">
        <f t="shared" ca="1" si="38"/>
        <v>6.7542443288917507E-5</v>
      </c>
      <c r="N71" s="100">
        <f ca="1">((G71-I71)*$AW$5+I71*$AW$6)/(1+Customisation!$H$21)^($A71-12)</f>
        <v>1.3178497734091318E-5</v>
      </c>
      <c r="O71" s="100">
        <f ca="1">G71*Customisation!$H$17</f>
        <v>5.8114661449908907E-2</v>
      </c>
      <c r="P71" s="100">
        <f ca="1">O71/(1+Customisation!$H$21)^($A71-12)</f>
        <v>1.1656398493225041E-2</v>
      </c>
      <c r="Q71" s="100">
        <f ca="1">IF($A71&lt;Customisation!$H$13,G71,G71*(1-Customisation!$H$11*Customisation!$H$12))</f>
        <v>3.171942419402634E-5</v>
      </c>
      <c r="R71" s="100">
        <f ca="1">IF($A71&lt;Customisation!$H$13,H71,H71*(1-Customisation!$H$11*Customisation!$H$12))</f>
        <v>6.3621509470532088E-6</v>
      </c>
      <c r="S71" s="100">
        <f ca="1">IF($A71&lt;Customisation!$H$13,I71,I71*(1-Customisation!$H$11*Customisation!$H$12))</f>
        <v>3.0397781519275243E-5</v>
      </c>
      <c r="T71" s="100">
        <f ca="1">IF($A71&lt;Customisation!$H$13,J71,J71*(1-Customisation!$H$11*Customisation!$H$12))</f>
        <v>6.0970613242593254E-6</v>
      </c>
      <c r="U71" s="100">
        <f ca="1">IF($A71&lt;Customisation!$H$13,K71,K71*(1-Customisation!$H$11*Customisation!$H$12))</f>
        <v>4.4497379548908843E-4</v>
      </c>
      <c r="V71" s="100">
        <f ca="1">IF($A71&lt;Customisation!$H$13,L71,L71*(1-Customisation!$H$11*Customisation!$H$12))</f>
        <v>8.8854616808201222E-5</v>
      </c>
      <c r="W71" s="100">
        <f ca="1">IF($A71&lt;Customisation!$H$13,M71,M71*(1-Customisation!$H$11*Customisation!$H$12))</f>
        <v>2.5537760202008856E-5</v>
      </c>
      <c r="X71" s="100">
        <f ca="1">IF($A71&lt;Customisation!$H$13,N71,N71*(1-Customisation!$H$11*Customisation!$H$12))</f>
        <v>4.9827826558824349E-6</v>
      </c>
      <c r="Y71" s="100">
        <f ca="1">IF($A71&lt;Customisation!$H$13,O71,O71*(1-Customisation!$H$11*Customisation!$H$12))</f>
        <v>2.1973121137775286E-2</v>
      </c>
      <c r="Z71" s="100">
        <f ca="1">IF($A71&lt;Customisation!$H$13,P71,P71*(1-Customisation!$H$11*Customisation!$H$12))</f>
        <v>4.4072777803683934E-3</v>
      </c>
      <c r="AA71" s="100">
        <f t="shared" ca="1" si="27"/>
        <v>5.2172326407250581E-5</v>
      </c>
      <c r="AB71" s="100">
        <f t="shared" ca="1" si="39"/>
        <v>1.0464509501542902E-5</v>
      </c>
      <c r="AC71" s="100">
        <f t="shared" ca="1" si="28"/>
        <v>4.999847947361514E-5</v>
      </c>
      <c r="AD71" s="100">
        <f t="shared" ca="1" si="33"/>
        <v>1.0028488272311946E-5</v>
      </c>
      <c r="AE71" s="100">
        <f t="shared" ca="1" si="34"/>
        <v>7.318959499051053E-4</v>
      </c>
      <c r="AF71" s="100">
        <f t="shared" ca="1" si="29"/>
        <v>1.461486829821359E-4</v>
      </c>
      <c r="AG71" s="100">
        <f t="shared" ca="1" si="40"/>
        <v>4.2004683086908651E-5</v>
      </c>
      <c r="AH71" s="100">
        <f t="shared" ca="1" si="41"/>
        <v>8.1957150782088843E-6</v>
      </c>
      <c r="AI71" s="100">
        <f t="shared" ca="1" si="30"/>
        <v>3.6141540312133624E-2</v>
      </c>
      <c r="AJ71" s="100">
        <f t="shared" ca="1" si="31"/>
        <v>7.2491207128566474E-3</v>
      </c>
      <c r="AL71" s="102">
        <f t="shared" ca="1" si="42"/>
        <v>8.3891750601276929</v>
      </c>
      <c r="AM71" s="102">
        <f t="shared" ca="1" si="43"/>
        <v>3.171942419402634</v>
      </c>
    </row>
    <row r="72" spans="1:39" x14ac:dyDescent="0.15">
      <c r="A72" s="92">
        <f t="shared" si="32"/>
        <v>68</v>
      </c>
      <c r="B72" s="99">
        <f>'Life table'!D70</f>
        <v>0.79987161388777173</v>
      </c>
      <c r="C72" s="99">
        <f>IF($A72&lt;Customisation!$H$13,0,B72)/LOOKUP(Customisation!$H$13,$A$4:$A$104,$B$4:$B$104)</f>
        <v>0.81995315518612144</v>
      </c>
      <c r="D72" s="92">
        <f ca="1">IF($A72&lt;=Customisation!$H$13,1,1/(1+Customisation!$H$21)^($A72-Customisation!$H$13))</f>
        <v>0.19480173995937308</v>
      </c>
      <c r="E72" s="92">
        <f t="shared" ca="1" si="44"/>
        <v>39.970183296251925</v>
      </c>
      <c r="F72" s="92">
        <f t="shared" ca="1" si="35"/>
        <v>0.15972830131543431</v>
      </c>
      <c r="G72" s="100">
        <f ca="1">'Age data'!M76*Customisation!$H$22</f>
        <v>8.3891750601276921E-5</v>
      </c>
      <c r="H72" s="100">
        <f t="shared" ca="1" si="36"/>
        <v>1.6342258985366526E-5</v>
      </c>
      <c r="I72" s="100">
        <f ca="1">'Age data'!N76*Customisation!$H$22</f>
        <v>8.0396260992890379E-5</v>
      </c>
      <c r="J72" s="101">
        <f t="shared" ca="1" si="37"/>
        <v>1.5661331527642922E-5</v>
      </c>
      <c r="K72" s="100">
        <f ca="1">I72*'Life table'!I70</f>
        <v>1.1170139997125125E-3</v>
      </c>
      <c r="L72" s="100">
        <f ca="1">J72*'Life table'!J70</f>
        <v>2.1719327231021376E-4</v>
      </c>
      <c r="M72" s="100">
        <f t="shared" ca="1" si="38"/>
        <v>6.7542443288917507E-5</v>
      </c>
      <c r="N72" s="100">
        <f ca="1">((G72-I72)*$AW$5+I72*$AW$6)/(1+Customisation!$H$21)^($A72-12)</f>
        <v>1.279911861694189E-5</v>
      </c>
      <c r="O72" s="100">
        <f ca="1">G72*Customisation!$H$17</f>
        <v>5.8114661449908907E-2</v>
      </c>
      <c r="P72" s="100">
        <f ca="1">O72/(1+Customisation!$H$21)^($A72-12)</f>
        <v>1.1320837167592157E-2</v>
      </c>
      <c r="Q72" s="100">
        <f ca="1">IF($A72&lt;Customisation!$H$13,G72,G72*(1-Customisation!$H$11*Customisation!$H$12))</f>
        <v>3.171942419402634E-5</v>
      </c>
      <c r="R72" s="100">
        <f ca="1">IF($A72&lt;Customisation!$H$13,H72,H72*(1-Customisation!$H$11*Customisation!$H$12))</f>
        <v>6.1789990235057659E-6</v>
      </c>
      <c r="S72" s="100">
        <f ca="1">IF($A72&lt;Customisation!$H$13,I72,I72*(1-Customisation!$H$11*Customisation!$H$12))</f>
        <v>3.0397781519275243E-5</v>
      </c>
      <c r="T72" s="100">
        <f ca="1">IF($A72&lt;Customisation!$H$13,J72,J72*(1-Customisation!$H$11*Customisation!$H$12))</f>
        <v>5.9215407308596928E-6</v>
      </c>
      <c r="U72" s="100">
        <f ca="1">IF($A72&lt;Customisation!$H$13,K72,K72*(1-Customisation!$H$11*Customisation!$H$12))</f>
        <v>4.2234237137266155E-4</v>
      </c>
      <c r="V72" s="100">
        <f ca="1">IF($A72&lt;Customisation!$H$13,L72,L72*(1-Customisation!$H$11*Customisation!$H$12))</f>
        <v>8.2120655334035715E-5</v>
      </c>
      <c r="W72" s="100">
        <f ca="1">IF($A72&lt;Customisation!$H$13,M72,M72*(1-Customisation!$H$11*Customisation!$H$12))</f>
        <v>2.5537760202008856E-5</v>
      </c>
      <c r="X72" s="100">
        <f ca="1">IF($A72&lt;Customisation!$H$13,N72,N72*(1-Customisation!$H$11*Customisation!$H$12))</f>
        <v>4.8393396229147248E-6</v>
      </c>
      <c r="Y72" s="100">
        <f ca="1">IF($A72&lt;Customisation!$H$13,O72,O72*(1-Customisation!$H$11*Customisation!$H$12))</f>
        <v>2.1973121137775286E-2</v>
      </c>
      <c r="Z72" s="100">
        <f ca="1">IF($A72&lt;Customisation!$H$13,P72,P72*(1-Customisation!$H$11*Customisation!$H$12))</f>
        <v>4.2804022299767052E-3</v>
      </c>
      <c r="AA72" s="100">
        <f t="shared" ca="1" si="27"/>
        <v>5.2172326407250581E-5</v>
      </c>
      <c r="AB72" s="100">
        <f t="shared" ca="1" si="39"/>
        <v>1.016325996186076E-5</v>
      </c>
      <c r="AC72" s="100">
        <f t="shared" ca="1" si="28"/>
        <v>4.999847947361514E-5</v>
      </c>
      <c r="AD72" s="100">
        <f t="shared" ca="1" si="33"/>
        <v>9.7397907967832297E-6</v>
      </c>
      <c r="AE72" s="100">
        <f t="shared" ca="1" si="34"/>
        <v>6.9467162833985086E-4</v>
      </c>
      <c r="AF72" s="100">
        <f t="shared" ca="1" si="29"/>
        <v>1.3507261697617804E-4</v>
      </c>
      <c r="AG72" s="100">
        <f t="shared" ca="1" si="40"/>
        <v>4.2004683086908651E-5</v>
      </c>
      <c r="AH72" s="100">
        <f t="shared" ca="1" si="41"/>
        <v>7.9597789940271646E-6</v>
      </c>
      <c r="AI72" s="100">
        <f t="shared" ca="1" si="30"/>
        <v>3.6141540312133624E-2</v>
      </c>
      <c r="AJ72" s="100">
        <f t="shared" ca="1" si="31"/>
        <v>7.0404349376154522E-3</v>
      </c>
      <c r="AL72" s="102">
        <f t="shared" ca="1" si="42"/>
        <v>8.3891750601276929</v>
      </c>
      <c r="AM72" s="102">
        <f t="shared" ca="1" si="43"/>
        <v>3.171942419402634</v>
      </c>
    </row>
    <row r="73" spans="1:39" x14ac:dyDescent="0.15">
      <c r="A73" s="92">
        <f t="shared" si="32"/>
        <v>69</v>
      </c>
      <c r="B73" s="99">
        <f>'Life table'!D71</f>
        <v>0.78567389274126376</v>
      </c>
      <c r="C73" s="99">
        <f>IF($A73&lt;Customisation!$H$13,0,B73)/LOOKUP(Customisation!$H$13,$A$4:$A$104,$B$4:$B$104)</f>
        <v>0.80539898668156773</v>
      </c>
      <c r="D73" s="92">
        <f ca="1">IF($A73&lt;=Customisation!$H$13,1,1/(1+Customisation!$H$21)^($A73-Customisation!$H$13))</f>
        <v>0.18919383884528948</v>
      </c>
      <c r="E73" s="92">
        <f t="shared" ca="1" si="44"/>
        <v>40.164985036211299</v>
      </c>
      <c r="F73" s="92">
        <f t="shared" ca="1" si="35"/>
        <v>0.15237652609239197</v>
      </c>
      <c r="G73" s="100">
        <f ca="1">'Age data'!M77*Customisation!$H$22</f>
        <v>8.3891750601276921E-5</v>
      </c>
      <c r="H73" s="100">
        <f t="shared" ca="1" si="36"/>
        <v>1.5871802343707201E-5</v>
      </c>
      <c r="I73" s="100">
        <f ca="1">'Age data'!N77*Customisation!$H$22</f>
        <v>8.0396260992890379E-5</v>
      </c>
      <c r="J73" s="101">
        <f t="shared" ca="1" si="37"/>
        <v>1.5210477246052736E-5</v>
      </c>
      <c r="K73" s="100">
        <f ca="1">I73*'Life table'!I71</f>
        <v>1.0560766154603554E-3</v>
      </c>
      <c r="L73" s="100">
        <f ca="1">J73*'Life table'!J71</f>
        <v>1.9974368518054124E-4</v>
      </c>
      <c r="M73" s="100">
        <f t="shared" ca="1" si="38"/>
        <v>6.7542443288917507E-5</v>
      </c>
      <c r="N73" s="100">
        <f ca="1">((G73-I73)*$AW$5+I73*$AW$6)/(1+Customisation!$H$21)^($A73-12)</f>
        <v>1.2430660965761744E-5</v>
      </c>
      <c r="O73" s="100">
        <f ca="1">G73*Customisation!$H$17</f>
        <v>5.8114661449908907E-2</v>
      </c>
      <c r="P73" s="100">
        <f ca="1">O73/(1+Customisation!$H$21)^($A73-12)</f>
        <v>1.0994935892902624E-2</v>
      </c>
      <c r="Q73" s="100">
        <f ca="1">IF($A73&lt;Customisation!$H$13,G73,G73*(1-Customisation!$H$11*Customisation!$H$12))</f>
        <v>3.171942419402634E-5</v>
      </c>
      <c r="R73" s="100">
        <f ca="1">IF($A73&lt;Customisation!$H$13,H73,H73*(1-Customisation!$H$11*Customisation!$H$12))</f>
        <v>6.0011196292299957E-6</v>
      </c>
      <c r="S73" s="100">
        <f ca="1">IF($A73&lt;Customisation!$H$13,I73,I73*(1-Customisation!$H$11*Customisation!$H$12))</f>
        <v>3.0397781519275243E-5</v>
      </c>
      <c r="T73" s="100">
        <f ca="1">IF($A73&lt;Customisation!$H$13,J73,J73*(1-Customisation!$H$11*Customisation!$H$12))</f>
        <v>5.7510729780120794E-6</v>
      </c>
      <c r="U73" s="100">
        <f ca="1">IF($A73&lt;Customisation!$H$13,K73,K73*(1-Customisation!$H$11*Customisation!$H$12))</f>
        <v>3.9930198031496047E-4</v>
      </c>
      <c r="V73" s="100">
        <f ca="1">IF($A73&lt;Customisation!$H$13,L73,L73*(1-Customisation!$H$11*Customisation!$H$12))</f>
        <v>7.5522976155693712E-5</v>
      </c>
      <c r="W73" s="100">
        <f ca="1">IF($A73&lt;Customisation!$H$13,M73,M73*(1-Customisation!$H$11*Customisation!$H$12))</f>
        <v>2.5537760202008856E-5</v>
      </c>
      <c r="X73" s="100">
        <f ca="1">IF($A73&lt;Customisation!$H$13,N73,N73*(1-Customisation!$H$11*Customisation!$H$12))</f>
        <v>4.700025990149267E-6</v>
      </c>
      <c r="Y73" s="100">
        <f ca="1">IF($A73&lt;Customisation!$H$13,O73,O73*(1-Customisation!$H$11*Customisation!$H$12))</f>
        <v>2.1973121137775286E-2</v>
      </c>
      <c r="Z73" s="100">
        <f ca="1">IF($A73&lt;Customisation!$H$13,P73,P73*(1-Customisation!$H$11*Customisation!$H$12))</f>
        <v>4.157179139468282E-3</v>
      </c>
      <c r="AA73" s="100">
        <f t="shared" ca="1" si="27"/>
        <v>5.2172326407250581E-5</v>
      </c>
      <c r="AB73" s="100">
        <f t="shared" ca="1" si="39"/>
        <v>9.8706827144772048E-6</v>
      </c>
      <c r="AC73" s="100">
        <f t="shared" ca="1" si="28"/>
        <v>4.999847947361514E-5</v>
      </c>
      <c r="AD73" s="100">
        <f t="shared" ca="1" si="33"/>
        <v>9.4594042680406561E-6</v>
      </c>
      <c r="AE73" s="100">
        <f t="shared" ca="1" si="34"/>
        <v>6.5677463514539499E-4</v>
      </c>
      <c r="AF73" s="100">
        <f t="shared" ca="1" si="29"/>
        <v>1.2422070902484754E-4</v>
      </c>
      <c r="AG73" s="100">
        <f t="shared" ca="1" si="40"/>
        <v>4.2004683086908651E-5</v>
      </c>
      <c r="AH73" s="100">
        <f t="shared" ca="1" si="41"/>
        <v>7.7306349756124773E-6</v>
      </c>
      <c r="AI73" s="100">
        <f t="shared" ca="1" si="30"/>
        <v>3.6141540312133624E-2</v>
      </c>
      <c r="AJ73" s="100">
        <f t="shared" ca="1" si="31"/>
        <v>6.8377567534343422E-3</v>
      </c>
      <c r="AL73" s="102">
        <f t="shared" ca="1" si="42"/>
        <v>8.3891750601276929</v>
      </c>
      <c r="AM73" s="102">
        <f t="shared" ca="1" si="43"/>
        <v>3.171942419402634</v>
      </c>
    </row>
    <row r="74" spans="1:39" x14ac:dyDescent="0.15">
      <c r="A74" s="92">
        <f t="shared" si="32"/>
        <v>70</v>
      </c>
      <c r="B74" s="99">
        <f>'Life table'!D72</f>
        <v>0.77172818114510633</v>
      </c>
      <c r="C74" s="99">
        <f>IF($A74&lt;Customisation!$H$13,0,B74)/LOOKUP(Customisation!$H$13,$A$4:$A$104,$B$4:$B$104)</f>
        <v>0.79110315466796999</v>
      </c>
      <c r="D74" s="92">
        <f ca="1">IF($A74&lt;=Customisation!$H$13,1,1/(1+Customisation!$H$21)^($A74-Customisation!$H$13))</f>
        <v>0.1837473765094832</v>
      </c>
      <c r="E74" s="92">
        <f t="shared" ca="1" si="44"/>
        <v>40.35417887505659</v>
      </c>
      <c r="F74" s="92">
        <f t="shared" ca="1" si="35"/>
        <v>0.14536312921861541</v>
      </c>
      <c r="G74" s="100">
        <f ca="1">'Age data'!M78*Customisation!$H$22</f>
        <v>7.8998065149535768E-5</v>
      </c>
      <c r="H74" s="100">
        <f t="shared" ca="1" si="36"/>
        <v>1.4515687220552431E-5</v>
      </c>
      <c r="I74" s="100">
        <f ca="1">'Age data'!N78*Customisation!$H$22</f>
        <v>9.8572806956500391E-5</v>
      </c>
      <c r="J74" s="101">
        <f t="shared" ca="1" si="37"/>
        <v>1.8112494673432681E-5</v>
      </c>
      <c r="K74" s="100">
        <f ca="1">I74*'Life table'!I72</f>
        <v>1.2187770832362483E-3</v>
      </c>
      <c r="L74" s="100">
        <f ca="1">J74*'Life table'!J72</f>
        <v>2.2394709159454066E-4</v>
      </c>
      <c r="M74" s="100">
        <f t="shared" ca="1" si="38"/>
        <v>7.039770994364952E-5</v>
      </c>
      <c r="N74" s="100">
        <f ca="1">((G74-I74)*$AW$5+I74*$AW$6)/(1+Customisation!$H$21)^($A74-12)</f>
        <v>1.2657990323902427E-5</v>
      </c>
      <c r="O74" s="100">
        <f ca="1">G74*Customisation!$H$17</f>
        <v>5.4724639531997556E-2</v>
      </c>
      <c r="P74" s="100">
        <f ca="1">O74/(1+Customisation!$H$21)^($A74-12)</f>
        <v>1.0055508944431704E-2</v>
      </c>
      <c r="Q74" s="100">
        <f ca="1">IF($A74&lt;Customisation!$H$13,G74,G74*(1-Customisation!$H$11*Customisation!$H$12))</f>
        <v>2.9869124449374805E-5</v>
      </c>
      <c r="R74" s="100">
        <f ca="1">IF($A74&lt;Customisation!$H$13,H74,H74*(1-Customisation!$H$11*Customisation!$H$12))</f>
        <v>5.4883732562078824E-6</v>
      </c>
      <c r="S74" s="100">
        <f ca="1">IF($A74&lt;Customisation!$H$13,I74,I74*(1-Customisation!$H$11*Customisation!$H$12))</f>
        <v>3.7270323427980958E-5</v>
      </c>
      <c r="T74" s="100">
        <f ca="1">IF($A74&lt;Customisation!$H$13,J74,J74*(1-Customisation!$H$11*Customisation!$H$12))</f>
        <v>6.8483241515514288E-6</v>
      </c>
      <c r="U74" s="100">
        <f ca="1">IF($A74&lt;Customisation!$H$13,K74,K74*(1-Customisation!$H$11*Customisation!$H$12))</f>
        <v>4.608189365944675E-4</v>
      </c>
      <c r="V74" s="100">
        <f ca="1">IF($A74&lt;Customisation!$H$13,L74,L74*(1-Customisation!$H$11*Customisation!$H$12))</f>
        <v>8.4674270645123279E-5</v>
      </c>
      <c r="W74" s="100">
        <f ca="1">IF($A74&lt;Customisation!$H$13,M74,M74*(1-Customisation!$H$11*Customisation!$H$12))</f>
        <v>2.6617334934439395E-5</v>
      </c>
      <c r="X74" s="100">
        <f ca="1">IF($A74&lt;Customisation!$H$13,N74,N74*(1-Customisation!$H$11*Customisation!$H$12))</f>
        <v>4.7859790938923457E-6</v>
      </c>
      <c r="Y74" s="100">
        <f ca="1">IF($A74&lt;Customisation!$H$13,O74,O74*(1-Customisation!$H$11*Customisation!$H$12))</f>
        <v>2.069135573807173E-2</v>
      </c>
      <c r="Z74" s="100">
        <f ca="1">IF($A74&lt;Customisation!$H$13,P74,P74*(1-Customisation!$H$11*Customisation!$H$12))</f>
        <v>3.8019823332951222E-3</v>
      </c>
      <c r="AA74" s="100">
        <f t="shared" ca="1" si="27"/>
        <v>4.9128940700160964E-5</v>
      </c>
      <c r="AB74" s="100">
        <f t="shared" ca="1" si="39"/>
        <v>9.0273139643445486E-6</v>
      </c>
      <c r="AC74" s="100">
        <f t="shared" ca="1" si="28"/>
        <v>6.1302483528519433E-5</v>
      </c>
      <c r="AD74" s="100">
        <f t="shared" ca="1" si="33"/>
        <v>1.1264170521881252E-5</v>
      </c>
      <c r="AE74" s="100">
        <f t="shared" ca="1" si="34"/>
        <v>7.5795814664178073E-4</v>
      </c>
      <c r="AF74" s="100">
        <f t="shared" ca="1" si="29"/>
        <v>1.3927282094941738E-4</v>
      </c>
      <c r="AG74" s="100">
        <f t="shared" ca="1" si="40"/>
        <v>4.3780375009210125E-5</v>
      </c>
      <c r="AH74" s="100">
        <f t="shared" ca="1" si="41"/>
        <v>7.872011230010081E-6</v>
      </c>
      <c r="AI74" s="100">
        <f t="shared" ca="1" si="30"/>
        <v>3.4033283793925825E-2</v>
      </c>
      <c r="AJ74" s="100">
        <f t="shared" ca="1" si="31"/>
        <v>6.253526611136582E-3</v>
      </c>
      <c r="AL74" s="102">
        <f t="shared" ca="1" si="42"/>
        <v>7.8998065149535766</v>
      </c>
      <c r="AM74" s="102">
        <f t="shared" ca="1" si="43"/>
        <v>2.9869124449374804</v>
      </c>
    </row>
    <row r="75" spans="1:39" x14ac:dyDescent="0.15">
      <c r="A75" s="92">
        <f t="shared" si="32"/>
        <v>71</v>
      </c>
      <c r="B75" s="99">
        <f>'Life table'!D73</f>
        <v>0.74716407313925759</v>
      </c>
      <c r="C75" s="99">
        <f>IF($A75&lt;Customisation!$H$13,0,B75)/LOOKUP(Customisation!$H$13,$A$4:$A$104,$B$4:$B$104)</f>
        <v>0.76592234125488845</v>
      </c>
      <c r="D75" s="92">
        <f ca="1">IF($A75&lt;=Customisation!$H$13,1,1/(1+Customisation!$H$21)^($A75-Customisation!$H$13))</f>
        <v>0.17845770549498211</v>
      </c>
      <c r="E75" s="92">
        <f t="shared" ca="1" si="44"/>
        <v>40.53792625156607</v>
      </c>
      <c r="F75" s="92">
        <f t="shared" ca="1" si="35"/>
        <v>0.13668474360769206</v>
      </c>
      <c r="G75" s="100">
        <f ca="1">'Age data'!M79*Customisation!$H$22</f>
        <v>7.8998065149535768E-5</v>
      </c>
      <c r="H75" s="100">
        <f t="shared" ca="1" si="36"/>
        <v>1.4097813445129264E-5</v>
      </c>
      <c r="I75" s="100">
        <f ca="1">'Age data'!N79*Customisation!$H$22</f>
        <v>9.8572806956500391E-5</v>
      </c>
      <c r="J75" s="101">
        <f t="shared" ca="1" si="37"/>
        <v>1.7591076953656871E-5</v>
      </c>
      <c r="K75" s="100">
        <f ca="1">I75*'Life table'!I73</f>
        <v>1.158652987081257E-3</v>
      </c>
      <c r="L75" s="100">
        <f ca="1">J75*'Life table'!J73</f>
        <v>2.067705535394283E-4</v>
      </c>
      <c r="M75" s="100">
        <f t="shared" ca="1" si="38"/>
        <v>7.039770994364952E-5</v>
      </c>
      <c r="N75" s="100">
        <f ca="1">((G75-I75)*$AW$5+I75*$AW$6)/(1+Customisation!$H$21)^($A75-12)</f>
        <v>1.229359543680195E-5</v>
      </c>
      <c r="O75" s="100">
        <f ca="1">G75*Customisation!$H$17</f>
        <v>5.4724639531997556E-2</v>
      </c>
      <c r="P75" s="100">
        <f ca="1">O75/(1+Customisation!$H$21)^($A75-12)</f>
        <v>9.7660336049202757E-3</v>
      </c>
      <c r="Q75" s="100">
        <f ca="1">IF($A75&lt;Customisation!$H$13,G75,G75*(1-Customisation!$H$11*Customisation!$H$12))</f>
        <v>2.9869124449374805E-5</v>
      </c>
      <c r="R75" s="100">
        <f ca="1">IF($A75&lt;Customisation!$H$13,H75,H75*(1-Customisation!$H$11*Customisation!$H$12))</f>
        <v>5.3303754143794985E-6</v>
      </c>
      <c r="S75" s="100">
        <f ca="1">IF($A75&lt;Customisation!$H$13,I75,I75*(1-Customisation!$H$11*Customisation!$H$12))</f>
        <v>3.7270323427980958E-5</v>
      </c>
      <c r="T75" s="100">
        <f ca="1">IF($A75&lt;Customisation!$H$13,J75,J75*(1-Customisation!$H$11*Customisation!$H$12))</f>
        <v>6.6511764020133574E-6</v>
      </c>
      <c r="U75" s="100">
        <f ca="1">IF($A75&lt;Customisation!$H$13,K75,K75*(1-Customisation!$H$11*Customisation!$H$12))</f>
        <v>4.380860493134913E-4</v>
      </c>
      <c r="V75" s="100">
        <f ca="1">IF($A75&lt;Customisation!$H$13,L75,L75*(1-Customisation!$H$11*Customisation!$H$12))</f>
        <v>7.8179831169847248E-5</v>
      </c>
      <c r="W75" s="100">
        <f ca="1">IF($A75&lt;Customisation!$H$13,M75,M75*(1-Customisation!$H$11*Customisation!$H$12))</f>
        <v>2.6617334934439395E-5</v>
      </c>
      <c r="X75" s="100">
        <f ca="1">IF($A75&lt;Customisation!$H$13,N75,N75*(1-Customisation!$H$11*Customisation!$H$12))</f>
        <v>4.6482015899633903E-6</v>
      </c>
      <c r="Y75" s="100">
        <f ca="1">IF($A75&lt;Customisation!$H$13,O75,O75*(1-Customisation!$H$11*Customisation!$H$12))</f>
        <v>2.069135573807173E-2</v>
      </c>
      <c r="Z75" s="100">
        <f ca="1">IF($A75&lt;Customisation!$H$13,P75,P75*(1-Customisation!$H$11*Customisation!$H$12))</f>
        <v>3.692531868596713E-3</v>
      </c>
      <c r="AA75" s="100">
        <f t="shared" ca="1" si="27"/>
        <v>4.9128940700160964E-5</v>
      </c>
      <c r="AB75" s="100">
        <f t="shared" ca="1" si="39"/>
        <v>8.7674380307497667E-6</v>
      </c>
      <c r="AC75" s="100">
        <f t="shared" ca="1" si="28"/>
        <v>6.1302483528519433E-5</v>
      </c>
      <c r="AD75" s="100">
        <f t="shared" ca="1" si="33"/>
        <v>1.0939900551643514E-5</v>
      </c>
      <c r="AE75" s="100">
        <f t="shared" ca="1" si="34"/>
        <v>7.2056693776776574E-4</v>
      </c>
      <c r="AF75" s="100">
        <f t="shared" ca="1" si="29"/>
        <v>1.2859072236958105E-4</v>
      </c>
      <c r="AG75" s="100">
        <f t="shared" ca="1" si="40"/>
        <v>4.3780375009210125E-5</v>
      </c>
      <c r="AH75" s="100">
        <f t="shared" ca="1" si="41"/>
        <v>7.6453938468385605E-6</v>
      </c>
      <c r="AI75" s="100">
        <f t="shared" ca="1" si="30"/>
        <v>3.4033283793925825E-2</v>
      </c>
      <c r="AJ75" s="100">
        <f t="shared" ca="1" si="31"/>
        <v>6.0735017363235631E-3</v>
      </c>
      <c r="AL75" s="102">
        <f t="shared" ca="1" si="42"/>
        <v>7.8998065149535766</v>
      </c>
      <c r="AM75" s="102">
        <f t="shared" ca="1" si="43"/>
        <v>2.9869124449374804</v>
      </c>
    </row>
    <row r="76" spans="1:39" x14ac:dyDescent="0.15">
      <c r="A76" s="92">
        <f t="shared" si="32"/>
        <v>72</v>
      </c>
      <c r="B76" s="99">
        <f>'Life table'!D74</f>
        <v>0.72338184069123501</v>
      </c>
      <c r="C76" s="99">
        <f>IF($A76&lt;Customisation!$H$13,0,B76)/LOOKUP(Customisation!$H$13,$A$4:$A$104,$B$4:$B$104)</f>
        <v>0.74154303313274539</v>
      </c>
      <c r="D76" s="92">
        <f ca="1">IF($A76&lt;=Customisation!$H$13,1,1/(1+Customisation!$H$21)^($A76-Customisation!$H$13))</f>
        <v>0.17332031213457977</v>
      </c>
      <c r="E76" s="92">
        <f t="shared" ca="1" si="44"/>
        <v>40.716383957061055</v>
      </c>
      <c r="F76" s="92">
        <f t="shared" ca="1" si="35"/>
        <v>0.12852446996379047</v>
      </c>
      <c r="G76" s="100">
        <f ca="1">'Age data'!M80*Customisation!$H$22</f>
        <v>7.8998065149535768E-5</v>
      </c>
      <c r="H76" s="100">
        <f t="shared" ca="1" si="36"/>
        <v>1.3691969309745408E-5</v>
      </c>
      <c r="I76" s="100">
        <f ca="1">'Age data'!N80*Customisation!$H$22</f>
        <v>9.8572806956500391E-5</v>
      </c>
      <c r="J76" s="101">
        <f t="shared" ca="1" si="37"/>
        <v>1.7084669669682325E-5</v>
      </c>
      <c r="K76" s="100">
        <f ca="1">I76*'Life table'!I74</f>
        <v>1.0965522236254677E-3</v>
      </c>
      <c r="L76" s="100">
        <f ca="1">J76*'Life table'!J74</f>
        <v>1.900547736706336E-4</v>
      </c>
      <c r="M76" s="100">
        <f t="shared" ca="1" si="38"/>
        <v>7.039770994364952E-5</v>
      </c>
      <c r="N76" s="100">
        <f ca="1">((G76-I76)*$AW$5+I76*$AW$6)/(1+Customisation!$H$21)^($A76-12)</f>
        <v>1.1939690653607959E-5</v>
      </c>
      <c r="O76" s="100">
        <f ca="1">G76*Customisation!$H$17</f>
        <v>5.4724639531997556E-2</v>
      </c>
      <c r="P76" s="100">
        <f ca="1">O76/(1+Customisation!$H$21)^($A76-12)</f>
        <v>9.4848916051381797E-3</v>
      </c>
      <c r="Q76" s="100">
        <f ca="1">IF($A76&lt;Customisation!$H$13,G76,G76*(1-Customisation!$H$11*Customisation!$H$12))</f>
        <v>2.9869124449374805E-5</v>
      </c>
      <c r="R76" s="100">
        <f ca="1">IF($A76&lt;Customisation!$H$13,H76,H76*(1-Customisation!$H$11*Customisation!$H$12))</f>
        <v>5.1769259727522492E-6</v>
      </c>
      <c r="S76" s="100">
        <f ca="1">IF($A76&lt;Customisation!$H$13,I76,I76*(1-Customisation!$H$11*Customisation!$H$12))</f>
        <v>3.7270323427980958E-5</v>
      </c>
      <c r="T76" s="100">
        <f ca="1">IF($A76&lt;Customisation!$H$13,J76,J76*(1-Customisation!$H$11*Customisation!$H$12))</f>
        <v>6.4597040898944008E-6</v>
      </c>
      <c r="U76" s="100">
        <f ca="1">IF($A76&lt;Customisation!$H$13,K76,K76*(1-Customisation!$H$11*Customisation!$H$12))</f>
        <v>4.1460578522663021E-4</v>
      </c>
      <c r="V76" s="100">
        <f ca="1">IF($A76&lt;Customisation!$H$13,L76,L76*(1-Customisation!$H$11*Customisation!$H$12))</f>
        <v>7.1859604108282093E-5</v>
      </c>
      <c r="W76" s="100">
        <f ca="1">IF($A76&lt;Customisation!$H$13,M76,M76*(1-Customisation!$H$11*Customisation!$H$12))</f>
        <v>2.6617334934439395E-5</v>
      </c>
      <c r="X76" s="100">
        <f ca="1">IF($A76&lt;Customisation!$H$13,N76,N76*(1-Customisation!$H$11*Customisation!$H$12))</f>
        <v>4.5143903884809138E-6</v>
      </c>
      <c r="Y76" s="100">
        <f ca="1">IF($A76&lt;Customisation!$H$13,O76,O76*(1-Customisation!$H$11*Customisation!$H$12))</f>
        <v>2.069135573807173E-2</v>
      </c>
      <c r="Z76" s="100">
        <f ca="1">IF($A76&lt;Customisation!$H$13,P76,P76*(1-Customisation!$H$11*Customisation!$H$12))</f>
        <v>3.5862322350102204E-3</v>
      </c>
      <c r="AA76" s="100">
        <f t="shared" ca="1" si="27"/>
        <v>4.9128940700160964E-5</v>
      </c>
      <c r="AB76" s="100">
        <f t="shared" ca="1" si="39"/>
        <v>8.5150433369931591E-6</v>
      </c>
      <c r="AC76" s="100">
        <f t="shared" ca="1" si="28"/>
        <v>6.1302483528519433E-5</v>
      </c>
      <c r="AD76" s="100">
        <f t="shared" ca="1" si="33"/>
        <v>1.0624965579787925E-5</v>
      </c>
      <c r="AE76" s="100">
        <f t="shared" ca="1" si="34"/>
        <v>6.8194643839883753E-4</v>
      </c>
      <c r="AF76" s="100">
        <f t="shared" ca="1" si="29"/>
        <v>1.1819516956235151E-4</v>
      </c>
      <c r="AG76" s="100">
        <f t="shared" ca="1" si="40"/>
        <v>4.3780375009210125E-5</v>
      </c>
      <c r="AH76" s="100">
        <f t="shared" ca="1" si="41"/>
        <v>7.4253002651270451E-6</v>
      </c>
      <c r="AI76" s="100">
        <f t="shared" ca="1" si="30"/>
        <v>3.4033283793925825E-2</v>
      </c>
      <c r="AJ76" s="100">
        <f t="shared" ca="1" si="31"/>
        <v>5.8986593701279592E-3</v>
      </c>
      <c r="AL76" s="102">
        <f t="shared" ca="1" si="42"/>
        <v>7.8998065149535766</v>
      </c>
      <c r="AM76" s="102">
        <f t="shared" ca="1" si="43"/>
        <v>2.9869124449374804</v>
      </c>
    </row>
    <row r="77" spans="1:39" x14ac:dyDescent="0.15">
      <c r="A77" s="92">
        <f t="shared" si="32"/>
        <v>73</v>
      </c>
      <c r="B77" s="99">
        <f>'Life table'!D75</f>
        <v>0.70035659670203299</v>
      </c>
      <c r="C77" s="99">
        <f>IF($A77&lt;Customisation!$H$13,0,B77)/LOOKUP(Customisation!$H$13,$A$4:$A$104,$B$4:$B$104)</f>
        <v>0.71793971838813009</v>
      </c>
      <c r="D77" s="92">
        <f ca="1">IF($A77&lt;=Customisation!$H$13,1,1/(1+Customisation!$H$21)^($A77-Customisation!$H$13))</f>
        <v>0.16833081269933067</v>
      </c>
      <c r="E77" s="92">
        <f t="shared" ca="1" si="44"/>
        <v>40.889704269195633</v>
      </c>
      <c r="F77" s="92">
        <f t="shared" ca="1" si="35"/>
        <v>0.12085137626540253</v>
      </c>
      <c r="G77" s="100">
        <f ca="1">'Age data'!M81*Customisation!$H$22</f>
        <v>7.8998065149535768E-5</v>
      </c>
      <c r="H77" s="100">
        <f t="shared" ca="1" si="36"/>
        <v>1.3297808508296027E-5</v>
      </c>
      <c r="I77" s="100">
        <f ca="1">'Age data'!N81*Customisation!$H$22</f>
        <v>9.8572806956500391E-5</v>
      </c>
      <c r="J77" s="101">
        <f t="shared" ca="1" si="37"/>
        <v>1.6592840705041945E-5</v>
      </c>
      <c r="K77" s="100">
        <f ca="1">I77*'Life table'!I75</f>
        <v>1.0324098070500843E-3</v>
      </c>
      <c r="L77" s="100">
        <f ca="1">J77*'Life table'!J75</f>
        <v>1.7378638185949982E-4</v>
      </c>
      <c r="M77" s="100">
        <f t="shared" ca="1" si="38"/>
        <v>7.039770994364952E-5</v>
      </c>
      <c r="N77" s="100">
        <f ca="1">((G77-I77)*$AW$5+I77*$AW$6)/(1+Customisation!$H$21)^($A77-12)</f>
        <v>1.1595973987975782E-5</v>
      </c>
      <c r="O77" s="100">
        <f ca="1">G77*Customisation!$H$17</f>
        <v>5.4724639531997556E-2</v>
      </c>
      <c r="P77" s="100">
        <f ca="1">O77/(1+Customisation!$H$21)^($A77-12)</f>
        <v>9.2118430470990685E-3</v>
      </c>
      <c r="Q77" s="100">
        <f ca="1">IF($A77&lt;Customisation!$H$13,G77,G77*(1-Customisation!$H$11*Customisation!$H$12))</f>
        <v>2.9869124449374805E-5</v>
      </c>
      <c r="R77" s="100">
        <f ca="1">IF($A77&lt;Customisation!$H$13,H77,H77*(1-Customisation!$H$11*Customisation!$H$12))</f>
        <v>5.0278939931807089E-6</v>
      </c>
      <c r="S77" s="100">
        <f ca="1">IF($A77&lt;Customisation!$H$13,I77,I77*(1-Customisation!$H$11*Customisation!$H$12))</f>
        <v>3.7270323427980958E-5</v>
      </c>
      <c r="T77" s="100">
        <f ca="1">IF($A77&lt;Customisation!$H$13,J77,J77*(1-Customisation!$H$11*Customisation!$H$12))</f>
        <v>6.2737438321989379E-6</v>
      </c>
      <c r="U77" s="100">
        <f ca="1">IF($A77&lt;Customisation!$H$13,K77,K77*(1-Customisation!$H$11*Customisation!$H$12))</f>
        <v>3.9035357323197948E-4</v>
      </c>
      <c r="V77" s="100">
        <f ca="1">IF($A77&lt;Customisation!$H$13,L77,L77*(1-Customisation!$H$11*Customisation!$H$12))</f>
        <v>6.5708534222226787E-5</v>
      </c>
      <c r="W77" s="100">
        <f ca="1">IF($A77&lt;Customisation!$H$13,M77,M77*(1-Customisation!$H$11*Customisation!$H$12))</f>
        <v>2.6617334934439395E-5</v>
      </c>
      <c r="X77" s="100">
        <f ca="1">IF($A77&lt;Customisation!$H$13,N77,N77*(1-Customisation!$H$11*Customisation!$H$12))</f>
        <v>4.3844313085761327E-6</v>
      </c>
      <c r="Y77" s="100">
        <f ca="1">IF($A77&lt;Customisation!$H$13,O77,O77*(1-Customisation!$H$11*Customisation!$H$12))</f>
        <v>2.069135573807173E-2</v>
      </c>
      <c r="Z77" s="100">
        <f ca="1">IF($A77&lt;Customisation!$H$13,P77,P77*(1-Customisation!$H$11*Customisation!$H$12))</f>
        <v>3.4829927272405736E-3</v>
      </c>
      <c r="AA77" s="100">
        <f t="shared" ca="1" si="27"/>
        <v>4.9128940700160964E-5</v>
      </c>
      <c r="AB77" s="100">
        <f t="shared" ca="1" si="39"/>
        <v>8.2699145151153181E-6</v>
      </c>
      <c r="AC77" s="100">
        <f t="shared" ca="1" si="28"/>
        <v>6.1302483528519433E-5</v>
      </c>
      <c r="AD77" s="100">
        <f t="shared" ca="1" si="33"/>
        <v>1.0319096872843007E-5</v>
      </c>
      <c r="AE77" s="100">
        <f t="shared" ca="1" si="34"/>
        <v>6.4205623381810486E-4</v>
      </c>
      <c r="AF77" s="100">
        <f t="shared" ca="1" si="29"/>
        <v>1.0807784763727304E-4</v>
      </c>
      <c r="AG77" s="100">
        <f t="shared" ca="1" si="40"/>
        <v>4.3780375009210125E-5</v>
      </c>
      <c r="AH77" s="100">
        <f t="shared" ca="1" si="41"/>
        <v>7.2115426793996494E-6</v>
      </c>
      <c r="AI77" s="100">
        <f t="shared" ca="1" si="30"/>
        <v>3.4033283793925825E-2</v>
      </c>
      <c r="AJ77" s="100">
        <f t="shared" ca="1" si="31"/>
        <v>5.7288503198584945E-3</v>
      </c>
      <c r="AL77" s="102">
        <f t="shared" ca="1" si="42"/>
        <v>7.8998065149535766</v>
      </c>
      <c r="AM77" s="102">
        <f t="shared" ca="1" si="43"/>
        <v>2.9869124449374804</v>
      </c>
    </row>
    <row r="78" spans="1:39" x14ac:dyDescent="0.15">
      <c r="A78" s="92">
        <f t="shared" si="32"/>
        <v>74</v>
      </c>
      <c r="B78" s="99">
        <f>'Life table'!D76</f>
        <v>0.67806424622900729</v>
      </c>
      <c r="C78" s="99">
        <f>IF($A78&lt;Customisation!$H$13,0,B78)/LOOKUP(Customisation!$H$13,$A$4:$A$104,$B$4:$B$104)</f>
        <v>0.69508769715183594</v>
      </c>
      <c r="D78" s="92">
        <f ca="1">IF($A78&lt;=Customisation!$H$13,1,1/(1+Customisation!$H$21)^($A78-Customisation!$H$13))</f>
        <v>0.16348494965792229</v>
      </c>
      <c r="E78" s="92">
        <f t="shared" ca="1" si="44"/>
        <v>41.058035081894964</v>
      </c>
      <c r="F78" s="92">
        <f t="shared" ca="1" si="35"/>
        <v>0.11363637717670903</v>
      </c>
      <c r="G78" s="100">
        <f ca="1">'Age data'!M82*Customisation!$H$22</f>
        <v>7.8998065149535768E-5</v>
      </c>
      <c r="H78" s="100">
        <f t="shared" ca="1" si="36"/>
        <v>1.291499470404512E-5</v>
      </c>
      <c r="I78" s="100">
        <f ca="1">'Age data'!N82*Customisation!$H$22</f>
        <v>9.8572806956500391E-5</v>
      </c>
      <c r="J78" s="101">
        <f t="shared" ca="1" si="37"/>
        <v>1.6115170382923557E-5</v>
      </c>
      <c r="K78" s="100">
        <f ca="1">I78*'Life table'!I76</f>
        <v>9.6615861503279027E-4</v>
      </c>
      <c r="L78" s="100">
        <f ca="1">J78*'Life table'!J76</f>
        <v>1.5795239254020362E-4</v>
      </c>
      <c r="M78" s="100">
        <f t="shared" ca="1" si="38"/>
        <v>7.039770994364952E-5</v>
      </c>
      <c r="N78" s="100">
        <f ca="1">((G78-I78)*$AW$5+I78*$AW$6)/(1+Customisation!$H$21)^($A78-12)</f>
        <v>1.1262152147064012E-5</v>
      </c>
      <c r="O78" s="100">
        <f ca="1">G78*Customisation!$H$17</f>
        <v>5.4724639531997556E-2</v>
      </c>
      <c r="P78" s="100">
        <f ca="1">O78/(1+Customisation!$H$21)^($A78-12)</f>
        <v>8.946654938936564E-3</v>
      </c>
      <c r="Q78" s="100">
        <f ca="1">IF($A78&lt;Customisation!$H$13,G78,G78*(1-Customisation!$H$11*Customisation!$H$12))</f>
        <v>2.9869124449374805E-5</v>
      </c>
      <c r="R78" s="100">
        <f ca="1">IF($A78&lt;Customisation!$H$13,H78,H78*(1-Customisation!$H$11*Customisation!$H$12))</f>
        <v>4.883152306932256E-6</v>
      </c>
      <c r="S78" s="100">
        <f ca="1">IF($A78&lt;Customisation!$H$13,I78,I78*(1-Customisation!$H$11*Customisation!$H$12))</f>
        <v>3.7270323427980958E-5</v>
      </c>
      <c r="T78" s="100">
        <f ca="1">IF($A78&lt;Customisation!$H$13,J78,J78*(1-Customisation!$H$11*Customisation!$H$12))</f>
        <v>6.0931369493579479E-6</v>
      </c>
      <c r="U78" s="100">
        <f ca="1">IF($A78&lt;Customisation!$H$13,K78,K78*(1-Customisation!$H$11*Customisation!$H$12))</f>
        <v>3.6530403441684296E-4</v>
      </c>
      <c r="V78" s="100">
        <f ca="1">IF($A78&lt;Customisation!$H$13,L78,L78*(1-Customisation!$H$11*Customisation!$H$12))</f>
        <v>5.9721711676473476E-5</v>
      </c>
      <c r="W78" s="100">
        <f ca="1">IF($A78&lt;Customisation!$H$13,M78,M78*(1-Customisation!$H$11*Customisation!$H$12))</f>
        <v>2.6617334934439395E-5</v>
      </c>
      <c r="X78" s="100">
        <f ca="1">IF($A78&lt;Customisation!$H$13,N78,N78*(1-Customisation!$H$11*Customisation!$H$12))</f>
        <v>4.2582134563890073E-6</v>
      </c>
      <c r="Y78" s="100">
        <f ca="1">IF($A78&lt;Customisation!$H$13,O78,O78*(1-Customisation!$H$11*Customisation!$H$12))</f>
        <v>2.069135573807173E-2</v>
      </c>
      <c r="Z78" s="100">
        <f ca="1">IF($A78&lt;Customisation!$H$13,P78,P78*(1-Customisation!$H$11*Customisation!$H$12))</f>
        <v>3.3827252511928179E-3</v>
      </c>
      <c r="AA78" s="100">
        <f t="shared" ca="1" si="27"/>
        <v>4.9128940700160964E-5</v>
      </c>
      <c r="AB78" s="100">
        <f t="shared" ca="1" si="39"/>
        <v>8.031842397112864E-6</v>
      </c>
      <c r="AC78" s="100">
        <f t="shared" ca="1" si="28"/>
        <v>6.1302483528519433E-5</v>
      </c>
      <c r="AD78" s="100">
        <f t="shared" ca="1" si="33"/>
        <v>1.0022033433565608E-5</v>
      </c>
      <c r="AE78" s="100">
        <f t="shared" ca="1" si="34"/>
        <v>6.0085458061594731E-4</v>
      </c>
      <c r="AF78" s="100">
        <f t="shared" ca="1" si="29"/>
        <v>9.8230680863730155E-5</v>
      </c>
      <c r="AG78" s="100">
        <f t="shared" ca="1" si="40"/>
        <v>4.3780375009210125E-5</v>
      </c>
      <c r="AH78" s="100">
        <f t="shared" ca="1" si="41"/>
        <v>7.0039386906750051E-6</v>
      </c>
      <c r="AI78" s="100">
        <f t="shared" ca="1" si="30"/>
        <v>3.4033283793925825E-2</v>
      </c>
      <c r="AJ78" s="100">
        <f t="shared" ca="1" si="31"/>
        <v>5.5639296877437461E-3</v>
      </c>
      <c r="AL78" s="102">
        <f t="shared" ca="1" si="42"/>
        <v>7.8998065149535766</v>
      </c>
      <c r="AM78" s="102">
        <f t="shared" ca="1" si="43"/>
        <v>2.9869124449374804</v>
      </c>
    </row>
    <row r="79" spans="1:39" x14ac:dyDescent="0.15">
      <c r="A79" s="92">
        <f t="shared" si="32"/>
        <v>75</v>
      </c>
      <c r="B79" s="99">
        <f>'Life table'!D77</f>
        <v>0.65648146127153795</v>
      </c>
      <c r="C79" s="99">
        <f>IF($A79&lt;Customisation!$H$13,0,B79)/LOOKUP(Customisation!$H$13,$A$4:$A$104,$B$4:$B$104)</f>
        <v>0.67296305575149296</v>
      </c>
      <c r="D79" s="92">
        <f ca="1">IF($A79&lt;=Customisation!$H$13,1,1/(1+Customisation!$H$21)^($A79-Customisation!$H$13))</f>
        <v>0.15877858804373049</v>
      </c>
      <c r="E79" s="92">
        <f t="shared" ca="1" si="44"/>
        <v>41.221520031552885</v>
      </c>
      <c r="F79" s="92">
        <f t="shared" ca="1" si="35"/>
        <v>0.10685212379781633</v>
      </c>
      <c r="G79" s="100">
        <f ca="1">'Age data'!M83*Customisation!$H$22</f>
        <v>8.3192652679599615E-5</v>
      </c>
      <c r="H79" s="100">
        <f t="shared" ca="1" si="36"/>
        <v>1.3209211928079298E-5</v>
      </c>
      <c r="I79" s="100">
        <f ca="1">'Age data'!N83*Customisation!$H$22</f>
        <v>1.6149161990745806E-4</v>
      </c>
      <c r="J79" s="101">
        <f t="shared" ca="1" si="37"/>
        <v>2.5641411389800989E-5</v>
      </c>
      <c r="K79" s="100">
        <f ca="1">I79*'Life table'!I77</f>
        <v>1.4707480324477741E-3</v>
      </c>
      <c r="L79" s="100">
        <f ca="1">J79*'Life table'!J77</f>
        <v>2.3352329596015229E-4</v>
      </c>
      <c r="M79" s="100">
        <f t="shared" ca="1" si="38"/>
        <v>9.1277991804650683E-5</v>
      </c>
      <c r="N79" s="100">
        <f ca="1">((G79-I79)*$AW$5+I79*$AW$6)/(1+Customisation!$H$21)^($A79-12)</f>
        <v>1.432953583055954E-5</v>
      </c>
      <c r="O79" s="100">
        <f ca="1">G79*Customisation!$H$17</f>
        <v>5.7630372604493003E-2</v>
      </c>
      <c r="P79" s="100">
        <f ca="1">O79/(1+Customisation!$H$21)^($A79-12)</f>
        <v>9.1504691905754856E-3</v>
      </c>
      <c r="Q79" s="100">
        <f ca="1">IF($A79&lt;Customisation!$H$13,G79,G79*(1-Customisation!$H$11*Customisation!$H$12))</f>
        <v>3.1455095659076122E-5</v>
      </c>
      <c r="R79" s="100">
        <f ca="1">IF($A79&lt;Customisation!$H$13,H79,H79*(1-Customisation!$H$11*Customisation!$H$12))</f>
        <v>4.9943956755285829E-6</v>
      </c>
      <c r="S79" s="100">
        <f ca="1">IF($A79&lt;Customisation!$H$13,I79,I79*(1-Customisation!$H$11*Customisation!$H$12))</f>
        <v>6.1059891573500709E-5</v>
      </c>
      <c r="T79" s="100">
        <f ca="1">IF($A79&lt;Customisation!$H$13,J79,J79*(1-Customisation!$H$11*Customisation!$H$12))</f>
        <v>9.6950033701437191E-6</v>
      </c>
      <c r="U79" s="100">
        <f ca="1">IF($A79&lt;Customisation!$H$13,K79,K79*(1-Customisation!$H$11*Customisation!$H$12))</f>
        <v>5.5608901220176093E-4</v>
      </c>
      <c r="V79" s="100">
        <f ca="1">IF($A79&lt;Customisation!$H$13,L79,L79*(1-Customisation!$H$11*Customisation!$H$12))</f>
        <v>8.8295028184028415E-5</v>
      </c>
      <c r="W79" s="100">
        <f ca="1">IF($A79&lt;Customisation!$H$13,M79,M79*(1-Customisation!$H$11*Customisation!$H$12))</f>
        <v>3.4512157880592678E-5</v>
      </c>
      <c r="X79" s="100">
        <f ca="1">IF($A79&lt;Customisation!$H$13,N79,N79*(1-Customisation!$H$11*Customisation!$H$12))</f>
        <v>5.4179895192948719E-6</v>
      </c>
      <c r="Y79" s="100">
        <f ca="1">IF($A79&lt;Customisation!$H$13,O79,O79*(1-Customisation!$H$11*Customisation!$H$12))</f>
        <v>2.1790011794960495E-2</v>
      </c>
      <c r="Z79" s="100">
        <f ca="1">IF($A79&lt;Customisation!$H$13,P79,P79*(1-Customisation!$H$11*Customisation!$H$12))</f>
        <v>3.4597873062600605E-3</v>
      </c>
      <c r="AA79" s="100">
        <f t="shared" ref="AA79:AA104" ca="1" si="45">G79-Q79</f>
        <v>5.1737557020523493E-5</v>
      </c>
      <c r="AB79" s="100">
        <f t="shared" ca="1" si="39"/>
        <v>8.2148162525507152E-6</v>
      </c>
      <c r="AC79" s="100">
        <f t="shared" ref="AC79:AC104" ca="1" si="46">I79-S79</f>
        <v>1.0043172833395736E-4</v>
      </c>
      <c r="AD79" s="100">
        <f t="shared" ca="1" si="33"/>
        <v>1.5946408019657272E-5</v>
      </c>
      <c r="AE79" s="100">
        <f t="shared" ca="1" si="34"/>
        <v>9.1465902024601316E-4</v>
      </c>
      <c r="AF79" s="100">
        <f t="shared" ref="AF79:AF104" ca="1" si="47">L79-V79</f>
        <v>1.4522826777612388E-4</v>
      </c>
      <c r="AG79" s="100">
        <f t="shared" ca="1" si="40"/>
        <v>5.6765833924058005E-5</v>
      </c>
      <c r="AH79" s="100">
        <f t="shared" ca="1" si="41"/>
        <v>8.9115463112646691E-6</v>
      </c>
      <c r="AI79" s="100">
        <f t="shared" ref="AI79:AI104" ca="1" si="48">O79-Y79</f>
        <v>3.5840360809532512E-2</v>
      </c>
      <c r="AJ79" s="100">
        <f t="shared" ref="AJ79:AJ104" ca="1" si="49">P79-Z79</f>
        <v>5.6906818843154251E-3</v>
      </c>
      <c r="AL79" s="102">
        <f t="shared" ca="1" si="42"/>
        <v>8.3192652679599615</v>
      </c>
      <c r="AM79" s="102">
        <f t="shared" ca="1" si="43"/>
        <v>3.1455095659076124</v>
      </c>
    </row>
    <row r="80" spans="1:39" x14ac:dyDescent="0.15">
      <c r="A80" s="92">
        <f t="shared" si="32"/>
        <v>76</v>
      </c>
      <c r="B80" s="99">
        <f>'Life table'!D78</f>
        <v>0.6187140828045864</v>
      </c>
      <c r="C80" s="99">
        <f>IF($A80&lt;Customisation!$H$13,0,B80)/LOOKUP(Customisation!$H$13,$A$4:$A$104,$B$4:$B$104)</f>
        <v>0.63424749115410961</v>
      </c>
      <c r="D80" s="92">
        <f ca="1">IF($A80&lt;=Customisation!$H$13,1,1/(1+Customisation!$H$21)^($A80-Customisation!$H$13))</f>
        <v>0.15420771192645988</v>
      </c>
      <c r="E80" s="92">
        <f t="shared" ca="1" si="44"/>
        <v>41.380298619596616</v>
      </c>
      <c r="F80" s="92">
        <f t="shared" ca="1" si="35"/>
        <v>9.780585440597285E-2</v>
      </c>
      <c r="G80" s="100">
        <f ca="1">'Age data'!M84*Customisation!$H$22</f>
        <v>8.3192652679599615E-5</v>
      </c>
      <c r="H80" s="100">
        <f t="shared" ca="1" si="36"/>
        <v>1.2828948618813728E-5</v>
      </c>
      <c r="I80" s="100">
        <f ca="1">'Age data'!N84*Customisation!$H$22</f>
        <v>1.6149161990745806E-4</v>
      </c>
      <c r="J80" s="101">
        <f t="shared" ca="1" si="37"/>
        <v>2.4903253201226647E-5</v>
      </c>
      <c r="K80" s="100">
        <f ca="1">I80*'Life table'!I78</f>
        <v>1.3941045539772659E-3</v>
      </c>
      <c r="L80" s="100">
        <f ca="1">J80*'Life table'!J78</f>
        <v>2.1498167345509209E-4</v>
      </c>
      <c r="M80" s="100">
        <f t="shared" ca="1" si="38"/>
        <v>9.1277991804650683E-5</v>
      </c>
      <c r="N80" s="100">
        <f ca="1">((G80-I80)*$AW$5+I80*$AW$6)/(1+Customisation!$H$21)^($A80-12)</f>
        <v>1.3917020932257017E-5</v>
      </c>
      <c r="O80" s="100">
        <f ca="1">G80*Customisation!$H$17</f>
        <v>5.7630372604493003E-2</v>
      </c>
      <c r="P80" s="100">
        <f ca="1">O80/(1+Customisation!$H$21)^($A80-12)</f>
        <v>8.8870478968082027E-3</v>
      </c>
      <c r="Q80" s="100">
        <f ca="1">IF($A80&lt;Customisation!$H$13,G80,G80*(1-Customisation!$H$11*Customisation!$H$12))</f>
        <v>3.1455095659076122E-5</v>
      </c>
      <c r="R80" s="100">
        <f ca="1">IF($A80&lt;Customisation!$H$13,H80,H80*(1-Customisation!$H$11*Customisation!$H$12))</f>
        <v>4.8506183300140497E-6</v>
      </c>
      <c r="S80" s="100">
        <f ca="1">IF($A80&lt;Customisation!$H$13,I80,I80*(1-Customisation!$H$11*Customisation!$H$12))</f>
        <v>6.1059891573500709E-5</v>
      </c>
      <c r="T80" s="100">
        <f ca="1">IF($A80&lt;Customisation!$H$13,J80,J80*(1-Customisation!$H$11*Customisation!$H$12))</f>
        <v>9.415906170027272E-6</v>
      </c>
      <c r="U80" s="100">
        <f ca="1">IF($A80&lt;Customisation!$H$13,K80,K80*(1-Customisation!$H$11*Customisation!$H$12))</f>
        <v>5.2711015566476581E-4</v>
      </c>
      <c r="V80" s="100">
        <f ca="1">IF($A80&lt;Customisation!$H$13,L80,L80*(1-Customisation!$H$11*Customisation!$H$12))</f>
        <v>8.1284451038263639E-5</v>
      </c>
      <c r="W80" s="100">
        <f ca="1">IF($A80&lt;Customisation!$H$13,M80,M80*(1-Customisation!$H$11*Customisation!$H$12))</f>
        <v>3.4512157880592678E-5</v>
      </c>
      <c r="X80" s="100">
        <f ca="1">IF($A80&lt;Customisation!$H$13,N80,N80*(1-Customisation!$H$11*Customisation!$H$12))</f>
        <v>5.2620178659221483E-6</v>
      </c>
      <c r="Y80" s="100">
        <f ca="1">IF($A80&lt;Customisation!$H$13,O80,O80*(1-Customisation!$H$11*Customisation!$H$12))</f>
        <v>2.1790011794960495E-2</v>
      </c>
      <c r="Z80" s="100">
        <f ca="1">IF($A80&lt;Customisation!$H$13,P80,P80*(1-Customisation!$H$11*Customisation!$H$12))</f>
        <v>3.3601878617514308E-3</v>
      </c>
      <c r="AA80" s="100">
        <f t="shared" ca="1" si="45"/>
        <v>5.1737557020523493E-5</v>
      </c>
      <c r="AB80" s="100">
        <f t="shared" ca="1" si="39"/>
        <v>7.978330288799678E-6</v>
      </c>
      <c r="AC80" s="100">
        <f t="shared" ca="1" si="46"/>
        <v>1.0043172833395736E-4</v>
      </c>
      <c r="AD80" s="100">
        <f t="shared" ca="1" si="33"/>
        <v>1.5487347031199373E-5</v>
      </c>
      <c r="AE80" s="100">
        <f t="shared" ca="1" si="34"/>
        <v>8.6699439831250012E-4</v>
      </c>
      <c r="AF80" s="100">
        <f t="shared" ca="1" si="47"/>
        <v>1.3369722241682845E-4</v>
      </c>
      <c r="AG80" s="100">
        <f t="shared" ca="1" si="40"/>
        <v>5.6765833924058005E-5</v>
      </c>
      <c r="AH80" s="100">
        <f t="shared" ca="1" si="41"/>
        <v>8.6550030663348694E-6</v>
      </c>
      <c r="AI80" s="100">
        <f t="shared" ca="1" si="48"/>
        <v>3.5840360809532512E-2</v>
      </c>
      <c r="AJ80" s="100">
        <f t="shared" ca="1" si="49"/>
        <v>5.5268600350567715E-3</v>
      </c>
      <c r="AL80" s="102">
        <f t="shared" ca="1" si="42"/>
        <v>8.3192652679599615</v>
      </c>
      <c r="AM80" s="102">
        <f t="shared" ca="1" si="43"/>
        <v>3.1455095659076124</v>
      </c>
    </row>
    <row r="81" spans="1:39" x14ac:dyDescent="0.15">
      <c r="A81" s="92">
        <f t="shared" si="32"/>
        <v>77</v>
      </c>
      <c r="B81" s="99">
        <f>'Life table'!D79</f>
        <v>0.58311946162083861</v>
      </c>
      <c r="C81" s="99">
        <f>IF($A81&lt;Customisation!$H$13,0,B81)/LOOKUP(Customisation!$H$13,$A$4:$A$104,$B$4:$B$104)</f>
        <v>0.5977592329880137</v>
      </c>
      <c r="D81" s="92">
        <f ca="1">IF($A81&lt;=Customisation!$H$13,1,1/(1+Customisation!$H$21)^($A81-Customisation!$H$13))</f>
        <v>0.14976842098535725</v>
      </c>
      <c r="E81" s="92">
        <f t="shared" ca="1" si="44"/>
        <v>41.534506331523076</v>
      </c>
      <c r="F81" s="92">
        <f t="shared" ca="1" si="35"/>
        <v>8.9525456454033092E-2</v>
      </c>
      <c r="G81" s="100">
        <f ca="1">'Age data'!M85*Customisation!$H$22</f>
        <v>8.3192652679599615E-5</v>
      </c>
      <c r="H81" s="100">
        <f t="shared" ca="1" si="36"/>
        <v>1.2459632229406884E-5</v>
      </c>
      <c r="I81" s="100">
        <f ca="1">'Age data'!N85*Customisation!$H$22</f>
        <v>1.6149161990745806E-4</v>
      </c>
      <c r="J81" s="101">
        <f t="shared" ca="1" si="37"/>
        <v>2.4186344915907479E-5</v>
      </c>
      <c r="K81" s="100">
        <f ca="1">I81*'Life table'!I79</f>
        <v>1.3127826249285878E-3</v>
      </c>
      <c r="L81" s="100">
        <f ca="1">J81*'Life table'!J79</f>
        <v>1.9661338083256708E-4</v>
      </c>
      <c r="M81" s="100">
        <f t="shared" ca="1" si="38"/>
        <v>9.1277991804650683E-5</v>
      </c>
      <c r="N81" s="100">
        <f ca="1">((G81-I81)*$AW$5+I81*$AW$6)/(1+Customisation!$H$21)^($A81-12)</f>
        <v>1.3516381404052567E-5</v>
      </c>
      <c r="O81" s="100">
        <f ca="1">G81*Customisation!$H$17</f>
        <v>5.7630372604493003E-2</v>
      </c>
      <c r="P81" s="100">
        <f ca="1">O81/(1+Customisation!$H$21)^($A81-12)</f>
        <v>8.6312099057727076E-3</v>
      </c>
      <c r="Q81" s="100">
        <f ca="1">IF($A81&lt;Customisation!$H$13,G81,G81*(1-Customisation!$H$11*Customisation!$H$12))</f>
        <v>3.1455095659076122E-5</v>
      </c>
      <c r="R81" s="100">
        <f ca="1">IF($A81&lt;Customisation!$H$13,H81,H81*(1-Customisation!$H$11*Customisation!$H$12))</f>
        <v>4.7109800088031962E-6</v>
      </c>
      <c r="S81" s="100">
        <f ca="1">IF($A81&lt;Customisation!$H$13,I81,I81*(1-Customisation!$H$11*Customisation!$H$12))</f>
        <v>6.1059891573500709E-5</v>
      </c>
      <c r="T81" s="100">
        <f ca="1">IF($A81&lt;Customisation!$H$13,J81,J81*(1-Customisation!$H$11*Customisation!$H$12))</f>
        <v>9.1448435465003215E-6</v>
      </c>
      <c r="U81" s="100">
        <f ca="1">IF($A81&lt;Customisation!$H$13,K81,K81*(1-Customisation!$H$11*Customisation!$H$12))</f>
        <v>4.9636237956898039E-4</v>
      </c>
      <c r="V81" s="100">
        <f ca="1">IF($A81&lt;Customisation!$H$13,L81,L81*(1-Customisation!$H$11*Customisation!$H$12))</f>
        <v>7.4339409824580746E-5</v>
      </c>
      <c r="W81" s="100">
        <f ca="1">IF($A81&lt;Customisation!$H$13,M81,M81*(1-Customisation!$H$11*Customisation!$H$12))</f>
        <v>3.4512157880592678E-5</v>
      </c>
      <c r="X81" s="100">
        <f ca="1">IF($A81&lt;Customisation!$H$13,N81,N81*(1-Customisation!$H$11*Customisation!$H$12))</f>
        <v>5.1105362833716688E-6</v>
      </c>
      <c r="Y81" s="100">
        <f ca="1">IF($A81&lt;Customisation!$H$13,O81,O81*(1-Customisation!$H$11*Customisation!$H$12))</f>
        <v>2.1790011794960495E-2</v>
      </c>
      <c r="Z81" s="100">
        <f ca="1">IF($A81&lt;Customisation!$H$13,P81,P81*(1-Customisation!$H$11*Customisation!$H$12))</f>
        <v>3.2634556597835435E-3</v>
      </c>
      <c r="AA81" s="100">
        <f t="shared" ca="1" si="45"/>
        <v>5.1737557020523493E-5</v>
      </c>
      <c r="AB81" s="100">
        <f t="shared" ca="1" si="39"/>
        <v>7.7486522206036879E-6</v>
      </c>
      <c r="AC81" s="100">
        <f t="shared" ca="1" si="46"/>
        <v>1.0043172833395736E-4</v>
      </c>
      <c r="AD81" s="100">
        <f t="shared" ca="1" si="33"/>
        <v>1.5041501369407158E-5</v>
      </c>
      <c r="AE81" s="100">
        <f t="shared" ca="1" si="34"/>
        <v>8.1642024535960741E-4</v>
      </c>
      <c r="AF81" s="100">
        <f t="shared" ca="1" si="47"/>
        <v>1.2227397100798634E-4</v>
      </c>
      <c r="AG81" s="100">
        <f t="shared" ca="1" si="40"/>
        <v>5.6765833924058005E-5</v>
      </c>
      <c r="AH81" s="100">
        <f t="shared" ca="1" si="41"/>
        <v>8.4058451206808987E-6</v>
      </c>
      <c r="AI81" s="100">
        <f t="shared" ca="1" si="48"/>
        <v>3.5840360809532512E-2</v>
      </c>
      <c r="AJ81" s="100">
        <f t="shared" ca="1" si="49"/>
        <v>5.3677542459891637E-3</v>
      </c>
      <c r="AL81" s="102">
        <f t="shared" ca="1" si="42"/>
        <v>8.3192652679599615</v>
      </c>
      <c r="AM81" s="102">
        <f t="shared" ca="1" si="43"/>
        <v>3.1455095659076124</v>
      </c>
    </row>
    <row r="82" spans="1:39" x14ac:dyDescent="0.15">
      <c r="A82" s="92">
        <f t="shared" si="32"/>
        <v>78</v>
      </c>
      <c r="B82" s="99">
        <f>'Life table'!D80</f>
        <v>0.54957259899379174</v>
      </c>
      <c r="C82" s="99">
        <f>IF($A82&lt;Customisation!$H$13,0,B82)/LOOKUP(Customisation!$H$13,$A$4:$A$104,$B$4:$B$104)</f>
        <v>0.56337014431421328</v>
      </c>
      <c r="D82" s="92">
        <f ca="1">IF($A82&lt;=Customisation!$H$13,1,1/(1+Customisation!$H$21)^($A82-Customisation!$H$13))</f>
        <v>0.14545692718107456</v>
      </c>
      <c r="E82" s="92">
        <f t="shared" ca="1" si="44"/>
        <v>41.684274752508436</v>
      </c>
      <c r="F82" s="92">
        <f t="shared" ca="1" si="35"/>
        <v>8.1946090057503987E-2</v>
      </c>
      <c r="G82" s="100">
        <f ca="1">'Age data'!M86*Customisation!$H$22</f>
        <v>8.3192652679599615E-5</v>
      </c>
      <c r="H82" s="100">
        <f t="shared" ca="1" si="36"/>
        <v>1.2100947622816948E-5</v>
      </c>
      <c r="I82" s="100">
        <f ca="1">'Age data'!N86*Customisation!$H$22</f>
        <v>1.6149161990745806E-4</v>
      </c>
      <c r="J82" s="101">
        <f t="shared" ca="1" si="37"/>
        <v>2.3490074797232898E-5</v>
      </c>
      <c r="K82" s="100">
        <f ca="1">I82*'Life table'!I80</f>
        <v>1.2264966645811194E-3</v>
      </c>
      <c r="L82" s="100">
        <f ca="1">J82*'Life table'!J80</f>
        <v>1.7840243602780669E-4</v>
      </c>
      <c r="M82" s="100">
        <f t="shared" ca="1" si="38"/>
        <v>9.1277991804650683E-5</v>
      </c>
      <c r="N82" s="100">
        <f ca="1">((G82-I82)*$AW$5+I82*$AW$6)/(1+Customisation!$H$21)^($A82-12)</f>
        <v>1.3127275380923753E-5</v>
      </c>
      <c r="O82" s="100">
        <f ca="1">G82*Customisation!$H$17</f>
        <v>5.7630372604493003E-2</v>
      </c>
      <c r="P82" s="100">
        <f ca="1">O82/(1+Customisation!$H$21)^($A82-12)</f>
        <v>8.382736911349933E-3</v>
      </c>
      <c r="Q82" s="100">
        <f ca="1">IF($A82&lt;Customisation!$H$13,G82,G82*(1-Customisation!$H$11*Customisation!$H$12))</f>
        <v>3.1455095659076122E-5</v>
      </c>
      <c r="R82" s="100">
        <f ca="1">IF($A82&lt;Customisation!$H$13,H82,H82*(1-Customisation!$H$11*Customisation!$H$12))</f>
        <v>4.5753615587559701E-6</v>
      </c>
      <c r="S82" s="100">
        <f ca="1">IF($A82&lt;Customisation!$H$13,I82,I82*(1-Customisation!$H$11*Customisation!$H$12))</f>
        <v>6.1059891573500709E-5</v>
      </c>
      <c r="T82" s="100">
        <f ca="1">IF($A82&lt;Customisation!$H$13,J82,J82*(1-Customisation!$H$11*Customisation!$H$12))</f>
        <v>8.8815842022909997E-6</v>
      </c>
      <c r="U82" s="100">
        <f ca="1">IF($A82&lt;Customisation!$H$13,K82,K82*(1-Customisation!$H$11*Customisation!$H$12))</f>
        <v>4.6373770600294055E-4</v>
      </c>
      <c r="V82" s="100">
        <f ca="1">IF($A82&lt;Customisation!$H$13,L82,L82*(1-Customisation!$H$11*Customisation!$H$12))</f>
        <v>6.7453861733188285E-5</v>
      </c>
      <c r="W82" s="100">
        <f ca="1">IF($A82&lt;Customisation!$H$13,M82,M82*(1-Customisation!$H$11*Customisation!$H$12))</f>
        <v>3.4512157880592678E-5</v>
      </c>
      <c r="X82" s="100">
        <f ca="1">IF($A82&lt;Customisation!$H$13,N82,N82*(1-Customisation!$H$11*Customisation!$H$12))</f>
        <v>4.9634155126687911E-6</v>
      </c>
      <c r="Y82" s="100">
        <f ca="1">IF($A82&lt;Customisation!$H$13,O82,O82*(1-Customisation!$H$11*Customisation!$H$12))</f>
        <v>2.1790011794960495E-2</v>
      </c>
      <c r="Z82" s="100">
        <f ca="1">IF($A82&lt;Customisation!$H$13,P82,P82*(1-Customisation!$H$11*Customisation!$H$12))</f>
        <v>3.1695081589343246E-3</v>
      </c>
      <c r="AA82" s="100">
        <f t="shared" ca="1" si="45"/>
        <v>5.1737557020523493E-5</v>
      </c>
      <c r="AB82" s="100">
        <f t="shared" ca="1" si="39"/>
        <v>7.5255860640609777E-6</v>
      </c>
      <c r="AC82" s="100">
        <f t="shared" ca="1" si="46"/>
        <v>1.0043172833395736E-4</v>
      </c>
      <c r="AD82" s="100">
        <f t="shared" ca="1" si="33"/>
        <v>1.4608490594941898E-5</v>
      </c>
      <c r="AE82" s="100">
        <f t="shared" ca="1" si="34"/>
        <v>7.6275895857817885E-4</v>
      </c>
      <c r="AF82" s="100">
        <f t="shared" ca="1" si="47"/>
        <v>1.1094857429461841E-4</v>
      </c>
      <c r="AG82" s="100">
        <f t="shared" ca="1" si="40"/>
        <v>5.6765833924058005E-5</v>
      </c>
      <c r="AH82" s="100">
        <f t="shared" ca="1" si="41"/>
        <v>8.1638598682549607E-6</v>
      </c>
      <c r="AI82" s="100">
        <f t="shared" ca="1" si="48"/>
        <v>3.5840360809532512E-2</v>
      </c>
      <c r="AJ82" s="100">
        <f t="shared" ca="1" si="49"/>
        <v>5.2132287524156084E-3</v>
      </c>
      <c r="AL82" s="102">
        <f t="shared" ca="1" si="42"/>
        <v>8.3192652679599615</v>
      </c>
      <c r="AM82" s="102">
        <f t="shared" ca="1" si="43"/>
        <v>3.1455095659076124</v>
      </c>
    </row>
    <row r="83" spans="1:39" x14ac:dyDescent="0.15">
      <c r="A83" s="92">
        <f t="shared" si="32"/>
        <v>79</v>
      </c>
      <c r="B83" s="99">
        <f>'Life table'!D81</f>
        <v>0.51795568737367892</v>
      </c>
      <c r="C83" s="99">
        <f>IF($A83&lt;Customisation!$H$13,0,B83)/LOOKUP(Customisation!$H$13,$A$4:$A$104,$B$4:$B$104)</f>
        <v>0.53095945991181659</v>
      </c>
      <c r="D83" s="92">
        <f ca="1">IF($A83&lt;=Customisation!$H$13,1,1/(1+Customisation!$H$21)^($A83-Customisation!$H$13))</f>
        <v>0.14126955152334147</v>
      </c>
      <c r="E83" s="92">
        <f t="shared" ca="1" si="44"/>
        <v>41.829731679689509</v>
      </c>
      <c r="F83" s="92">
        <f t="shared" ca="1" si="35"/>
        <v>7.5008404778817941E-2</v>
      </c>
      <c r="G83" s="100">
        <f ca="1">'Age data'!M87*Customisation!$H$22</f>
        <v>8.3192652679599615E-5</v>
      </c>
      <c r="H83" s="100">
        <f t="shared" ca="1" si="36"/>
        <v>1.175258873408415E-5</v>
      </c>
      <c r="I83" s="100">
        <f ca="1">'Age data'!N87*Customisation!$H$22</f>
        <v>1.6149161990745806E-4</v>
      </c>
      <c r="J83" s="101">
        <f t="shared" ca="1" si="37"/>
        <v>2.2813848719104524E-5</v>
      </c>
      <c r="K83" s="100">
        <f ca="1">I83*'Life table'!I81</f>
        <v>1.1349436598727806E-3</v>
      </c>
      <c r="L83" s="100">
        <f ca="1">J83*'Life table'!J81</f>
        <v>1.603329818344875E-4</v>
      </c>
      <c r="M83" s="100">
        <f t="shared" ca="1" si="38"/>
        <v>9.1277991804650683E-5</v>
      </c>
      <c r="N83" s="100">
        <f ca="1">((G83-I83)*$AW$5+I83*$AW$6)/(1+Customisation!$H$21)^($A83-12)</f>
        <v>1.2749370839368231E-5</v>
      </c>
      <c r="O83" s="100">
        <f ca="1">G83*Customisation!$H$17</f>
        <v>5.7630372604493003E-2</v>
      </c>
      <c r="P83" s="100">
        <f ca="1">O83/(1+Customisation!$H$21)^($A83-12)</f>
        <v>8.141416891959791E-3</v>
      </c>
      <c r="Q83" s="100">
        <f ca="1">IF($A83&lt;Customisation!$H$13,G83,G83*(1-Customisation!$H$11*Customisation!$H$12))</f>
        <v>3.1455095659076122E-5</v>
      </c>
      <c r="R83" s="100">
        <f ca="1">IF($A83&lt;Customisation!$H$13,H83,H83*(1-Customisation!$H$11*Customisation!$H$12))</f>
        <v>4.443647256881489E-6</v>
      </c>
      <c r="S83" s="100">
        <f ca="1">IF($A83&lt;Customisation!$H$13,I83,I83*(1-Customisation!$H$11*Customisation!$H$12))</f>
        <v>6.1059891573500709E-5</v>
      </c>
      <c r="T83" s="100">
        <f ca="1">IF($A83&lt;Customisation!$H$13,J83,J83*(1-Customisation!$H$11*Customisation!$H$12))</f>
        <v>8.6259034986523022E-6</v>
      </c>
      <c r="U83" s="100">
        <f ca="1">IF($A83&lt;Customisation!$H$13,K83,K83*(1-Customisation!$H$11*Customisation!$H$12))</f>
        <v>4.2912156589658201E-4</v>
      </c>
      <c r="V83" s="100">
        <f ca="1">IF($A83&lt;Customisation!$H$13,L83,L83*(1-Customisation!$H$11*Customisation!$H$12))</f>
        <v>6.062181116320416E-5</v>
      </c>
      <c r="W83" s="100">
        <f ca="1">IF($A83&lt;Customisation!$H$13,M83,M83*(1-Customisation!$H$11*Customisation!$H$12))</f>
        <v>3.4512157880592678E-5</v>
      </c>
      <c r="X83" s="100">
        <f ca="1">IF($A83&lt;Customisation!$H$13,N83,N83*(1-Customisation!$H$11*Customisation!$H$12))</f>
        <v>4.8205300159121384E-6</v>
      </c>
      <c r="Y83" s="100">
        <f ca="1">IF($A83&lt;Customisation!$H$13,O83,O83*(1-Customisation!$H$11*Customisation!$H$12))</f>
        <v>2.1790011794960495E-2</v>
      </c>
      <c r="Z83" s="100">
        <f ca="1">IF($A83&lt;Customisation!$H$13,P83,P83*(1-Customisation!$H$11*Customisation!$H$12))</f>
        <v>3.0782651939623897E-3</v>
      </c>
      <c r="AA83" s="100">
        <f t="shared" ca="1" si="45"/>
        <v>5.1737557020523493E-5</v>
      </c>
      <c r="AB83" s="100">
        <f t="shared" ca="1" si="39"/>
        <v>7.3089414772026611E-6</v>
      </c>
      <c r="AC83" s="100">
        <f t="shared" ca="1" si="46"/>
        <v>1.0043172833395736E-4</v>
      </c>
      <c r="AD83" s="100">
        <f t="shared" ca="1" si="33"/>
        <v>1.4187945220452222E-5</v>
      </c>
      <c r="AE83" s="100">
        <f t="shared" ca="1" si="34"/>
        <v>7.0582209397619861E-4</v>
      </c>
      <c r="AF83" s="100">
        <f t="shared" ca="1" si="47"/>
        <v>9.9711170671283334E-5</v>
      </c>
      <c r="AG83" s="100">
        <f t="shared" ca="1" si="40"/>
        <v>5.6765833924058005E-5</v>
      </c>
      <c r="AH83" s="100">
        <f t="shared" ca="1" si="41"/>
        <v>7.9288408234560923E-6</v>
      </c>
      <c r="AI83" s="100">
        <f t="shared" ca="1" si="48"/>
        <v>3.5840360809532512E-2</v>
      </c>
      <c r="AJ83" s="100">
        <f t="shared" ca="1" si="49"/>
        <v>5.0631516979974013E-3</v>
      </c>
      <c r="AL83" s="102">
        <f t="shared" ca="1" si="42"/>
        <v>8.3192652679599615</v>
      </c>
      <c r="AM83" s="102">
        <f t="shared" ca="1" si="43"/>
        <v>3.1455095659076124</v>
      </c>
    </row>
    <row r="84" spans="1:39" x14ac:dyDescent="0.15">
      <c r="A84" s="92">
        <f t="shared" si="32"/>
        <v>80</v>
      </c>
      <c r="B84" s="99">
        <f>'Life table'!D82</f>
        <v>0.48815769667907116</v>
      </c>
      <c r="C84" s="99">
        <f>IF($A84&lt;Customisation!$H$13,0,B84)/LOOKUP(Customisation!$H$13,$A$4:$A$104,$B$4:$B$104)</f>
        <v>0.50041336218308974</v>
      </c>
      <c r="D84" s="92">
        <f ca="1">IF($A84&lt;=Customisation!$H$13,1,1/(1+Customisation!$H$21)^($A84-Customisation!$H$13))</f>
        <v>0.13720272093168936</v>
      </c>
      <c r="E84" s="92">
        <f t="shared" ca="1" si="44"/>
        <v>41.971001231212853</v>
      </c>
      <c r="F84" s="92">
        <f t="shared" ca="1" si="35"/>
        <v>6.8658074882094855E-2</v>
      </c>
      <c r="G84" s="100">
        <f ca="1">'Age data'!M88*Customisation!$H$22</f>
        <v>8.3192652679599615E-5</v>
      </c>
      <c r="H84" s="100">
        <f t="shared" ca="1" si="36"/>
        <v>1.1414258309166065E-5</v>
      </c>
      <c r="I84" s="100">
        <f ca="1">'Age data'!N88*Customisation!$H$22</f>
        <v>1.6149161990745806E-4</v>
      </c>
      <c r="J84" s="101">
        <f t="shared" ca="1" si="37"/>
        <v>2.2157089658969419E-5</v>
      </c>
      <c r="K84" s="100">
        <f ca="1">I84*'Life table'!I82</f>
        <v>1.037802101299734E-3</v>
      </c>
      <c r="L84" s="100">
        <f ca="1">J84*'Life table'!J82</f>
        <v>1.4238927208694822E-4</v>
      </c>
      <c r="M84" s="100">
        <f t="shared" ca="1" si="38"/>
        <v>9.1277991804650683E-5</v>
      </c>
      <c r="N84" s="100">
        <f ca="1">((G84-I84)*$AW$5+I84*$AW$6)/(1+Customisation!$H$21)^($A84-12)</f>
        <v>1.2382345314088687E-5</v>
      </c>
      <c r="O84" s="100">
        <f ca="1">G84*Customisation!$H$17</f>
        <v>5.7630372604493003E-2</v>
      </c>
      <c r="P84" s="100">
        <f ca="1">O84/(1+Customisation!$H$21)^($A84-12)</f>
        <v>7.9070439296435296E-3</v>
      </c>
      <c r="Q84" s="100">
        <f ca="1">IF($A84&lt;Customisation!$H$13,G84,G84*(1-Customisation!$H$11*Customisation!$H$12))</f>
        <v>3.1455095659076122E-5</v>
      </c>
      <c r="R84" s="100">
        <f ca="1">IF($A84&lt;Customisation!$H$13,H84,H84*(1-Customisation!$H$11*Customisation!$H$12))</f>
        <v>4.3157247115918147E-6</v>
      </c>
      <c r="S84" s="100">
        <f ca="1">IF($A84&lt;Customisation!$H$13,I84,I84*(1-Customisation!$H$11*Customisation!$H$12))</f>
        <v>6.1059891573500709E-5</v>
      </c>
      <c r="T84" s="100">
        <f ca="1">IF($A84&lt;Customisation!$H$13,J84,J84*(1-Customisation!$H$11*Customisation!$H$12))</f>
        <v>8.3775832636782286E-6</v>
      </c>
      <c r="U84" s="100">
        <f ca="1">IF($A84&lt;Customisation!$H$13,K84,K84*(1-Customisation!$H$11*Customisation!$H$12))</f>
        <v>3.9239239668551037E-4</v>
      </c>
      <c r="V84" s="100">
        <f ca="1">IF($A84&lt;Customisation!$H$13,L84,L84*(1-Customisation!$H$11*Customisation!$H$12))</f>
        <v>5.3837304498158838E-5</v>
      </c>
      <c r="W84" s="100">
        <f ca="1">IF($A84&lt;Customisation!$H$13,M84,M84*(1-Customisation!$H$11*Customisation!$H$12))</f>
        <v>3.4512157880592678E-5</v>
      </c>
      <c r="X84" s="100">
        <f ca="1">IF($A84&lt;Customisation!$H$13,N84,N84*(1-Customisation!$H$11*Customisation!$H$12))</f>
        <v>4.6817578691523357E-6</v>
      </c>
      <c r="Y84" s="100">
        <f ca="1">IF($A84&lt;Customisation!$H$13,O84,O84*(1-Customisation!$H$11*Customisation!$H$12))</f>
        <v>2.1790011794960495E-2</v>
      </c>
      <c r="Z84" s="100">
        <f ca="1">IF($A84&lt;Customisation!$H$13,P84,P84*(1-Customisation!$H$11*Customisation!$H$12))</f>
        <v>2.9896489074021843E-3</v>
      </c>
      <c r="AA84" s="100">
        <f t="shared" ca="1" si="45"/>
        <v>5.1737557020523493E-5</v>
      </c>
      <c r="AB84" s="100">
        <f t="shared" ca="1" si="39"/>
        <v>7.0985335975742507E-6</v>
      </c>
      <c r="AC84" s="100">
        <f t="shared" ca="1" si="46"/>
        <v>1.0043172833395736E-4</v>
      </c>
      <c r="AD84" s="100">
        <f t="shared" ca="1" si="33"/>
        <v>1.377950639529119E-5</v>
      </c>
      <c r="AE84" s="100">
        <f t="shared" ca="1" si="34"/>
        <v>6.4540970461422363E-4</v>
      </c>
      <c r="AF84" s="100">
        <f t="shared" ca="1" si="47"/>
        <v>8.8551967588789391E-5</v>
      </c>
      <c r="AG84" s="100">
        <f t="shared" ca="1" si="40"/>
        <v>5.6765833924058005E-5</v>
      </c>
      <c r="AH84" s="100">
        <f t="shared" ca="1" si="41"/>
        <v>7.7005874449363511E-6</v>
      </c>
      <c r="AI84" s="100">
        <f t="shared" ca="1" si="48"/>
        <v>3.5840360809532512E-2</v>
      </c>
      <c r="AJ84" s="100">
        <f t="shared" ca="1" si="49"/>
        <v>4.9173950222413457E-3</v>
      </c>
      <c r="AL84" s="102">
        <f t="shared" ca="1" si="42"/>
        <v>8.3192652679599615</v>
      </c>
      <c r="AM84" s="102">
        <f t="shared" ca="1" si="43"/>
        <v>3.1455095659076124</v>
      </c>
    </row>
    <row r="85" spans="1:39" x14ac:dyDescent="0.15">
      <c r="A85" s="92">
        <f t="shared" si="32"/>
        <v>81</v>
      </c>
      <c r="B85" s="99">
        <f>'Life table'!D83</f>
        <v>0.43812641434643318</v>
      </c>
      <c r="C85" s="99">
        <f>IF($A85&lt;Customisation!$H$13,0,B85)/LOOKUP(Customisation!$H$13,$A$4:$A$104,$B$4:$B$104)</f>
        <v>0.4491259966929449</v>
      </c>
      <c r="D85" s="92">
        <f ca="1">IF($A85&lt;=Customisation!$H$13,1,1/(1+Customisation!$H$21)^($A85-Customisation!$H$13))</f>
        <v>0.13325296518654772</v>
      </c>
      <c r="E85" s="92">
        <f t="shared" ca="1" si="44"/>
        <v>42.108203952144542</v>
      </c>
      <c r="F85" s="92">
        <f t="shared" ca="1" si="35"/>
        <v>5.9847370801698531E-2</v>
      </c>
      <c r="G85" s="100">
        <f ca="1">'Age data'!M89*Customisation!$H$22</f>
        <v>8.3192652679599615E-5</v>
      </c>
      <c r="H85" s="100">
        <f t="shared" ca="1" si="36"/>
        <v>1.1085667651291244E-5</v>
      </c>
      <c r="I85" s="100">
        <f ca="1">'Age data'!N89*Customisation!$H$22</f>
        <v>1.6149161990745806E-4</v>
      </c>
      <c r="J85" s="101">
        <f t="shared" ca="1" si="37"/>
        <v>2.1519237205447706E-5</v>
      </c>
      <c r="K85" s="100">
        <f ca="1">I85*'Life table'!I83</f>
        <v>9.8560029353927372E-4</v>
      </c>
      <c r="L85" s="100">
        <f ca="1">J85*'Life table'!J83</f>
        <v>1.3133416160284006E-4</v>
      </c>
      <c r="M85" s="100">
        <f t="shared" ca="1" si="38"/>
        <v>9.1277991804650683E-5</v>
      </c>
      <c r="N85" s="100">
        <f ca="1">((G85-I85)*$AW$5+I85*$AW$6)/(1+Customisation!$H$21)^($A85-12)</f>
        <v>1.2025885622833733E-5</v>
      </c>
      <c r="O85" s="100">
        <f ca="1">G85*Customisation!$H$17</f>
        <v>5.7630372604493003E-2</v>
      </c>
      <c r="P85" s="100">
        <f ca="1">O85/(1+Customisation!$H$21)^($A85-12)</f>
        <v>7.6794180343542793E-3</v>
      </c>
      <c r="Q85" s="100">
        <f ca="1">IF($A85&lt;Customisation!$H$13,G85,G85*(1-Customisation!$H$11*Customisation!$H$12))</f>
        <v>3.1455095659076122E-5</v>
      </c>
      <c r="R85" s="100">
        <f ca="1">IF($A85&lt;Customisation!$H$13,H85,H85*(1-Customisation!$H$11*Customisation!$H$12))</f>
        <v>4.1914847667983993E-6</v>
      </c>
      <c r="S85" s="100">
        <f ca="1">IF($A85&lt;Customisation!$H$13,I85,I85*(1-Customisation!$H$11*Customisation!$H$12))</f>
        <v>6.1059891573500709E-5</v>
      </c>
      <c r="T85" s="100">
        <f ca="1">IF($A85&lt;Customisation!$H$13,J85,J85*(1-Customisation!$H$11*Customisation!$H$12))</f>
        <v>8.1364116061380686E-6</v>
      </c>
      <c r="U85" s="100">
        <f ca="1">IF($A85&lt;Customisation!$H$13,K85,K85*(1-Customisation!$H$11*Customisation!$H$12))</f>
        <v>3.7265492223562271E-4</v>
      </c>
      <c r="V85" s="100">
        <f ca="1">IF($A85&lt;Customisation!$H$13,L85,L85*(1-Customisation!$H$11*Customisation!$H$12))</f>
        <v>4.9657373379259079E-5</v>
      </c>
      <c r="W85" s="100">
        <f ca="1">IF($A85&lt;Customisation!$H$13,M85,M85*(1-Customisation!$H$11*Customisation!$H$12))</f>
        <v>3.4512157880592678E-5</v>
      </c>
      <c r="X85" s="100">
        <f ca="1">IF($A85&lt;Customisation!$H$13,N85,N85*(1-Customisation!$H$11*Customisation!$H$12))</f>
        <v>4.5469806583545025E-6</v>
      </c>
      <c r="Y85" s="100">
        <f ca="1">IF($A85&lt;Customisation!$H$13,O85,O85*(1-Customisation!$H$11*Customisation!$H$12))</f>
        <v>2.1790011794960495E-2</v>
      </c>
      <c r="Z85" s="100">
        <f ca="1">IF($A85&lt;Customisation!$H$13,P85,P85*(1-Customisation!$H$11*Customisation!$H$12))</f>
        <v>2.9035836831283347E-3</v>
      </c>
      <c r="AA85" s="100">
        <f t="shared" ca="1" si="45"/>
        <v>5.1737557020523493E-5</v>
      </c>
      <c r="AB85" s="100">
        <f t="shared" ca="1" si="39"/>
        <v>6.8941828844928446E-6</v>
      </c>
      <c r="AC85" s="100">
        <f t="shared" ca="1" si="46"/>
        <v>1.0043172833395736E-4</v>
      </c>
      <c r="AD85" s="100">
        <f t="shared" ca="1" si="33"/>
        <v>1.3382825599309637E-5</v>
      </c>
      <c r="AE85" s="100">
        <f t="shared" ca="1" si="34"/>
        <v>6.1294537130365096E-4</v>
      </c>
      <c r="AF85" s="100">
        <f t="shared" ca="1" si="47"/>
        <v>8.1676788223580978E-5</v>
      </c>
      <c r="AG85" s="100">
        <f t="shared" ca="1" si="40"/>
        <v>5.6765833924058005E-5</v>
      </c>
      <c r="AH85" s="100">
        <f t="shared" ca="1" si="41"/>
        <v>7.4789049644792304E-6</v>
      </c>
      <c r="AI85" s="100">
        <f t="shared" ca="1" si="48"/>
        <v>3.5840360809532512E-2</v>
      </c>
      <c r="AJ85" s="100">
        <f t="shared" ca="1" si="49"/>
        <v>4.7758343512259447E-3</v>
      </c>
      <c r="AL85" s="102">
        <f t="shared" ca="1" si="42"/>
        <v>8.3192652679599615</v>
      </c>
      <c r="AM85" s="102">
        <f t="shared" ca="1" si="43"/>
        <v>3.1455095659076124</v>
      </c>
    </row>
    <row r="86" spans="1:39" x14ac:dyDescent="0.15">
      <c r="A86" s="92">
        <f t="shared" si="32"/>
        <v>82</v>
      </c>
      <c r="B86" s="99">
        <f>'Life table'!D84</f>
        <v>0.39322283814006725</v>
      </c>
      <c r="C86" s="99">
        <f>IF($A86&lt;Customisation!$H$13,0,B86)/LOOKUP(Customisation!$H$13,$A$4:$A$104,$B$4:$B$104)</f>
        <v>0.40309507329188499</v>
      </c>
      <c r="D86" s="92">
        <f ca="1">IF($A86&lt;=Customisation!$H$13,1,1/(1+Customisation!$H$21)^($A86-Customisation!$H$13))</f>
        <v>0.12941691396811184</v>
      </c>
      <c r="E86" s="92">
        <f t="shared" ca="1" si="44"/>
        <v>42.241456917331092</v>
      </c>
      <c r="F86" s="92">
        <f t="shared" ca="1" si="35"/>
        <v>5.2167320421185617E-2</v>
      </c>
      <c r="G86" s="100">
        <f ca="1">'Age data'!M90*Customisation!$H$22</f>
        <v>8.3192652679599615E-5</v>
      </c>
      <c r="H86" s="100">
        <f t="shared" ca="1" si="36"/>
        <v>1.0766536374614752E-5</v>
      </c>
      <c r="I86" s="100">
        <f ca="1">'Age data'!N90*Customisation!$H$22</f>
        <v>1.6149161990745806E-4</v>
      </c>
      <c r="J86" s="101">
        <f t="shared" ca="1" si="37"/>
        <v>2.0899747080134515E-5</v>
      </c>
      <c r="K86" s="100">
        <f ca="1">I86*'Life table'!I84</f>
        <v>9.2743736748779793E-4</v>
      </c>
      <c r="L86" s="100">
        <f ca="1">J86*'Life table'!J84</f>
        <v>1.2002608199898045E-4</v>
      </c>
      <c r="M86" s="100">
        <f t="shared" ca="1" si="38"/>
        <v>9.1277991804650683E-5</v>
      </c>
      <c r="N86" s="100">
        <f ca="1">((G86-I86)*$AW$5+I86*$AW$6)/(1+Customisation!$H$21)^($A86-12)</f>
        <v>1.1679687599160042E-5</v>
      </c>
      <c r="O86" s="100">
        <f ca="1">G86*Customisation!$H$17</f>
        <v>5.7630372604493003E-2</v>
      </c>
      <c r="P86" s="100">
        <f ca="1">O86/(1+Customisation!$H$21)^($A86-12)</f>
        <v>7.4583449733058998E-3</v>
      </c>
      <c r="Q86" s="100">
        <f ca="1">IF($A86&lt;Customisation!$H$13,G86,G86*(1-Customisation!$H$11*Customisation!$H$12))</f>
        <v>3.1455095659076122E-5</v>
      </c>
      <c r="R86" s="100">
        <f ca="1">IF($A86&lt;Customisation!$H$13,H86,H86*(1-Customisation!$H$11*Customisation!$H$12))</f>
        <v>4.0708214087693827E-6</v>
      </c>
      <c r="S86" s="100">
        <f ca="1">IF($A86&lt;Customisation!$H$13,I86,I86*(1-Customisation!$H$11*Customisation!$H$12))</f>
        <v>6.1059891573500709E-5</v>
      </c>
      <c r="T86" s="100">
        <f ca="1">IF($A86&lt;Customisation!$H$13,J86,J86*(1-Customisation!$H$11*Customisation!$H$12))</f>
        <v>7.9021827346699774E-6</v>
      </c>
      <c r="U86" s="100">
        <f ca="1">IF($A86&lt;Customisation!$H$13,K86,K86*(1-Customisation!$H$11*Customisation!$H$12))</f>
        <v>3.506635522788672E-4</v>
      </c>
      <c r="V86" s="100">
        <f ca="1">IF($A86&lt;Customisation!$H$13,L86,L86*(1-Customisation!$H$11*Customisation!$H$12))</f>
        <v>4.5381794777026633E-5</v>
      </c>
      <c r="W86" s="100">
        <f ca="1">IF($A86&lt;Customisation!$H$13,M86,M86*(1-Customisation!$H$11*Customisation!$H$12))</f>
        <v>3.4512157880592678E-5</v>
      </c>
      <c r="X86" s="100">
        <f ca="1">IF($A86&lt;Customisation!$H$13,N86,N86*(1-Customisation!$H$11*Customisation!$H$12))</f>
        <v>4.416083378355767E-6</v>
      </c>
      <c r="Y86" s="100">
        <f ca="1">IF($A86&lt;Customisation!$H$13,O86,O86*(1-Customisation!$H$11*Customisation!$H$12))</f>
        <v>2.1790011794960495E-2</v>
      </c>
      <c r="Z86" s="100">
        <f ca="1">IF($A86&lt;Customisation!$H$13,P86,P86*(1-Customisation!$H$11*Customisation!$H$12))</f>
        <v>2.8199960818325442E-3</v>
      </c>
      <c r="AA86" s="100">
        <f t="shared" ca="1" si="45"/>
        <v>5.1737557020523493E-5</v>
      </c>
      <c r="AB86" s="100">
        <f t="shared" ca="1" si="39"/>
        <v>6.6957149658453695E-6</v>
      </c>
      <c r="AC86" s="100">
        <f t="shared" ca="1" si="46"/>
        <v>1.0043172833395736E-4</v>
      </c>
      <c r="AD86" s="100">
        <f t="shared" ca="1" si="33"/>
        <v>1.2997564345464538E-5</v>
      </c>
      <c r="AE86" s="100">
        <f t="shared" ca="1" si="34"/>
        <v>5.7677381520893078E-4</v>
      </c>
      <c r="AF86" s="100">
        <f t="shared" ca="1" si="47"/>
        <v>7.4644287221953807E-5</v>
      </c>
      <c r="AG86" s="100">
        <f t="shared" ca="1" si="40"/>
        <v>5.6765833924058005E-5</v>
      </c>
      <c r="AH86" s="100">
        <f t="shared" ca="1" si="41"/>
        <v>7.2636042208042746E-6</v>
      </c>
      <c r="AI86" s="100">
        <f t="shared" ca="1" si="48"/>
        <v>3.5840360809532512E-2</v>
      </c>
      <c r="AJ86" s="100">
        <f t="shared" ca="1" si="49"/>
        <v>4.6383488914733557E-3</v>
      </c>
      <c r="AL86" s="102">
        <f t="shared" ca="1" si="42"/>
        <v>8.3192652679599615</v>
      </c>
      <c r="AM86" s="102">
        <f t="shared" ca="1" si="43"/>
        <v>3.1455095659076124</v>
      </c>
    </row>
    <row r="87" spans="1:39" x14ac:dyDescent="0.15">
      <c r="A87" s="92">
        <f t="shared" si="32"/>
        <v>83</v>
      </c>
      <c r="B87" s="99">
        <f>'Life table'!D85</f>
        <v>0.35292142945909177</v>
      </c>
      <c r="C87" s="99">
        <f>IF($A87&lt;Customisation!$H$13,0,B87)/LOOKUP(Customisation!$H$13,$A$4:$A$104,$B$4:$B$104)</f>
        <v>0.36178185923019973</v>
      </c>
      <c r="D87" s="92">
        <f ca="1">IF($A87&lt;=Customisation!$H$13,1,1/(1+Customisation!$H$21)^($A87-Customisation!$H$13))</f>
        <v>0.12569129398045464</v>
      </c>
      <c r="E87" s="92">
        <f t="shared" ca="1" si="44"/>
        <v>42.370873831299207</v>
      </c>
      <c r="F87" s="92">
        <f t="shared" ca="1" si="35"/>
        <v>4.5472830025298491E-2</v>
      </c>
      <c r="G87" s="100">
        <f ca="1">'Age data'!M91*Customisation!$H$22</f>
        <v>8.3192652679599615E-5</v>
      </c>
      <c r="H87" s="100">
        <f t="shared" ca="1" si="36"/>
        <v>1.0456592164965413E-5</v>
      </c>
      <c r="I87" s="100">
        <f ca="1">'Age data'!N91*Customisation!$H$22</f>
        <v>1.6149161990745806E-4</v>
      </c>
      <c r="J87" s="101">
        <f t="shared" ca="1" si="37"/>
        <v>2.0298090673168153E-5</v>
      </c>
      <c r="K87" s="100">
        <f ca="1">I87*'Life table'!I85</f>
        <v>8.6263260090973625E-4</v>
      </c>
      <c r="L87" s="100">
        <f ca="1">J87*'Life table'!J85</f>
        <v>1.0842540783806987E-4</v>
      </c>
      <c r="M87" s="100">
        <f t="shared" ca="1" si="38"/>
        <v>9.1277991804650683E-5</v>
      </c>
      <c r="N87" s="100">
        <f ca="1">((G87-I87)*$AW$5+I87*$AW$6)/(1+Customisation!$H$21)^($A87-12)</f>
        <v>1.1343455832887635E-5</v>
      </c>
      <c r="O87" s="100">
        <f ca="1">G87*Customisation!$H$17</f>
        <v>5.7630372604493003E-2</v>
      </c>
      <c r="P87" s="100">
        <f ca="1">O87/(1+Customisation!$H$21)^($A87-12)</f>
        <v>7.2436361052344691E-3</v>
      </c>
      <c r="Q87" s="100">
        <f ca="1">IF($A87&lt;Customisation!$H$13,G87,G87*(1-Customisation!$H$11*Customisation!$H$12))</f>
        <v>3.1455095659076122E-5</v>
      </c>
      <c r="R87" s="100">
        <f ca="1">IF($A87&lt;Customisation!$H$13,H87,H87*(1-Customisation!$H$11*Customisation!$H$12))</f>
        <v>3.9536316756682602E-6</v>
      </c>
      <c r="S87" s="100">
        <f ca="1">IF($A87&lt;Customisation!$H$13,I87,I87*(1-Customisation!$H$11*Customisation!$H$12))</f>
        <v>6.1059891573500709E-5</v>
      </c>
      <c r="T87" s="100">
        <f ca="1">IF($A87&lt;Customisation!$H$13,J87,J87*(1-Customisation!$H$11*Customisation!$H$12))</f>
        <v>7.6746967821795616E-6</v>
      </c>
      <c r="U87" s="100">
        <f ca="1">IF($A87&lt;Customisation!$H$13,K87,K87*(1-Customisation!$H$11*Customisation!$H$12))</f>
        <v>3.2616090611697971E-4</v>
      </c>
      <c r="V87" s="100">
        <f ca="1">IF($A87&lt;Customisation!$H$13,L87,L87*(1-Customisation!$H$11*Customisation!$H$12))</f>
        <v>4.0995586335680762E-5</v>
      </c>
      <c r="W87" s="100">
        <f ca="1">IF($A87&lt;Customisation!$H$13,M87,M87*(1-Customisation!$H$11*Customisation!$H$12))</f>
        <v>3.4512157880592678E-5</v>
      </c>
      <c r="X87" s="100">
        <f ca="1">IF($A87&lt;Customisation!$H$13,N87,N87*(1-Customisation!$H$11*Customisation!$H$12))</f>
        <v>4.2889543347315566E-6</v>
      </c>
      <c r="Y87" s="100">
        <f ca="1">IF($A87&lt;Customisation!$H$13,O87,O87*(1-Customisation!$H$11*Customisation!$H$12))</f>
        <v>2.1790011794960495E-2</v>
      </c>
      <c r="Z87" s="100">
        <f ca="1">IF($A87&lt;Customisation!$H$13,P87,P87*(1-Customisation!$H$11*Customisation!$H$12))</f>
        <v>2.7388147783579536E-3</v>
      </c>
      <c r="AA87" s="100">
        <f t="shared" ca="1" si="45"/>
        <v>5.1737557020523493E-5</v>
      </c>
      <c r="AB87" s="100">
        <f t="shared" ca="1" si="39"/>
        <v>6.5029604892971531E-6</v>
      </c>
      <c r="AC87" s="100">
        <f t="shared" ca="1" si="46"/>
        <v>1.0043172833395736E-4</v>
      </c>
      <c r="AD87" s="100">
        <f t="shared" ca="1" si="33"/>
        <v>1.2623393890988591E-5</v>
      </c>
      <c r="AE87" s="100">
        <f t="shared" ca="1" si="34"/>
        <v>5.3647169479275648E-4</v>
      </c>
      <c r="AF87" s="100">
        <f t="shared" ca="1" si="47"/>
        <v>6.7429821502389099E-5</v>
      </c>
      <c r="AG87" s="100">
        <f t="shared" ca="1" si="40"/>
        <v>5.6765833924058005E-5</v>
      </c>
      <c r="AH87" s="100">
        <f t="shared" ca="1" si="41"/>
        <v>7.0545014981560786E-6</v>
      </c>
      <c r="AI87" s="100">
        <f t="shared" ca="1" si="48"/>
        <v>3.5840360809532512E-2</v>
      </c>
      <c r="AJ87" s="100">
        <f t="shared" ca="1" si="49"/>
        <v>4.5048213268765154E-3</v>
      </c>
      <c r="AL87" s="102">
        <f t="shared" ca="1" si="42"/>
        <v>8.3192652679599615</v>
      </c>
      <c r="AM87" s="102">
        <f t="shared" ca="1" si="43"/>
        <v>3.1455095659076124</v>
      </c>
    </row>
    <row r="88" spans="1:39" x14ac:dyDescent="0.15">
      <c r="A88" s="92">
        <f t="shared" si="32"/>
        <v>84</v>
      </c>
      <c r="B88" s="99">
        <f>'Life table'!D86</f>
        <v>0.31675051215382949</v>
      </c>
      <c r="C88" s="99">
        <f>IF($A88&lt;Customisation!$H$13,0,B88)/LOOKUP(Customisation!$H$13,$A$4:$A$104,$B$4:$B$104)</f>
        <v>0.3247028364776966</v>
      </c>
      <c r="D88" s="92">
        <f ca="1">IF($A88&lt;=Customisation!$H$13,1,1/(1+Customisation!$H$21)^($A88-Customisation!$H$13))</f>
        <v>0.12207292615842899</v>
      </c>
      <c r="E88" s="92">
        <f t="shared" ca="1" si="44"/>
        <v>42.496565125279659</v>
      </c>
      <c r="F88" s="92">
        <f t="shared" ca="1" si="35"/>
        <v>3.9637425380774298E-2</v>
      </c>
      <c r="G88" s="100">
        <f ca="1">'Age data'!M92*Customisation!$H$22</f>
        <v>8.3192652679599615E-5</v>
      </c>
      <c r="H88" s="100">
        <f t="shared" ca="1" si="36"/>
        <v>1.0155570547480594E-5</v>
      </c>
      <c r="I88" s="100">
        <f ca="1">'Age data'!N92*Customisation!$H$22</f>
        <v>1.6149161990745806E-4</v>
      </c>
      <c r="J88" s="101">
        <f t="shared" ca="1" si="37"/>
        <v>1.9713754592168209E-5</v>
      </c>
      <c r="K88" s="100">
        <f ca="1">I88*'Life table'!I86</f>
        <v>7.9042753736942859E-4</v>
      </c>
      <c r="L88" s="100">
        <f ca="1">J88*'Life table'!J86</f>
        <v>9.6489802402887126E-5</v>
      </c>
      <c r="M88" s="100">
        <f t="shared" ca="1" si="38"/>
        <v>9.1277991804650683E-5</v>
      </c>
      <c r="N88" s="100">
        <f ca="1">((G88-I88)*$AW$5+I88*$AW$6)/(1+Customisation!$H$21)^($A88-12)</f>
        <v>1.1016903418026886E-5</v>
      </c>
      <c r="O88" s="100">
        <f ca="1">G88*Customisation!$H$17</f>
        <v>5.7630372604493003E-2</v>
      </c>
      <c r="P88" s="100">
        <f ca="1">O88/(1+Customisation!$H$21)^($A88-12)</f>
        <v>7.0351082194310237E-3</v>
      </c>
      <c r="Q88" s="100">
        <f ca="1">IF($A88&lt;Customisation!$H$13,G88,G88*(1-Customisation!$H$11*Customisation!$H$12))</f>
        <v>3.1455095659076122E-5</v>
      </c>
      <c r="R88" s="100">
        <f ca="1">IF($A88&lt;Customisation!$H$13,H88,H88*(1-Customisation!$H$11*Customisation!$H$12))</f>
        <v>3.8398155696967203E-6</v>
      </c>
      <c r="S88" s="100">
        <f ca="1">IF($A88&lt;Customisation!$H$13,I88,I88*(1-Customisation!$H$11*Customisation!$H$12))</f>
        <v>6.1059891573500709E-5</v>
      </c>
      <c r="T88" s="100">
        <f ca="1">IF($A88&lt;Customisation!$H$13,J88,J88*(1-Customisation!$H$11*Customisation!$H$12))</f>
        <v>7.4537596352936323E-6</v>
      </c>
      <c r="U88" s="100">
        <f ca="1">IF($A88&lt;Customisation!$H$13,K88,K88*(1-Customisation!$H$11*Customisation!$H$12))</f>
        <v>2.988602117939221E-4</v>
      </c>
      <c r="V88" s="100">
        <f ca="1">IF($A88&lt;Customisation!$H$13,L88,L88*(1-Customisation!$H$11*Customisation!$H$12))</f>
        <v>3.6482740566011903E-5</v>
      </c>
      <c r="W88" s="100">
        <f ca="1">IF($A88&lt;Customisation!$H$13,M88,M88*(1-Customisation!$H$11*Customisation!$H$12))</f>
        <v>3.4512157880592678E-5</v>
      </c>
      <c r="X88" s="100">
        <f ca="1">IF($A88&lt;Customisation!$H$13,N88,N88*(1-Customisation!$H$11*Customisation!$H$12))</f>
        <v>4.1654850484869314E-6</v>
      </c>
      <c r="Y88" s="100">
        <f ca="1">IF($A88&lt;Customisation!$H$13,O88,O88*(1-Customisation!$H$11*Customisation!$H$12))</f>
        <v>2.1790011794960495E-2</v>
      </c>
      <c r="Z88" s="100">
        <f ca="1">IF($A88&lt;Customisation!$H$13,P88,P88*(1-Customisation!$H$11*Customisation!$H$12))</f>
        <v>2.6599705008375093E-3</v>
      </c>
      <c r="AA88" s="100">
        <f t="shared" ca="1" si="45"/>
        <v>5.1737557020523493E-5</v>
      </c>
      <c r="AB88" s="100">
        <f t="shared" ca="1" si="39"/>
        <v>6.3157549777838733E-6</v>
      </c>
      <c r="AC88" s="100">
        <f t="shared" ca="1" si="46"/>
        <v>1.0043172833395736E-4</v>
      </c>
      <c r="AD88" s="100">
        <f t="shared" ca="1" si="33"/>
        <v>1.2259994956874577E-5</v>
      </c>
      <c r="AE88" s="100">
        <f t="shared" ca="1" si="34"/>
        <v>4.9156732557550649E-4</v>
      </c>
      <c r="AF88" s="100">
        <f t="shared" ca="1" si="47"/>
        <v>6.0007061836875223E-5</v>
      </c>
      <c r="AG88" s="100">
        <f t="shared" ca="1" si="40"/>
        <v>5.6765833924058005E-5</v>
      </c>
      <c r="AH88" s="100">
        <f t="shared" ca="1" si="41"/>
        <v>6.8514183695399549E-6</v>
      </c>
      <c r="AI88" s="100">
        <f t="shared" ca="1" si="48"/>
        <v>3.5840360809532512E-2</v>
      </c>
      <c r="AJ88" s="100">
        <f t="shared" ca="1" si="49"/>
        <v>4.375137718593514E-3</v>
      </c>
      <c r="AL88" s="102">
        <f t="shared" ca="1" si="42"/>
        <v>8.3192652679599615</v>
      </c>
      <c r="AM88" s="102">
        <f t="shared" ca="1" si="43"/>
        <v>3.1455095659076124</v>
      </c>
    </row>
    <row r="89" spans="1:39" x14ac:dyDescent="0.15">
      <c r="A89" s="92">
        <f t="shared" si="32"/>
        <v>85</v>
      </c>
      <c r="B89" s="99">
        <f>'Life table'!D87</f>
        <v>0.2842867521631835</v>
      </c>
      <c r="C89" s="99">
        <f>IF($A89&lt;Customisation!$H$13,0,B89)/LOOKUP(Customisation!$H$13,$A$4:$A$104,$B$4:$B$104)</f>
        <v>0.29142404276709744</v>
      </c>
      <c r="D89" s="92">
        <f ca="1">IF($A89&lt;=Customisation!$H$13,1,1/(1+Customisation!$H$21)^($A89-Customisation!$H$13))</f>
        <v>0.11855872295497677</v>
      </c>
      <c r="E89" s="92">
        <f t="shared" ca="1" si="44"/>
        <v>42.61863805143809</v>
      </c>
      <c r="F89" s="92">
        <f t="shared" ca="1" si="35"/>
        <v>3.4550862348843608E-2</v>
      </c>
      <c r="G89" s="100">
        <f ca="1">'Age data'!M93*Customisation!$H$22</f>
        <v>8.3192652679599615E-5</v>
      </c>
      <c r="H89" s="100">
        <f t="shared" ca="1" si="36"/>
        <v>9.8632146609302566E-6</v>
      </c>
      <c r="I89" s="100">
        <f ca="1">'Age data'!N93*Customisation!$H$22</f>
        <v>1.6149161990745806E-4</v>
      </c>
      <c r="J89" s="101">
        <f t="shared" ca="1" si="37"/>
        <v>1.9146240224158731E-5</v>
      </c>
      <c r="K89" s="100">
        <f ca="1">I89*'Life table'!I87</f>
        <v>7.0997710947413189E-4</v>
      </c>
      <c r="L89" s="100">
        <f ca="1">J89*'Life table'!J87</f>
        <v>8.4173979426518806E-5</v>
      </c>
      <c r="M89" s="100">
        <f t="shared" ca="1" si="38"/>
        <v>9.1277991804650683E-5</v>
      </c>
      <c r="N89" s="100">
        <f ca="1">((G89-I89)*$AW$5+I89*$AW$6)/(1+Customisation!$H$21)^($A89-12)</f>
        <v>1.0699751707962134E-5</v>
      </c>
      <c r="O89" s="100">
        <f ca="1">G89*Customisation!$H$17</f>
        <v>5.7630372604493003E-2</v>
      </c>
      <c r="P89" s="100">
        <f ca="1">O89/(1+Customisation!$H$21)^($A89-12)</f>
        <v>6.8325833794081695E-3</v>
      </c>
      <c r="Q89" s="100">
        <f ca="1">IF($A89&lt;Customisation!$H$13,G89,G89*(1-Customisation!$H$11*Customisation!$H$12))</f>
        <v>3.1455095659076122E-5</v>
      </c>
      <c r="R89" s="100">
        <f ca="1">IF($A89&lt;Customisation!$H$13,H89,H89*(1-Customisation!$H$11*Customisation!$H$12))</f>
        <v>3.7292759717666984E-6</v>
      </c>
      <c r="S89" s="100">
        <f ca="1">IF($A89&lt;Customisation!$H$13,I89,I89*(1-Customisation!$H$11*Customisation!$H$12))</f>
        <v>6.1059891573500709E-5</v>
      </c>
      <c r="T89" s="100">
        <f ca="1">IF($A89&lt;Customisation!$H$13,J89,J89*(1-Customisation!$H$11*Customisation!$H$12))</f>
        <v>7.23918276872359E-6</v>
      </c>
      <c r="U89" s="100">
        <f ca="1">IF($A89&lt;Customisation!$H$13,K89,K89*(1-Customisation!$H$11*Customisation!$H$12))</f>
        <v>2.6844194979900546E-4</v>
      </c>
      <c r="V89" s="100">
        <f ca="1">IF($A89&lt;Customisation!$H$13,L89,L89*(1-Customisation!$H$11*Customisation!$H$12))</f>
        <v>3.1826134755714071E-5</v>
      </c>
      <c r="W89" s="100">
        <f ca="1">IF($A89&lt;Customisation!$H$13,M89,M89*(1-Customisation!$H$11*Customisation!$H$12))</f>
        <v>3.4512157880592678E-5</v>
      </c>
      <c r="X89" s="100">
        <f ca="1">IF($A89&lt;Customisation!$H$13,N89,N89*(1-Customisation!$H$11*Customisation!$H$12))</f>
        <v>4.0455701634916528E-6</v>
      </c>
      <c r="Y89" s="100">
        <f ca="1">IF($A89&lt;Customisation!$H$13,O89,O89*(1-Customisation!$H$11*Customisation!$H$12))</f>
        <v>2.1790011794960495E-2</v>
      </c>
      <c r="Z89" s="100">
        <f ca="1">IF($A89&lt;Customisation!$H$13,P89,P89*(1-Customisation!$H$11*Customisation!$H$12))</f>
        <v>2.5833959715843976E-3</v>
      </c>
      <c r="AA89" s="100">
        <f t="shared" ca="1" si="45"/>
        <v>5.1737557020523493E-5</v>
      </c>
      <c r="AB89" s="100">
        <f t="shared" ca="1" si="39"/>
        <v>6.1339386891635577E-6</v>
      </c>
      <c r="AC89" s="100">
        <f t="shared" ca="1" si="46"/>
        <v>1.0043172833395736E-4</v>
      </c>
      <c r="AD89" s="100">
        <f t="shared" ca="1" si="33"/>
        <v>1.1907057455435141E-5</v>
      </c>
      <c r="AE89" s="100">
        <f t="shared" ca="1" si="34"/>
        <v>4.4153515967512643E-4</v>
      </c>
      <c r="AF89" s="100">
        <f t="shared" ca="1" si="47"/>
        <v>5.2347844670804735E-5</v>
      </c>
      <c r="AG89" s="100">
        <f t="shared" ca="1" si="40"/>
        <v>5.6765833924058005E-5</v>
      </c>
      <c r="AH89" s="100">
        <f t="shared" ca="1" si="41"/>
        <v>6.6541815444704816E-6</v>
      </c>
      <c r="AI89" s="100">
        <f t="shared" ca="1" si="48"/>
        <v>3.5840360809532512E-2</v>
      </c>
      <c r="AJ89" s="100">
        <f t="shared" ca="1" si="49"/>
        <v>4.2491874078237719E-3</v>
      </c>
      <c r="AL89" s="102">
        <f t="shared" ca="1" si="42"/>
        <v>8.3192652679599615</v>
      </c>
      <c r="AM89" s="102">
        <f t="shared" ca="1" si="43"/>
        <v>3.1455095659076124</v>
      </c>
    </row>
    <row r="90" spans="1:39" x14ac:dyDescent="0.15">
      <c r="A90" s="92">
        <f t="shared" si="32"/>
        <v>86</v>
      </c>
      <c r="B90" s="99">
        <f>'Life table'!D88</f>
        <v>0.23553157416719753</v>
      </c>
      <c r="C90" s="99">
        <f>IF($A90&lt;Customisation!$H$13,0,B90)/LOOKUP(Customisation!$H$13,$A$4:$A$104,$B$4:$B$104)</f>
        <v>0.24144481943254023</v>
      </c>
      <c r="D90" s="92">
        <f ca="1">IF($A90&lt;=Customisation!$H$13,1,1/(1+Customisation!$H$21)^($A90-Customisation!$H$13))</f>
        <v>0.11514568570653018</v>
      </c>
      <c r="E90" s="92">
        <f t="shared" ca="1" si="44"/>
        <v>42.73719677439307</v>
      </c>
      <c r="F90" s="92">
        <f t="shared" ca="1" si="35"/>
        <v>2.7801329293849208E-2</v>
      </c>
      <c r="G90" s="100">
        <f ca="1">'Age data'!M94*Customisation!$H$22</f>
        <v>8.3192652679599615E-5</v>
      </c>
      <c r="H90" s="100">
        <f t="shared" ca="1" si="36"/>
        <v>9.5792750385377035E-6</v>
      </c>
      <c r="I90" s="100">
        <f ca="1">'Age data'!N94*Customisation!$H$22</f>
        <v>1.6149161990745806E-4</v>
      </c>
      <c r="J90" s="101">
        <f t="shared" ca="1" si="37"/>
        <v>1.8595063310102597E-5</v>
      </c>
      <c r="K90" s="100">
        <f ca="1">I90*'Life table'!I88</f>
        <v>6.787367483086764E-4</v>
      </c>
      <c r="L90" s="100">
        <f ca="1">J90*'Life table'!J88</f>
        <v>7.8153608298223135E-5</v>
      </c>
      <c r="M90" s="100">
        <f t="shared" ca="1" si="38"/>
        <v>9.1277991804650683E-5</v>
      </c>
      <c r="N90" s="100">
        <f ca="1">((G90-I90)*$AW$5+I90*$AW$6)/(1+Customisation!$H$21)^($A90-12)</f>
        <v>1.0391730077682995E-5</v>
      </c>
      <c r="O90" s="100">
        <f ca="1">G90*Customisation!$H$17</f>
        <v>5.7630372604493003E-2</v>
      </c>
      <c r="P90" s="100">
        <f ca="1">O90/(1+Customisation!$H$21)^($A90-12)</f>
        <v>6.6358887710671784E-3</v>
      </c>
      <c r="Q90" s="100">
        <f ca="1">IF($A90&lt;Customisation!$H$13,G90,G90*(1-Customisation!$H$11*Customisation!$H$12))</f>
        <v>3.1455095659076122E-5</v>
      </c>
      <c r="R90" s="100">
        <f ca="1">IF($A90&lt;Customisation!$H$13,H90,H90*(1-Customisation!$H$11*Customisation!$H$12))</f>
        <v>3.6219185586288214E-6</v>
      </c>
      <c r="S90" s="100">
        <f ca="1">IF($A90&lt;Customisation!$H$13,I90,I90*(1-Customisation!$H$11*Customisation!$H$12))</f>
        <v>6.1059891573500709E-5</v>
      </c>
      <c r="T90" s="100">
        <f ca="1">IF($A90&lt;Customisation!$H$13,J90,J90*(1-Customisation!$H$11*Customisation!$H$12))</f>
        <v>7.0307830843971218E-6</v>
      </c>
      <c r="U90" s="100">
        <f ca="1">IF($A90&lt;Customisation!$H$13,K90,K90*(1-Customisation!$H$11*Customisation!$H$12))</f>
        <v>2.5662998663600784E-4</v>
      </c>
      <c r="V90" s="100">
        <f ca="1">IF($A90&lt;Customisation!$H$13,L90,L90*(1-Customisation!$H$11*Customisation!$H$12))</f>
        <v>2.95498357840608E-5</v>
      </c>
      <c r="W90" s="100">
        <f ca="1">IF($A90&lt;Customisation!$H$13,M90,M90*(1-Customisation!$H$11*Customisation!$H$12))</f>
        <v>3.4512157880592678E-5</v>
      </c>
      <c r="X90" s="100">
        <f ca="1">IF($A90&lt;Customisation!$H$13,N90,N90*(1-Customisation!$H$11*Customisation!$H$12))</f>
        <v>3.9291073565799696E-6</v>
      </c>
      <c r="Y90" s="100">
        <f ca="1">IF($A90&lt;Customisation!$H$13,O90,O90*(1-Customisation!$H$11*Customisation!$H$12))</f>
        <v>2.1790011794960495E-2</v>
      </c>
      <c r="Z90" s="100">
        <f ca="1">IF($A90&lt;Customisation!$H$13,P90,P90*(1-Customisation!$H$11*Customisation!$H$12))</f>
        <v>2.5090258496841067E-3</v>
      </c>
      <c r="AA90" s="100">
        <f t="shared" ca="1" si="45"/>
        <v>5.1737557020523493E-5</v>
      </c>
      <c r="AB90" s="100">
        <f t="shared" ca="1" si="39"/>
        <v>5.9573564799088826E-6</v>
      </c>
      <c r="AC90" s="100">
        <f t="shared" ca="1" si="46"/>
        <v>1.0043172833395736E-4</v>
      </c>
      <c r="AD90" s="100">
        <f t="shared" ca="1" si="33"/>
        <v>1.1564280225705475E-5</v>
      </c>
      <c r="AE90" s="100">
        <f t="shared" ca="1" si="34"/>
        <v>4.2210676167266857E-4</v>
      </c>
      <c r="AF90" s="100">
        <f t="shared" ca="1" si="47"/>
        <v>4.8603772514162335E-5</v>
      </c>
      <c r="AG90" s="100">
        <f t="shared" ca="1" si="40"/>
        <v>5.6765833924058005E-5</v>
      </c>
      <c r="AH90" s="100">
        <f t="shared" ca="1" si="41"/>
        <v>6.4626227211030258E-6</v>
      </c>
      <c r="AI90" s="100">
        <f t="shared" ca="1" si="48"/>
        <v>3.5840360809532512E-2</v>
      </c>
      <c r="AJ90" s="100">
        <f t="shared" ca="1" si="49"/>
        <v>4.1268629213830716E-3</v>
      </c>
      <c r="AL90" s="102">
        <f t="shared" ca="1" si="42"/>
        <v>8.3192652679599615</v>
      </c>
      <c r="AM90" s="102">
        <f t="shared" ca="1" si="43"/>
        <v>3.1455095659076124</v>
      </c>
    </row>
    <row r="91" spans="1:39" x14ac:dyDescent="0.15">
      <c r="A91" s="92">
        <f t="shared" si="32"/>
        <v>87</v>
      </c>
      <c r="B91" s="99">
        <f>'Life table'!D89</f>
        <v>0.19513790919752316</v>
      </c>
      <c r="C91" s="99">
        <f>IF($A91&lt;Customisation!$H$13,0,B91)/LOOKUP(Customisation!$H$13,$A$4:$A$104,$B$4:$B$104)</f>
        <v>0.20003703289985961</v>
      </c>
      <c r="D91" s="92">
        <f ca="1">IF($A91&lt;=Customisation!$H$13,1,1/(1+Customisation!$H$21)^($A91-Customisation!$H$13))</f>
        <v>0.11183090207425748</v>
      </c>
      <c r="E91" s="92">
        <f t="shared" ca="1" si="44"/>
        <v>42.852342460099599</v>
      </c>
      <c r="F91" s="92">
        <f t="shared" ca="1" si="35"/>
        <v>2.2370321837449223E-2</v>
      </c>
      <c r="G91" s="100">
        <f ca="1">'Age data'!M95*Customisation!$H$22</f>
        <v>8.3192652679599615E-5</v>
      </c>
      <c r="H91" s="100">
        <f t="shared" ca="1" si="36"/>
        <v>9.3035093951100188E-6</v>
      </c>
      <c r="I91" s="100">
        <f ca="1">'Age data'!N95*Customisation!$H$22</f>
        <v>1.6149161990745806E-4</v>
      </c>
      <c r="J91" s="101">
        <f t="shared" ca="1" si="37"/>
        <v>1.8059753531684154E-5</v>
      </c>
      <c r="K91" s="100">
        <f ca="1">I91*'Life table'!I89</f>
        <v>6.4102961352840418E-4</v>
      </c>
      <c r="L91" s="100">
        <f ca="1">J91*'Life table'!J89</f>
        <v>7.1686919937194094E-5</v>
      </c>
      <c r="M91" s="100">
        <f t="shared" ca="1" si="38"/>
        <v>9.1277991804650683E-5</v>
      </c>
      <c r="N91" s="100">
        <f ca="1">((G91-I91)*$AW$5+I91*$AW$6)/(1+Customisation!$H$21)^($A91-12)</f>
        <v>1.0092575692860517E-5</v>
      </c>
      <c r="O91" s="100">
        <f ca="1">G91*Customisation!$H$17</f>
        <v>5.7630372604493003E-2</v>
      </c>
      <c r="P91" s="100">
        <f ca="1">O91/(1+Customisation!$H$21)^($A91-12)</f>
        <v>6.4448565552360287E-3</v>
      </c>
      <c r="Q91" s="100">
        <f ca="1">IF($A91&lt;Customisation!$H$13,G91,G91*(1-Customisation!$H$11*Customisation!$H$12))</f>
        <v>3.1455095659076122E-5</v>
      </c>
      <c r="R91" s="100">
        <f ca="1">IF($A91&lt;Customisation!$H$13,H91,H91*(1-Customisation!$H$11*Customisation!$H$12))</f>
        <v>3.5176517223865437E-6</v>
      </c>
      <c r="S91" s="100">
        <f ca="1">IF($A91&lt;Customisation!$H$13,I91,I91*(1-Customisation!$H$11*Customisation!$H$12))</f>
        <v>6.1059891573500709E-5</v>
      </c>
      <c r="T91" s="100">
        <f ca="1">IF($A91&lt;Customisation!$H$13,J91,J91*(1-Customisation!$H$11*Customisation!$H$12))</f>
        <v>6.8283827552209375E-6</v>
      </c>
      <c r="U91" s="100">
        <f ca="1">IF($A91&lt;Customisation!$H$13,K91,K91*(1-Customisation!$H$11*Customisation!$H$12))</f>
        <v>2.423729399697463E-4</v>
      </c>
      <c r="V91" s="100">
        <f ca="1">IF($A91&lt;Customisation!$H$13,L91,L91*(1-Customisation!$H$11*Customisation!$H$12))</f>
        <v>2.7104784515206589E-5</v>
      </c>
      <c r="W91" s="100">
        <f ca="1">IF($A91&lt;Customisation!$H$13,M91,M91*(1-Customisation!$H$11*Customisation!$H$12))</f>
        <v>3.4512157880592678E-5</v>
      </c>
      <c r="X91" s="100">
        <f ca="1">IF($A91&lt;Customisation!$H$13,N91,N91*(1-Customisation!$H$11*Customisation!$H$12))</f>
        <v>3.8159972502384435E-6</v>
      </c>
      <c r="Y91" s="100">
        <f ca="1">IF($A91&lt;Customisation!$H$13,O91,O91*(1-Customisation!$H$11*Customisation!$H$12))</f>
        <v>2.1790011794960495E-2</v>
      </c>
      <c r="Z91" s="100">
        <f ca="1">IF($A91&lt;Customisation!$H$13,P91,P91*(1-Customisation!$H$11*Customisation!$H$12))</f>
        <v>2.4367966752391426E-3</v>
      </c>
      <c r="AA91" s="100">
        <f t="shared" ca="1" si="45"/>
        <v>5.1737557020523493E-5</v>
      </c>
      <c r="AB91" s="100">
        <f t="shared" ca="1" si="39"/>
        <v>5.7858576727234751E-6</v>
      </c>
      <c r="AC91" s="100">
        <f t="shared" ca="1" si="46"/>
        <v>1.0043172833395736E-4</v>
      </c>
      <c r="AD91" s="100">
        <f t="shared" ca="1" si="33"/>
        <v>1.1231370776463217E-5</v>
      </c>
      <c r="AE91" s="100">
        <f t="shared" ca="1" si="34"/>
        <v>3.986566735586579E-4</v>
      </c>
      <c r="AF91" s="100">
        <f t="shared" ca="1" si="47"/>
        <v>4.4582135421987508E-5</v>
      </c>
      <c r="AG91" s="100">
        <f t="shared" ca="1" si="40"/>
        <v>5.6765833924058005E-5</v>
      </c>
      <c r="AH91" s="100">
        <f t="shared" ca="1" si="41"/>
        <v>6.2765784426220734E-6</v>
      </c>
      <c r="AI91" s="100">
        <f t="shared" ca="1" si="48"/>
        <v>3.5840360809532512E-2</v>
      </c>
      <c r="AJ91" s="100">
        <f t="shared" ca="1" si="49"/>
        <v>4.0080598799968857E-3</v>
      </c>
      <c r="AL91" s="102">
        <f t="shared" ca="1" si="42"/>
        <v>8.3192652679599615</v>
      </c>
      <c r="AM91" s="102">
        <f t="shared" ca="1" si="43"/>
        <v>3.1455095659076124</v>
      </c>
    </row>
    <row r="92" spans="1:39" x14ac:dyDescent="0.15">
      <c r="A92" s="92">
        <f t="shared" si="32"/>
        <v>88</v>
      </c>
      <c r="B92" s="99">
        <f>'Life table'!D90</f>
        <v>0.16167175777014794</v>
      </c>
      <c r="C92" s="99">
        <f>IF($A92&lt;Customisation!$H$13,0,B92)/LOOKUP(Customisation!$H$13,$A$4:$A$104,$B$4:$B$104)</f>
        <v>0.16573068175753369</v>
      </c>
      <c r="D92" s="92">
        <f ca="1">IF($A92&lt;=Customisation!$H$13,1,1/(1+Customisation!$H$21)^($A92-Customisation!$H$13))</f>
        <v>0.1086115435589691</v>
      </c>
      <c r="E92" s="92">
        <f t="shared" ca="1" si="44"/>
        <v>42.96417336217386</v>
      </c>
      <c r="F92" s="92">
        <f t="shared" ca="1" si="35"/>
        <v>1.8000265160766016E-2</v>
      </c>
      <c r="G92" s="100">
        <f ca="1">'Age data'!M96*Customisation!$H$22</f>
        <v>8.3192652679599615E-5</v>
      </c>
      <c r="H92" s="100">
        <f t="shared" ca="1" si="36"/>
        <v>9.0356824202965216E-6</v>
      </c>
      <c r="I92" s="100">
        <f ca="1">'Age data'!N96*Customisation!$H$22</f>
        <v>1.6149161990745806E-4</v>
      </c>
      <c r="J92" s="101">
        <f t="shared" ca="1" si="37"/>
        <v>1.7539854109987362E-5</v>
      </c>
      <c r="K92" s="100">
        <f ca="1">I92*'Life table'!I90</f>
        <v>5.9551707909234839E-4</v>
      </c>
      <c r="L92" s="100">
        <f ca="1">J92*'Life table'!J90</f>
        <v>6.4680029175948642E-5</v>
      </c>
      <c r="M92" s="100">
        <f t="shared" ca="1" si="38"/>
        <v>9.1277991804650683E-5</v>
      </c>
      <c r="N92" s="100">
        <f ca="1">((G92-I92)*$AW$5+I92*$AW$6)/(1+Customisation!$H$21)^($A92-12)</f>
        <v>9.8020332855710889E-6</v>
      </c>
      <c r="O92" s="100">
        <f ca="1">G92*Customisation!$H$17</f>
        <v>5.7630372604493003E-2</v>
      </c>
      <c r="P92" s="100">
        <f ca="1">O92/(1+Customisation!$H$21)^($A92-12)</f>
        <v>6.2593237244525108E-3</v>
      </c>
      <c r="Q92" s="100">
        <f ca="1">IF($A92&lt;Customisation!$H$13,G92,G92*(1-Customisation!$H$11*Customisation!$H$12))</f>
        <v>3.1455095659076122E-5</v>
      </c>
      <c r="R92" s="100">
        <f ca="1">IF($A92&lt;Customisation!$H$13,H92,H92*(1-Customisation!$H$11*Customisation!$H$12))</f>
        <v>3.4163864923272865E-6</v>
      </c>
      <c r="S92" s="100">
        <f ca="1">IF($A92&lt;Customisation!$H$13,I92,I92*(1-Customisation!$H$11*Customisation!$H$12))</f>
        <v>6.1059891573500709E-5</v>
      </c>
      <c r="T92" s="100">
        <f ca="1">IF($A92&lt;Customisation!$H$13,J92,J92*(1-Customisation!$H$11*Customisation!$H$12))</f>
        <v>6.6318090733412018E-6</v>
      </c>
      <c r="U92" s="100">
        <f ca="1">IF($A92&lt;Customisation!$H$13,K92,K92*(1-Customisation!$H$11*Customisation!$H$12))</f>
        <v>2.2516467603943667E-4</v>
      </c>
      <c r="V92" s="100">
        <f ca="1">IF($A92&lt;Customisation!$H$13,L92,L92*(1-Customisation!$H$11*Customisation!$H$12))</f>
        <v>2.4455483019598442E-5</v>
      </c>
      <c r="W92" s="100">
        <f ca="1">IF($A92&lt;Customisation!$H$13,M92,M92*(1-Customisation!$H$11*Customisation!$H$12))</f>
        <v>3.4512157880592678E-5</v>
      </c>
      <c r="X92" s="100">
        <f ca="1">IF($A92&lt;Customisation!$H$13,N92,N92*(1-Customisation!$H$11*Customisation!$H$12))</f>
        <v>3.7061433278072835E-6</v>
      </c>
      <c r="Y92" s="100">
        <f ca="1">IF($A92&lt;Customisation!$H$13,O92,O92*(1-Customisation!$H$11*Customisation!$H$12))</f>
        <v>2.1790011794960495E-2</v>
      </c>
      <c r="Z92" s="100">
        <f ca="1">IF($A92&lt;Customisation!$H$13,P92,P92*(1-Customisation!$H$11*Customisation!$H$12))</f>
        <v>2.3666468152188022E-3</v>
      </c>
      <c r="AA92" s="100">
        <f t="shared" ca="1" si="45"/>
        <v>5.1737557020523493E-5</v>
      </c>
      <c r="AB92" s="100">
        <f t="shared" ca="1" si="39"/>
        <v>5.6192959279692351E-6</v>
      </c>
      <c r="AC92" s="100">
        <f t="shared" ca="1" si="46"/>
        <v>1.0043172833395736E-4</v>
      </c>
      <c r="AD92" s="100">
        <f t="shared" ca="1" si="33"/>
        <v>1.090804503664616E-5</v>
      </c>
      <c r="AE92" s="100">
        <f t="shared" ca="1" si="34"/>
        <v>3.7035240305291169E-4</v>
      </c>
      <c r="AF92" s="100">
        <f t="shared" ca="1" si="47"/>
        <v>4.02245461563502E-5</v>
      </c>
      <c r="AG92" s="100">
        <f t="shared" ca="1" si="40"/>
        <v>5.6765833924058005E-5</v>
      </c>
      <c r="AH92" s="100">
        <f t="shared" ca="1" si="41"/>
        <v>6.0958899577638054E-6</v>
      </c>
      <c r="AI92" s="100">
        <f t="shared" ca="1" si="48"/>
        <v>3.5840360809532512E-2</v>
      </c>
      <c r="AJ92" s="100">
        <f t="shared" ca="1" si="49"/>
        <v>3.8926769092337086E-3</v>
      </c>
      <c r="AL92" s="102">
        <f t="shared" ca="1" si="42"/>
        <v>8.3192652679599615</v>
      </c>
      <c r="AM92" s="102">
        <f t="shared" ca="1" si="43"/>
        <v>3.1455095659076124</v>
      </c>
    </row>
    <row r="93" spans="1:39" x14ac:dyDescent="0.15">
      <c r="A93" s="92">
        <f t="shared" si="32"/>
        <v>89</v>
      </c>
      <c r="B93" s="99">
        <f>'Life table'!D91</f>
        <v>0.13394505131256756</v>
      </c>
      <c r="C93" s="99">
        <f>IF($A93&lt;Customisation!$H$13,0,B93)/LOOKUP(Customisation!$H$13,$A$4:$A$104,$B$4:$B$104)</f>
        <v>0.13730786983611665</v>
      </c>
      <c r="D93" s="92">
        <f ca="1">IF($A93&lt;=Customisation!$H$13,1,1/(1+Customisation!$H$21)^($A93-Customisation!$H$13))</f>
        <v>0.10548486308756411</v>
      </c>
      <c r="E93" s="92">
        <f t="shared" ca="1" si="44"/>
        <v>43.072784905732831</v>
      </c>
      <c r="F93" s="92">
        <f t="shared" ca="1" si="35"/>
        <v>1.4483901850507838E-2</v>
      </c>
      <c r="G93" s="100">
        <f ca="1">'Age data'!M97*Customisation!$H$22</f>
        <v>8.3192652679599615E-5</v>
      </c>
      <c r="H93" s="100">
        <f t="shared" ca="1" si="36"/>
        <v>8.7755655777988379E-6</v>
      </c>
      <c r="I93" s="100">
        <f ca="1">'Age data'!N97*Customisation!$H$22</f>
        <v>1.6149161990745806E-4</v>
      </c>
      <c r="J93" s="101">
        <f t="shared" ca="1" si="37"/>
        <v>1.7034921415727155E-5</v>
      </c>
      <c r="K93" s="100">
        <f ca="1">I93*'Life table'!I91</f>
        <v>5.4058342256120074E-4</v>
      </c>
      <c r="L93" s="100">
        <f ca="1">J93*'Life table'!J91</f>
        <v>5.7023368316275068E-5</v>
      </c>
      <c r="M93" s="100">
        <f t="shared" ca="1" si="38"/>
        <v>9.1277991804650683E-5</v>
      </c>
      <c r="N93" s="100">
        <f ca="1">((G93-I93)*$AW$5+I93*$AW$6)/(1+Customisation!$H$21)^($A93-12)</f>
        <v>9.5198549364767594E-6</v>
      </c>
      <c r="O93" s="100">
        <f ca="1">G93*Customisation!$H$17</f>
        <v>5.7630372604493003E-2</v>
      </c>
      <c r="P93" s="100">
        <f ca="1">O93/(1+Customisation!$H$21)^($A93-12)</f>
        <v>6.0791319638702499E-3</v>
      </c>
      <c r="Q93" s="100">
        <f ca="1">IF($A93&lt;Customisation!$H$13,G93,G93*(1-Customisation!$H$11*Customisation!$H$12))</f>
        <v>3.1455095659076122E-5</v>
      </c>
      <c r="R93" s="100">
        <f ca="1">IF($A93&lt;Customisation!$H$13,H93,H93*(1-Customisation!$H$11*Customisation!$H$12))</f>
        <v>3.3180364590038765E-6</v>
      </c>
      <c r="S93" s="100">
        <f ca="1">IF($A93&lt;Customisation!$H$13,I93,I93*(1-Customisation!$H$11*Customisation!$H$12))</f>
        <v>6.1059891573500709E-5</v>
      </c>
      <c r="T93" s="100">
        <f ca="1">IF($A93&lt;Customisation!$H$13,J93,J93*(1-Customisation!$H$11*Customisation!$H$12))</f>
        <v>6.4408943027722309E-6</v>
      </c>
      <c r="U93" s="100">
        <f ca="1">IF($A93&lt;Customisation!$H$13,K93,K93*(1-Customisation!$H$11*Customisation!$H$12))</f>
        <v>2.0439429109036044E-4</v>
      </c>
      <c r="V93" s="100">
        <f ca="1">IF($A93&lt;Customisation!$H$13,L93,L93*(1-Customisation!$H$11*Customisation!$H$12))</f>
        <v>2.1560503811546393E-5</v>
      </c>
      <c r="W93" s="100">
        <f ca="1">IF($A93&lt;Customisation!$H$13,M93,M93*(1-Customisation!$H$11*Customisation!$H$12))</f>
        <v>3.4512157880592678E-5</v>
      </c>
      <c r="X93" s="100">
        <f ca="1">IF($A93&lt;Customisation!$H$13,N93,N93*(1-Customisation!$H$11*Customisation!$H$12))</f>
        <v>3.5994518511228422E-6</v>
      </c>
      <c r="Y93" s="100">
        <f ca="1">IF($A93&lt;Customisation!$H$13,O93,O93*(1-Customisation!$H$11*Customisation!$H$12))</f>
        <v>2.1790011794960495E-2</v>
      </c>
      <c r="Z93" s="100">
        <f ca="1">IF($A93&lt;Customisation!$H$13,P93,P93*(1-Customisation!$H$11*Customisation!$H$12))</f>
        <v>2.2985164108678146E-3</v>
      </c>
      <c r="AA93" s="100">
        <f t="shared" ca="1" si="45"/>
        <v>5.1737557020523493E-5</v>
      </c>
      <c r="AB93" s="100">
        <f t="shared" ca="1" si="39"/>
        <v>5.4575291187949614E-6</v>
      </c>
      <c r="AC93" s="100">
        <f t="shared" ca="1" si="46"/>
        <v>1.0043172833395736E-4</v>
      </c>
      <c r="AD93" s="100">
        <f t="shared" ca="1" si="33"/>
        <v>1.0594027112954924E-5</v>
      </c>
      <c r="AE93" s="100">
        <f t="shared" ca="1" si="34"/>
        <v>3.3618913147084027E-4</v>
      </c>
      <c r="AF93" s="100">
        <f t="shared" ca="1" si="47"/>
        <v>3.5462864504728675E-5</v>
      </c>
      <c r="AG93" s="100">
        <f t="shared" ca="1" si="40"/>
        <v>5.6765833924058005E-5</v>
      </c>
      <c r="AH93" s="100">
        <f t="shared" ca="1" si="41"/>
        <v>5.9204030853539176E-6</v>
      </c>
      <c r="AI93" s="100">
        <f t="shared" ca="1" si="48"/>
        <v>3.5840360809532512E-2</v>
      </c>
      <c r="AJ93" s="100">
        <f t="shared" ca="1" si="49"/>
        <v>3.7806155530024353E-3</v>
      </c>
      <c r="AL93" s="102">
        <f t="shared" ca="1" si="42"/>
        <v>8.3192652679599615</v>
      </c>
      <c r="AM93" s="102">
        <f t="shared" ca="1" si="43"/>
        <v>3.1455095659076124</v>
      </c>
    </row>
    <row r="94" spans="1:39" x14ac:dyDescent="0.15">
      <c r="A94" s="92">
        <f t="shared" si="32"/>
        <v>90</v>
      </c>
      <c r="B94" s="99">
        <f>'Life table'!D92</f>
        <v>0.11097347501246223</v>
      </c>
      <c r="C94" s="99">
        <f>IF($A94&lt;Customisation!$H$13,0,B94)/LOOKUP(Customisation!$H$13,$A$4:$A$104,$B$4:$B$104)</f>
        <v>0.11375957015922264</v>
      </c>
      <c r="D94" s="92">
        <f ca="1">IF($A94&lt;=Customisation!$H$13,1,1/(1+Customisation!$H$21)^($A94-Customisation!$H$13))</f>
        <v>0.10244819266895761</v>
      </c>
      <c r="E94" s="92">
        <f t="shared" ca="1" si="44"/>
        <v>43.178269768820392</v>
      </c>
      <c r="F94" s="92">
        <f t="shared" ca="1" si="35"/>
        <v>1.1654462361609842E-2</v>
      </c>
      <c r="G94" s="100">
        <f ca="1">'Age data'!M98*Customisation!$H$22</f>
        <v>8.3192652679599615E-5</v>
      </c>
      <c r="H94" s="100">
        <f t="shared" ca="1" si="36"/>
        <v>8.5229369103612939E-6</v>
      </c>
      <c r="I94" s="100">
        <f ca="1">'Age data'!N98*Customisation!$H$22</f>
        <v>1.6149161990745806E-4</v>
      </c>
      <c r="J94" s="101">
        <f t="shared" ca="1" si="37"/>
        <v>1.6544524590701332E-5</v>
      </c>
      <c r="K94" s="100">
        <f ca="1">I94*'Life table'!I92</f>
        <v>4.742784659756274E-4</v>
      </c>
      <c r="L94" s="100">
        <f ca="1">J94*'Life table'!J92</f>
        <v>4.8588971661008729E-5</v>
      </c>
      <c r="M94" s="100">
        <f t="shared" ca="1" si="38"/>
        <v>9.1277991804650683E-5</v>
      </c>
      <c r="N94" s="100">
        <f ca="1">((G94-I94)*$AW$5+I94*$AW$6)/(1+Customisation!$H$21)^($A94-12)</f>
        <v>9.2457998632760977E-6</v>
      </c>
      <c r="O94" s="100">
        <f ca="1">G94*Customisation!$H$17</f>
        <v>5.7630372604493003E-2</v>
      </c>
      <c r="P94" s="100">
        <f ca="1">O94/(1+Customisation!$H$21)^($A94-12)</f>
        <v>5.9041275161689152E-3</v>
      </c>
      <c r="Q94" s="100">
        <f ca="1">IF($A94&lt;Customisation!$H$13,G94,G94*(1-Customisation!$H$11*Customisation!$H$12))</f>
        <v>3.1455095659076122E-5</v>
      </c>
      <c r="R94" s="100">
        <f ca="1">IF($A94&lt;Customisation!$H$13,H94,H94*(1-Customisation!$H$11*Customisation!$H$12))</f>
        <v>3.2225177005015226E-6</v>
      </c>
      <c r="S94" s="100">
        <f ca="1">IF($A94&lt;Customisation!$H$13,I94,I94*(1-Customisation!$H$11*Customisation!$H$12))</f>
        <v>6.1059891573500709E-5</v>
      </c>
      <c r="T94" s="100">
        <f ca="1">IF($A94&lt;Customisation!$H$13,J94,J94*(1-Customisation!$H$11*Customisation!$H$12))</f>
        <v>6.2554755362676606E-6</v>
      </c>
      <c r="U94" s="100">
        <f ca="1">IF($A94&lt;Customisation!$H$13,K94,K94*(1-Customisation!$H$11*Customisation!$H$12))</f>
        <v>1.7932442392189194E-4</v>
      </c>
      <c r="V94" s="100">
        <f ca="1">IF($A94&lt;Customisation!$H$13,L94,L94*(1-Customisation!$H$11*Customisation!$H$12))</f>
        <v>1.8371463132199814E-5</v>
      </c>
      <c r="W94" s="100">
        <f ca="1">IF($A94&lt;Customisation!$H$13,M94,M94*(1-Customisation!$H$11*Customisation!$H$12))</f>
        <v>3.4512157880592678E-5</v>
      </c>
      <c r="X94" s="100">
        <f ca="1">IF($A94&lt;Customisation!$H$13,N94,N94*(1-Customisation!$H$11*Customisation!$H$12))</f>
        <v>3.4958317805310098E-6</v>
      </c>
      <c r="Y94" s="100">
        <f ca="1">IF($A94&lt;Customisation!$H$13,O94,O94*(1-Customisation!$H$11*Customisation!$H$12))</f>
        <v>2.1790011794960495E-2</v>
      </c>
      <c r="Z94" s="100">
        <f ca="1">IF($A94&lt;Customisation!$H$13,P94,P94*(1-Customisation!$H$11*Customisation!$H$12))</f>
        <v>2.2323473266289712E-3</v>
      </c>
      <c r="AA94" s="100">
        <f t="shared" ca="1" si="45"/>
        <v>5.1737557020523493E-5</v>
      </c>
      <c r="AB94" s="100">
        <f t="shared" ca="1" si="39"/>
        <v>5.3004192098597713E-6</v>
      </c>
      <c r="AC94" s="100">
        <f t="shared" ca="1" si="46"/>
        <v>1.0043172833395736E-4</v>
      </c>
      <c r="AD94" s="100">
        <f t="shared" ca="1" si="33"/>
        <v>1.0289049054433671E-5</v>
      </c>
      <c r="AE94" s="100">
        <f t="shared" ca="1" si="34"/>
        <v>2.9495404205373543E-4</v>
      </c>
      <c r="AF94" s="100">
        <f t="shared" ca="1" si="47"/>
        <v>3.0217508528808915E-5</v>
      </c>
      <c r="AG94" s="100">
        <f t="shared" ca="1" si="40"/>
        <v>5.6765833924058005E-5</v>
      </c>
      <c r="AH94" s="100">
        <f t="shared" ca="1" si="41"/>
        <v>5.7499680827450884E-6</v>
      </c>
      <c r="AI94" s="100">
        <f t="shared" ca="1" si="48"/>
        <v>3.5840360809532512E-2</v>
      </c>
      <c r="AJ94" s="100">
        <f t="shared" ca="1" si="49"/>
        <v>3.671780189539944E-3</v>
      </c>
      <c r="AL94" s="102">
        <f t="shared" ca="1" si="42"/>
        <v>8.3192652679599615</v>
      </c>
      <c r="AM94" s="102">
        <f t="shared" ca="1" si="43"/>
        <v>3.1455095659076124</v>
      </c>
    </row>
    <row r="95" spans="1:39" x14ac:dyDescent="0.15">
      <c r="A95" s="92">
        <f t="shared" si="32"/>
        <v>91</v>
      </c>
      <c r="B95" s="99">
        <f>'Life table'!D93</f>
        <v>8.1067233231353786E-2</v>
      </c>
      <c r="C95" s="99">
        <f>IF($A95&lt;Customisation!$H$13,0,B95)/LOOKUP(Customisation!$H$13,$A$4:$A$104,$B$4:$B$104)</f>
        <v>8.3102503597013738E-2</v>
      </c>
      <c r="D95" s="92">
        <f ca="1">IF($A95&lt;=Customisation!$H$13,1,1/(1+Customisation!$H$21)^($A95-Customisation!$H$13))</f>
        <v>9.9498941117488304E-2</v>
      </c>
      <c r="E95" s="92">
        <f t="shared" ca="1" si="44"/>
        <v>43.280717961489351</v>
      </c>
      <c r="F95" s="92">
        <f t="shared" ca="1" si="35"/>
        <v>8.26861111211513E-3</v>
      </c>
      <c r="G95" s="100">
        <f ca="1">'Age data'!M99*Customisation!$H$22</f>
        <v>8.3192652679599615E-5</v>
      </c>
      <c r="H95" s="100">
        <f t="shared" ca="1" si="36"/>
        <v>8.2775808503751381E-6</v>
      </c>
      <c r="I95" s="100">
        <f ca="1">'Age data'!N99*Customisation!$H$22</f>
        <v>1.6149161990745806E-4</v>
      </c>
      <c r="J95" s="101">
        <f t="shared" ca="1" si="37"/>
        <v>1.6068245180139974E-5</v>
      </c>
      <c r="K95" s="100">
        <f ca="1">I95*'Life table'!I93</f>
        <v>4.5796366154138854E-4</v>
      </c>
      <c r="L95" s="100">
        <f ca="1">J95*'Life table'!J93</f>
        <v>4.5566899393655963E-5</v>
      </c>
      <c r="M95" s="100">
        <f t="shared" ca="1" si="38"/>
        <v>9.1277991804650683E-5</v>
      </c>
      <c r="N95" s="100">
        <f ca="1">((G95-I95)*$AW$5+I95*$AW$6)/(1+Customisation!$H$21)^($A95-12)</f>
        <v>8.9796342152450607E-6</v>
      </c>
      <c r="O95" s="100">
        <f ca="1">G95*Customisation!$H$17</f>
        <v>5.7630372604493003E-2</v>
      </c>
      <c r="P95" s="100">
        <f ca="1">O95/(1+Customisation!$H$21)^($A95-12)</f>
        <v>5.7341610503533601E-3</v>
      </c>
      <c r="Q95" s="100">
        <f ca="1">IF($A95&lt;Customisation!$H$13,G95,G95*(1-Customisation!$H$11*Customisation!$H$12))</f>
        <v>3.1455095659076122E-5</v>
      </c>
      <c r="R95" s="100">
        <f ca="1">IF($A95&lt;Customisation!$H$13,H95,H95*(1-Customisation!$H$11*Customisation!$H$12))</f>
        <v>3.1297487108273773E-6</v>
      </c>
      <c r="S95" s="100">
        <f ca="1">IF($A95&lt;Customisation!$H$13,I95,I95*(1-Customisation!$H$11*Customisation!$H$12))</f>
        <v>6.1059891573500709E-5</v>
      </c>
      <c r="T95" s="100">
        <f ca="1">IF($A95&lt;Customisation!$H$13,J95,J95*(1-Customisation!$H$11*Customisation!$H$12))</f>
        <v>6.0753945563119678E-6</v>
      </c>
      <c r="U95" s="100">
        <f ca="1">IF($A95&lt;Customisation!$H$13,K95,K95*(1-Customisation!$H$11*Customisation!$H$12))</f>
        <v>1.731558054488817E-4</v>
      </c>
      <c r="V95" s="100">
        <f ca="1">IF($A95&lt;Customisation!$H$13,L95,L95*(1-Customisation!$H$11*Customisation!$H$12))</f>
        <v>1.7228819290509542E-5</v>
      </c>
      <c r="W95" s="100">
        <f ca="1">IF($A95&lt;Customisation!$H$13,M95,M95*(1-Customisation!$H$11*Customisation!$H$12))</f>
        <v>3.4512157880592678E-5</v>
      </c>
      <c r="X95" s="100">
        <f ca="1">IF($A95&lt;Customisation!$H$13,N95,N95*(1-Customisation!$H$11*Customisation!$H$12))</f>
        <v>3.3951946972032255E-6</v>
      </c>
      <c r="Y95" s="100">
        <f ca="1">IF($A95&lt;Customisation!$H$13,O95,O95*(1-Customisation!$H$11*Customisation!$H$12))</f>
        <v>2.1790011794960495E-2</v>
      </c>
      <c r="Z95" s="100">
        <f ca="1">IF($A95&lt;Customisation!$H$13,P95,P95*(1-Customisation!$H$11*Customisation!$H$12))</f>
        <v>2.1680831005361496E-3</v>
      </c>
      <c r="AA95" s="100">
        <f t="shared" ca="1" si="45"/>
        <v>5.1737557020523493E-5</v>
      </c>
      <c r="AB95" s="100">
        <f t="shared" ca="1" si="39"/>
        <v>5.1478321395477608E-6</v>
      </c>
      <c r="AC95" s="100">
        <f t="shared" ca="1" si="46"/>
        <v>1.0043172833395736E-4</v>
      </c>
      <c r="AD95" s="100">
        <f t="shared" ca="1" si="33"/>
        <v>9.9928506238280058E-6</v>
      </c>
      <c r="AE95" s="100">
        <f t="shared" ca="1" si="34"/>
        <v>2.8480785609250687E-4</v>
      </c>
      <c r="AF95" s="100">
        <f t="shared" ca="1" si="47"/>
        <v>2.8338080103146422E-5</v>
      </c>
      <c r="AG95" s="100">
        <f t="shared" ca="1" si="40"/>
        <v>5.6765833924058005E-5</v>
      </c>
      <c r="AH95" s="100">
        <f t="shared" ca="1" si="41"/>
        <v>5.5844395180418356E-6</v>
      </c>
      <c r="AI95" s="100">
        <f t="shared" ca="1" si="48"/>
        <v>3.5840360809532512E-2</v>
      </c>
      <c r="AJ95" s="100">
        <f t="shared" ca="1" si="49"/>
        <v>3.5660779498172105E-3</v>
      </c>
      <c r="AL95" s="102">
        <f t="shared" ca="1" si="42"/>
        <v>8.3192652679599615</v>
      </c>
      <c r="AM95" s="102">
        <f t="shared" ca="1" si="43"/>
        <v>3.1455095659076124</v>
      </c>
    </row>
    <row r="96" spans="1:39" x14ac:dyDescent="0.15">
      <c r="A96" s="92">
        <f t="shared" si="32"/>
        <v>92</v>
      </c>
      <c r="B96" s="99">
        <f>'Life table'!D94</f>
        <v>5.9220424547836256E-2</v>
      </c>
      <c r="C96" s="99">
        <f>IF($A96&lt;Customisation!$H$13,0,B96)/LOOKUP(Customisation!$H$13,$A$4:$A$104,$B$4:$B$104)</f>
        <v>6.0707209902654505E-2</v>
      </c>
      <c r="D96" s="92">
        <f ca="1">IF($A96&lt;=Customisation!$H$13,1,1/(1+Customisation!$H$21)^($A96-Customisation!$H$13))</f>
        <v>9.6634591841864417E-2</v>
      </c>
      <c r="E96" s="92">
        <f t="shared" ca="1" si="44"/>
        <v>43.38021690260684</v>
      </c>
      <c r="F96" s="92">
        <f t="shared" ca="1" si="35"/>
        <v>5.8664164508014077E-3</v>
      </c>
      <c r="G96" s="100">
        <f ca="1">'Age data'!M100*Customisation!$H$22</f>
        <v>8.3192652679599615E-5</v>
      </c>
      <c r="H96" s="100">
        <f t="shared" ca="1" si="36"/>
        <v>8.0392880359350966E-6</v>
      </c>
      <c r="I96" s="100">
        <f ca="1">'Age data'!N100*Customisation!$H$22</f>
        <v>1.6149161990745806E-4</v>
      </c>
      <c r="J96" s="101">
        <f t="shared" ca="1" si="37"/>
        <v>1.5605676775638715E-5</v>
      </c>
      <c r="K96" s="100">
        <f ca="1">I96*'Life table'!I94</f>
        <v>4.3563021718848589E-4</v>
      </c>
      <c r="L96" s="100">
        <f ca="1">J96*'Life table'!J94</f>
        <v>4.2096948231992077E-5</v>
      </c>
      <c r="M96" s="100">
        <f t="shared" ca="1" si="38"/>
        <v>9.1277991804650683E-5</v>
      </c>
      <c r="N96" s="100">
        <f ca="1">((G96-I96)*$AW$5+I96*$AW$6)/(1+Customisation!$H$21)^($A96-12)</f>
        <v>8.7211308736925764E-6</v>
      </c>
      <c r="O96" s="100">
        <f ca="1">G96*Customisation!$H$17</f>
        <v>5.7630372604493003E-2</v>
      </c>
      <c r="P96" s="100">
        <f ca="1">O96/(1+Customisation!$H$21)^($A96-12)</f>
        <v>5.5690875343297466E-3</v>
      </c>
      <c r="Q96" s="100">
        <f ca="1">IF($A96&lt;Customisation!$H$13,G96,G96*(1-Customisation!$H$11*Customisation!$H$12))</f>
        <v>3.1455095659076122E-5</v>
      </c>
      <c r="R96" s="100">
        <f ca="1">IF($A96&lt;Customisation!$H$13,H96,H96*(1-Customisation!$H$11*Customisation!$H$12))</f>
        <v>3.0396503303616224E-6</v>
      </c>
      <c r="S96" s="100">
        <f ca="1">IF($A96&lt;Customisation!$H$13,I96,I96*(1-Customisation!$H$11*Customisation!$H$12))</f>
        <v>6.1059891573500709E-5</v>
      </c>
      <c r="T96" s="100">
        <f ca="1">IF($A96&lt;Customisation!$H$13,J96,J96*(1-Customisation!$H$11*Customisation!$H$12))</f>
        <v>5.9004977001137364E-6</v>
      </c>
      <c r="U96" s="100">
        <f ca="1">IF($A96&lt;Customisation!$H$13,K96,K96*(1-Customisation!$H$11*Customisation!$H$12))</f>
        <v>1.6471154257361611E-4</v>
      </c>
      <c r="V96" s="100">
        <f ca="1">IF($A96&lt;Customisation!$H$13,L96,L96*(1-Customisation!$H$11*Customisation!$H$12))</f>
        <v>1.5916832688245265E-5</v>
      </c>
      <c r="W96" s="100">
        <f ca="1">IF($A96&lt;Customisation!$H$13,M96,M96*(1-Customisation!$H$11*Customisation!$H$12))</f>
        <v>3.4512157880592678E-5</v>
      </c>
      <c r="X96" s="100">
        <f ca="1">IF($A96&lt;Customisation!$H$13,N96,N96*(1-Customisation!$H$11*Customisation!$H$12))</f>
        <v>3.2974547276888487E-6</v>
      </c>
      <c r="Y96" s="100">
        <f ca="1">IF($A96&lt;Customisation!$H$13,O96,O96*(1-Customisation!$H$11*Customisation!$H$12))</f>
        <v>2.1790011794960495E-2</v>
      </c>
      <c r="Z96" s="100">
        <f ca="1">IF($A96&lt;Customisation!$H$13,P96,P96*(1-Customisation!$H$11*Customisation!$H$12))</f>
        <v>2.1056688960354188E-3</v>
      </c>
      <c r="AA96" s="100">
        <f t="shared" ca="1" si="45"/>
        <v>5.1737557020523493E-5</v>
      </c>
      <c r="AB96" s="100">
        <f t="shared" ca="1" si="39"/>
        <v>4.9996377055734746E-6</v>
      </c>
      <c r="AC96" s="100">
        <f t="shared" ca="1" si="46"/>
        <v>1.0043172833395736E-4</v>
      </c>
      <c r="AD96" s="100">
        <f t="shared" ca="1" si="33"/>
        <v>9.7051790755249786E-6</v>
      </c>
      <c r="AE96" s="100">
        <f t="shared" ca="1" si="34"/>
        <v>2.7091867461486981E-4</v>
      </c>
      <c r="AF96" s="100">
        <f t="shared" ca="1" si="47"/>
        <v>2.6180115543746812E-5</v>
      </c>
      <c r="AG96" s="100">
        <f t="shared" ca="1" si="40"/>
        <v>5.6765833924058005E-5</v>
      </c>
      <c r="AH96" s="100">
        <f t="shared" ca="1" si="41"/>
        <v>5.4236761460037277E-6</v>
      </c>
      <c r="AI96" s="100">
        <f t="shared" ca="1" si="48"/>
        <v>3.5840360809532512E-2</v>
      </c>
      <c r="AJ96" s="100">
        <f t="shared" ca="1" si="49"/>
        <v>3.4634186382943278E-3</v>
      </c>
      <c r="AL96" s="102">
        <f t="shared" ca="1" si="42"/>
        <v>8.3192652679599615</v>
      </c>
      <c r="AM96" s="102">
        <f t="shared" ca="1" si="43"/>
        <v>3.1455095659076124</v>
      </c>
    </row>
    <row r="97" spans="1:39" x14ac:dyDescent="0.15">
      <c r="A97" s="92">
        <f t="shared" si="32"/>
        <v>93</v>
      </c>
      <c r="B97" s="99">
        <f>'Life table'!D95</f>
        <v>4.3261112336439866E-2</v>
      </c>
      <c r="C97" s="99">
        <f>IF($A97&lt;Customisation!$H$13,0,B97)/LOOKUP(Customisation!$H$13,$A$4:$A$104,$B$4:$B$104)</f>
        <v>4.4347223905988151E-2</v>
      </c>
      <c r="D97" s="92">
        <f ca="1">IF($A97&lt;=Customisation!$H$13,1,1/(1+Customisation!$H$21)^($A97-Customisation!$H$13))</f>
        <v>9.3852700697760541E-2</v>
      </c>
      <c r="E97" s="92">
        <f t="shared" ca="1" si="44"/>
        <v>43.476851494448702</v>
      </c>
      <c r="F97" s="92">
        <f t="shared" ca="1" si="35"/>
        <v>4.1621067320252768E-3</v>
      </c>
      <c r="G97" s="100">
        <f ca="1">'Age data'!M101*Customisation!$H$22</f>
        <v>8.3192652679599615E-5</v>
      </c>
      <c r="H97" s="100">
        <f t="shared" ca="1" si="36"/>
        <v>7.8078551321912098E-6</v>
      </c>
      <c r="I97" s="100">
        <f ca="1">'Age data'!N101*Customisation!$H$22</f>
        <v>1.6149161990745806E-4</v>
      </c>
      <c r="J97" s="101">
        <f t="shared" ca="1" si="37"/>
        <v>1.5156424668371169E-5</v>
      </c>
      <c r="K97" s="100">
        <f ca="1">I97*'Life table'!I95</f>
        <v>4.0505781660135832E-4</v>
      </c>
      <c r="L97" s="100">
        <f ca="1">J97*'Life table'!J95</f>
        <v>3.8015770026775668E-5</v>
      </c>
      <c r="M97" s="100">
        <f t="shared" ca="1" si="38"/>
        <v>9.1277991804650683E-5</v>
      </c>
      <c r="N97" s="100">
        <f ca="1">((G97-I97)*$AW$5+I97*$AW$6)/(1+Customisation!$H$21)^($A97-12)</f>
        <v>8.4700692581605505E-6</v>
      </c>
      <c r="O97" s="100">
        <f ca="1">G97*Customisation!$H$17</f>
        <v>5.7630372604493003E-2</v>
      </c>
      <c r="P97" s="100">
        <f ca="1">O97/(1+Customisation!$H$21)^($A97-12)</f>
        <v>5.4087661111499007E-3</v>
      </c>
      <c r="Q97" s="100">
        <f ca="1">IF($A97&lt;Customisation!$H$13,G97,G97*(1-Customisation!$H$11*Customisation!$H$12))</f>
        <v>3.1455095659076122E-5</v>
      </c>
      <c r="R97" s="100">
        <f ca="1">IF($A97&lt;Customisation!$H$13,H97,H97*(1-Customisation!$H$11*Customisation!$H$12))</f>
        <v>2.9521456783106984E-6</v>
      </c>
      <c r="S97" s="100">
        <f ca="1">IF($A97&lt;Customisation!$H$13,I97,I97*(1-Customisation!$H$11*Customisation!$H$12))</f>
        <v>6.1059891573500709E-5</v>
      </c>
      <c r="T97" s="100">
        <f ca="1">IF($A97&lt;Customisation!$H$13,J97,J97*(1-Customisation!$H$11*Customisation!$H$12))</f>
        <v>5.7306357284854725E-6</v>
      </c>
      <c r="U97" s="100">
        <f ca="1">IF($A97&lt;Customisation!$H$13,K97,K97*(1-Customisation!$H$11*Customisation!$H$12))</f>
        <v>1.5315213493338457E-4</v>
      </c>
      <c r="V97" s="100">
        <f ca="1">IF($A97&lt;Customisation!$H$13,L97,L97*(1-Customisation!$H$11*Customisation!$H$12))</f>
        <v>1.4373741481125981E-5</v>
      </c>
      <c r="W97" s="100">
        <f ca="1">IF($A97&lt;Customisation!$H$13,M97,M97*(1-Customisation!$H$11*Customisation!$H$12))</f>
        <v>3.4512157880592678E-5</v>
      </c>
      <c r="X97" s="100">
        <f ca="1">IF($A97&lt;Customisation!$H$13,N97,N97*(1-Customisation!$H$11*Customisation!$H$12))</f>
        <v>3.2025284706394853E-6</v>
      </c>
      <c r="Y97" s="100">
        <f ca="1">IF($A97&lt;Customisation!$H$13,O97,O97*(1-Customisation!$H$11*Customisation!$H$12))</f>
        <v>2.1790011794960495E-2</v>
      </c>
      <c r="Z97" s="100">
        <f ca="1">IF($A97&lt;Customisation!$H$13,P97,P97*(1-Customisation!$H$11*Customisation!$H$12))</f>
        <v>2.0450514551930993E-3</v>
      </c>
      <c r="AA97" s="100">
        <f t="shared" ca="1" si="45"/>
        <v>5.1737557020523493E-5</v>
      </c>
      <c r="AB97" s="100">
        <f t="shared" ca="1" si="39"/>
        <v>4.8557094538805113E-6</v>
      </c>
      <c r="AC97" s="100">
        <f t="shared" ca="1" si="46"/>
        <v>1.0043172833395736E-4</v>
      </c>
      <c r="AD97" s="100">
        <f t="shared" ca="1" si="33"/>
        <v>9.425788939885696E-6</v>
      </c>
      <c r="AE97" s="100">
        <f t="shared" ca="1" si="34"/>
        <v>2.5190568166797377E-4</v>
      </c>
      <c r="AF97" s="100">
        <f t="shared" ca="1" si="47"/>
        <v>2.3642028545649685E-5</v>
      </c>
      <c r="AG97" s="100">
        <f t="shared" ca="1" si="40"/>
        <v>5.6765833924058005E-5</v>
      </c>
      <c r="AH97" s="100">
        <f t="shared" ca="1" si="41"/>
        <v>5.2675407875210657E-6</v>
      </c>
      <c r="AI97" s="100">
        <f t="shared" ca="1" si="48"/>
        <v>3.5840360809532512E-2</v>
      </c>
      <c r="AJ97" s="100">
        <f t="shared" ca="1" si="49"/>
        <v>3.3637146559568013E-3</v>
      </c>
      <c r="AL97" s="102">
        <f t="shared" ca="1" si="42"/>
        <v>8.3192652679599615</v>
      </c>
      <c r="AM97" s="102">
        <f t="shared" ca="1" si="43"/>
        <v>3.1455095659076124</v>
      </c>
    </row>
    <row r="98" spans="1:39" x14ac:dyDescent="0.15">
      <c r="A98" s="92">
        <f t="shared" si="32"/>
        <v>94</v>
      </c>
      <c r="B98" s="99">
        <f>'Life table'!D96</f>
        <v>3.160267517289269E-2</v>
      </c>
      <c r="C98" s="99">
        <f>IF($A98&lt;Customisation!$H$13,0,B98)/LOOKUP(Customisation!$H$13,$A$4:$A$104,$B$4:$B$104)</f>
        <v>3.2396090535563402E-2</v>
      </c>
      <c r="D98" s="92">
        <f ca="1">IF($A98&lt;=Customisation!$H$13,1,1/(1+Customisation!$H$21)^($A98-Customisation!$H$13))</f>
        <v>9.1150893902233493E-2</v>
      </c>
      <c r="E98" s="92">
        <f t="shared" ca="1" si="44"/>
        <v>43.570704195146462</v>
      </c>
      <c r="F98" s="92">
        <f t="shared" ca="1" si="35"/>
        <v>2.9529326112542904E-3</v>
      </c>
      <c r="G98" s="100">
        <f ca="1">'Age data'!M102*Customisation!$H$22</f>
        <v>8.3192652679599615E-5</v>
      </c>
      <c r="H98" s="100">
        <f t="shared" ca="1" si="36"/>
        <v>7.5830846578435457E-6</v>
      </c>
      <c r="I98" s="100">
        <f ca="1">'Age data'!N102*Customisation!$H$22</f>
        <v>1.6149161990745806E-4</v>
      </c>
      <c r="J98" s="101">
        <f t="shared" ca="1" si="37"/>
        <v>1.4720105512284529E-5</v>
      </c>
      <c r="K98" s="100">
        <f ca="1">I98*'Life table'!I96</f>
        <v>3.632070540010823E-4</v>
      </c>
      <c r="L98" s="100">
        <f ca="1">J98*'Life table'!J96</f>
        <v>3.310664764379545E-5</v>
      </c>
      <c r="M98" s="100">
        <f t="shared" ca="1" si="38"/>
        <v>9.1277991804650683E-5</v>
      </c>
      <c r="N98" s="100">
        <f ca="1">((G98-I98)*$AW$5+I98*$AW$6)/(1+Customisation!$H$21)^($A98-12)</f>
        <v>8.226235138202946E-6</v>
      </c>
      <c r="O98" s="100">
        <f ca="1">G98*Customisation!$H$17</f>
        <v>5.7630372604493003E-2</v>
      </c>
      <c r="P98" s="100">
        <f ca="1">O98/(1+Customisation!$H$21)^($A98-12)</f>
        <v>5.253059978818325E-3</v>
      </c>
      <c r="Q98" s="100">
        <f ca="1">IF($A98&lt;Customisation!$H$13,G98,G98*(1-Customisation!$H$11*Customisation!$H$12))</f>
        <v>3.1455095659076122E-5</v>
      </c>
      <c r="R98" s="100">
        <f ca="1">IF($A98&lt;Customisation!$H$13,H98,H98*(1-Customisation!$H$11*Customisation!$H$12))</f>
        <v>2.8671600871050533E-6</v>
      </c>
      <c r="S98" s="100">
        <f ca="1">IF($A98&lt;Customisation!$H$13,I98,I98*(1-Customisation!$H$11*Customisation!$H$12))</f>
        <v>6.1059891573500709E-5</v>
      </c>
      <c r="T98" s="100">
        <f ca="1">IF($A98&lt;Customisation!$H$13,J98,J98*(1-Customisation!$H$11*Customisation!$H$12))</f>
        <v>5.5656636984980437E-6</v>
      </c>
      <c r="U98" s="100">
        <f ca="1">IF($A98&lt;Customisation!$H$13,K98,K98*(1-Customisation!$H$11*Customisation!$H$12))</f>
        <v>1.3732838489542265E-4</v>
      </c>
      <c r="V98" s="100">
        <f ca="1">IF($A98&lt;Customisation!$H$13,L98,L98*(1-Customisation!$H$11*Customisation!$H$12))</f>
        <v>1.2517605041367756E-5</v>
      </c>
      <c r="W98" s="100">
        <f ca="1">IF($A98&lt;Customisation!$H$13,M98,M98*(1-Customisation!$H$11*Customisation!$H$12))</f>
        <v>3.4512157880592678E-5</v>
      </c>
      <c r="X98" s="100">
        <f ca="1">IF($A98&lt;Customisation!$H$13,N98,N98*(1-Customisation!$H$11*Customisation!$H$12))</f>
        <v>3.1103349256427664E-6</v>
      </c>
      <c r="Y98" s="100">
        <f ca="1">IF($A98&lt;Customisation!$H$13,O98,O98*(1-Customisation!$H$11*Customisation!$H$12))</f>
        <v>2.1790011794960495E-2</v>
      </c>
      <c r="Z98" s="100">
        <f ca="1">IF($A98&lt;Customisation!$H$13,P98,P98*(1-Customisation!$H$11*Customisation!$H$12))</f>
        <v>1.9861790532508601E-3</v>
      </c>
      <c r="AA98" s="100">
        <f t="shared" ca="1" si="45"/>
        <v>5.1737557020523493E-5</v>
      </c>
      <c r="AB98" s="100">
        <f t="shared" ca="1" si="39"/>
        <v>4.7159245707384925E-6</v>
      </c>
      <c r="AC98" s="100">
        <f t="shared" ca="1" si="46"/>
        <v>1.0043172833395736E-4</v>
      </c>
      <c r="AD98" s="100">
        <f t="shared" ca="1" si="33"/>
        <v>9.1544418137864844E-6</v>
      </c>
      <c r="AE98" s="100">
        <f t="shared" ca="1" si="34"/>
        <v>2.2587866910565965E-4</v>
      </c>
      <c r="AF98" s="100">
        <f t="shared" ca="1" si="47"/>
        <v>2.0589042602427691E-5</v>
      </c>
      <c r="AG98" s="100">
        <f t="shared" ca="1" si="40"/>
        <v>5.6765833924058005E-5</v>
      </c>
      <c r="AH98" s="100">
        <f t="shared" ca="1" si="41"/>
        <v>5.1159002125601801E-6</v>
      </c>
      <c r="AI98" s="100">
        <f t="shared" ca="1" si="48"/>
        <v>3.5840360809532512E-2</v>
      </c>
      <c r="AJ98" s="100">
        <f t="shared" ca="1" si="49"/>
        <v>3.2668809255674649E-3</v>
      </c>
      <c r="AL98" s="102">
        <f t="shared" ca="1" si="42"/>
        <v>8.3192652679599615</v>
      </c>
      <c r="AM98" s="102">
        <f t="shared" ca="1" si="43"/>
        <v>3.1455095659076124</v>
      </c>
    </row>
    <row r="99" spans="1:39" x14ac:dyDescent="0.15">
      <c r="A99" s="92">
        <f t="shared" si="32"/>
        <v>95</v>
      </c>
      <c r="B99" s="99">
        <f>'Life table'!D97</f>
        <v>2.3086070240549837E-2</v>
      </c>
      <c r="C99" s="99">
        <f>IF($A99&lt;Customisation!$H$13,0,B99)/LOOKUP(Customisation!$H$13,$A$4:$A$104,$B$4:$B$104)</f>
        <v>2.3665668097134419E-2</v>
      </c>
      <c r="D99" s="92">
        <f ca="1">IF($A99&lt;=Customisation!$H$13,1,1/(1+Customisation!$H$21)^($A99-Customisation!$H$13))</f>
        <v>8.8526866008177427E-2</v>
      </c>
      <c r="E99" s="92">
        <f t="shared" ca="1" si="44"/>
        <v>43.661855089048693</v>
      </c>
      <c r="F99" s="92">
        <f t="shared" ca="1" si="35"/>
        <v>2.0950474286290182E-3</v>
      </c>
      <c r="G99" s="100">
        <f ca="1">'Age data'!M103*Customisation!$H$22</f>
        <v>8.3192652679599615E-5</v>
      </c>
      <c r="H99" s="100">
        <f t="shared" ca="1" si="36"/>
        <v>7.364784816631758E-6</v>
      </c>
      <c r="I99" s="100">
        <f ca="1">'Age data'!N103*Customisation!$H$22</f>
        <v>1.6149161990745806E-4</v>
      </c>
      <c r="J99" s="101">
        <f t="shared" ca="1" si="37"/>
        <v>1.4296346996991059E-5</v>
      </c>
      <c r="K99" s="100">
        <f ca="1">I99*'Life table'!I97</f>
        <v>3.0591726659190801E-4</v>
      </c>
      <c r="L99" s="100">
        <f ca="1">J99*'Life table'!J97</f>
        <v>2.7081896869169731E-5</v>
      </c>
      <c r="M99" s="100">
        <f t="shared" ca="1" si="38"/>
        <v>9.1277991804650683E-5</v>
      </c>
      <c r="N99" s="100">
        <f ca="1">((G99-I99)*$AW$5+I99*$AW$6)/(1+Customisation!$H$21)^($A99-12)</f>
        <v>7.9894204505833029E-6</v>
      </c>
      <c r="O99" s="100">
        <f ca="1">G99*Customisation!$H$17</f>
        <v>5.7630372604493003E-2</v>
      </c>
      <c r="P99" s="100">
        <f ca="1">O99/(1+Customisation!$H$21)^($A99-12)</f>
        <v>5.1018362735592909E-3</v>
      </c>
      <c r="Q99" s="100">
        <f ca="1">IF($A99&lt;Customisation!$H$13,G99,G99*(1-Customisation!$H$11*Customisation!$H$12))</f>
        <v>3.1455095659076122E-5</v>
      </c>
      <c r="R99" s="100">
        <f ca="1">IF($A99&lt;Customisation!$H$13,H99,H99*(1-Customisation!$H$11*Customisation!$H$12))</f>
        <v>2.7846210386854354E-6</v>
      </c>
      <c r="S99" s="100">
        <f ca="1">IF($A99&lt;Customisation!$H$13,I99,I99*(1-Customisation!$H$11*Customisation!$H$12))</f>
        <v>6.1059891573500709E-5</v>
      </c>
      <c r="T99" s="100">
        <f ca="1">IF($A99&lt;Customisation!$H$13,J99,J99*(1-Customisation!$H$11*Customisation!$H$12))</f>
        <v>5.4054408398011386E-6</v>
      </c>
      <c r="U99" s="100">
        <f ca="1">IF($A99&lt;Customisation!$H$13,K99,K99*(1-Customisation!$H$11*Customisation!$H$12))</f>
        <v>1.1566714817318492E-4</v>
      </c>
      <c r="V99" s="100">
        <f ca="1">IF($A99&lt;Customisation!$H$13,L99,L99*(1-Customisation!$H$11*Customisation!$H$12))</f>
        <v>1.0239650127875545E-5</v>
      </c>
      <c r="W99" s="100">
        <f ca="1">IF($A99&lt;Customisation!$H$13,M99,M99*(1-Customisation!$H$11*Customisation!$H$12))</f>
        <v>3.4512157880592678E-5</v>
      </c>
      <c r="X99" s="100">
        <f ca="1">IF($A99&lt;Customisation!$H$13,N99,N99*(1-Customisation!$H$11*Customisation!$H$12))</f>
        <v>3.0207954241048291E-6</v>
      </c>
      <c r="Y99" s="100">
        <f ca="1">IF($A99&lt;Customisation!$H$13,O99,O99*(1-Customisation!$H$11*Customisation!$H$12))</f>
        <v>2.1790011794960495E-2</v>
      </c>
      <c r="Z99" s="100">
        <f ca="1">IF($A99&lt;Customisation!$H$13,P99,P99*(1-Customisation!$H$11*Customisation!$H$12))</f>
        <v>1.9290014544890732E-3</v>
      </c>
      <c r="AA99" s="100">
        <f t="shared" ca="1" si="45"/>
        <v>5.1737557020523493E-5</v>
      </c>
      <c r="AB99" s="100">
        <f t="shared" ca="1" si="39"/>
        <v>4.5801637779463221E-6</v>
      </c>
      <c r="AC99" s="100">
        <f t="shared" ca="1" si="46"/>
        <v>1.0043172833395736E-4</v>
      </c>
      <c r="AD99" s="100">
        <f t="shared" ca="1" si="33"/>
        <v>8.890906157189921E-6</v>
      </c>
      <c r="AE99" s="100">
        <f t="shared" ca="1" si="34"/>
        <v>1.9025011841872309E-4</v>
      </c>
      <c r="AF99" s="100">
        <f t="shared" ca="1" si="47"/>
        <v>1.6842246741294184E-5</v>
      </c>
      <c r="AG99" s="100">
        <f t="shared" ca="1" si="40"/>
        <v>5.6765833924058005E-5</v>
      </c>
      <c r="AH99" s="100">
        <f t="shared" ca="1" si="41"/>
        <v>4.9686250264784738E-6</v>
      </c>
      <c r="AI99" s="100">
        <f t="shared" ca="1" si="48"/>
        <v>3.5840360809532512E-2</v>
      </c>
      <c r="AJ99" s="100">
        <f t="shared" ca="1" si="49"/>
        <v>3.1728348190702177E-3</v>
      </c>
      <c r="AL99" s="102">
        <f t="shared" ca="1" si="42"/>
        <v>8.3192652679599615</v>
      </c>
      <c r="AM99" s="102">
        <f t="shared" ca="1" si="43"/>
        <v>3.1455095659076124</v>
      </c>
    </row>
    <row r="100" spans="1:39" x14ac:dyDescent="0.15">
      <c r="A100" s="92">
        <f t="shared" si="32"/>
        <v>96</v>
      </c>
      <c r="B100" s="99">
        <f>'Life table'!D98</f>
        <v>1.3904278384478354E-2</v>
      </c>
      <c r="C100" s="99">
        <f>IF($A100&lt;Customisation!$H$13,0,B100)/LOOKUP(Customisation!$H$13,$A$4:$A$104,$B$4:$B$104)</f>
        <v>1.4253358581542117E-2</v>
      </c>
      <c r="D100" s="92">
        <f ca="1">IF($A100&lt;=Customisation!$H$13,1,1/(1+Customisation!$H$21)^($A100-Customisation!$H$13))</f>
        <v>8.5978377937089734E-2</v>
      </c>
      <c r="E100" s="92">
        <f t="shared" ca="1" si="44"/>
        <v>43.750381955056874</v>
      </c>
      <c r="F100" s="92">
        <f t="shared" ca="1" si="35"/>
        <v>1.2254806509966894E-3</v>
      </c>
      <c r="G100" s="100">
        <f ca="1">'Age data'!M104*Customisation!$H$22</f>
        <v>8.3192652679599615E-5</v>
      </c>
      <c r="H100" s="100">
        <f t="shared" ca="1" si="36"/>
        <v>7.152769333675657E-6</v>
      </c>
      <c r="I100" s="100">
        <f ca="1">'Age data'!N104*Customisation!$H$22</f>
        <v>1.6149161990745806E-4</v>
      </c>
      <c r="J100" s="101">
        <f t="shared" ca="1" si="37"/>
        <v>1.3884787530076274E-5</v>
      </c>
      <c r="K100" s="100">
        <f ca="1">I100*'Life table'!I98</f>
        <v>2.9311926382952631E-4</v>
      </c>
      <c r="L100" s="100">
        <f ca="1">J100*'Life table'!J98</f>
        <v>2.5201918846176528E-5</v>
      </c>
      <c r="M100" s="100">
        <f t="shared" ca="1" si="38"/>
        <v>9.1277991804650683E-5</v>
      </c>
      <c r="N100" s="100">
        <f ca="1">((G100-I100)*$AW$5+I100*$AW$6)/(1+Customisation!$H$21)^($A100-12)</f>
        <v>7.7594231217347385E-6</v>
      </c>
      <c r="O100" s="100">
        <f ca="1">G100*Customisation!$H$17</f>
        <v>5.7630372604493003E-2</v>
      </c>
      <c r="P100" s="100">
        <f ca="1">O100/(1+Customisation!$H$21)^($A100-12)</f>
        <v>4.9549659564444015E-3</v>
      </c>
      <c r="Q100" s="100">
        <f ca="1">IF($A100&lt;Customisation!$H$13,G100,G100*(1-Customisation!$H$11*Customisation!$H$12))</f>
        <v>3.1455095659076122E-5</v>
      </c>
      <c r="R100" s="100">
        <f ca="1">IF($A100&lt;Customisation!$H$13,H100,H100*(1-Customisation!$H$11*Customisation!$H$12))</f>
        <v>2.7044581026233578E-6</v>
      </c>
      <c r="S100" s="100">
        <f ca="1">IF($A100&lt;Customisation!$H$13,I100,I100*(1-Customisation!$H$11*Customisation!$H$12))</f>
        <v>6.1059891573500709E-5</v>
      </c>
      <c r="T100" s="100">
        <f ca="1">IF($A100&lt;Customisation!$H$13,J100,J100*(1-Customisation!$H$11*Customisation!$H$12))</f>
        <v>5.2498304345041644E-6</v>
      </c>
      <c r="U100" s="100">
        <f ca="1">IF($A100&lt;Customisation!$H$13,K100,K100*(1-Customisation!$H$11*Customisation!$H$12))</f>
        <v>1.1082823045425814E-4</v>
      </c>
      <c r="V100" s="100">
        <f ca="1">IF($A100&lt;Customisation!$H$13,L100,L100*(1-Customisation!$H$11*Customisation!$H$12))</f>
        <v>9.5288314840950833E-6</v>
      </c>
      <c r="W100" s="100">
        <f ca="1">IF($A100&lt;Customisation!$H$13,M100,M100*(1-Customisation!$H$11*Customisation!$H$12))</f>
        <v>3.4512157880592678E-5</v>
      </c>
      <c r="X100" s="100">
        <f ca="1">IF($A100&lt;Customisation!$H$13,N100,N100*(1-Customisation!$H$11*Customisation!$H$12))</f>
        <v>2.933833562122543E-6</v>
      </c>
      <c r="Y100" s="100">
        <f ca="1">IF($A100&lt;Customisation!$H$13,O100,O100*(1-Customisation!$H$11*Customisation!$H$12))</f>
        <v>2.1790011794960495E-2</v>
      </c>
      <c r="Z100" s="100">
        <f ca="1">IF($A100&lt;Customisation!$H$13,P100,P100*(1-Customisation!$H$11*Customisation!$H$12))</f>
        <v>1.8734698693607563E-3</v>
      </c>
      <c r="AA100" s="100">
        <f t="shared" ca="1" si="45"/>
        <v>5.1737557020523493E-5</v>
      </c>
      <c r="AB100" s="100">
        <f t="shared" ca="1" si="39"/>
        <v>4.4483112310522992E-6</v>
      </c>
      <c r="AC100" s="100">
        <f t="shared" ca="1" si="46"/>
        <v>1.0043172833395736E-4</v>
      </c>
      <c r="AD100" s="100">
        <f t="shared" ca="1" si="33"/>
        <v>8.63495709557211E-6</v>
      </c>
      <c r="AE100" s="100">
        <f t="shared" ca="1" si="34"/>
        <v>1.8229103337526816E-4</v>
      </c>
      <c r="AF100" s="100">
        <f t="shared" ca="1" si="47"/>
        <v>1.5673087362081447E-5</v>
      </c>
      <c r="AG100" s="100">
        <f t="shared" ca="1" si="40"/>
        <v>5.6765833924058005E-5</v>
      </c>
      <c r="AH100" s="100">
        <f t="shared" ca="1" si="41"/>
        <v>4.8255895596121955E-6</v>
      </c>
      <c r="AI100" s="100">
        <f t="shared" ca="1" si="48"/>
        <v>3.5840360809532512E-2</v>
      </c>
      <c r="AJ100" s="100">
        <f t="shared" ca="1" si="49"/>
        <v>3.0814960870836454E-3</v>
      </c>
      <c r="AL100" s="102">
        <f t="shared" ca="1" si="42"/>
        <v>8.3192652679599615</v>
      </c>
      <c r="AM100" s="102">
        <f t="shared" ca="1" si="43"/>
        <v>3.1455095659076124</v>
      </c>
    </row>
    <row r="101" spans="1:39" x14ac:dyDescent="0.15">
      <c r="A101" s="92">
        <f t="shared" si="32"/>
        <v>97</v>
      </c>
      <c r="B101" s="99">
        <f>'Life table'!D99</f>
        <v>8.374268785403623E-3</v>
      </c>
      <c r="C101" s="99">
        <f>IF($A101&lt;Customisation!$H$13,0,B101)/LOOKUP(Customisation!$H$13,$A$4:$A$104,$B$4:$B$104)</f>
        <v>8.5845128064911871E-3</v>
      </c>
      <c r="D101" s="92">
        <f ca="1">IF($A101&lt;=Customisation!$H$13,1,1/(1+Customisation!$H$21)^($A101-Customisation!$H$13))</f>
        <v>8.3503255068469243E-2</v>
      </c>
      <c r="E101" s="92">
        <f t="shared" ca="1" si="44"/>
        <v>43.836360332993962</v>
      </c>
      <c r="F101" s="92">
        <f t="shared" ca="1" si="35"/>
        <v>7.1683476251897436E-4</v>
      </c>
      <c r="G101" s="100">
        <f ca="1">'Age data'!M105*Customisation!$H$22</f>
        <v>8.3192652679599615E-5</v>
      </c>
      <c r="H101" s="100">
        <f t="shared" ca="1" si="36"/>
        <v>6.9468572965271777E-6</v>
      </c>
      <c r="I101" s="100">
        <f ca="1">'Age data'!N105*Customisation!$H$22</f>
        <v>1.6149161990745806E-4</v>
      </c>
      <c r="J101" s="101">
        <f t="shared" ca="1" si="37"/>
        <v>1.3485075928552756E-5</v>
      </c>
      <c r="K101" s="100">
        <f ca="1">I101*'Life table'!I99</f>
        <v>2.7187000640377449E-4</v>
      </c>
      <c r="L101" s="100">
        <f ca="1">J101*'Life table'!J99</f>
        <v>2.2702030490200748E-5</v>
      </c>
      <c r="M101" s="100">
        <f t="shared" ca="1" si="38"/>
        <v>9.1277991804650683E-5</v>
      </c>
      <c r="N101" s="100">
        <f ca="1">((G101-I101)*$AW$5+I101*$AW$6)/(1+Customisation!$H$21)^($A101-12)</f>
        <v>7.5360468953309213E-6</v>
      </c>
      <c r="O101" s="100">
        <f ca="1">G101*Customisation!$H$17</f>
        <v>5.7630372604493003E-2</v>
      </c>
      <c r="P101" s="100">
        <f ca="1">O101/(1+Customisation!$H$21)^($A101-12)</f>
        <v>4.812323703283901E-3</v>
      </c>
      <c r="Q101" s="100">
        <f ca="1">IF($A101&lt;Customisation!$H$13,G101,G101*(1-Customisation!$H$11*Customisation!$H$12))</f>
        <v>3.1455095659076122E-5</v>
      </c>
      <c r="R101" s="100">
        <f ca="1">IF($A101&lt;Customisation!$H$13,H101,H101*(1-Customisation!$H$11*Customisation!$H$12))</f>
        <v>2.6266028760229332E-6</v>
      </c>
      <c r="S101" s="100">
        <f ca="1">IF($A101&lt;Customisation!$H$13,I101,I101*(1-Customisation!$H$11*Customisation!$H$12))</f>
        <v>6.1059891573500709E-5</v>
      </c>
      <c r="T101" s="100">
        <f ca="1">IF($A101&lt;Customisation!$H$13,J101,J101*(1-Customisation!$H$11*Customisation!$H$12))</f>
        <v>5.0986997005151046E-6</v>
      </c>
      <c r="U101" s="100">
        <f ca="1">IF($A101&lt;Customisation!$H$13,K101,K101*(1-Customisation!$H$11*Customisation!$H$12))</f>
        <v>1.0279389805250674E-4</v>
      </c>
      <c r="V101" s="100">
        <f ca="1">IF($A101&lt;Customisation!$H$13,L101,L101*(1-Customisation!$H$11*Customisation!$H$12))</f>
        <v>8.583625088560695E-6</v>
      </c>
      <c r="W101" s="100">
        <f ca="1">IF($A101&lt;Customisation!$H$13,M101,M101*(1-Customisation!$H$11*Customisation!$H$12))</f>
        <v>3.4512157880592678E-5</v>
      </c>
      <c r="X101" s="100">
        <f ca="1">IF($A101&lt;Customisation!$H$13,N101,N101*(1-Customisation!$H$11*Customisation!$H$12))</f>
        <v>2.8493751352881923E-6</v>
      </c>
      <c r="Y101" s="100">
        <f ca="1">IF($A101&lt;Customisation!$H$13,O101,O101*(1-Customisation!$H$11*Customisation!$H$12))</f>
        <v>2.1790011794960495E-2</v>
      </c>
      <c r="Z101" s="100">
        <f ca="1">IF($A101&lt;Customisation!$H$13,P101,P101*(1-Customisation!$H$11*Customisation!$H$12))</f>
        <v>1.8195369128595393E-3</v>
      </c>
      <c r="AA101" s="100">
        <f t="shared" ca="1" si="45"/>
        <v>5.1737557020523493E-5</v>
      </c>
      <c r="AB101" s="100">
        <f t="shared" ca="1" si="39"/>
        <v>4.320254420504244E-6</v>
      </c>
      <c r="AC101" s="100">
        <f t="shared" ca="1" si="46"/>
        <v>1.0043172833395736E-4</v>
      </c>
      <c r="AD101" s="100">
        <f t="shared" ca="1" si="33"/>
        <v>8.3863762280376502E-6</v>
      </c>
      <c r="AE101" s="100">
        <f t="shared" ca="1" si="34"/>
        <v>1.6907610835126776E-4</v>
      </c>
      <c r="AF101" s="100">
        <f t="shared" ca="1" si="47"/>
        <v>1.4118405401640053E-5</v>
      </c>
      <c r="AG101" s="100">
        <f t="shared" ca="1" si="40"/>
        <v>5.6765833924058005E-5</v>
      </c>
      <c r="AH101" s="100">
        <f t="shared" ca="1" si="41"/>
        <v>4.686671760042729E-6</v>
      </c>
      <c r="AI101" s="100">
        <f t="shared" ca="1" si="48"/>
        <v>3.5840360809532512E-2</v>
      </c>
      <c r="AJ101" s="100">
        <f t="shared" ca="1" si="49"/>
        <v>2.9927867904243617E-3</v>
      </c>
      <c r="AL101" s="102">
        <f t="shared" ca="1" si="42"/>
        <v>8.3192652679599615</v>
      </c>
      <c r="AM101" s="102">
        <f t="shared" ca="1" si="43"/>
        <v>3.1455095659076124</v>
      </c>
    </row>
    <row r="102" spans="1:39" x14ac:dyDescent="0.15">
      <c r="A102" s="92">
        <f t="shared" si="32"/>
        <v>98</v>
      </c>
      <c r="B102" s="99">
        <f>'Life table'!D100</f>
        <v>5.0436546040728931E-3</v>
      </c>
      <c r="C102" s="99">
        <f>IF($A102&lt;Customisation!$H$13,0,B102)/LOOKUP(Customisation!$H$13,$A$4:$A$104,$B$4:$B$104)</f>
        <v>5.1702803730935103E-3</v>
      </c>
      <c r="D102" s="92">
        <f ca="1">IF($A102&lt;=Customisation!$H$13,1,1/(1+Customisation!$H$21)^($A102-Customisation!$H$13))</f>
        <v>8.1099385384216224E-2</v>
      </c>
      <c r="E102" s="92">
        <f t="shared" ca="1" si="44"/>
        <v>43.919863588062434</v>
      </c>
      <c r="F102" s="92">
        <f t="shared" ca="1" si="35"/>
        <v>4.1930656052195983E-4</v>
      </c>
      <c r="G102" s="100">
        <f ca="1">'Age data'!M106*Customisation!$H$22</f>
        <v>8.3192652679599615E-5</v>
      </c>
      <c r="H102" s="100">
        <f t="shared" ca="1" si="36"/>
        <v>6.7468730007980974E-6</v>
      </c>
      <c r="I102" s="100">
        <f ca="1">'Age data'!N106*Customisation!$H$22</f>
        <v>1.6149161990745806E-4</v>
      </c>
      <c r="J102" s="101">
        <f t="shared" ca="1" si="37"/>
        <v>1.3096871119196307E-5</v>
      </c>
      <c r="K102" s="100">
        <f ca="1">I102*'Life table'!I100</f>
        <v>2.3658864652838148E-4</v>
      </c>
      <c r="L102" s="100">
        <f ca="1">J102*'Life table'!J100</f>
        <v>1.9187193822335322E-5</v>
      </c>
      <c r="M102" s="100">
        <f t="shared" ca="1" si="38"/>
        <v>9.1277991804650683E-5</v>
      </c>
      <c r="N102" s="100">
        <f ca="1">((G102-I102)*$AW$5+I102*$AW$6)/(1+Customisation!$H$21)^($A102-12)</f>
        <v>7.3191011648208845E-6</v>
      </c>
      <c r="O102" s="100">
        <f ca="1">G102*Customisation!$H$17</f>
        <v>5.7630372604493003E-2</v>
      </c>
      <c r="P102" s="100">
        <f ca="1">O102/(1+Customisation!$H$21)^($A102-12)</f>
        <v>4.6737877976877548E-3</v>
      </c>
      <c r="Q102" s="100">
        <f ca="1">IF($A102&lt;Customisation!$H$13,G102,G102*(1-Customisation!$H$11*Customisation!$H$12))</f>
        <v>3.1455095659076122E-5</v>
      </c>
      <c r="R102" s="100">
        <f ca="1">IF($A102&lt;Customisation!$H$13,H102,H102*(1-Customisation!$H$11*Customisation!$H$12))</f>
        <v>2.5509889251528011E-6</v>
      </c>
      <c r="S102" s="100">
        <f ca="1">IF($A102&lt;Customisation!$H$13,I102,I102*(1-Customisation!$H$11*Customisation!$H$12))</f>
        <v>6.1059891573500709E-5</v>
      </c>
      <c r="T102" s="100">
        <f ca="1">IF($A102&lt;Customisation!$H$13,J102,J102*(1-Customisation!$H$11*Customisation!$H$12))</f>
        <v>4.9519196782377905E-6</v>
      </c>
      <c r="U102" s="100">
        <f ca="1">IF($A102&lt;Customisation!$H$13,K102,K102*(1-Customisation!$H$11*Customisation!$H$12))</f>
        <v>8.945403552718406E-5</v>
      </c>
      <c r="V102" s="100">
        <f ca="1">IF($A102&lt;Customisation!$H$13,L102,L102*(1-Customisation!$H$11*Customisation!$H$12))</f>
        <v>7.2546673013924702E-6</v>
      </c>
      <c r="W102" s="100">
        <f ca="1">IF($A102&lt;Customisation!$H$13,M102,M102*(1-Customisation!$H$11*Customisation!$H$12))</f>
        <v>3.4512157880592678E-5</v>
      </c>
      <c r="X102" s="100">
        <f ca="1">IF($A102&lt;Customisation!$H$13,N102,N102*(1-Customisation!$H$11*Customisation!$H$12))</f>
        <v>2.7673480753709799E-6</v>
      </c>
      <c r="Y102" s="100">
        <f ca="1">IF($A102&lt;Customisation!$H$13,O102,O102*(1-Customisation!$H$11*Customisation!$H$12))</f>
        <v>2.1790011794960495E-2</v>
      </c>
      <c r="Z102" s="100">
        <f ca="1">IF($A102&lt;Customisation!$H$13,P102,P102*(1-Customisation!$H$11*Customisation!$H$12))</f>
        <v>1.7671565640861183E-3</v>
      </c>
      <c r="AA102" s="100">
        <f t="shared" ca="1" si="45"/>
        <v>5.1737557020523493E-5</v>
      </c>
      <c r="AB102" s="100">
        <f t="shared" ca="1" si="39"/>
        <v>4.1958840756452967E-6</v>
      </c>
      <c r="AC102" s="100">
        <f t="shared" ca="1" si="46"/>
        <v>1.0043172833395736E-4</v>
      </c>
      <c r="AD102" s="100">
        <f t="shared" ca="1" si="33"/>
        <v>8.1449514409585152E-6</v>
      </c>
      <c r="AE102" s="100">
        <f t="shared" ca="1" si="34"/>
        <v>1.4713461100119744E-4</v>
      </c>
      <c r="AF102" s="100">
        <f t="shared" ca="1" si="47"/>
        <v>1.1932526520942853E-5</v>
      </c>
      <c r="AG102" s="100">
        <f t="shared" ca="1" si="40"/>
        <v>5.6765833924058005E-5</v>
      </c>
      <c r="AH102" s="100">
        <f t="shared" ca="1" si="41"/>
        <v>4.5517530894499047E-6</v>
      </c>
      <c r="AI102" s="100">
        <f t="shared" ca="1" si="48"/>
        <v>3.5840360809532512E-2</v>
      </c>
      <c r="AJ102" s="100">
        <f t="shared" ca="1" si="49"/>
        <v>2.9066312336016365E-3</v>
      </c>
      <c r="AL102" s="102">
        <f t="shared" ca="1" si="42"/>
        <v>8.3192652679599615</v>
      </c>
      <c r="AM102" s="102">
        <f t="shared" ca="1" si="43"/>
        <v>3.1455095659076124</v>
      </c>
    </row>
    <row r="103" spans="1:39" x14ac:dyDescent="0.15">
      <c r="A103" s="92">
        <f t="shared" si="32"/>
        <v>99</v>
      </c>
      <c r="B103" s="99">
        <f>'Life table'!D101</f>
        <v>3.0376922949410215E-3</v>
      </c>
      <c r="C103" s="99">
        <f>IF($A103&lt;Customisation!$H$13,0,B103)/LOOKUP(Customisation!$H$13,$A$4:$A$104,$B$4:$B$104)</f>
        <v>3.1139564631067589E-3</v>
      </c>
      <c r="D103" s="92">
        <f ca="1">IF($A103&lt;=Customisation!$H$13,1,1/(1+Customisation!$H$21)^($A103-Customisation!$H$13))</f>
        <v>7.8764717666451017E-2</v>
      </c>
      <c r="E103" s="92">
        <f t="shared" ca="1" si="44"/>
        <v>44.000962973446647</v>
      </c>
      <c r="F103" s="92">
        <f t="shared" ca="1" si="35"/>
        <v>2.4526990164222426E-4</v>
      </c>
      <c r="G103" s="100">
        <f ca="1">'Age data'!M107*Customisation!$H$22</f>
        <v>8.3192652679599615E-5</v>
      </c>
      <c r="H103" s="100">
        <f t="shared" ca="1" si="36"/>
        <v>6.5526458002317837E-6</v>
      </c>
      <c r="I103" s="100">
        <f ca="1">'Age data'!N107*Customisation!$H$22</f>
        <v>1.6149161990745806E-4</v>
      </c>
      <c r="J103" s="101">
        <f t="shared" ca="1" si="37"/>
        <v>1.2719841847508755E-5</v>
      </c>
      <c r="K103" s="100">
        <f ca="1">I103*'Life table'!I101</f>
        <v>1.7800898279159285E-4</v>
      </c>
      <c r="L103" s="100">
        <f ca="1">J103*'Life table'!J101</f>
        <v>1.4020827271671949E-5</v>
      </c>
      <c r="M103" s="100">
        <f t="shared" ca="1" si="38"/>
        <v>9.1277991804650683E-5</v>
      </c>
      <c r="N103" s="100">
        <f ca="1">((G103-I103)*$AW$5+I103*$AW$6)/(1+Customisation!$H$21)^($A103-12)</f>
        <v>7.1084008107847775E-6</v>
      </c>
      <c r="O103" s="100">
        <f ca="1">G103*Customisation!$H$17</f>
        <v>5.7630372604493003E-2</v>
      </c>
      <c r="P103" s="100">
        <f ca="1">O103/(1+Customisation!$H$21)^($A103-12)</f>
        <v>4.5392400272052649E-3</v>
      </c>
      <c r="Q103" s="100">
        <f ca="1">IF($A103&lt;Customisation!$H$13,G103,G103*(1-Customisation!$H$11*Customisation!$H$12))</f>
        <v>3.1455095659076122E-5</v>
      </c>
      <c r="R103" s="100">
        <f ca="1">IF($A103&lt;Customisation!$H$13,H103,H103*(1-Customisation!$H$11*Customisation!$H$12))</f>
        <v>2.4775517287583397E-6</v>
      </c>
      <c r="S103" s="100">
        <f ca="1">IF($A103&lt;Customisation!$H$13,I103,I103*(1-Customisation!$H$11*Customisation!$H$12))</f>
        <v>6.1059891573500709E-5</v>
      </c>
      <c r="T103" s="100">
        <f ca="1">IF($A103&lt;Customisation!$H$13,J103,J103*(1-Customisation!$H$11*Customisation!$H$12))</f>
        <v>4.8093651205308946E-6</v>
      </c>
      <c r="U103" s="100">
        <f ca="1">IF($A103&lt;Customisation!$H$13,K103,K103*(1-Customisation!$H$11*Customisation!$H$12))</f>
        <v>6.7305097283638346E-5</v>
      </c>
      <c r="V103" s="100">
        <f ca="1">IF($A103&lt;Customisation!$H$13,L103,L103*(1-Customisation!$H$11*Customisation!$H$12))</f>
        <v>5.3012669850587938E-6</v>
      </c>
      <c r="W103" s="100">
        <f ca="1">IF($A103&lt;Customisation!$H$13,M103,M103*(1-Customisation!$H$11*Customisation!$H$12))</f>
        <v>3.4512157880592678E-5</v>
      </c>
      <c r="X103" s="100">
        <f ca="1">IF($A103&lt;Customisation!$H$13,N103,N103*(1-Customisation!$H$11*Customisation!$H$12))</f>
        <v>2.6876823888213291E-6</v>
      </c>
      <c r="Y103" s="100">
        <f ca="1">IF($A103&lt;Customisation!$H$13,O103,O103*(1-Customisation!$H$11*Customisation!$H$12))</f>
        <v>2.1790011794960495E-2</v>
      </c>
      <c r="Z103" s="100">
        <f ca="1">IF($A103&lt;Customisation!$H$13,P103,P103*(1-Customisation!$H$11*Customisation!$H$12))</f>
        <v>1.716284126978701E-3</v>
      </c>
      <c r="AA103" s="100">
        <f t="shared" ca="1" si="45"/>
        <v>5.1737557020523493E-5</v>
      </c>
      <c r="AB103" s="100">
        <f t="shared" ca="1" si="39"/>
        <v>4.0750940714734443E-6</v>
      </c>
      <c r="AC103" s="100">
        <f t="shared" ca="1" si="46"/>
        <v>1.0043172833395736E-4</v>
      </c>
      <c r="AD103" s="100">
        <f t="shared" ca="1" si="33"/>
        <v>7.910476726977861E-6</v>
      </c>
      <c r="AE103" s="100">
        <f t="shared" ca="1" si="34"/>
        <v>1.1070388550795451E-4</v>
      </c>
      <c r="AF103" s="100">
        <f t="shared" ca="1" si="47"/>
        <v>8.7195602866131549E-6</v>
      </c>
      <c r="AG103" s="100">
        <f t="shared" ca="1" si="40"/>
        <v>5.6765833924058005E-5</v>
      </c>
      <c r="AH103" s="100">
        <f t="shared" ca="1" si="41"/>
        <v>4.420718421963448E-6</v>
      </c>
      <c r="AI103" s="100">
        <f t="shared" ca="1" si="48"/>
        <v>3.5840360809532512E-2</v>
      </c>
      <c r="AJ103" s="100">
        <f t="shared" ca="1" si="49"/>
        <v>2.8229559002265637E-3</v>
      </c>
      <c r="AL103" s="102">
        <f t="shared" ca="1" si="42"/>
        <v>8.3192652679599615</v>
      </c>
      <c r="AM103" s="102">
        <f t="shared" ca="1" si="43"/>
        <v>3.1455095659076124</v>
      </c>
    </row>
    <row r="104" spans="1:39" x14ac:dyDescent="0.15">
      <c r="A104" s="92">
        <f t="shared" si="32"/>
        <v>100</v>
      </c>
      <c r="B104" s="99">
        <f>'Life table'!D102</f>
        <v>1.8295413153970783E-3</v>
      </c>
      <c r="C104" s="99">
        <f>IF($A104&lt;Customisation!$H$13,0,B104)/LOOKUP(Customisation!$H$13,$A$4:$A$104,$B$4:$B$104)</f>
        <v>1.8754736985999386E-3</v>
      </c>
      <c r="D104" s="92">
        <f ca="1">IF($A104&lt;=Customisation!$H$13,1,1/(1+Customisation!$H$21)^($A104-Customisation!$H$13))</f>
        <v>7.6497259747213275E-2</v>
      </c>
      <c r="E104" s="92">
        <f t="shared" ca="1" si="44"/>
        <v>44.079727691113099</v>
      </c>
      <c r="F104" s="92">
        <f t="shared" ca="1" si="35"/>
        <v>1.434685986708663E-4</v>
      </c>
      <c r="G104" s="100">
        <f ca="1">'Age data'!M108*Customisation!$H$22</f>
        <v>8.3192652679599615E-5</v>
      </c>
      <c r="H104" s="100">
        <f t="shared" ca="1" si="36"/>
        <v>6.3640099610910302E-6</v>
      </c>
      <c r="I104" s="100">
        <f ca="1">'Age data'!N108*Customisation!$H$22</f>
        <v>1.6149161990745806E-4</v>
      </c>
      <c r="J104" s="101">
        <f t="shared" ca="1" si="37"/>
        <v>1.2353666395059059E-5</v>
      </c>
      <c r="K104" s="100">
        <f ca="1">I104*'Life table'!I102</f>
        <v>8.0745809953729032E-5</v>
      </c>
      <c r="L104" s="100">
        <f ca="1">J104*'Life table'!J102</f>
        <v>6.1768331975295293E-6</v>
      </c>
      <c r="M104" s="100">
        <f t="shared" ca="1" si="38"/>
        <v>9.1277991804650683E-5</v>
      </c>
      <c r="N104" s="100">
        <f ca="1">((G104-I104)*$AW$5+I104*$AW$6)/(1+Customisation!$H$21)^($A104-12)</f>
        <v>6.9037660429717866E-6</v>
      </c>
      <c r="O104" s="100">
        <f ca="1">G104*Customisation!$H$17</f>
        <v>5.7630372604493003E-2</v>
      </c>
      <c r="P104" s="100">
        <f ca="1">O104/(1+Customisation!$H$21)^($A104-12)</f>
        <v>4.4085655824545851E-3</v>
      </c>
      <c r="Q104" s="100">
        <f ca="1">IF($A104&lt;Customisation!$H$13,G104,G104*(1-Customisation!$H$11*Customisation!$H$12))</f>
        <v>3.1455095659076122E-5</v>
      </c>
      <c r="R104" s="100">
        <f ca="1">IF($A104&lt;Customisation!$H$13,H104,H104*(1-Customisation!$H$11*Customisation!$H$12))</f>
        <v>2.406228623005787E-6</v>
      </c>
      <c r="S104" s="100">
        <f ca="1">IF($A104&lt;Customisation!$H$13,I104,I104*(1-Customisation!$H$11*Customisation!$H$12))</f>
        <v>6.1059891573500709E-5</v>
      </c>
      <c r="T104" s="100">
        <f ca="1">IF($A104&lt;Customisation!$H$13,J104,J104*(1-Customisation!$H$11*Customisation!$H$12))</f>
        <v>4.6709143858347633E-6</v>
      </c>
      <c r="U104" s="100">
        <f ca="1">IF($A104&lt;Customisation!$H$13,K104,K104*(1-Customisation!$H$11*Customisation!$H$12))</f>
        <v>3.0529945786750355E-5</v>
      </c>
      <c r="V104" s="100">
        <f ca="1">IF($A104&lt;Customisation!$H$13,L104,L104*(1-Customisation!$H$11*Customisation!$H$12))</f>
        <v>2.3354571929173816E-6</v>
      </c>
      <c r="W104" s="100">
        <f ca="1">IF($A104&lt;Customisation!$H$13,M104,M104*(1-Customisation!$H$11*Customisation!$H$12))</f>
        <v>3.4512157880592678E-5</v>
      </c>
      <c r="X104" s="100">
        <f ca="1">IF($A104&lt;Customisation!$H$13,N104,N104*(1-Customisation!$H$11*Customisation!$H$12))</f>
        <v>2.6103100970455089E-6</v>
      </c>
      <c r="Y104" s="100">
        <f ca="1">IF($A104&lt;Customisation!$H$13,O104,O104*(1-Customisation!$H$11*Customisation!$H$12))</f>
        <v>2.1790011794960495E-2</v>
      </c>
      <c r="Z104" s="100">
        <f ca="1">IF($A104&lt;Customisation!$H$13,P104,P104*(1-Customisation!$H$11*Customisation!$H$12))</f>
        <v>1.6668761921739337E-3</v>
      </c>
      <c r="AA104" s="100">
        <f t="shared" ca="1" si="45"/>
        <v>5.1737557020523493E-5</v>
      </c>
      <c r="AB104" s="100">
        <f t="shared" ca="1" si="39"/>
        <v>3.9577813380852432E-6</v>
      </c>
      <c r="AC104" s="100">
        <f t="shared" ca="1" si="46"/>
        <v>1.0043172833395736E-4</v>
      </c>
      <c r="AD104" s="100">
        <f t="shared" ca="1" si="33"/>
        <v>7.6827520092242963E-6</v>
      </c>
      <c r="AE104" s="100">
        <f t="shared" ca="1" si="34"/>
        <v>5.0215864166978678E-5</v>
      </c>
      <c r="AF104" s="100">
        <f t="shared" ca="1" si="47"/>
        <v>3.8413760046121481E-6</v>
      </c>
      <c r="AG104" s="100">
        <f t="shared" ca="1" si="40"/>
        <v>5.6765833924058005E-5</v>
      </c>
      <c r="AH104" s="100">
        <f t="shared" ca="1" si="41"/>
        <v>4.2934559459262773E-6</v>
      </c>
      <c r="AI104" s="100">
        <f t="shared" ca="1" si="48"/>
        <v>3.5840360809532512E-2</v>
      </c>
      <c r="AJ104" s="100">
        <f t="shared" ca="1" si="49"/>
        <v>2.7416893902806514E-3</v>
      </c>
      <c r="AL104" s="102">
        <f t="shared" ca="1" si="42"/>
        <v>8.3192652679599615</v>
      </c>
      <c r="AM104" s="102">
        <f t="shared" ca="1" si="43"/>
        <v>3.1455095659076124</v>
      </c>
    </row>
  </sheetData>
  <sheetProtection selectLockedCells="1" selectUnlockedCells="1"/>
  <phoneticPr fontId="19" type="noConversion"/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AA195"/>
  <sheetViews>
    <sheetView topLeftCell="G1" workbookViewId="0">
      <selection activeCell="T37" sqref="T37"/>
    </sheetView>
  </sheetViews>
  <sheetFormatPr defaultRowHeight="14.45" customHeight="1" x14ac:dyDescent="0.25"/>
  <cols>
    <col min="1" max="1" width="61.85546875" customWidth="1"/>
    <col min="5" max="5" width="20" customWidth="1"/>
    <col min="6" max="6" width="13.5703125" customWidth="1"/>
    <col min="7" max="7" width="11.42578125" customWidth="1"/>
    <col min="8" max="8" width="11.42578125" bestFit="1" customWidth="1"/>
    <col min="9" max="9" width="10.42578125" bestFit="1" customWidth="1"/>
    <col min="10" max="10" width="10.85546875" customWidth="1"/>
    <col min="16" max="16" width="9.42578125" bestFit="1" customWidth="1"/>
    <col min="17" max="17" width="11.42578125" bestFit="1" customWidth="1"/>
    <col min="20" max="20" width="11.5703125" customWidth="1"/>
    <col min="21" max="21" width="13.5703125" customWidth="1"/>
    <col min="22" max="22" width="13.85546875" customWidth="1"/>
    <col min="27" max="27" width="13.140625" customWidth="1"/>
  </cols>
  <sheetData>
    <row r="1" spans="1:27" ht="46.35" customHeight="1" x14ac:dyDescent="0.25">
      <c r="A1" s="9" t="s">
        <v>45</v>
      </c>
      <c r="B1" s="84" t="s">
        <v>483</v>
      </c>
      <c r="C1" s="9" t="s">
        <v>49</v>
      </c>
      <c r="D1" s="9" t="s">
        <v>503</v>
      </c>
      <c r="E1" s="9" t="s">
        <v>50</v>
      </c>
      <c r="F1" s="9" t="s">
        <v>51</v>
      </c>
      <c r="G1" s="9" t="s">
        <v>52</v>
      </c>
      <c r="H1" s="10" t="s">
        <v>488</v>
      </c>
      <c r="I1" s="10" t="s">
        <v>489</v>
      </c>
      <c r="J1" s="10" t="s">
        <v>490</v>
      </c>
      <c r="K1" s="9" t="s">
        <v>482</v>
      </c>
      <c r="L1" s="9" t="s">
        <v>473</v>
      </c>
      <c r="M1" s="11" t="s">
        <v>474</v>
      </c>
      <c r="N1" s="12" t="s">
        <v>475</v>
      </c>
      <c r="O1" s="12" t="s">
        <v>476</v>
      </c>
      <c r="P1" s="12" t="s">
        <v>457</v>
      </c>
      <c r="Q1" s="12" t="s">
        <v>458</v>
      </c>
      <c r="R1" s="9" t="s">
        <v>4</v>
      </c>
      <c r="S1" s="9" t="s">
        <v>53</v>
      </c>
      <c r="T1" s="13" t="s">
        <v>468</v>
      </c>
      <c r="U1" s="13" t="s">
        <v>477</v>
      </c>
      <c r="V1" s="13" t="s">
        <v>509</v>
      </c>
      <c r="Z1" s="13" t="s">
        <v>510</v>
      </c>
      <c r="AA1" s="13" t="s">
        <v>509</v>
      </c>
    </row>
    <row r="2" spans="1:27" ht="14.45" customHeight="1" x14ac:dyDescent="0.25">
      <c r="A2" s="14" t="s">
        <v>54</v>
      </c>
      <c r="B2" t="s">
        <v>55</v>
      </c>
      <c r="C2" t="s">
        <v>56</v>
      </c>
      <c r="D2" t="s">
        <v>504</v>
      </c>
      <c r="E2" s="14" t="s">
        <v>57</v>
      </c>
      <c r="F2" s="14" t="s">
        <v>58</v>
      </c>
      <c r="G2" s="15" t="str">
        <f t="shared" ref="G2:G31" si="0">IF(C2="AMRO","Participating","Not Eligible")</f>
        <v>Not Eligible</v>
      </c>
      <c r="H2" s="16">
        <v>482350.8</v>
      </c>
      <c r="I2" s="16">
        <v>478638.60000000003</v>
      </c>
      <c r="J2" s="16">
        <v>434718.6</v>
      </c>
      <c r="K2" s="17">
        <v>0.8</v>
      </c>
      <c r="L2" s="17">
        <v>1</v>
      </c>
      <c r="M2" s="18">
        <v>12</v>
      </c>
      <c r="N2" s="19">
        <v>13.5</v>
      </c>
      <c r="O2" s="20">
        <f t="shared" ref="O2:O33" si="1">IF(E2="High income",25,IF(E2="Low-income",5,15))</f>
        <v>5</v>
      </c>
      <c r="P2" s="20">
        <v>603.06939599999998</v>
      </c>
      <c r="Q2" s="20">
        <v>361.84163760000001</v>
      </c>
      <c r="R2" s="17">
        <v>0.03</v>
      </c>
      <c r="S2" s="18">
        <v>0.81889999999999996</v>
      </c>
      <c r="T2" s="21">
        <v>542.93687522482469</v>
      </c>
      <c r="U2" s="22">
        <v>1201.92643112576</v>
      </c>
      <c r="V2">
        <f>LOOKUP($D2,$Z$2:$Z$6,$AA$2:$AA$6)</f>
        <v>0.17</v>
      </c>
      <c r="Z2" t="s">
        <v>506</v>
      </c>
      <c r="AA2">
        <v>0.04</v>
      </c>
    </row>
    <row r="3" spans="1:27" ht="14.45" customHeight="1" x14ac:dyDescent="0.25">
      <c r="A3" s="14" t="s">
        <v>59</v>
      </c>
      <c r="B3" t="s">
        <v>60</v>
      </c>
      <c r="C3" t="s">
        <v>61</v>
      </c>
      <c r="D3" t="s">
        <v>505</v>
      </c>
      <c r="E3" s="14" t="s">
        <v>62</v>
      </c>
      <c r="F3" s="14" t="s">
        <v>63</v>
      </c>
      <c r="G3" s="15" t="str">
        <f t="shared" si="0"/>
        <v>Not Eligible</v>
      </c>
      <c r="H3" s="24">
        <v>17861.600000000002</v>
      </c>
      <c r="I3" s="24">
        <v>14934.2</v>
      </c>
      <c r="J3" s="24">
        <v>18868.199999999997</v>
      </c>
      <c r="K3" s="17">
        <v>0.8</v>
      </c>
      <c r="L3" s="17">
        <v>1</v>
      </c>
      <c r="M3" s="18">
        <v>12</v>
      </c>
      <c r="N3" s="19">
        <v>40.44</v>
      </c>
      <c r="O3" s="20">
        <f t="shared" si="1"/>
        <v>15</v>
      </c>
      <c r="P3" s="20">
        <v>588.11935960000005</v>
      </c>
      <c r="Q3" s="20">
        <v>470.49548770000001</v>
      </c>
      <c r="R3" s="17">
        <v>0.03</v>
      </c>
      <c r="S3" s="18">
        <v>0.7659999999999999</v>
      </c>
      <c r="T3" s="25">
        <v>4029.7301800882033</v>
      </c>
      <c r="U3" s="26">
        <v>8944.3675496628766</v>
      </c>
      <c r="V3">
        <f t="shared" ref="V3:V66" si="2">LOOKUP($D3,$Z$2:$Z$6,$AA$2:$AA$6)</f>
        <v>0.11</v>
      </c>
      <c r="Z3" t="s">
        <v>505</v>
      </c>
      <c r="AA3">
        <v>0.11</v>
      </c>
    </row>
    <row r="4" spans="1:27" ht="14.45" customHeight="1" x14ac:dyDescent="0.25">
      <c r="A4" s="14" t="s">
        <v>64</v>
      </c>
      <c r="B4" t="s">
        <v>65</v>
      </c>
      <c r="C4" t="s">
        <v>66</v>
      </c>
      <c r="D4" t="s">
        <v>504</v>
      </c>
      <c r="E4" s="14" t="s">
        <v>67</v>
      </c>
      <c r="F4" s="14" t="s">
        <v>63</v>
      </c>
      <c r="G4" s="15" t="str">
        <f t="shared" si="0"/>
        <v>Not Eligible</v>
      </c>
      <c r="H4" s="24">
        <v>451236.8</v>
      </c>
      <c r="I4" s="24">
        <v>375880.60000000003</v>
      </c>
      <c r="J4" s="24">
        <v>286731.59999999998</v>
      </c>
      <c r="K4" s="17">
        <v>0.8</v>
      </c>
      <c r="L4" s="17">
        <v>1</v>
      </c>
      <c r="M4" s="18">
        <v>12</v>
      </c>
      <c r="N4" s="19">
        <v>40.44</v>
      </c>
      <c r="O4" s="20">
        <f t="shared" si="1"/>
        <v>15</v>
      </c>
      <c r="P4" s="20">
        <v>538.36166230000003</v>
      </c>
      <c r="Q4" s="20">
        <v>753.70632720000003</v>
      </c>
      <c r="R4" s="17">
        <v>0.03</v>
      </c>
      <c r="S4" s="18">
        <v>0.74319999999999997</v>
      </c>
      <c r="T4" s="25">
        <v>5244.0268786502629</v>
      </c>
      <c r="U4" s="26">
        <v>8714.5725275533205</v>
      </c>
      <c r="V4">
        <f t="shared" si="2"/>
        <v>0.17</v>
      </c>
      <c r="Z4" t="s">
        <v>507</v>
      </c>
      <c r="AA4">
        <v>0.13</v>
      </c>
    </row>
    <row r="5" spans="1:27" ht="14.45" customHeight="1" x14ac:dyDescent="0.25">
      <c r="A5" s="14" t="s">
        <v>68</v>
      </c>
      <c r="B5" t="s">
        <v>69</v>
      </c>
      <c r="C5" t="s">
        <v>61</v>
      </c>
      <c r="D5" t="s">
        <v>506</v>
      </c>
      <c r="E5" s="14" t="s">
        <v>70</v>
      </c>
      <c r="F5" s="14" t="s">
        <v>63</v>
      </c>
      <c r="G5" s="15" t="str">
        <f t="shared" si="0"/>
        <v>Not Eligible</v>
      </c>
      <c r="H5" s="24" t="e">
        <v>#N/A</v>
      </c>
      <c r="I5" s="24" t="e">
        <v>#N/A</v>
      </c>
      <c r="J5" s="24" t="e">
        <v>#N/A</v>
      </c>
      <c r="K5" s="17">
        <v>0.8</v>
      </c>
      <c r="L5" s="17">
        <v>1</v>
      </c>
      <c r="M5" s="18">
        <v>12</v>
      </c>
      <c r="N5" s="19">
        <v>390</v>
      </c>
      <c r="O5" s="20">
        <f t="shared" si="1"/>
        <v>25</v>
      </c>
      <c r="P5" s="20">
        <v>1325.425371</v>
      </c>
      <c r="Q5" s="20">
        <v>1060.340297</v>
      </c>
      <c r="R5" s="17">
        <v>0.03</v>
      </c>
      <c r="S5" s="18">
        <v>0.7659999999999999</v>
      </c>
      <c r="T5" s="27">
        <v>34891.997663271039</v>
      </c>
      <c r="U5" s="28">
        <v>35305.844379786402</v>
      </c>
      <c r="V5">
        <f t="shared" si="2"/>
        <v>0.04</v>
      </c>
      <c r="Z5" t="s">
        <v>504</v>
      </c>
      <c r="AA5">
        <v>0.17</v>
      </c>
    </row>
    <row r="6" spans="1:27" ht="14.45" customHeight="1" x14ac:dyDescent="0.25">
      <c r="A6" s="14" t="s">
        <v>71</v>
      </c>
      <c r="B6" t="s">
        <v>72</v>
      </c>
      <c r="C6" t="s">
        <v>66</v>
      </c>
      <c r="D6" t="s">
        <v>504</v>
      </c>
      <c r="E6" s="14" t="s">
        <v>67</v>
      </c>
      <c r="F6" s="14" t="s">
        <v>73</v>
      </c>
      <c r="G6" s="15" t="str">
        <f t="shared" si="0"/>
        <v>Not Eligible</v>
      </c>
      <c r="H6" s="24">
        <v>468910</v>
      </c>
      <c r="I6" s="24">
        <v>392212.60000000003</v>
      </c>
      <c r="J6" s="24">
        <v>326352.39999999997</v>
      </c>
      <c r="K6" s="17">
        <v>0.8</v>
      </c>
      <c r="L6" s="17">
        <v>1</v>
      </c>
      <c r="M6" s="18">
        <v>12</v>
      </c>
      <c r="N6" s="19">
        <v>13.5</v>
      </c>
      <c r="O6" s="20">
        <f t="shared" si="1"/>
        <v>15</v>
      </c>
      <c r="P6" s="20">
        <v>538.36166230000003</v>
      </c>
      <c r="Q6" s="20">
        <v>753.70632720000003</v>
      </c>
      <c r="R6" s="17">
        <v>0.03</v>
      </c>
      <c r="S6" s="18">
        <v>0.74319999999999997</v>
      </c>
      <c r="T6" s="25">
        <v>5318.040368201604</v>
      </c>
      <c r="U6" s="26">
        <v>5930.41543589914</v>
      </c>
      <c r="V6">
        <f t="shared" si="2"/>
        <v>0.17</v>
      </c>
      <c r="Z6" t="s">
        <v>508</v>
      </c>
      <c r="AA6">
        <v>0.17</v>
      </c>
    </row>
    <row r="7" spans="1:27" ht="14.45" customHeight="1" x14ac:dyDescent="0.25">
      <c r="A7" s="14" t="s">
        <v>74</v>
      </c>
      <c r="B7" t="s">
        <v>75</v>
      </c>
      <c r="C7" t="s">
        <v>76</v>
      </c>
      <c r="D7" t="s">
        <v>505</v>
      </c>
      <c r="E7" s="14" t="s">
        <v>67</v>
      </c>
      <c r="F7" s="14" t="s">
        <v>63</v>
      </c>
      <c r="G7" s="15" t="str">
        <f t="shared" si="0"/>
        <v>Not Eligible</v>
      </c>
      <c r="H7" s="30">
        <v>724.19999999999993</v>
      </c>
      <c r="I7" s="30">
        <v>729.19999999999993</v>
      </c>
      <c r="J7" s="30">
        <v>761.4</v>
      </c>
      <c r="K7" s="17">
        <v>0.8</v>
      </c>
      <c r="L7" s="17">
        <v>1</v>
      </c>
      <c r="M7" s="18">
        <v>12</v>
      </c>
      <c r="N7" s="19">
        <v>40.44</v>
      </c>
      <c r="O7" s="20">
        <f t="shared" si="1"/>
        <v>15</v>
      </c>
      <c r="P7" s="20">
        <v>743.00257050000005</v>
      </c>
      <c r="Q7" s="20">
        <v>891.60308459999999</v>
      </c>
      <c r="R7" s="17">
        <v>0.03</v>
      </c>
      <c r="S7" s="18">
        <v>0.70940000000000003</v>
      </c>
      <c r="T7" s="25">
        <v>12479.549382440513</v>
      </c>
      <c r="U7" s="26">
        <v>16121.022563282817</v>
      </c>
      <c r="V7">
        <f t="shared" si="2"/>
        <v>0.11</v>
      </c>
    </row>
    <row r="8" spans="1:27" ht="14.45" customHeight="1" x14ac:dyDescent="0.25">
      <c r="A8" s="14" t="s">
        <v>77</v>
      </c>
      <c r="B8" t="s">
        <v>78</v>
      </c>
      <c r="C8" t="s">
        <v>76</v>
      </c>
      <c r="D8" t="s">
        <v>505</v>
      </c>
      <c r="E8" s="14" t="s">
        <v>67</v>
      </c>
      <c r="F8" s="14" t="s">
        <v>63</v>
      </c>
      <c r="G8" s="15" t="str">
        <f t="shared" si="0"/>
        <v>Not Eligible</v>
      </c>
      <c r="H8" s="30">
        <v>365284.2</v>
      </c>
      <c r="I8" s="30">
        <v>357582.4</v>
      </c>
      <c r="J8" s="30">
        <v>352162.2</v>
      </c>
      <c r="K8" s="17">
        <v>0.8</v>
      </c>
      <c r="L8" s="17">
        <v>1</v>
      </c>
      <c r="M8" s="18">
        <v>12</v>
      </c>
      <c r="N8" s="19">
        <v>40.44</v>
      </c>
      <c r="O8" s="20">
        <f t="shared" si="1"/>
        <v>15</v>
      </c>
      <c r="P8" s="20">
        <v>743.00257050000005</v>
      </c>
      <c r="Q8" s="20">
        <v>891.60308459999999</v>
      </c>
      <c r="R8" s="17">
        <v>0.03</v>
      </c>
      <c r="S8" s="18">
        <v>0.70940000000000003</v>
      </c>
      <c r="T8" s="25">
        <v>10941.958717432743</v>
      </c>
      <c r="U8" s="26">
        <v>17674.371992435284</v>
      </c>
      <c r="V8">
        <f t="shared" si="2"/>
        <v>0.11</v>
      </c>
    </row>
    <row r="9" spans="1:27" ht="14.45" customHeight="1" x14ac:dyDescent="0.25">
      <c r="A9" s="14" t="s">
        <v>79</v>
      </c>
      <c r="B9" t="s">
        <v>80</v>
      </c>
      <c r="C9" t="s">
        <v>61</v>
      </c>
      <c r="D9" t="s">
        <v>505</v>
      </c>
      <c r="E9" s="14" t="s">
        <v>62</v>
      </c>
      <c r="F9" s="14" t="s">
        <v>73</v>
      </c>
      <c r="G9" s="15" t="str">
        <f t="shared" si="0"/>
        <v>Not Eligible</v>
      </c>
      <c r="H9" s="30">
        <v>20136.000000000004</v>
      </c>
      <c r="I9" s="30">
        <v>18298.2</v>
      </c>
      <c r="J9" s="30">
        <v>15060.599999999999</v>
      </c>
      <c r="K9" s="17">
        <v>0.8</v>
      </c>
      <c r="L9" s="17">
        <v>1</v>
      </c>
      <c r="M9" s="18">
        <v>12</v>
      </c>
      <c r="N9" s="19">
        <v>13.5</v>
      </c>
      <c r="O9" s="20">
        <f t="shared" si="1"/>
        <v>15</v>
      </c>
      <c r="P9" s="20">
        <v>588.11935960000005</v>
      </c>
      <c r="Q9" s="20">
        <v>470.49548770000001</v>
      </c>
      <c r="R9" s="17">
        <v>0.03</v>
      </c>
      <c r="S9" s="18">
        <v>0.7659999999999999</v>
      </c>
      <c r="T9" s="25">
        <v>3305.4867040621434</v>
      </c>
      <c r="U9" s="26">
        <v>5829.0413261806061</v>
      </c>
      <c r="V9">
        <f t="shared" si="2"/>
        <v>0.11</v>
      </c>
    </row>
    <row r="10" spans="1:27" ht="14.45" customHeight="1" x14ac:dyDescent="0.25">
      <c r="A10" s="14" t="s">
        <v>81</v>
      </c>
      <c r="B10" t="s">
        <v>82</v>
      </c>
      <c r="C10" t="s">
        <v>83</v>
      </c>
      <c r="D10" t="s">
        <v>506</v>
      </c>
      <c r="E10" s="14" t="s">
        <v>70</v>
      </c>
      <c r="F10" s="14" t="s">
        <v>63</v>
      </c>
      <c r="G10" s="15" t="str">
        <f t="shared" si="0"/>
        <v>Not Eligible</v>
      </c>
      <c r="H10" s="24">
        <v>150373.6</v>
      </c>
      <c r="I10" s="24">
        <v>148066</v>
      </c>
      <c r="J10" s="24">
        <v>137705.19999999998</v>
      </c>
      <c r="K10" s="17">
        <v>0.8</v>
      </c>
      <c r="L10" s="17">
        <v>1</v>
      </c>
      <c r="M10" s="18">
        <v>12</v>
      </c>
      <c r="N10" s="19">
        <v>390</v>
      </c>
      <c r="O10" s="20">
        <f t="shared" si="1"/>
        <v>25</v>
      </c>
      <c r="P10" s="20">
        <v>1472.623308</v>
      </c>
      <c r="Q10" s="20">
        <v>2061.6726319999998</v>
      </c>
      <c r="R10" s="17">
        <v>0.03</v>
      </c>
      <c r="S10" s="18">
        <v>0.76080000000000003</v>
      </c>
      <c r="T10" s="25">
        <v>60979.028936239723</v>
      </c>
      <c r="U10" s="26">
        <v>39438.156582873104</v>
      </c>
      <c r="V10">
        <f t="shared" si="2"/>
        <v>0.04</v>
      </c>
    </row>
    <row r="11" spans="1:27" ht="14.45" customHeight="1" x14ac:dyDescent="0.25">
      <c r="A11" s="14" t="s">
        <v>84</v>
      </c>
      <c r="B11" t="s">
        <v>85</v>
      </c>
      <c r="C11" t="s">
        <v>61</v>
      </c>
      <c r="D11" t="s">
        <v>506</v>
      </c>
      <c r="E11" s="14" t="s">
        <v>70</v>
      </c>
      <c r="F11" s="14" t="s">
        <v>63</v>
      </c>
      <c r="G11" s="15" t="str">
        <f t="shared" si="0"/>
        <v>Not Eligible</v>
      </c>
      <c r="H11" s="24">
        <v>39316.6</v>
      </c>
      <c r="I11" s="24">
        <v>38699</v>
      </c>
      <c r="J11" s="24">
        <v>40631.4</v>
      </c>
      <c r="K11" s="17">
        <v>0.8</v>
      </c>
      <c r="L11" s="17">
        <v>1</v>
      </c>
      <c r="M11" s="18">
        <v>12</v>
      </c>
      <c r="N11" s="19">
        <v>390</v>
      </c>
      <c r="O11" s="20">
        <f t="shared" si="1"/>
        <v>25</v>
      </c>
      <c r="P11" s="20">
        <v>1325.425371</v>
      </c>
      <c r="Q11" s="20">
        <v>1590.5104449999999</v>
      </c>
      <c r="R11" s="17">
        <v>0.03</v>
      </c>
      <c r="S11" s="18">
        <v>0.7659999999999999</v>
      </c>
      <c r="T11" s="25">
        <v>49608.761432474166</v>
      </c>
      <c r="U11" s="26">
        <v>42225.212958475</v>
      </c>
      <c r="V11">
        <f t="shared" si="2"/>
        <v>0.04</v>
      </c>
    </row>
    <row r="12" spans="1:27" ht="14.45" customHeight="1" x14ac:dyDescent="0.25">
      <c r="A12" s="14" t="s">
        <v>86</v>
      </c>
      <c r="B12" t="s">
        <v>87</v>
      </c>
      <c r="C12" t="s">
        <v>61</v>
      </c>
      <c r="D12" t="s">
        <v>505</v>
      </c>
      <c r="E12" s="14" t="s">
        <v>67</v>
      </c>
      <c r="F12" s="14" t="s">
        <v>73</v>
      </c>
      <c r="G12" s="15" t="str">
        <f t="shared" si="0"/>
        <v>Not Eligible</v>
      </c>
      <c r="H12" s="24">
        <v>85024</v>
      </c>
      <c r="I12" s="24">
        <v>58036.6</v>
      </c>
      <c r="J12" s="24">
        <v>55464</v>
      </c>
      <c r="K12" s="17">
        <v>0.8</v>
      </c>
      <c r="L12" s="17">
        <v>1</v>
      </c>
      <c r="M12" s="18">
        <v>12</v>
      </c>
      <c r="N12" s="19">
        <v>13.5</v>
      </c>
      <c r="O12" s="20">
        <f t="shared" si="1"/>
        <v>15</v>
      </c>
      <c r="P12" s="20">
        <v>588.11935960000005</v>
      </c>
      <c r="Q12" s="20">
        <v>705.74323159999994</v>
      </c>
      <c r="R12" s="17">
        <v>0.03</v>
      </c>
      <c r="S12" s="18">
        <v>0.7659999999999999</v>
      </c>
      <c r="T12" s="25">
        <v>6915.7559714249555</v>
      </c>
      <c r="U12" s="26">
        <v>10136.053736744267</v>
      </c>
      <c r="V12">
        <f t="shared" si="2"/>
        <v>0.11</v>
      </c>
    </row>
    <row r="13" spans="1:27" ht="14.45" customHeight="1" x14ac:dyDescent="0.25">
      <c r="A13" s="14" t="s">
        <v>88</v>
      </c>
      <c r="B13" t="s">
        <v>89</v>
      </c>
      <c r="C13" t="s">
        <v>76</v>
      </c>
      <c r="D13" t="s">
        <v>505</v>
      </c>
      <c r="E13" s="14" t="s">
        <v>70</v>
      </c>
      <c r="F13" s="14" t="s">
        <v>63</v>
      </c>
      <c r="G13" s="15" t="str">
        <f t="shared" si="0"/>
        <v>Not Eligible</v>
      </c>
      <c r="H13" s="30">
        <v>2834.2000000000003</v>
      </c>
      <c r="I13" s="30">
        <v>2651.3999999999996</v>
      </c>
      <c r="J13" s="30">
        <v>2440.4</v>
      </c>
      <c r="K13" s="17">
        <v>0.8</v>
      </c>
      <c r="L13" s="17">
        <v>1</v>
      </c>
      <c r="M13" s="18">
        <v>12</v>
      </c>
      <c r="N13" s="19">
        <v>390</v>
      </c>
      <c r="O13" s="20">
        <f t="shared" si="1"/>
        <v>25</v>
      </c>
      <c r="P13" s="20">
        <v>743.00257050000005</v>
      </c>
      <c r="Q13" s="20">
        <v>1040.2035989999999</v>
      </c>
      <c r="R13" s="17">
        <v>0.03</v>
      </c>
      <c r="S13" s="18">
        <v>0.70940000000000003</v>
      </c>
      <c r="T13" s="25">
        <v>22431.026338226144</v>
      </c>
      <c r="U13" s="26">
        <v>32197.539472015102</v>
      </c>
      <c r="V13">
        <f t="shared" si="2"/>
        <v>0.11</v>
      </c>
    </row>
    <row r="14" spans="1:27" ht="14.45" customHeight="1" x14ac:dyDescent="0.25">
      <c r="A14" s="14" t="s">
        <v>90</v>
      </c>
      <c r="B14" t="s">
        <v>91</v>
      </c>
      <c r="C14" t="s">
        <v>56</v>
      </c>
      <c r="D14" t="s">
        <v>505</v>
      </c>
      <c r="E14" s="14" t="s">
        <v>70</v>
      </c>
      <c r="F14" s="14" t="s">
        <v>63</v>
      </c>
      <c r="G14" s="15" t="str">
        <f t="shared" si="0"/>
        <v>Not Eligible</v>
      </c>
      <c r="H14" s="24">
        <v>10562.000000000002</v>
      </c>
      <c r="I14" s="24">
        <v>9711.4000000000015</v>
      </c>
      <c r="J14" s="24">
        <v>8627.2000000000007</v>
      </c>
      <c r="K14" s="17">
        <v>0.8</v>
      </c>
      <c r="L14" s="17">
        <v>1</v>
      </c>
      <c r="M14" s="18">
        <v>12</v>
      </c>
      <c r="N14" s="19">
        <v>390</v>
      </c>
      <c r="O14" s="20">
        <f t="shared" si="1"/>
        <v>25</v>
      </c>
      <c r="P14" s="20">
        <v>811.19980080000005</v>
      </c>
      <c r="Q14" s="20">
        <v>811.19980080000005</v>
      </c>
      <c r="R14" s="17">
        <v>0.03</v>
      </c>
      <c r="S14" s="18">
        <v>0.81889999999999996</v>
      </c>
      <c r="T14" s="31">
        <v>18184.197511213759</v>
      </c>
      <c r="U14" s="23">
        <v>23690.2596443398</v>
      </c>
      <c r="V14">
        <f t="shared" si="2"/>
        <v>0.11</v>
      </c>
    </row>
    <row r="15" spans="1:27" ht="14.45" customHeight="1" x14ac:dyDescent="0.25">
      <c r="A15" s="14" t="s">
        <v>92</v>
      </c>
      <c r="B15" t="s">
        <v>93</v>
      </c>
      <c r="C15" t="s">
        <v>94</v>
      </c>
      <c r="D15" t="s">
        <v>504</v>
      </c>
      <c r="E15" s="14" t="s">
        <v>57</v>
      </c>
      <c r="F15" s="14" t="s">
        <v>58</v>
      </c>
      <c r="G15" s="15" t="str">
        <f t="shared" si="0"/>
        <v>Not Eligible</v>
      </c>
      <c r="H15" s="24">
        <v>1500513.4000000001</v>
      </c>
      <c r="I15" s="24">
        <v>1534455.6</v>
      </c>
      <c r="J15" s="24">
        <v>1606442.2</v>
      </c>
      <c r="K15" s="17">
        <v>0.8</v>
      </c>
      <c r="L15" s="17">
        <v>1</v>
      </c>
      <c r="M15" s="18">
        <v>12</v>
      </c>
      <c r="N15" s="19">
        <v>13.5</v>
      </c>
      <c r="O15" s="20">
        <f t="shared" si="1"/>
        <v>5</v>
      </c>
      <c r="P15" s="20">
        <v>493.69661500000001</v>
      </c>
      <c r="Q15" s="20">
        <v>296.21796899999998</v>
      </c>
      <c r="R15" s="17">
        <v>0.03</v>
      </c>
      <c r="S15" s="18">
        <v>0.68420000000000003</v>
      </c>
      <c r="T15" s="25">
        <v>743.41419577173542</v>
      </c>
      <c r="U15" s="26">
        <v>1788.29764146453</v>
      </c>
      <c r="V15">
        <f t="shared" si="2"/>
        <v>0.17</v>
      </c>
    </row>
    <row r="16" spans="1:27" ht="14.45" customHeight="1" x14ac:dyDescent="0.25">
      <c r="A16" s="14" t="s">
        <v>95</v>
      </c>
      <c r="B16" t="s">
        <v>96</v>
      </c>
      <c r="C16" t="s">
        <v>76</v>
      </c>
      <c r="D16" t="s">
        <v>505</v>
      </c>
      <c r="E16" s="14" t="s">
        <v>70</v>
      </c>
      <c r="F16" s="14" t="s">
        <v>63</v>
      </c>
      <c r="G16" s="15" t="str">
        <f t="shared" si="0"/>
        <v>Not Eligible</v>
      </c>
      <c r="H16" s="24">
        <v>1714.3999999999999</v>
      </c>
      <c r="I16" s="24">
        <v>1809.8</v>
      </c>
      <c r="J16" s="24">
        <v>1855.8</v>
      </c>
      <c r="K16" s="17">
        <v>0.8</v>
      </c>
      <c r="L16" s="17">
        <v>1</v>
      </c>
      <c r="M16" s="18">
        <v>12</v>
      </c>
      <c r="N16" s="19">
        <v>390</v>
      </c>
      <c r="O16" s="20">
        <f t="shared" si="1"/>
        <v>25</v>
      </c>
      <c r="P16" s="20">
        <v>743.00257050000005</v>
      </c>
      <c r="Q16" s="20">
        <v>1040.2035989999999</v>
      </c>
      <c r="R16" s="17">
        <v>0.03</v>
      </c>
      <c r="S16" s="18">
        <v>0.70940000000000003</v>
      </c>
      <c r="T16" s="25">
        <v>13452.587387058502</v>
      </c>
      <c r="U16" s="32">
        <v>19271.981980331799</v>
      </c>
      <c r="V16">
        <f t="shared" si="2"/>
        <v>0.11</v>
      </c>
    </row>
    <row r="17" spans="1:22" ht="14.45" customHeight="1" x14ac:dyDescent="0.25">
      <c r="A17" s="14" t="s">
        <v>97</v>
      </c>
      <c r="B17" t="s">
        <v>98</v>
      </c>
      <c r="C17" t="s">
        <v>61</v>
      </c>
      <c r="D17" t="s">
        <v>507</v>
      </c>
      <c r="E17" s="14" t="s">
        <v>67</v>
      </c>
      <c r="F17" s="14" t="s">
        <v>63</v>
      </c>
      <c r="G17" s="15" t="str">
        <f t="shared" si="0"/>
        <v>Not Eligible</v>
      </c>
      <c r="H17" s="24">
        <v>56879.999999999993</v>
      </c>
      <c r="I17" s="24">
        <v>48362.400000000001</v>
      </c>
      <c r="J17" s="24">
        <v>43053.2</v>
      </c>
      <c r="K17" s="17">
        <v>0.8</v>
      </c>
      <c r="L17" s="17">
        <v>1</v>
      </c>
      <c r="M17" s="18">
        <v>12</v>
      </c>
      <c r="N17" s="19">
        <v>40.44</v>
      </c>
      <c r="O17" s="20">
        <f t="shared" si="1"/>
        <v>15</v>
      </c>
      <c r="P17" s="20">
        <v>744.10140560000002</v>
      </c>
      <c r="Q17" s="20">
        <v>595.28112450000003</v>
      </c>
      <c r="R17" s="17">
        <v>0.03</v>
      </c>
      <c r="S17" s="18">
        <v>0.7659999999999999</v>
      </c>
      <c r="T17" s="25">
        <v>5819.9177031574</v>
      </c>
      <c r="U17" s="26">
        <v>15040.300072541737</v>
      </c>
      <c r="V17">
        <f t="shared" si="2"/>
        <v>0.13</v>
      </c>
    </row>
    <row r="18" spans="1:22" ht="14.45" customHeight="1" x14ac:dyDescent="0.25">
      <c r="A18" s="14" t="s">
        <v>99</v>
      </c>
      <c r="B18" t="s">
        <v>100</v>
      </c>
      <c r="C18" t="s">
        <v>61</v>
      </c>
      <c r="D18" t="s">
        <v>506</v>
      </c>
      <c r="E18" s="14" t="s">
        <v>70</v>
      </c>
      <c r="F18" s="14" t="s">
        <v>63</v>
      </c>
      <c r="G18" s="15" t="str">
        <f t="shared" si="0"/>
        <v>Not Eligible</v>
      </c>
      <c r="H18" s="24">
        <v>63747</v>
      </c>
      <c r="I18" s="24">
        <v>63621.599999999999</v>
      </c>
      <c r="J18" s="24">
        <v>59636.4</v>
      </c>
      <c r="K18" s="17">
        <v>0.8</v>
      </c>
      <c r="L18" s="17">
        <v>1</v>
      </c>
      <c r="M18" s="18">
        <v>12</v>
      </c>
      <c r="N18" s="19">
        <v>390</v>
      </c>
      <c r="O18" s="20">
        <f t="shared" si="1"/>
        <v>25</v>
      </c>
      <c r="P18" s="20">
        <v>1325.425371</v>
      </c>
      <c r="Q18" s="20">
        <v>1590.5104449999999</v>
      </c>
      <c r="R18" s="17">
        <v>0.03</v>
      </c>
      <c r="S18" s="18">
        <v>0.7659999999999999</v>
      </c>
      <c r="T18" s="25">
        <v>46662.528262273903</v>
      </c>
      <c r="U18" s="26">
        <v>38605.223278011392</v>
      </c>
      <c r="V18">
        <f t="shared" si="2"/>
        <v>0.04</v>
      </c>
    </row>
    <row r="19" spans="1:22" ht="14.45" customHeight="1" x14ac:dyDescent="0.25">
      <c r="A19" s="14" t="s">
        <v>101</v>
      </c>
      <c r="B19" t="s">
        <v>102</v>
      </c>
      <c r="C19" t="s">
        <v>76</v>
      </c>
      <c r="D19" t="s">
        <v>505</v>
      </c>
      <c r="E19" s="14" t="s">
        <v>62</v>
      </c>
      <c r="F19" s="14" t="s">
        <v>63</v>
      </c>
      <c r="G19" s="15" t="str">
        <f t="shared" si="0"/>
        <v>Not Eligible</v>
      </c>
      <c r="H19" s="24">
        <v>3893.9999999999995</v>
      </c>
      <c r="I19" s="24">
        <v>3718.8</v>
      </c>
      <c r="J19" s="24">
        <v>3903.1999999999994</v>
      </c>
      <c r="K19" s="17">
        <v>0.8</v>
      </c>
      <c r="L19" s="17">
        <v>1</v>
      </c>
      <c r="M19" s="18">
        <v>12</v>
      </c>
      <c r="N19" s="19">
        <v>40.44</v>
      </c>
      <c r="O19" s="20">
        <f t="shared" si="1"/>
        <v>15</v>
      </c>
      <c r="P19" s="20">
        <v>743.00257050000005</v>
      </c>
      <c r="Q19" s="20">
        <v>445.80154229999999</v>
      </c>
      <c r="R19" s="17">
        <v>0.03</v>
      </c>
      <c r="S19" s="18">
        <v>0.70940000000000003</v>
      </c>
      <c r="T19" s="25">
        <v>4059.1699383062255</v>
      </c>
      <c r="U19" s="26">
        <v>6722.2257632013188</v>
      </c>
      <c r="V19">
        <f t="shared" si="2"/>
        <v>0.11</v>
      </c>
    </row>
    <row r="20" spans="1:22" ht="14.45" customHeight="1" x14ac:dyDescent="0.25">
      <c r="A20" s="14" t="s">
        <v>103</v>
      </c>
      <c r="B20" t="s">
        <v>104</v>
      </c>
      <c r="C20" t="s">
        <v>66</v>
      </c>
      <c r="D20" t="s">
        <v>504</v>
      </c>
      <c r="E20" s="14" t="s">
        <v>57</v>
      </c>
      <c r="F20" s="14" t="s">
        <v>58</v>
      </c>
      <c r="G20" s="15" t="str">
        <f t="shared" si="0"/>
        <v>Not Eligible</v>
      </c>
      <c r="H20" s="24">
        <v>168735.8</v>
      </c>
      <c r="I20" s="24">
        <v>150775.4</v>
      </c>
      <c r="J20" s="24">
        <v>134523.4</v>
      </c>
      <c r="K20" s="17">
        <v>0.8</v>
      </c>
      <c r="L20" s="17">
        <v>1</v>
      </c>
      <c r="M20" s="18">
        <v>12</v>
      </c>
      <c r="N20" s="19">
        <v>13.5</v>
      </c>
      <c r="O20" s="20">
        <f t="shared" si="1"/>
        <v>5</v>
      </c>
      <c r="P20" s="20">
        <v>538.36166230000003</v>
      </c>
      <c r="Q20" s="20">
        <v>538.36166230000003</v>
      </c>
      <c r="R20" s="17">
        <v>0.03</v>
      </c>
      <c r="S20" s="18">
        <v>0.74319999999999997</v>
      </c>
      <c r="T20" s="25">
        <v>801.640480754279</v>
      </c>
      <c r="U20" s="26">
        <v>1627.8247314702649</v>
      </c>
      <c r="V20">
        <f t="shared" si="2"/>
        <v>0.17</v>
      </c>
    </row>
    <row r="21" spans="1:22" ht="14.45" customHeight="1" x14ac:dyDescent="0.25">
      <c r="A21" s="14" t="s">
        <v>105</v>
      </c>
      <c r="B21" t="s">
        <v>106</v>
      </c>
      <c r="C21" t="s">
        <v>94</v>
      </c>
      <c r="D21" t="s">
        <v>504</v>
      </c>
      <c r="E21" s="14" t="s">
        <v>62</v>
      </c>
      <c r="F21" s="14" t="s">
        <v>73</v>
      </c>
      <c r="G21" s="15" t="str">
        <f t="shared" si="0"/>
        <v>Not Eligible</v>
      </c>
      <c r="H21" s="24">
        <v>6485.8</v>
      </c>
      <c r="I21" s="24">
        <v>7049.2000000000007</v>
      </c>
      <c r="J21" s="24">
        <v>6980.8</v>
      </c>
      <c r="K21" s="17">
        <v>0.8</v>
      </c>
      <c r="L21" s="17">
        <v>1</v>
      </c>
      <c r="M21" s="18">
        <v>12</v>
      </c>
      <c r="N21" s="19">
        <v>13.5</v>
      </c>
      <c r="O21" s="20">
        <f t="shared" si="1"/>
        <v>15</v>
      </c>
      <c r="P21" s="20">
        <v>493.69661500000001</v>
      </c>
      <c r="Q21" s="20">
        <v>493.69661500000001</v>
      </c>
      <c r="R21" s="17">
        <v>0.03</v>
      </c>
      <c r="S21" s="18">
        <v>0.68420000000000003</v>
      </c>
      <c r="T21" s="25">
        <v>2346.2868482843501</v>
      </c>
      <c r="U21" s="26">
        <v>5809.8859042398553</v>
      </c>
      <c r="V21">
        <f t="shared" si="2"/>
        <v>0.17</v>
      </c>
    </row>
    <row r="22" spans="1:22" ht="14.45" customHeight="1" x14ac:dyDescent="0.25">
      <c r="A22" s="14" t="s">
        <v>107</v>
      </c>
      <c r="B22" t="s">
        <v>108</v>
      </c>
      <c r="C22" t="s">
        <v>76</v>
      </c>
      <c r="D22" t="s">
        <v>504</v>
      </c>
      <c r="E22" s="14" t="s">
        <v>62</v>
      </c>
      <c r="F22" s="14" t="s">
        <v>73</v>
      </c>
      <c r="G22" s="15" t="str">
        <f t="shared" si="0"/>
        <v>Not Eligible</v>
      </c>
      <c r="H22" s="24">
        <v>116166.39999999999</v>
      </c>
      <c r="I22" s="24">
        <v>113938.4</v>
      </c>
      <c r="J22" s="24">
        <v>111526.8</v>
      </c>
      <c r="K22" s="17">
        <v>0.8</v>
      </c>
      <c r="L22" s="17">
        <v>1</v>
      </c>
      <c r="M22" s="18">
        <v>12</v>
      </c>
      <c r="N22" s="19">
        <v>13.5</v>
      </c>
      <c r="O22" s="20">
        <f t="shared" si="1"/>
        <v>15</v>
      </c>
      <c r="P22" s="20">
        <v>546.30694100000005</v>
      </c>
      <c r="Q22" s="20">
        <v>546.30694100000005</v>
      </c>
      <c r="R22" s="17">
        <v>0.03</v>
      </c>
      <c r="S22" s="18">
        <v>0.70940000000000003</v>
      </c>
      <c r="T22" s="25">
        <v>2373.9506573208314</v>
      </c>
      <c r="U22" s="26">
        <v>5129.8836460342354</v>
      </c>
      <c r="V22">
        <f t="shared" si="2"/>
        <v>0.17</v>
      </c>
    </row>
    <row r="23" spans="1:22" ht="14.45" customHeight="1" x14ac:dyDescent="0.25">
      <c r="A23" s="14" t="s">
        <v>109</v>
      </c>
      <c r="B23" t="s">
        <v>110</v>
      </c>
      <c r="C23" t="s">
        <v>61</v>
      </c>
      <c r="D23" t="s">
        <v>505</v>
      </c>
      <c r="E23" s="14" t="s">
        <v>67</v>
      </c>
      <c r="F23" s="14" t="s">
        <v>63</v>
      </c>
      <c r="G23" s="15" t="str">
        <f t="shared" si="0"/>
        <v>Not Eligible</v>
      </c>
      <c r="H23" s="24">
        <v>16718.399999999998</v>
      </c>
      <c r="I23" s="24">
        <v>17059.400000000001</v>
      </c>
      <c r="J23" s="24">
        <v>16089.199999999999</v>
      </c>
      <c r="K23" s="17">
        <v>0.8</v>
      </c>
      <c r="L23" s="17">
        <v>1</v>
      </c>
      <c r="M23" s="18">
        <v>12</v>
      </c>
      <c r="N23" s="19">
        <v>40.44</v>
      </c>
      <c r="O23" s="20">
        <f t="shared" si="1"/>
        <v>15</v>
      </c>
      <c r="P23" s="20">
        <v>588.11935960000005</v>
      </c>
      <c r="Q23" s="20">
        <v>470.49548770000001</v>
      </c>
      <c r="R23" s="17">
        <v>0.03</v>
      </c>
      <c r="S23" s="18">
        <v>0.7659999999999999</v>
      </c>
      <c r="T23" s="25">
        <v>4820.6660292115448</v>
      </c>
      <c r="U23" s="26">
        <v>9089.1175091704299</v>
      </c>
      <c r="V23">
        <f t="shared" si="2"/>
        <v>0.11</v>
      </c>
    </row>
    <row r="24" spans="1:22" ht="14.45" customHeight="1" x14ac:dyDescent="0.25">
      <c r="A24" s="14" t="s">
        <v>111</v>
      </c>
      <c r="B24" t="s">
        <v>112</v>
      </c>
      <c r="C24" t="s">
        <v>66</v>
      </c>
      <c r="D24" t="s">
        <v>508</v>
      </c>
      <c r="E24" s="14" t="s">
        <v>67</v>
      </c>
      <c r="F24" s="14" t="s">
        <v>63</v>
      </c>
      <c r="G24" s="15" t="str">
        <f t="shared" si="0"/>
        <v>Not Eligible</v>
      </c>
      <c r="H24" s="24">
        <v>26356.2</v>
      </c>
      <c r="I24" s="24">
        <v>23460.2</v>
      </c>
      <c r="J24" s="24">
        <v>21915.199999999997</v>
      </c>
      <c r="K24" s="17">
        <v>0.8</v>
      </c>
      <c r="L24" s="17">
        <v>1</v>
      </c>
      <c r="M24" s="18">
        <v>12</v>
      </c>
      <c r="N24" s="19">
        <v>40.44</v>
      </c>
      <c r="O24" s="20">
        <f t="shared" si="1"/>
        <v>15</v>
      </c>
      <c r="P24" s="20">
        <v>551.90324139999996</v>
      </c>
      <c r="Q24" s="20">
        <v>772.66453799999999</v>
      </c>
      <c r="R24" s="17">
        <v>0.03</v>
      </c>
      <c r="S24" s="18">
        <v>0.74319999999999997</v>
      </c>
      <c r="T24" s="25">
        <v>8532.6172216812374</v>
      </c>
      <c r="U24" s="26">
        <v>14752.698449188203</v>
      </c>
      <c r="V24">
        <f t="shared" si="2"/>
        <v>0.17</v>
      </c>
    </row>
    <row r="25" spans="1:22" ht="14.45" customHeight="1" x14ac:dyDescent="0.25">
      <c r="A25" s="14" t="s">
        <v>113</v>
      </c>
      <c r="B25" t="s">
        <v>114</v>
      </c>
      <c r="C25" t="s">
        <v>76</v>
      </c>
      <c r="D25" t="s">
        <v>505</v>
      </c>
      <c r="E25" s="14" t="s">
        <v>67</v>
      </c>
      <c r="F25" s="14" t="s">
        <v>63</v>
      </c>
      <c r="G25" s="15" t="str">
        <f t="shared" si="0"/>
        <v>Not Eligible</v>
      </c>
      <c r="H25" s="24">
        <v>1472216.7999999998</v>
      </c>
      <c r="I25" s="24">
        <v>1510422.2</v>
      </c>
      <c r="J25" s="24">
        <v>1709038.2000000002</v>
      </c>
      <c r="K25" s="17">
        <v>0.8</v>
      </c>
      <c r="L25" s="17">
        <v>1</v>
      </c>
      <c r="M25" s="18">
        <v>12</v>
      </c>
      <c r="N25" s="19">
        <v>40.44</v>
      </c>
      <c r="O25" s="20">
        <f t="shared" si="1"/>
        <v>15</v>
      </c>
      <c r="P25" s="20">
        <v>743.00257050000005</v>
      </c>
      <c r="Q25" s="20">
        <v>891.60308459999999</v>
      </c>
      <c r="R25" s="17">
        <v>0.03</v>
      </c>
      <c r="S25" s="18">
        <v>0.70940000000000003</v>
      </c>
      <c r="T25" s="25">
        <v>12593.892927030683</v>
      </c>
      <c r="U25" s="26">
        <v>11719.234915727571</v>
      </c>
      <c r="V25">
        <f t="shared" si="2"/>
        <v>0.11</v>
      </c>
    </row>
    <row r="26" spans="1:22" ht="14.45" customHeight="1" x14ac:dyDescent="0.25">
      <c r="A26" s="14" t="s">
        <v>115</v>
      </c>
      <c r="B26" t="s">
        <v>116</v>
      </c>
      <c r="C26" t="s">
        <v>83</v>
      </c>
      <c r="D26" t="s">
        <v>506</v>
      </c>
      <c r="E26" s="14" t="s">
        <v>70</v>
      </c>
      <c r="F26" s="14" t="s">
        <v>63</v>
      </c>
      <c r="G26" s="15" t="str">
        <f t="shared" si="0"/>
        <v>Not Eligible</v>
      </c>
      <c r="H26" s="24">
        <v>3290.2</v>
      </c>
      <c r="I26" s="24">
        <v>2934.4</v>
      </c>
      <c r="J26" s="24">
        <v>3275.6</v>
      </c>
      <c r="K26" s="17">
        <v>0.8</v>
      </c>
      <c r="L26" s="17">
        <v>1</v>
      </c>
      <c r="M26" s="18">
        <v>12</v>
      </c>
      <c r="N26" s="19">
        <v>390</v>
      </c>
      <c r="O26" s="20">
        <f t="shared" si="1"/>
        <v>25</v>
      </c>
      <c r="P26" s="20">
        <v>1472.623308</v>
      </c>
      <c r="Q26" s="20">
        <v>1178.098647</v>
      </c>
      <c r="R26" s="17">
        <v>0.03</v>
      </c>
      <c r="S26" s="18">
        <v>0.76080000000000003</v>
      </c>
      <c r="T26" s="25">
        <v>40301.217638436356</v>
      </c>
      <c r="U26" s="32">
        <v>50506.126052660802</v>
      </c>
      <c r="V26">
        <f t="shared" si="2"/>
        <v>0.04</v>
      </c>
    </row>
    <row r="27" spans="1:22" ht="14.45" customHeight="1" x14ac:dyDescent="0.25">
      <c r="A27" s="14" t="s">
        <v>117</v>
      </c>
      <c r="B27" t="s">
        <v>118</v>
      </c>
      <c r="C27" t="s">
        <v>61</v>
      </c>
      <c r="D27" t="s">
        <v>505</v>
      </c>
      <c r="E27" s="14" t="s">
        <v>67</v>
      </c>
      <c r="F27" s="14" t="s">
        <v>63</v>
      </c>
      <c r="G27" s="15" t="str">
        <f t="shared" si="0"/>
        <v>Not Eligible</v>
      </c>
      <c r="H27" s="24">
        <v>32776.799999999996</v>
      </c>
      <c r="I27" s="24">
        <v>34835.199999999997</v>
      </c>
      <c r="J27" s="24">
        <v>30711.399999999998</v>
      </c>
      <c r="K27" s="17">
        <v>0.8</v>
      </c>
      <c r="L27" s="17">
        <v>1</v>
      </c>
      <c r="M27" s="18">
        <v>12</v>
      </c>
      <c r="N27" s="19">
        <v>40.44</v>
      </c>
      <c r="O27" s="20">
        <f t="shared" si="1"/>
        <v>15</v>
      </c>
      <c r="P27" s="20">
        <v>588.11935960000005</v>
      </c>
      <c r="Q27" s="20">
        <v>705.74323159999994</v>
      </c>
      <c r="R27" s="17">
        <v>0.03</v>
      </c>
      <c r="S27" s="18">
        <v>0.7659999999999999</v>
      </c>
      <c r="T27" s="25">
        <v>7158.1568660927505</v>
      </c>
      <c r="U27" s="26">
        <v>14603.477256390805</v>
      </c>
      <c r="V27">
        <f t="shared" si="2"/>
        <v>0.11</v>
      </c>
    </row>
    <row r="28" spans="1:22" ht="14.45" customHeight="1" x14ac:dyDescent="0.25">
      <c r="A28" s="14" t="s">
        <v>119</v>
      </c>
      <c r="B28" t="s">
        <v>120</v>
      </c>
      <c r="C28" t="s">
        <v>66</v>
      </c>
      <c r="D28" t="s">
        <v>504</v>
      </c>
      <c r="E28" s="14" t="s">
        <v>57</v>
      </c>
      <c r="F28" s="14" t="s">
        <v>58</v>
      </c>
      <c r="G28" s="15" t="str">
        <f t="shared" si="0"/>
        <v>Not Eligible</v>
      </c>
      <c r="H28" s="24">
        <v>310982.2</v>
      </c>
      <c r="I28" s="24">
        <v>274022</v>
      </c>
      <c r="J28" s="24">
        <v>231838.8</v>
      </c>
      <c r="K28" s="17">
        <v>0.8</v>
      </c>
      <c r="L28" s="17">
        <v>1</v>
      </c>
      <c r="M28" s="18">
        <v>12</v>
      </c>
      <c r="N28" s="19">
        <v>13.5</v>
      </c>
      <c r="O28" s="20">
        <f t="shared" si="1"/>
        <v>5</v>
      </c>
      <c r="P28" s="20">
        <v>538.36166230000003</v>
      </c>
      <c r="Q28" s="20">
        <v>430.6893298</v>
      </c>
      <c r="R28" s="17">
        <v>0.03</v>
      </c>
      <c r="S28" s="18">
        <v>0.74319999999999997</v>
      </c>
      <c r="T28" s="33">
        <v>600.38335472682013</v>
      </c>
      <c r="U28" s="26">
        <v>1309.5140073968173</v>
      </c>
      <c r="V28">
        <f t="shared" si="2"/>
        <v>0.17</v>
      </c>
    </row>
    <row r="29" spans="1:22" ht="14.45" customHeight="1" x14ac:dyDescent="0.25">
      <c r="A29" s="14" t="s">
        <v>121</v>
      </c>
      <c r="B29" t="s">
        <v>122</v>
      </c>
      <c r="C29" t="s">
        <v>66</v>
      </c>
      <c r="D29" t="s">
        <v>508</v>
      </c>
      <c r="E29" s="14" t="s">
        <v>57</v>
      </c>
      <c r="F29" s="14" t="s">
        <v>58</v>
      </c>
      <c r="G29" s="15" t="str">
        <f t="shared" si="0"/>
        <v>Not Eligible</v>
      </c>
      <c r="H29" s="24">
        <v>204914.19999999998</v>
      </c>
      <c r="I29" s="24">
        <v>165289.60000000001</v>
      </c>
      <c r="J29" s="24">
        <v>130559.40000000001</v>
      </c>
      <c r="K29" s="17">
        <v>0.8</v>
      </c>
      <c r="L29" s="17">
        <v>1</v>
      </c>
      <c r="M29" s="18">
        <v>12</v>
      </c>
      <c r="N29" s="19">
        <v>13.5</v>
      </c>
      <c r="O29" s="20">
        <f t="shared" si="1"/>
        <v>5</v>
      </c>
      <c r="P29" s="20">
        <v>551.90324139999996</v>
      </c>
      <c r="Q29" s="20">
        <v>331.14194479999998</v>
      </c>
      <c r="R29" s="17">
        <v>0.03</v>
      </c>
      <c r="S29" s="18">
        <v>0.74319999999999997</v>
      </c>
      <c r="T29" s="25">
        <v>271.24495512722251</v>
      </c>
      <c r="U29" s="26">
        <v>608.04884990162896</v>
      </c>
      <c r="V29">
        <f t="shared" si="2"/>
        <v>0.17</v>
      </c>
    </row>
    <row r="30" spans="1:22" ht="14.45" customHeight="1" x14ac:dyDescent="0.25">
      <c r="A30" s="14" t="s">
        <v>123</v>
      </c>
      <c r="B30" t="s">
        <v>124</v>
      </c>
      <c r="C30" t="s">
        <v>83</v>
      </c>
      <c r="D30" t="s">
        <v>505</v>
      </c>
      <c r="E30" s="14" t="s">
        <v>57</v>
      </c>
      <c r="F30" s="14" t="s">
        <v>58</v>
      </c>
      <c r="G30" s="15" t="str">
        <f t="shared" si="0"/>
        <v>Not Eligible</v>
      </c>
      <c r="H30" s="24">
        <v>173581.8</v>
      </c>
      <c r="I30" s="24">
        <v>161877.80000000002</v>
      </c>
      <c r="J30" s="24">
        <v>147906.80000000002</v>
      </c>
      <c r="K30" s="17">
        <v>0.8</v>
      </c>
      <c r="L30" s="17">
        <v>1</v>
      </c>
      <c r="M30" s="18">
        <v>12</v>
      </c>
      <c r="N30" s="19">
        <v>13.5</v>
      </c>
      <c r="O30" s="20">
        <f t="shared" si="1"/>
        <v>5</v>
      </c>
      <c r="P30" s="20">
        <v>650.09150220000004</v>
      </c>
      <c r="Q30" s="20">
        <v>390.05490129999998</v>
      </c>
      <c r="R30" s="17">
        <v>0.03</v>
      </c>
      <c r="S30" s="18">
        <v>0.76080000000000003</v>
      </c>
      <c r="T30" s="25">
        <v>896.84564965142363</v>
      </c>
      <c r="U30" s="26">
        <v>2371.5522254207317</v>
      </c>
      <c r="V30">
        <f t="shared" si="2"/>
        <v>0.11</v>
      </c>
    </row>
    <row r="31" spans="1:22" ht="14.45" customHeight="1" x14ac:dyDescent="0.25">
      <c r="A31" s="14" t="s">
        <v>125</v>
      </c>
      <c r="B31" t="s">
        <v>126</v>
      </c>
      <c r="C31" t="s">
        <v>66</v>
      </c>
      <c r="D31" t="s">
        <v>504</v>
      </c>
      <c r="E31" s="14" t="s">
        <v>62</v>
      </c>
      <c r="F31" s="14" t="s">
        <v>58</v>
      </c>
      <c r="G31" s="15" t="str">
        <f t="shared" si="0"/>
        <v>Not Eligible</v>
      </c>
      <c r="H31" s="24">
        <v>370746.8</v>
      </c>
      <c r="I31" s="24">
        <v>327333.19999999995</v>
      </c>
      <c r="J31" s="24">
        <v>287682.59999999998</v>
      </c>
      <c r="K31" s="17">
        <v>0.8</v>
      </c>
      <c r="L31" s="17">
        <v>1</v>
      </c>
      <c r="M31" s="18">
        <v>12</v>
      </c>
      <c r="N31" s="19">
        <v>13.5</v>
      </c>
      <c r="O31" s="20">
        <f t="shared" si="1"/>
        <v>15</v>
      </c>
      <c r="P31" s="20">
        <v>538.36166230000003</v>
      </c>
      <c r="Q31" s="20">
        <v>646.03399469999999</v>
      </c>
      <c r="R31" s="17">
        <v>0.03</v>
      </c>
      <c r="S31" s="18">
        <v>0.74319999999999997</v>
      </c>
      <c r="T31" s="25">
        <v>1259.8747447411085</v>
      </c>
      <c r="U31" s="26">
        <v>2383.2934731942314</v>
      </c>
      <c r="V31">
        <f t="shared" si="2"/>
        <v>0.17</v>
      </c>
    </row>
    <row r="32" spans="1:22" ht="14.45" customHeight="1" x14ac:dyDescent="0.25">
      <c r="A32" s="14" t="s">
        <v>127</v>
      </c>
      <c r="B32" t="s">
        <v>128</v>
      </c>
      <c r="C32" t="s">
        <v>76</v>
      </c>
      <c r="D32" t="s">
        <v>506</v>
      </c>
      <c r="E32" s="14" t="s">
        <v>70</v>
      </c>
      <c r="F32" s="14" t="s">
        <v>63</v>
      </c>
      <c r="G32" s="15" t="s">
        <v>129</v>
      </c>
      <c r="H32" s="24">
        <v>189461.2</v>
      </c>
      <c r="I32" s="24">
        <v>190116.19999999998</v>
      </c>
      <c r="J32" s="24">
        <v>179750.6</v>
      </c>
      <c r="K32" s="17">
        <v>0.8</v>
      </c>
      <c r="L32" s="17">
        <v>1</v>
      </c>
      <c r="M32" s="18">
        <v>12</v>
      </c>
      <c r="N32" s="19">
        <v>390</v>
      </c>
      <c r="O32" s="20">
        <f t="shared" si="1"/>
        <v>25</v>
      </c>
      <c r="P32" s="20">
        <v>1817.5625600000001</v>
      </c>
      <c r="Q32" s="20">
        <v>2544.5875839999999</v>
      </c>
      <c r="R32" s="17">
        <v>0.03</v>
      </c>
      <c r="S32" s="18">
        <v>0.73180000000000012</v>
      </c>
      <c r="T32" s="25">
        <v>50345.434892312631</v>
      </c>
      <c r="U32" s="26">
        <v>40440.195770502272</v>
      </c>
      <c r="V32">
        <f t="shared" si="2"/>
        <v>0.04</v>
      </c>
    </row>
    <row r="33" spans="1:22" ht="14.45" customHeight="1" x14ac:dyDescent="0.25">
      <c r="A33" s="14" t="s">
        <v>130</v>
      </c>
      <c r="B33" t="s">
        <v>131</v>
      </c>
      <c r="C33" t="s">
        <v>66</v>
      </c>
      <c r="D33" t="s">
        <v>504</v>
      </c>
      <c r="E33" s="14" t="s">
        <v>62</v>
      </c>
      <c r="F33" s="14" t="s">
        <v>63</v>
      </c>
      <c r="G33" s="15" t="str">
        <f t="shared" ref="G33:G64" si="3">IF(C33="AMRO","Participating","Not Eligible")</f>
        <v>Not Eligible</v>
      </c>
      <c r="H33" s="24">
        <v>5290.9999999999991</v>
      </c>
      <c r="I33" s="24">
        <v>5084.0000000000009</v>
      </c>
      <c r="J33" s="24">
        <v>4856</v>
      </c>
      <c r="K33" s="17">
        <v>0.8</v>
      </c>
      <c r="L33" s="17">
        <v>1</v>
      </c>
      <c r="M33" s="18">
        <v>12</v>
      </c>
      <c r="N33" s="19">
        <v>40.44</v>
      </c>
      <c r="O33" s="20">
        <f t="shared" si="1"/>
        <v>15</v>
      </c>
      <c r="P33" s="20">
        <v>538.36166230000003</v>
      </c>
      <c r="Q33" s="20">
        <v>646.03399469999999</v>
      </c>
      <c r="R33" s="17">
        <v>0.03</v>
      </c>
      <c r="S33" s="18">
        <v>0.74319999999999997</v>
      </c>
      <c r="T33" s="25">
        <v>3797.8290008202757</v>
      </c>
      <c r="U33" s="26">
        <v>4122.658433216312</v>
      </c>
      <c r="V33">
        <f t="shared" si="2"/>
        <v>0.17</v>
      </c>
    </row>
    <row r="34" spans="1:22" ht="14.45" customHeight="1" x14ac:dyDescent="0.25">
      <c r="A34" s="14" t="s">
        <v>132</v>
      </c>
      <c r="B34" t="s">
        <v>133</v>
      </c>
      <c r="C34" t="s">
        <v>66</v>
      </c>
      <c r="D34" t="s">
        <v>508</v>
      </c>
      <c r="E34" s="14" t="s">
        <v>57</v>
      </c>
      <c r="F34" s="14" t="s">
        <v>58</v>
      </c>
      <c r="G34" s="15" t="str">
        <f t="shared" si="3"/>
        <v>Not Eligible</v>
      </c>
      <c r="H34" s="24">
        <v>70740</v>
      </c>
      <c r="I34" s="24">
        <v>62441.8</v>
      </c>
      <c r="J34" s="24">
        <v>58927.8</v>
      </c>
      <c r="K34" s="17">
        <v>0.8</v>
      </c>
      <c r="L34" s="17">
        <v>1</v>
      </c>
      <c r="M34" s="18">
        <v>12</v>
      </c>
      <c r="N34" s="19">
        <v>13.5</v>
      </c>
      <c r="O34" s="20">
        <f t="shared" ref="O34:O65" si="4">IF(E34="High income",25,IF(E34="Low-income",5,15))</f>
        <v>5</v>
      </c>
      <c r="P34" s="20">
        <v>551.90324139999996</v>
      </c>
      <c r="Q34" s="20">
        <v>441.52259309999999</v>
      </c>
      <c r="R34" s="17">
        <v>0.03</v>
      </c>
      <c r="S34" s="18">
        <v>0.74319999999999997</v>
      </c>
      <c r="T34" s="25">
        <v>489.14636400148805</v>
      </c>
      <c r="U34" s="26">
        <v>815.93790674201955</v>
      </c>
      <c r="V34">
        <f t="shared" si="2"/>
        <v>0.17</v>
      </c>
    </row>
    <row r="35" spans="1:22" ht="14.45" customHeight="1" x14ac:dyDescent="0.25">
      <c r="A35" s="14" t="s">
        <v>134</v>
      </c>
      <c r="B35" t="s">
        <v>135</v>
      </c>
      <c r="C35" t="s">
        <v>66</v>
      </c>
      <c r="D35" t="s">
        <v>504</v>
      </c>
      <c r="E35" s="14" t="s">
        <v>57</v>
      </c>
      <c r="F35" s="14" t="s">
        <v>136</v>
      </c>
      <c r="G35" s="15" t="str">
        <f t="shared" si="3"/>
        <v>Not Eligible</v>
      </c>
      <c r="H35" s="24">
        <v>260770.20000000004</v>
      </c>
      <c r="I35" s="24">
        <v>218145.80000000002</v>
      </c>
      <c r="J35" s="24">
        <v>185078.8</v>
      </c>
      <c r="K35" s="17">
        <v>0.8</v>
      </c>
      <c r="L35" s="17">
        <v>1</v>
      </c>
      <c r="M35" s="18">
        <v>12</v>
      </c>
      <c r="N35" s="19">
        <v>13.5</v>
      </c>
      <c r="O35" s="20">
        <f t="shared" si="4"/>
        <v>5</v>
      </c>
      <c r="P35" s="20">
        <v>538.36166230000003</v>
      </c>
      <c r="Q35" s="20">
        <v>538.36166230000003</v>
      </c>
      <c r="R35" s="17">
        <v>0.03</v>
      </c>
      <c r="S35" s="18">
        <v>0.74319999999999997</v>
      </c>
      <c r="T35" s="25">
        <v>823.02241400394564</v>
      </c>
      <c r="U35" s="26">
        <v>1530.9857420633205</v>
      </c>
      <c r="V35">
        <f t="shared" si="2"/>
        <v>0.17</v>
      </c>
    </row>
    <row r="36" spans="1:22" ht="14.45" customHeight="1" x14ac:dyDescent="0.25">
      <c r="A36" s="14" t="s">
        <v>137</v>
      </c>
      <c r="B36" t="s">
        <v>138</v>
      </c>
      <c r="C36" t="s">
        <v>76</v>
      </c>
      <c r="D36" t="s">
        <v>505</v>
      </c>
      <c r="E36" s="14" t="s">
        <v>67</v>
      </c>
      <c r="F36" s="14" t="s">
        <v>63</v>
      </c>
      <c r="G36" s="15" t="str">
        <f t="shared" si="3"/>
        <v>Not Eligible</v>
      </c>
      <c r="H36" s="24">
        <v>114928.19999999998</v>
      </c>
      <c r="I36" s="24">
        <v>117924.6</v>
      </c>
      <c r="J36" s="24">
        <v>122323.60000000002</v>
      </c>
      <c r="K36" s="17">
        <v>0.8</v>
      </c>
      <c r="L36" s="17">
        <v>1</v>
      </c>
      <c r="M36" s="18">
        <v>12</v>
      </c>
      <c r="N36" s="19">
        <v>40.44</v>
      </c>
      <c r="O36" s="20">
        <f t="shared" si="4"/>
        <v>15</v>
      </c>
      <c r="P36" s="20">
        <v>743.00257050000005</v>
      </c>
      <c r="Q36" s="20">
        <v>1040.2035989999999</v>
      </c>
      <c r="R36" s="17">
        <v>0.03</v>
      </c>
      <c r="S36" s="18">
        <v>0.70940000000000003</v>
      </c>
      <c r="T36" s="25">
        <v>14394.46075911614</v>
      </c>
      <c r="U36" s="26">
        <v>17310.646250842437</v>
      </c>
      <c r="V36">
        <f t="shared" si="2"/>
        <v>0.11</v>
      </c>
    </row>
    <row r="37" spans="1:22" ht="14.45" customHeight="1" x14ac:dyDescent="0.25">
      <c r="A37" s="14" t="s">
        <v>139</v>
      </c>
      <c r="B37" t="s">
        <v>140</v>
      </c>
      <c r="C37" t="s">
        <v>83</v>
      </c>
      <c r="D37" t="s">
        <v>505</v>
      </c>
      <c r="E37" s="14" t="s">
        <v>67</v>
      </c>
      <c r="F37" s="14" t="s">
        <v>63</v>
      </c>
      <c r="G37" s="15" t="str">
        <f t="shared" si="3"/>
        <v>Not Eligible</v>
      </c>
      <c r="H37" s="24">
        <v>7707500.3999999994</v>
      </c>
      <c r="I37" s="24">
        <v>7257202.4000000004</v>
      </c>
      <c r="J37" s="24">
        <v>6986267.2000000002</v>
      </c>
      <c r="K37" s="17">
        <v>0.8</v>
      </c>
      <c r="L37" s="17">
        <v>1</v>
      </c>
      <c r="M37" s="18">
        <v>12</v>
      </c>
      <c r="N37" s="19">
        <v>40.44</v>
      </c>
      <c r="O37" s="20">
        <f t="shared" si="4"/>
        <v>15</v>
      </c>
      <c r="P37" s="20">
        <v>650.09150220000004</v>
      </c>
      <c r="Q37" s="20">
        <v>910.12810309999998</v>
      </c>
      <c r="R37" s="17">
        <v>0.03</v>
      </c>
      <c r="S37" s="18">
        <v>0.68420000000000003</v>
      </c>
      <c r="T37" s="25">
        <v>5444.7853033333186</v>
      </c>
      <c r="U37" s="26">
        <v>8465.8341863703972</v>
      </c>
      <c r="V37">
        <f t="shared" si="2"/>
        <v>0.11</v>
      </c>
    </row>
    <row r="38" spans="1:22" ht="14.45" customHeight="1" x14ac:dyDescent="0.25">
      <c r="A38" s="14" t="s">
        <v>141</v>
      </c>
      <c r="B38" t="s">
        <v>142</v>
      </c>
      <c r="C38" t="s">
        <v>76</v>
      </c>
      <c r="D38" t="s">
        <v>505</v>
      </c>
      <c r="E38" s="14" t="s">
        <v>67</v>
      </c>
      <c r="F38" s="14" t="s">
        <v>63</v>
      </c>
      <c r="G38" s="15" t="str">
        <f t="shared" si="3"/>
        <v>Not Eligible</v>
      </c>
      <c r="H38" s="24">
        <v>365888.6</v>
      </c>
      <c r="I38" s="24">
        <v>382457.4</v>
      </c>
      <c r="J38" s="24">
        <v>398521.59999999998</v>
      </c>
      <c r="K38" s="17">
        <v>0.8</v>
      </c>
      <c r="L38" s="17">
        <v>1</v>
      </c>
      <c r="M38" s="18">
        <v>12</v>
      </c>
      <c r="N38" s="19">
        <v>40.44</v>
      </c>
      <c r="O38" s="20">
        <f t="shared" si="4"/>
        <v>15</v>
      </c>
      <c r="P38" s="20">
        <v>743.00257050000005</v>
      </c>
      <c r="Q38" s="20">
        <v>594.40205639999999</v>
      </c>
      <c r="R38" s="17">
        <v>0.03</v>
      </c>
      <c r="S38" s="18">
        <v>0.70940000000000003</v>
      </c>
      <c r="T38" s="33">
        <v>7104.0349883562212</v>
      </c>
      <c r="U38" s="26">
        <v>10103.180176403468</v>
      </c>
      <c r="V38">
        <f t="shared" si="2"/>
        <v>0.11</v>
      </c>
    </row>
    <row r="39" spans="1:22" ht="14.45" customHeight="1" x14ac:dyDescent="0.25">
      <c r="A39" s="14" t="s">
        <v>143</v>
      </c>
      <c r="B39" t="s">
        <v>144</v>
      </c>
      <c r="C39" t="s">
        <v>66</v>
      </c>
      <c r="D39" t="s">
        <v>504</v>
      </c>
      <c r="E39" s="14" t="s">
        <v>57</v>
      </c>
      <c r="F39" s="14" t="s">
        <v>58</v>
      </c>
      <c r="G39" s="15" t="str">
        <f t="shared" si="3"/>
        <v>Not Eligible</v>
      </c>
      <c r="H39" s="24">
        <v>11703.4</v>
      </c>
      <c r="I39" s="24">
        <v>10355</v>
      </c>
      <c r="J39" s="24">
        <v>9129.4</v>
      </c>
      <c r="K39" s="17">
        <v>0.8</v>
      </c>
      <c r="L39" s="17">
        <v>1</v>
      </c>
      <c r="M39" s="18">
        <v>12</v>
      </c>
      <c r="N39" s="19">
        <v>13.5</v>
      </c>
      <c r="O39" s="20">
        <f t="shared" si="4"/>
        <v>5</v>
      </c>
      <c r="P39" s="20">
        <v>538.36166230000003</v>
      </c>
      <c r="Q39" s="20">
        <v>538.36166230000003</v>
      </c>
      <c r="R39" s="17">
        <v>0.03</v>
      </c>
      <c r="S39" s="18">
        <v>0.74319999999999997</v>
      </c>
      <c r="T39" s="25">
        <v>809.57406252257988</v>
      </c>
      <c r="U39" s="26">
        <v>1117.4992293405107</v>
      </c>
      <c r="V39">
        <f t="shared" si="2"/>
        <v>0.17</v>
      </c>
    </row>
    <row r="40" spans="1:22" ht="14.45" customHeight="1" x14ac:dyDescent="0.25">
      <c r="A40" s="14" t="s">
        <v>145</v>
      </c>
      <c r="B40" t="s">
        <v>146</v>
      </c>
      <c r="C40" t="s">
        <v>66</v>
      </c>
      <c r="D40" t="s">
        <v>508</v>
      </c>
      <c r="E40" s="14" t="s">
        <v>62</v>
      </c>
      <c r="F40" s="14" t="s">
        <v>73</v>
      </c>
      <c r="G40" s="15" t="str">
        <f t="shared" si="3"/>
        <v>Not Eligible</v>
      </c>
      <c r="H40" s="24">
        <v>75188</v>
      </c>
      <c r="I40" s="24">
        <v>65193.399999999994</v>
      </c>
      <c r="J40" s="24">
        <v>55177</v>
      </c>
      <c r="K40" s="17">
        <v>0.8</v>
      </c>
      <c r="L40" s="17">
        <v>1</v>
      </c>
      <c r="M40" s="18">
        <v>12</v>
      </c>
      <c r="N40" s="19">
        <v>13.5</v>
      </c>
      <c r="O40" s="20">
        <f t="shared" si="4"/>
        <v>15</v>
      </c>
      <c r="P40" s="20">
        <v>551.90324139999996</v>
      </c>
      <c r="Q40" s="20">
        <v>662.28388970000003</v>
      </c>
      <c r="R40" s="17">
        <v>0.03</v>
      </c>
      <c r="S40" s="18">
        <v>0.74319999999999997</v>
      </c>
      <c r="T40" s="25">
        <v>3484.658194995694</v>
      </c>
      <c r="U40" s="26">
        <v>4429.4258930073584</v>
      </c>
      <c r="V40">
        <f t="shared" si="2"/>
        <v>0.17</v>
      </c>
    </row>
    <row r="41" spans="1:22" ht="14.45" customHeight="1" x14ac:dyDescent="0.25">
      <c r="A41" s="14" t="s">
        <v>147</v>
      </c>
      <c r="B41" t="s">
        <v>148</v>
      </c>
      <c r="C41" t="s">
        <v>66</v>
      </c>
      <c r="D41" t="s">
        <v>508</v>
      </c>
      <c r="E41" s="14" t="s">
        <v>57</v>
      </c>
      <c r="F41" s="14" t="s">
        <v>58</v>
      </c>
      <c r="G41" s="15" t="str">
        <f t="shared" si="3"/>
        <v>Not Eligible</v>
      </c>
      <c r="H41" s="24">
        <v>1374058.5999999999</v>
      </c>
      <c r="I41" s="24">
        <v>1164840.2000000002</v>
      </c>
      <c r="J41" s="24">
        <v>986336.6</v>
      </c>
      <c r="K41" s="17">
        <v>0.8</v>
      </c>
      <c r="L41" s="17">
        <v>1</v>
      </c>
      <c r="M41" s="18">
        <v>12</v>
      </c>
      <c r="N41" s="19">
        <v>13.5</v>
      </c>
      <c r="O41" s="20">
        <f t="shared" si="4"/>
        <v>5</v>
      </c>
      <c r="P41" s="20">
        <v>551.90324139999996</v>
      </c>
      <c r="Q41" s="20">
        <v>331.14194479999998</v>
      </c>
      <c r="R41" s="17">
        <v>0.03</v>
      </c>
      <c r="S41" s="18">
        <v>0.74319999999999997</v>
      </c>
      <c r="T41" s="25">
        <v>231.02411176829594</v>
      </c>
      <c r="U41" s="26">
        <v>375.45954644954344</v>
      </c>
      <c r="V41">
        <f t="shared" si="2"/>
        <v>0.17</v>
      </c>
    </row>
    <row r="42" spans="1:22" ht="14.45" customHeight="1" x14ac:dyDescent="0.25">
      <c r="A42" s="14" t="s">
        <v>149</v>
      </c>
      <c r="B42" t="s">
        <v>150</v>
      </c>
      <c r="C42" t="s">
        <v>83</v>
      </c>
      <c r="D42" t="s">
        <v>505</v>
      </c>
      <c r="E42" s="14"/>
      <c r="F42" s="14" t="s">
        <v>63</v>
      </c>
      <c r="G42" s="15" t="str">
        <f t="shared" si="3"/>
        <v>Not Eligible</v>
      </c>
      <c r="H42" s="24" t="e">
        <v>#N/A</v>
      </c>
      <c r="I42" s="24" t="e">
        <v>#N/A</v>
      </c>
      <c r="J42" s="24" t="e">
        <v>#N/A</v>
      </c>
      <c r="K42" s="17">
        <v>0.8</v>
      </c>
      <c r="L42" s="17">
        <v>1</v>
      </c>
      <c r="M42" s="18">
        <v>12</v>
      </c>
      <c r="N42" s="19">
        <v>40.44</v>
      </c>
      <c r="O42" s="20">
        <f t="shared" si="4"/>
        <v>15</v>
      </c>
      <c r="P42" s="20">
        <v>650.09150220000004</v>
      </c>
      <c r="Q42" s="20">
        <v>780.10980270000005</v>
      </c>
      <c r="R42" s="17">
        <v>0.03</v>
      </c>
      <c r="S42" s="18">
        <v>0.76080000000000003</v>
      </c>
      <c r="T42" s="27">
        <v>3259.7875359857308</v>
      </c>
      <c r="U42" s="28">
        <v>4235.4937501481299</v>
      </c>
      <c r="V42">
        <f t="shared" si="2"/>
        <v>0.11</v>
      </c>
    </row>
    <row r="43" spans="1:22" ht="14.45" customHeight="1" x14ac:dyDescent="0.25">
      <c r="A43" s="14" t="s">
        <v>151</v>
      </c>
      <c r="B43" t="s">
        <v>152</v>
      </c>
      <c r="C43" t="s">
        <v>76</v>
      </c>
      <c r="D43" t="s">
        <v>505</v>
      </c>
      <c r="E43" s="14" t="s">
        <v>67</v>
      </c>
      <c r="F43" s="14" t="s">
        <v>63</v>
      </c>
      <c r="G43" s="15" t="str">
        <f t="shared" si="3"/>
        <v>Not Eligible</v>
      </c>
      <c r="H43" s="24">
        <v>34210.400000000001</v>
      </c>
      <c r="I43" s="24">
        <v>35213.4</v>
      </c>
      <c r="J43" s="24">
        <v>35354.400000000001</v>
      </c>
      <c r="K43" s="17">
        <v>0.8</v>
      </c>
      <c r="L43" s="17">
        <v>1</v>
      </c>
      <c r="M43" s="18">
        <v>12</v>
      </c>
      <c r="N43" s="19">
        <v>40.44</v>
      </c>
      <c r="O43" s="20">
        <f t="shared" si="4"/>
        <v>15</v>
      </c>
      <c r="P43" s="20">
        <v>743.00257050000005</v>
      </c>
      <c r="Q43" s="20">
        <v>743.00257050000005</v>
      </c>
      <c r="R43" s="17">
        <v>0.03</v>
      </c>
      <c r="S43" s="18">
        <v>0.70940000000000003</v>
      </c>
      <c r="T43" s="25">
        <v>8646.804190241668</v>
      </c>
      <c r="U43" s="26">
        <v>12236.259092902965</v>
      </c>
      <c r="V43">
        <f t="shared" si="2"/>
        <v>0.11</v>
      </c>
    </row>
    <row r="44" spans="1:22" ht="14.45" customHeight="1" x14ac:dyDescent="0.25">
      <c r="A44" s="14" t="s">
        <v>153</v>
      </c>
      <c r="B44" t="s">
        <v>154</v>
      </c>
      <c r="C44" t="s">
        <v>66</v>
      </c>
      <c r="D44" t="s">
        <v>508</v>
      </c>
      <c r="E44" s="14" t="s">
        <v>62</v>
      </c>
      <c r="F44" s="14" t="s">
        <v>58</v>
      </c>
      <c r="G44" s="15" t="str">
        <f t="shared" si="3"/>
        <v>Not Eligible</v>
      </c>
      <c r="H44" s="24">
        <v>364368.60000000003</v>
      </c>
      <c r="I44" s="24">
        <v>313924.20000000007</v>
      </c>
      <c r="J44" s="24">
        <v>279757</v>
      </c>
      <c r="K44" s="17">
        <v>0.8</v>
      </c>
      <c r="L44" s="17">
        <v>1</v>
      </c>
      <c r="M44" s="18">
        <v>12</v>
      </c>
      <c r="N44" s="19">
        <v>13.5</v>
      </c>
      <c r="O44" s="20">
        <f t="shared" si="4"/>
        <v>15</v>
      </c>
      <c r="P44" s="20">
        <v>551.90324139999996</v>
      </c>
      <c r="Q44" s="20">
        <v>662.28388970000003</v>
      </c>
      <c r="R44" s="17">
        <v>0.03</v>
      </c>
      <c r="S44" s="18">
        <v>0.74319999999999997</v>
      </c>
      <c r="T44" s="25">
        <v>1194.5585993309694</v>
      </c>
      <c r="U44" s="26">
        <v>1803.1309797986396</v>
      </c>
      <c r="V44">
        <f t="shared" si="2"/>
        <v>0.17</v>
      </c>
    </row>
    <row r="45" spans="1:22" ht="14.45" customHeight="1" x14ac:dyDescent="0.25">
      <c r="A45" s="14" t="s">
        <v>155</v>
      </c>
      <c r="B45" t="s">
        <v>156</v>
      </c>
      <c r="C45" t="s">
        <v>61</v>
      </c>
      <c r="D45" t="s">
        <v>506</v>
      </c>
      <c r="E45" s="14" t="s">
        <v>70</v>
      </c>
      <c r="F45" s="14" t="s">
        <v>63</v>
      </c>
      <c r="G45" s="15" t="str">
        <f t="shared" si="3"/>
        <v>Not Eligible</v>
      </c>
      <c r="H45" s="24">
        <v>20145.800000000003</v>
      </c>
      <c r="I45" s="24">
        <v>21115.600000000002</v>
      </c>
      <c r="J45" s="24">
        <v>20111.2</v>
      </c>
      <c r="K45" s="17">
        <v>0.8</v>
      </c>
      <c r="L45" s="17">
        <v>1</v>
      </c>
      <c r="M45" s="18">
        <v>12</v>
      </c>
      <c r="N45" s="19">
        <v>390</v>
      </c>
      <c r="O45" s="20">
        <f t="shared" si="4"/>
        <v>25</v>
      </c>
      <c r="P45" s="20">
        <v>1325.425371</v>
      </c>
      <c r="Q45" s="20">
        <v>795.25522260000002</v>
      </c>
      <c r="R45" s="17">
        <v>0.03</v>
      </c>
      <c r="S45" s="18">
        <v>0.7659999999999999</v>
      </c>
      <c r="T45" s="25">
        <v>14180.444899890439</v>
      </c>
      <c r="U45" s="26">
        <v>20031.03318922787</v>
      </c>
      <c r="V45">
        <f t="shared" si="2"/>
        <v>0.04</v>
      </c>
    </row>
    <row r="46" spans="1:22" ht="14.45" customHeight="1" x14ac:dyDescent="0.25">
      <c r="A46" s="14" t="s">
        <v>157</v>
      </c>
      <c r="B46" t="s">
        <v>158</v>
      </c>
      <c r="C46" t="s">
        <v>76</v>
      </c>
      <c r="D46" t="s">
        <v>506</v>
      </c>
      <c r="E46" s="14" t="s">
        <v>67</v>
      </c>
      <c r="F46" s="14" t="s">
        <v>73</v>
      </c>
      <c r="G46" s="15" t="str">
        <f t="shared" si="3"/>
        <v>Not Eligible</v>
      </c>
      <c r="H46" s="24">
        <v>57161.4</v>
      </c>
      <c r="I46" s="24">
        <v>59597.799999999996</v>
      </c>
      <c r="J46" s="24">
        <v>63325.4</v>
      </c>
      <c r="K46" s="17">
        <v>0.8</v>
      </c>
      <c r="L46" s="17">
        <v>1</v>
      </c>
      <c r="M46" s="18">
        <v>12</v>
      </c>
      <c r="N46" s="19">
        <v>13.5</v>
      </c>
      <c r="O46" s="20">
        <f t="shared" si="4"/>
        <v>15</v>
      </c>
      <c r="P46" s="20">
        <v>1817.5625600000001</v>
      </c>
      <c r="Q46" s="20">
        <v>1090.537536</v>
      </c>
      <c r="R46" s="17">
        <v>0.03</v>
      </c>
      <c r="S46" s="18">
        <v>0.70940000000000003</v>
      </c>
      <c r="T46" s="27">
        <v>9746.9770900242056</v>
      </c>
      <c r="U46" s="28">
        <v>12101.0892536013</v>
      </c>
      <c r="V46">
        <f t="shared" si="2"/>
        <v>0.04</v>
      </c>
    </row>
    <row r="47" spans="1:22" ht="14.45" customHeight="1" x14ac:dyDescent="0.25">
      <c r="A47" s="14" t="s">
        <v>159</v>
      </c>
      <c r="B47" t="s">
        <v>160</v>
      </c>
      <c r="C47" t="s">
        <v>61</v>
      </c>
      <c r="D47" t="s">
        <v>505</v>
      </c>
      <c r="E47" s="14" t="s">
        <v>70</v>
      </c>
      <c r="F47" s="14" t="s">
        <v>63</v>
      </c>
      <c r="G47" s="15" t="str">
        <f t="shared" si="3"/>
        <v>Not Eligible</v>
      </c>
      <c r="H47" s="24">
        <v>6358</v>
      </c>
      <c r="I47" s="24">
        <v>6164.4</v>
      </c>
      <c r="J47" s="24">
        <v>6112</v>
      </c>
      <c r="K47" s="17">
        <v>0.8</v>
      </c>
      <c r="L47" s="17">
        <v>1</v>
      </c>
      <c r="M47" s="18">
        <v>12</v>
      </c>
      <c r="N47" s="19">
        <v>390</v>
      </c>
      <c r="O47" s="20">
        <f t="shared" si="4"/>
        <v>25</v>
      </c>
      <c r="P47" s="20">
        <v>811.19980080000005</v>
      </c>
      <c r="Q47" s="20">
        <v>973.43976099999998</v>
      </c>
      <c r="R47" s="17">
        <v>0.03</v>
      </c>
      <c r="S47" s="18">
        <v>0.7659999999999999</v>
      </c>
      <c r="T47" s="25">
        <v>30670.313598000001</v>
      </c>
      <c r="U47" s="26">
        <v>32086.558191258398</v>
      </c>
      <c r="V47">
        <f t="shared" si="2"/>
        <v>0.11</v>
      </c>
    </row>
    <row r="48" spans="1:22" ht="14.45" customHeight="1" x14ac:dyDescent="0.25">
      <c r="A48" s="14" t="s">
        <v>161</v>
      </c>
      <c r="B48" t="s">
        <v>162</v>
      </c>
      <c r="C48" t="s">
        <v>61</v>
      </c>
      <c r="D48" t="s">
        <v>506</v>
      </c>
      <c r="E48" s="14" t="s">
        <v>70</v>
      </c>
      <c r="F48" s="14" t="s">
        <v>63</v>
      </c>
      <c r="G48" s="15" t="str">
        <f t="shared" si="3"/>
        <v>Not Eligible</v>
      </c>
      <c r="H48" s="24">
        <v>52306</v>
      </c>
      <c r="I48" s="24">
        <v>55369.2</v>
      </c>
      <c r="J48" s="24">
        <v>46661.599999999999</v>
      </c>
      <c r="K48" s="17">
        <v>0.8</v>
      </c>
      <c r="L48" s="17">
        <v>1</v>
      </c>
      <c r="M48" s="18">
        <v>12</v>
      </c>
      <c r="N48" s="19">
        <v>390</v>
      </c>
      <c r="O48" s="20">
        <f t="shared" si="4"/>
        <v>25</v>
      </c>
      <c r="P48" s="20">
        <v>1325.425371</v>
      </c>
      <c r="Q48" s="20">
        <v>795.25522260000002</v>
      </c>
      <c r="R48" s="17">
        <v>0.03</v>
      </c>
      <c r="S48" s="18">
        <v>0.7659999999999999</v>
      </c>
      <c r="T48" s="25">
        <v>20579.039794454427</v>
      </c>
      <c r="U48" s="26">
        <v>26046.195150806376</v>
      </c>
      <c r="V48">
        <f t="shared" si="2"/>
        <v>0.04</v>
      </c>
    </row>
    <row r="49" spans="1:22" ht="14.45" customHeight="1" x14ac:dyDescent="0.25">
      <c r="A49" s="14" t="s">
        <v>163</v>
      </c>
      <c r="B49" t="s">
        <v>164</v>
      </c>
      <c r="C49" t="s">
        <v>61</v>
      </c>
      <c r="D49" t="s">
        <v>506</v>
      </c>
      <c r="E49" s="14" t="s">
        <v>70</v>
      </c>
      <c r="F49" s="14" t="s">
        <v>63</v>
      </c>
      <c r="G49" s="15" t="str">
        <f t="shared" si="3"/>
        <v>Not Eligible</v>
      </c>
      <c r="H49" s="24">
        <v>28717.599999999999</v>
      </c>
      <c r="I49" s="24">
        <v>32350.2</v>
      </c>
      <c r="J49" s="24">
        <v>32294.200000000004</v>
      </c>
      <c r="K49" s="17">
        <v>0.8</v>
      </c>
      <c r="L49" s="17">
        <v>1</v>
      </c>
      <c r="M49" s="18">
        <v>12</v>
      </c>
      <c r="N49" s="19">
        <v>390</v>
      </c>
      <c r="O49" s="20">
        <f t="shared" si="4"/>
        <v>25</v>
      </c>
      <c r="P49" s="20">
        <v>1325.425371</v>
      </c>
      <c r="Q49" s="20">
        <v>1855.595519</v>
      </c>
      <c r="R49" s="17">
        <v>0.03</v>
      </c>
      <c r="S49" s="18">
        <v>0.7659999999999999</v>
      </c>
      <c r="T49" s="25">
        <v>59852.173465658263</v>
      </c>
      <c r="U49" s="26">
        <v>40983.387107446397</v>
      </c>
      <c r="V49">
        <f t="shared" si="2"/>
        <v>0.04</v>
      </c>
    </row>
    <row r="50" spans="1:22" ht="14.45" customHeight="1" x14ac:dyDescent="0.25">
      <c r="A50" s="14" t="s">
        <v>165</v>
      </c>
      <c r="B50" t="s">
        <v>166</v>
      </c>
      <c r="C50" t="s">
        <v>56</v>
      </c>
      <c r="D50" t="s">
        <v>504</v>
      </c>
      <c r="E50" s="14" t="s">
        <v>62</v>
      </c>
      <c r="F50" s="14" t="s">
        <v>58</v>
      </c>
      <c r="G50" s="15" t="str">
        <f t="shared" si="3"/>
        <v>Not Eligible</v>
      </c>
      <c r="H50" s="24">
        <v>10062.200000000001</v>
      </c>
      <c r="I50" s="24">
        <v>9482.8000000000011</v>
      </c>
      <c r="J50" s="24">
        <v>9141.2000000000007</v>
      </c>
      <c r="K50" s="17">
        <v>0.8</v>
      </c>
      <c r="L50" s="17">
        <v>1</v>
      </c>
      <c r="M50" s="18">
        <v>12</v>
      </c>
      <c r="N50" s="19">
        <v>13.5</v>
      </c>
      <c r="O50" s="20">
        <f t="shared" si="4"/>
        <v>15</v>
      </c>
      <c r="P50" s="20">
        <v>603.06939599999998</v>
      </c>
      <c r="Q50" s="20">
        <v>482.4555168</v>
      </c>
      <c r="R50" s="17">
        <v>0.03</v>
      </c>
      <c r="S50" s="18">
        <v>0.81889999999999996</v>
      </c>
      <c r="T50" s="34">
        <v>1202.9199013339803</v>
      </c>
      <c r="U50" s="32">
        <v>2290.0852739337702</v>
      </c>
      <c r="V50">
        <f t="shared" si="2"/>
        <v>0.17</v>
      </c>
    </row>
    <row r="51" spans="1:22" ht="14.45" customHeight="1" x14ac:dyDescent="0.25">
      <c r="A51" s="14" t="s">
        <v>167</v>
      </c>
      <c r="B51" t="s">
        <v>168</v>
      </c>
      <c r="C51" t="s">
        <v>76</v>
      </c>
      <c r="D51" t="s">
        <v>505</v>
      </c>
      <c r="E51" s="14" t="s">
        <v>67</v>
      </c>
      <c r="F51" s="14" t="s">
        <v>63</v>
      </c>
      <c r="G51" s="15" t="str">
        <f t="shared" si="3"/>
        <v>Not Eligible</v>
      </c>
      <c r="H51" s="24" t="e">
        <v>#N/A</v>
      </c>
      <c r="I51" s="24" t="e">
        <v>#N/A</v>
      </c>
      <c r="J51" s="24" t="e">
        <v>#N/A</v>
      </c>
      <c r="K51" s="17">
        <v>0.8</v>
      </c>
      <c r="L51" s="17">
        <v>1</v>
      </c>
      <c r="M51" s="18">
        <v>12</v>
      </c>
      <c r="N51" s="19">
        <v>40.44</v>
      </c>
      <c r="O51" s="20">
        <f t="shared" si="4"/>
        <v>15</v>
      </c>
      <c r="P51" s="20">
        <v>743.00257050000005</v>
      </c>
      <c r="Q51" s="20">
        <v>743.00257050000005</v>
      </c>
      <c r="R51" s="17">
        <v>0.03</v>
      </c>
      <c r="S51" s="18">
        <v>0.70940000000000003</v>
      </c>
      <c r="T51" s="25">
        <v>7153.8553380125595</v>
      </c>
      <c r="U51" s="26">
        <v>12678.327940627352</v>
      </c>
      <c r="V51">
        <f t="shared" si="2"/>
        <v>0.11</v>
      </c>
    </row>
    <row r="52" spans="1:22" ht="14.45" customHeight="1" x14ac:dyDescent="0.25">
      <c r="A52" s="14" t="s">
        <v>169</v>
      </c>
      <c r="B52" t="s">
        <v>170</v>
      </c>
      <c r="C52" t="s">
        <v>76</v>
      </c>
      <c r="D52" t="s">
        <v>505</v>
      </c>
      <c r="E52" s="14" t="s">
        <v>67</v>
      </c>
      <c r="F52" s="14" t="s">
        <v>63</v>
      </c>
      <c r="G52" s="15" t="str">
        <f t="shared" si="3"/>
        <v>Not Eligible</v>
      </c>
      <c r="H52" s="24">
        <v>104033.60000000001</v>
      </c>
      <c r="I52" s="24">
        <v>103919.8</v>
      </c>
      <c r="J52" s="24">
        <v>101661.4</v>
      </c>
      <c r="K52" s="17">
        <v>0.8</v>
      </c>
      <c r="L52" s="17">
        <v>1</v>
      </c>
      <c r="M52" s="18">
        <v>12</v>
      </c>
      <c r="N52" s="19">
        <v>40.44</v>
      </c>
      <c r="O52" s="20">
        <f t="shared" si="4"/>
        <v>15</v>
      </c>
      <c r="P52" s="20">
        <v>743.00257050000005</v>
      </c>
      <c r="Q52" s="20">
        <v>594.40205639999999</v>
      </c>
      <c r="R52" s="17">
        <v>0.03</v>
      </c>
      <c r="S52" s="18">
        <v>0.70940000000000003</v>
      </c>
      <c r="T52" s="25">
        <v>5530.0561531685498</v>
      </c>
      <c r="U52" s="26">
        <v>9863.2326849356214</v>
      </c>
      <c r="V52">
        <f t="shared" si="2"/>
        <v>0.11</v>
      </c>
    </row>
    <row r="53" spans="1:22" ht="14.45" customHeight="1" x14ac:dyDescent="0.25">
      <c r="A53" s="14" t="s">
        <v>171</v>
      </c>
      <c r="B53" t="s">
        <v>172</v>
      </c>
      <c r="C53" t="s">
        <v>76</v>
      </c>
      <c r="D53" t="s">
        <v>504</v>
      </c>
      <c r="E53" s="14" t="s">
        <v>67</v>
      </c>
      <c r="F53" s="14" t="s">
        <v>63</v>
      </c>
      <c r="G53" s="15" t="str">
        <f t="shared" si="3"/>
        <v>Not Eligible</v>
      </c>
      <c r="H53" s="24">
        <v>157299.80000000002</v>
      </c>
      <c r="I53" s="24">
        <v>153347.80000000002</v>
      </c>
      <c r="J53" s="24">
        <v>147677.39999999997</v>
      </c>
      <c r="K53" s="17">
        <v>0.8</v>
      </c>
      <c r="L53" s="17">
        <v>1</v>
      </c>
      <c r="M53" s="18">
        <v>12</v>
      </c>
      <c r="N53" s="19">
        <v>40.44</v>
      </c>
      <c r="O53" s="20">
        <f t="shared" si="4"/>
        <v>15</v>
      </c>
      <c r="P53" s="20">
        <v>546.30694100000005</v>
      </c>
      <c r="Q53" s="20">
        <v>764.82971740000005</v>
      </c>
      <c r="R53" s="17">
        <v>0.03</v>
      </c>
      <c r="S53" s="18">
        <v>0.70940000000000003</v>
      </c>
      <c r="T53" s="25">
        <v>4496.4669987781599</v>
      </c>
      <c r="U53" s="26">
        <v>8486.3963457925656</v>
      </c>
      <c r="V53">
        <f t="shared" si="2"/>
        <v>0.17</v>
      </c>
    </row>
    <row r="54" spans="1:22" ht="14.45" customHeight="1" x14ac:dyDescent="0.25">
      <c r="A54" s="14" t="s">
        <v>173</v>
      </c>
      <c r="B54" t="s">
        <v>174</v>
      </c>
      <c r="C54" t="s">
        <v>56</v>
      </c>
      <c r="D54" t="s">
        <v>504</v>
      </c>
      <c r="E54" s="14" t="s">
        <v>62</v>
      </c>
      <c r="F54" s="14" t="s">
        <v>63</v>
      </c>
      <c r="G54" s="15" t="str">
        <f t="shared" si="3"/>
        <v>Not Eligible</v>
      </c>
      <c r="H54" s="24">
        <v>1174030.4000000001</v>
      </c>
      <c r="I54" s="24">
        <v>929047.2</v>
      </c>
      <c r="J54" s="24">
        <v>839502.6</v>
      </c>
      <c r="K54" s="17">
        <v>0.8</v>
      </c>
      <c r="L54" s="17">
        <v>1</v>
      </c>
      <c r="M54" s="18">
        <v>12</v>
      </c>
      <c r="N54" s="19">
        <v>40.44</v>
      </c>
      <c r="O54" s="20">
        <f t="shared" si="4"/>
        <v>15</v>
      </c>
      <c r="P54" s="20">
        <v>603.06939599999998</v>
      </c>
      <c r="Q54" s="20">
        <v>723.68327520000003</v>
      </c>
      <c r="R54" s="17">
        <v>0.03</v>
      </c>
      <c r="S54" s="18">
        <v>0.81889999999999996</v>
      </c>
      <c r="T54" s="25">
        <v>2780.949245526931</v>
      </c>
      <c r="U54" s="26">
        <v>6324.0234695853696</v>
      </c>
      <c r="V54">
        <f t="shared" si="2"/>
        <v>0.17</v>
      </c>
    </row>
    <row r="55" spans="1:22" ht="14.45" customHeight="1" x14ac:dyDescent="0.25">
      <c r="A55" s="14" t="s">
        <v>175</v>
      </c>
      <c r="B55" t="s">
        <v>176</v>
      </c>
      <c r="C55" t="s">
        <v>76</v>
      </c>
      <c r="D55" t="s">
        <v>505</v>
      </c>
      <c r="E55" s="14" t="s">
        <v>62</v>
      </c>
      <c r="F55" s="14" t="s">
        <v>63</v>
      </c>
      <c r="G55" s="15" t="str">
        <f t="shared" si="3"/>
        <v>Not Eligible</v>
      </c>
      <c r="H55" s="24">
        <v>50789.599999999999</v>
      </c>
      <c r="I55" s="24">
        <v>53311.8</v>
      </c>
      <c r="J55" s="24">
        <v>57927.6</v>
      </c>
      <c r="K55" s="17">
        <v>0.8</v>
      </c>
      <c r="L55" s="17">
        <v>1</v>
      </c>
      <c r="M55" s="18">
        <v>12</v>
      </c>
      <c r="N55" s="19">
        <v>40.44</v>
      </c>
      <c r="O55" s="20">
        <f t="shared" si="4"/>
        <v>15</v>
      </c>
      <c r="P55" s="20">
        <v>743.00257050000005</v>
      </c>
      <c r="Q55" s="20">
        <v>445.80154229999999</v>
      </c>
      <c r="R55" s="17">
        <v>0.03</v>
      </c>
      <c r="S55" s="18">
        <v>0.70940000000000003</v>
      </c>
      <c r="T55" s="25">
        <v>3701.988489425356</v>
      </c>
      <c r="U55" s="26">
        <v>6877.4194215755406</v>
      </c>
      <c r="V55">
        <f t="shared" si="2"/>
        <v>0.11</v>
      </c>
    </row>
    <row r="56" spans="1:22" ht="14.45" customHeight="1" x14ac:dyDescent="0.25">
      <c r="A56" s="14" t="s">
        <v>177</v>
      </c>
      <c r="B56" t="s">
        <v>178</v>
      </c>
      <c r="C56" t="s">
        <v>66</v>
      </c>
      <c r="D56" t="s">
        <v>504</v>
      </c>
      <c r="E56" s="14" t="s">
        <v>70</v>
      </c>
      <c r="F56" s="14" t="s">
        <v>63</v>
      </c>
      <c r="G56" s="15" t="str">
        <f t="shared" si="3"/>
        <v>Not Eligible</v>
      </c>
      <c r="H56" s="24">
        <v>12704.2</v>
      </c>
      <c r="I56" s="24">
        <v>10902.4</v>
      </c>
      <c r="J56" s="24">
        <v>9311.7999999999993</v>
      </c>
      <c r="K56" s="17">
        <v>0.8</v>
      </c>
      <c r="L56" s="17">
        <v>1</v>
      </c>
      <c r="M56" s="18">
        <v>12</v>
      </c>
      <c r="N56" s="19">
        <v>390</v>
      </c>
      <c r="O56" s="20">
        <f t="shared" si="4"/>
        <v>25</v>
      </c>
      <c r="P56" s="20">
        <v>538.36166230000003</v>
      </c>
      <c r="Q56" s="20">
        <v>753.70632720000003</v>
      </c>
      <c r="R56" s="17">
        <v>0.03</v>
      </c>
      <c r="S56" s="18">
        <v>0.74319999999999997</v>
      </c>
      <c r="T56" s="25">
        <v>27477.706462078761</v>
      </c>
      <c r="U56" s="26">
        <v>36515.018624192824</v>
      </c>
      <c r="V56">
        <f t="shared" si="2"/>
        <v>0.17</v>
      </c>
    </row>
    <row r="57" spans="1:22" ht="14.45" customHeight="1" x14ac:dyDescent="0.25">
      <c r="A57" s="14" t="s">
        <v>179</v>
      </c>
      <c r="B57" t="s">
        <v>180</v>
      </c>
      <c r="C57" t="s">
        <v>66</v>
      </c>
      <c r="D57" t="s">
        <v>508</v>
      </c>
      <c r="E57" s="14" t="s">
        <v>57</v>
      </c>
      <c r="F57" s="14" t="s">
        <v>58</v>
      </c>
      <c r="G57" s="15" t="str">
        <f t="shared" si="3"/>
        <v>Not Eligible</v>
      </c>
      <c r="H57" s="24">
        <v>79671.199999999997</v>
      </c>
      <c r="I57" s="24">
        <v>75123.8</v>
      </c>
      <c r="J57" s="24">
        <v>64094.000000000007</v>
      </c>
      <c r="K57" s="17">
        <v>0.8</v>
      </c>
      <c r="L57" s="17">
        <v>1</v>
      </c>
      <c r="M57" s="18">
        <v>12</v>
      </c>
      <c r="N57" s="19">
        <v>13.5</v>
      </c>
      <c r="O57" s="20">
        <f t="shared" si="4"/>
        <v>5</v>
      </c>
      <c r="P57" s="20">
        <v>551.90324139999996</v>
      </c>
      <c r="Q57" s="20">
        <v>441.52259309999999</v>
      </c>
      <c r="R57" s="17">
        <v>0.03</v>
      </c>
      <c r="S57" s="18">
        <v>0.74319999999999997</v>
      </c>
      <c r="T57" s="25">
        <v>481.73232910476861</v>
      </c>
      <c r="U57" s="26">
        <v>588.9013205522798</v>
      </c>
      <c r="V57">
        <f t="shared" si="2"/>
        <v>0.17</v>
      </c>
    </row>
    <row r="58" spans="1:22" ht="14.45" customHeight="1" x14ac:dyDescent="0.25">
      <c r="A58" s="14" t="s">
        <v>181</v>
      </c>
      <c r="B58" t="s">
        <v>182</v>
      </c>
      <c r="C58" t="s">
        <v>61</v>
      </c>
      <c r="D58" t="s">
        <v>507</v>
      </c>
      <c r="E58" s="14" t="s">
        <v>70</v>
      </c>
      <c r="F58" s="14" t="s">
        <v>63</v>
      </c>
      <c r="G58" s="15" t="str">
        <f t="shared" si="3"/>
        <v>Not Eligible</v>
      </c>
      <c r="H58" s="24">
        <v>7028.6</v>
      </c>
      <c r="I58" s="24">
        <v>7435.2</v>
      </c>
      <c r="J58" s="24">
        <v>6065.8</v>
      </c>
      <c r="K58" s="17">
        <v>0.8</v>
      </c>
      <c r="L58" s="17">
        <v>1</v>
      </c>
      <c r="M58" s="18">
        <v>12</v>
      </c>
      <c r="N58" s="19">
        <v>390</v>
      </c>
      <c r="O58" s="20">
        <f t="shared" si="4"/>
        <v>25</v>
      </c>
      <c r="P58" s="20">
        <v>744.10140560000002</v>
      </c>
      <c r="Q58" s="20">
        <v>1041.741968</v>
      </c>
      <c r="R58" s="17">
        <v>0.03</v>
      </c>
      <c r="S58" s="18">
        <v>0.7659999999999999</v>
      </c>
      <c r="T58" s="25">
        <v>16533.374792703151</v>
      </c>
      <c r="U58" s="26">
        <v>21941.676713435172</v>
      </c>
      <c r="V58">
        <f t="shared" si="2"/>
        <v>0.13</v>
      </c>
    </row>
    <row r="59" spans="1:22" ht="14.45" customHeight="1" x14ac:dyDescent="0.25">
      <c r="A59" s="14" t="s">
        <v>183</v>
      </c>
      <c r="B59" t="s">
        <v>184</v>
      </c>
      <c r="C59" t="s">
        <v>66</v>
      </c>
      <c r="D59" t="s">
        <v>508</v>
      </c>
      <c r="E59" s="14" t="s">
        <v>57</v>
      </c>
      <c r="F59" s="14" t="s">
        <v>58</v>
      </c>
      <c r="G59" s="15" t="str">
        <f t="shared" si="3"/>
        <v>Not Eligible</v>
      </c>
      <c r="H59" s="24">
        <v>1440208</v>
      </c>
      <c r="I59" s="24">
        <v>1345895.6</v>
      </c>
      <c r="J59" s="24">
        <v>1284935</v>
      </c>
      <c r="K59" s="17">
        <v>0.8</v>
      </c>
      <c r="L59" s="17">
        <v>1</v>
      </c>
      <c r="M59" s="18">
        <v>12</v>
      </c>
      <c r="N59" s="19">
        <v>13.5</v>
      </c>
      <c r="O59" s="20">
        <f t="shared" si="4"/>
        <v>5</v>
      </c>
      <c r="P59" s="20">
        <v>551.90324139999996</v>
      </c>
      <c r="Q59" s="20">
        <v>331.14194479999998</v>
      </c>
      <c r="R59" s="17">
        <v>0.03</v>
      </c>
      <c r="S59" s="18">
        <v>0.74319999999999997</v>
      </c>
      <c r="T59" s="25">
        <v>356.96728724009165</v>
      </c>
      <c r="U59" s="26">
        <v>1116.474417953475</v>
      </c>
      <c r="V59">
        <f t="shared" si="2"/>
        <v>0.17</v>
      </c>
    </row>
    <row r="60" spans="1:22" ht="14.45" customHeight="1" x14ac:dyDescent="0.25">
      <c r="A60" s="14" t="s">
        <v>185</v>
      </c>
      <c r="B60" t="s">
        <v>186</v>
      </c>
      <c r="C60" t="s">
        <v>83</v>
      </c>
      <c r="D60" t="s">
        <v>505</v>
      </c>
      <c r="E60" s="14" t="s">
        <v>62</v>
      </c>
      <c r="F60" s="14" t="s">
        <v>63</v>
      </c>
      <c r="G60" s="15" t="str">
        <f t="shared" si="3"/>
        <v>Not Eligible</v>
      </c>
      <c r="H60" s="24">
        <v>8564.1999999999989</v>
      </c>
      <c r="I60" s="24">
        <v>8525.8000000000011</v>
      </c>
      <c r="J60" s="24">
        <v>7746.2</v>
      </c>
      <c r="K60" s="17">
        <v>0.8</v>
      </c>
      <c r="L60" s="17">
        <v>1</v>
      </c>
      <c r="M60" s="18">
        <v>12</v>
      </c>
      <c r="N60" s="19">
        <v>40.44</v>
      </c>
      <c r="O60" s="20">
        <f t="shared" si="4"/>
        <v>15</v>
      </c>
      <c r="P60" s="20">
        <v>650.09150220000004</v>
      </c>
      <c r="Q60" s="20">
        <v>910.12810309999998</v>
      </c>
      <c r="R60" s="17">
        <v>0.03</v>
      </c>
      <c r="S60" s="18">
        <v>0.76080000000000003</v>
      </c>
      <c r="T60" s="25">
        <v>4396.7006145265086</v>
      </c>
      <c r="U60" s="26">
        <v>4787.2259963728447</v>
      </c>
      <c r="V60">
        <f t="shared" si="2"/>
        <v>0.11</v>
      </c>
    </row>
    <row r="61" spans="1:22" ht="14.45" customHeight="1" x14ac:dyDescent="0.25">
      <c r="A61" s="14" t="s">
        <v>187</v>
      </c>
      <c r="B61" t="s">
        <v>188</v>
      </c>
      <c r="C61" t="s">
        <v>61</v>
      </c>
      <c r="D61" t="s">
        <v>506</v>
      </c>
      <c r="E61" s="14" t="s">
        <v>70</v>
      </c>
      <c r="F61" s="14" t="s">
        <v>63</v>
      </c>
      <c r="G61" s="15" t="str">
        <f t="shared" si="3"/>
        <v>Not Eligible</v>
      </c>
      <c r="H61" s="24">
        <v>29695.800000000003</v>
      </c>
      <c r="I61" s="24">
        <v>30046.399999999998</v>
      </c>
      <c r="J61" s="24">
        <v>28084.800000000003</v>
      </c>
      <c r="K61" s="17">
        <v>0.8</v>
      </c>
      <c r="L61" s="17">
        <v>1</v>
      </c>
      <c r="M61" s="18">
        <v>12</v>
      </c>
      <c r="N61" s="19">
        <v>390</v>
      </c>
      <c r="O61" s="20">
        <f t="shared" si="4"/>
        <v>25</v>
      </c>
      <c r="P61" s="20">
        <v>1325.425371</v>
      </c>
      <c r="Q61" s="20">
        <v>1590.5104449999999</v>
      </c>
      <c r="R61" s="17">
        <v>0.03</v>
      </c>
      <c r="S61" s="18">
        <v>0.7659999999999999</v>
      </c>
      <c r="T61" s="25">
        <v>48823.298888270117</v>
      </c>
      <c r="U61" s="26">
        <v>38083.16540375146</v>
      </c>
      <c r="V61">
        <f t="shared" si="2"/>
        <v>0.04</v>
      </c>
    </row>
    <row r="62" spans="1:22" ht="14.45" customHeight="1" x14ac:dyDescent="0.25">
      <c r="A62" s="14" t="s">
        <v>189</v>
      </c>
      <c r="B62" t="s">
        <v>190</v>
      </c>
      <c r="C62" t="s">
        <v>61</v>
      </c>
      <c r="D62" t="s">
        <v>506</v>
      </c>
      <c r="E62" s="14" t="s">
        <v>70</v>
      </c>
      <c r="F62" s="14" t="s">
        <v>63</v>
      </c>
      <c r="G62" s="15" t="str">
        <f t="shared" si="3"/>
        <v>Not Eligible</v>
      </c>
      <c r="H62" s="24">
        <v>382887.39999999997</v>
      </c>
      <c r="I62" s="24">
        <v>390221.2</v>
      </c>
      <c r="J62" s="24">
        <v>390222</v>
      </c>
      <c r="K62" s="17">
        <v>0.8</v>
      </c>
      <c r="L62" s="17">
        <v>1</v>
      </c>
      <c r="M62" s="18">
        <v>12</v>
      </c>
      <c r="N62" s="19">
        <v>390</v>
      </c>
      <c r="O62" s="20">
        <f t="shared" si="4"/>
        <v>25</v>
      </c>
      <c r="P62" s="20">
        <v>1325.425371</v>
      </c>
      <c r="Q62" s="20">
        <v>1325.425371</v>
      </c>
      <c r="R62" s="17">
        <v>0.03</v>
      </c>
      <c r="S62" s="18">
        <v>0.7659999999999999</v>
      </c>
      <c r="T62" s="25">
        <v>42377.418128632453</v>
      </c>
      <c r="U62" s="26">
        <v>34993.423793801259</v>
      </c>
      <c r="V62">
        <f t="shared" si="2"/>
        <v>0.04</v>
      </c>
    </row>
    <row r="63" spans="1:22" ht="14.45" customHeight="1" x14ac:dyDescent="0.25">
      <c r="A63" s="14" t="s">
        <v>191</v>
      </c>
      <c r="B63" t="s">
        <v>192</v>
      </c>
      <c r="C63" t="s">
        <v>66</v>
      </c>
      <c r="D63" t="s">
        <v>504</v>
      </c>
      <c r="E63" s="14" t="s">
        <v>67</v>
      </c>
      <c r="F63" s="14" t="s">
        <v>63</v>
      </c>
      <c r="G63" s="15" t="str">
        <f t="shared" si="3"/>
        <v>Not Eligible</v>
      </c>
      <c r="H63" s="24">
        <v>23649.200000000001</v>
      </c>
      <c r="I63" s="24">
        <v>21009.399999999998</v>
      </c>
      <c r="J63" s="24">
        <v>18775.2</v>
      </c>
      <c r="K63" s="17">
        <v>0.8</v>
      </c>
      <c r="L63" s="17">
        <v>1</v>
      </c>
      <c r="M63" s="18">
        <v>12</v>
      </c>
      <c r="N63" s="19">
        <v>40.44</v>
      </c>
      <c r="O63" s="20">
        <f t="shared" si="4"/>
        <v>15</v>
      </c>
      <c r="P63" s="20">
        <v>538.36166230000003</v>
      </c>
      <c r="Q63" s="20">
        <v>753.70632720000003</v>
      </c>
      <c r="R63" s="17">
        <v>0.03</v>
      </c>
      <c r="S63" s="18">
        <v>0.74319999999999997</v>
      </c>
      <c r="T63" s="25">
        <v>11113.888468059946</v>
      </c>
      <c r="U63" s="26">
        <v>15960.122340244341</v>
      </c>
      <c r="V63">
        <f t="shared" si="2"/>
        <v>0.17</v>
      </c>
    </row>
    <row r="64" spans="1:22" ht="14.45" customHeight="1" x14ac:dyDescent="0.25">
      <c r="A64" s="14" t="s">
        <v>193</v>
      </c>
      <c r="B64" t="s">
        <v>194</v>
      </c>
      <c r="C64" t="s">
        <v>66</v>
      </c>
      <c r="D64" t="s">
        <v>504</v>
      </c>
      <c r="E64" s="14" t="s">
        <v>57</v>
      </c>
      <c r="F64" s="14" t="s">
        <v>58</v>
      </c>
      <c r="G64" s="15" t="str">
        <f t="shared" si="3"/>
        <v>Not Eligible</v>
      </c>
      <c r="H64" s="24">
        <v>36230.200000000004</v>
      </c>
      <c r="I64" s="24">
        <v>29822.799999999999</v>
      </c>
      <c r="J64" s="24">
        <v>25058.399999999998</v>
      </c>
      <c r="K64" s="17">
        <v>0.8</v>
      </c>
      <c r="L64" s="17">
        <v>1</v>
      </c>
      <c r="M64" s="18">
        <v>12</v>
      </c>
      <c r="N64" s="19">
        <v>13.5</v>
      </c>
      <c r="O64" s="20">
        <f t="shared" si="4"/>
        <v>5</v>
      </c>
      <c r="P64" s="20">
        <v>538.36166230000003</v>
      </c>
      <c r="Q64" s="20">
        <v>430.6893298</v>
      </c>
      <c r="R64" s="17">
        <v>0.03</v>
      </c>
      <c r="S64" s="18">
        <v>0.74319999999999997</v>
      </c>
      <c r="T64" s="25">
        <v>505.76057013074836</v>
      </c>
      <c r="U64" s="26">
        <v>2135.2990390624586</v>
      </c>
      <c r="V64">
        <f t="shared" si="2"/>
        <v>0.17</v>
      </c>
    </row>
    <row r="65" spans="1:22" ht="14.45" customHeight="1" x14ac:dyDescent="0.25">
      <c r="A65" s="14" t="s">
        <v>195</v>
      </c>
      <c r="B65" t="s">
        <v>196</v>
      </c>
      <c r="C65" t="s">
        <v>61</v>
      </c>
      <c r="D65" t="s">
        <v>505</v>
      </c>
      <c r="E65" s="14" t="s">
        <v>62</v>
      </c>
      <c r="F65" s="14" t="s">
        <v>73</v>
      </c>
      <c r="G65" s="15" t="str">
        <f t="shared" ref="G65:G96" si="5">IF(C65="AMRO","Participating","Not Eligible")</f>
        <v>Not Eligible</v>
      </c>
      <c r="H65" s="24">
        <v>26542.6</v>
      </c>
      <c r="I65" s="24">
        <v>21437.599999999999</v>
      </c>
      <c r="J65" s="24">
        <v>17717.199999999997</v>
      </c>
      <c r="K65" s="17">
        <v>0.8</v>
      </c>
      <c r="L65" s="17">
        <v>1</v>
      </c>
      <c r="M65" s="18">
        <v>12</v>
      </c>
      <c r="N65" s="19">
        <v>13.5</v>
      </c>
      <c r="O65" s="20">
        <f t="shared" si="4"/>
        <v>15</v>
      </c>
      <c r="P65" s="20">
        <v>588.11935960000005</v>
      </c>
      <c r="Q65" s="20">
        <v>352.87161579999997</v>
      </c>
      <c r="R65" s="17">
        <v>0.03</v>
      </c>
      <c r="S65" s="18">
        <v>0.7659999999999999</v>
      </c>
      <c r="T65" s="25">
        <v>3202.5251182090101</v>
      </c>
      <c r="U65" s="26">
        <v>5502.5150775165303</v>
      </c>
      <c r="V65">
        <f t="shared" si="2"/>
        <v>0.11</v>
      </c>
    </row>
    <row r="66" spans="1:22" ht="14.45" customHeight="1" x14ac:dyDescent="0.25">
      <c r="A66" s="14" t="s">
        <v>197</v>
      </c>
      <c r="B66" t="s">
        <v>198</v>
      </c>
      <c r="C66" t="s">
        <v>61</v>
      </c>
      <c r="D66" t="s">
        <v>506</v>
      </c>
      <c r="E66" s="14" t="s">
        <v>70</v>
      </c>
      <c r="F66" s="14" t="s">
        <v>63</v>
      </c>
      <c r="G66" s="15" t="str">
        <f t="shared" si="5"/>
        <v>Not Eligible</v>
      </c>
      <c r="H66" s="24">
        <v>329104.59999999998</v>
      </c>
      <c r="I66" s="24">
        <v>330261.8</v>
      </c>
      <c r="J66" s="24">
        <v>352646.6</v>
      </c>
      <c r="K66" s="17">
        <v>0.8</v>
      </c>
      <c r="L66" s="17">
        <v>1</v>
      </c>
      <c r="M66" s="18">
        <v>12</v>
      </c>
      <c r="N66" s="19">
        <v>390</v>
      </c>
      <c r="O66" s="20">
        <f t="shared" ref="O66:O97" si="6">IF(E66="High income",25,IF(E66="Low-income",5,15))</f>
        <v>25</v>
      </c>
      <c r="P66" s="20">
        <v>1325.425371</v>
      </c>
      <c r="Q66" s="20">
        <v>1325.425371</v>
      </c>
      <c r="R66" s="17">
        <v>0.03</v>
      </c>
      <c r="S66" s="18">
        <v>0.7659999999999999</v>
      </c>
      <c r="T66" s="25">
        <v>44059.825922391079</v>
      </c>
      <c r="U66" s="26">
        <v>39211.464427243802</v>
      </c>
      <c r="V66">
        <f t="shared" si="2"/>
        <v>0.04</v>
      </c>
    </row>
    <row r="67" spans="1:22" ht="14.45" customHeight="1" x14ac:dyDescent="0.25">
      <c r="A67" s="14" t="s">
        <v>199</v>
      </c>
      <c r="B67" t="s">
        <v>200</v>
      </c>
      <c r="C67" t="s">
        <v>66</v>
      </c>
      <c r="D67" t="s">
        <v>504</v>
      </c>
      <c r="E67" s="14" t="s">
        <v>62</v>
      </c>
      <c r="F67" s="14" t="s">
        <v>58</v>
      </c>
      <c r="G67" s="15" t="str">
        <f t="shared" si="5"/>
        <v>Not Eligible</v>
      </c>
      <c r="H67" s="24">
        <v>396870</v>
      </c>
      <c r="I67" s="24">
        <v>342232.39999999997</v>
      </c>
      <c r="J67" s="24">
        <v>302220.40000000002</v>
      </c>
      <c r="K67" s="17">
        <v>0.8</v>
      </c>
      <c r="L67" s="17">
        <v>1</v>
      </c>
      <c r="M67" s="18">
        <v>12</v>
      </c>
      <c r="N67" s="19">
        <v>13.5</v>
      </c>
      <c r="O67" s="20">
        <f t="shared" si="6"/>
        <v>15</v>
      </c>
      <c r="P67" s="20">
        <v>538.36166230000003</v>
      </c>
      <c r="Q67" s="20">
        <v>646.03399469999999</v>
      </c>
      <c r="R67" s="17">
        <v>0.03</v>
      </c>
      <c r="S67" s="18">
        <v>0.74319999999999997</v>
      </c>
      <c r="T67" s="25">
        <v>1570.1331793254471</v>
      </c>
      <c r="U67" s="26">
        <v>1883.959461242654</v>
      </c>
      <c r="V67">
        <f t="shared" ref="V67:V130" si="7">LOOKUP($D67,$Z$2:$Z$6,$AA$2:$AA$6)</f>
        <v>0.17</v>
      </c>
    </row>
    <row r="68" spans="1:22" ht="14.45" customHeight="1" x14ac:dyDescent="0.25">
      <c r="A68" s="14" t="s">
        <v>201</v>
      </c>
      <c r="B68" t="s">
        <v>202</v>
      </c>
      <c r="C68" t="s">
        <v>61</v>
      </c>
      <c r="D68" t="s">
        <v>506</v>
      </c>
      <c r="E68" s="14" t="s">
        <v>70</v>
      </c>
      <c r="F68" s="14" t="s">
        <v>63</v>
      </c>
      <c r="G68" s="15" t="str">
        <f t="shared" si="5"/>
        <v>Not Eligible</v>
      </c>
      <c r="H68" s="24">
        <v>51844.6</v>
      </c>
      <c r="I68" s="24">
        <v>52347</v>
      </c>
      <c r="J68" s="24">
        <v>51550.400000000001</v>
      </c>
      <c r="K68" s="17">
        <v>0.8</v>
      </c>
      <c r="L68" s="17">
        <v>1</v>
      </c>
      <c r="M68" s="18">
        <v>12</v>
      </c>
      <c r="N68" s="19">
        <v>390</v>
      </c>
      <c r="O68" s="20">
        <f t="shared" si="6"/>
        <v>25</v>
      </c>
      <c r="P68" s="20">
        <v>1325.425371</v>
      </c>
      <c r="Q68" s="20">
        <v>1060.340297</v>
      </c>
      <c r="R68" s="17">
        <v>0.03</v>
      </c>
      <c r="S68" s="18">
        <v>0.7659999999999999</v>
      </c>
      <c r="T68" s="25">
        <v>25621.670459203237</v>
      </c>
      <c r="U68" s="26">
        <v>26948.104239881945</v>
      </c>
      <c r="V68">
        <f t="shared" si="7"/>
        <v>0.04</v>
      </c>
    </row>
    <row r="69" spans="1:22" ht="14.45" customHeight="1" x14ac:dyDescent="0.25">
      <c r="A69" s="14" t="s">
        <v>203</v>
      </c>
      <c r="B69" t="s">
        <v>204</v>
      </c>
      <c r="C69" t="s">
        <v>76</v>
      </c>
      <c r="D69" t="s">
        <v>505</v>
      </c>
      <c r="E69" s="14" t="s">
        <v>67</v>
      </c>
      <c r="F69" s="14" t="s">
        <v>63</v>
      </c>
      <c r="G69" s="15" t="str">
        <f t="shared" si="5"/>
        <v>Not Eligible</v>
      </c>
      <c r="H69" s="24">
        <v>969.2</v>
      </c>
      <c r="I69" s="24">
        <v>922.19999999999993</v>
      </c>
      <c r="J69" s="24">
        <v>867.2</v>
      </c>
      <c r="K69" s="17">
        <v>0.8</v>
      </c>
      <c r="L69" s="17">
        <v>1</v>
      </c>
      <c r="M69" s="18">
        <v>12</v>
      </c>
      <c r="N69" s="19">
        <v>40.44</v>
      </c>
      <c r="O69" s="20">
        <f t="shared" si="6"/>
        <v>15</v>
      </c>
      <c r="P69" s="20">
        <v>743.00257050000005</v>
      </c>
      <c r="Q69" s="20">
        <v>743.00257050000005</v>
      </c>
      <c r="R69" s="17">
        <v>0.03</v>
      </c>
      <c r="S69" s="18">
        <v>0.70940000000000003</v>
      </c>
      <c r="T69" s="25">
        <v>7780.0973082470528</v>
      </c>
      <c r="U69" s="26">
        <v>11180.410972789898</v>
      </c>
      <c r="V69">
        <f t="shared" si="7"/>
        <v>0.11</v>
      </c>
    </row>
    <row r="70" spans="1:22" ht="14.45" customHeight="1" x14ac:dyDescent="0.25">
      <c r="A70" s="14" t="s">
        <v>205</v>
      </c>
      <c r="B70" t="s">
        <v>206</v>
      </c>
      <c r="C70" t="s">
        <v>76</v>
      </c>
      <c r="D70" t="s">
        <v>504</v>
      </c>
      <c r="E70" s="14" t="s">
        <v>62</v>
      </c>
      <c r="F70" s="14" t="s">
        <v>63</v>
      </c>
      <c r="G70" s="15" t="str">
        <f t="shared" si="5"/>
        <v>Not Eligible</v>
      </c>
      <c r="H70" s="24">
        <v>204885.2</v>
      </c>
      <c r="I70" s="24">
        <v>193610.6</v>
      </c>
      <c r="J70" s="24">
        <v>189273.2</v>
      </c>
      <c r="K70" s="17">
        <v>0.8</v>
      </c>
      <c r="L70" s="17">
        <v>1</v>
      </c>
      <c r="M70" s="18">
        <v>12</v>
      </c>
      <c r="N70" s="19">
        <v>40.44</v>
      </c>
      <c r="O70" s="20">
        <f t="shared" si="6"/>
        <v>15</v>
      </c>
      <c r="P70" s="20">
        <v>546.30694100000005</v>
      </c>
      <c r="Q70" s="20">
        <v>655.56832919999999</v>
      </c>
      <c r="R70" s="17">
        <v>0.03</v>
      </c>
      <c r="S70" s="18">
        <v>0.70940000000000003</v>
      </c>
      <c r="T70" s="25">
        <v>3178.0847043520948</v>
      </c>
      <c r="U70" s="26">
        <v>4961.3220648139013</v>
      </c>
      <c r="V70">
        <f t="shared" si="7"/>
        <v>0.17</v>
      </c>
    </row>
    <row r="71" spans="1:22" ht="14.45" customHeight="1" x14ac:dyDescent="0.25">
      <c r="A71" s="14" t="s">
        <v>207</v>
      </c>
      <c r="B71" t="s">
        <v>208</v>
      </c>
      <c r="C71" t="s">
        <v>66</v>
      </c>
      <c r="D71" t="s">
        <v>504</v>
      </c>
      <c r="E71" s="14" t="s">
        <v>57</v>
      </c>
      <c r="F71" s="14" t="s">
        <v>58</v>
      </c>
      <c r="G71" s="15" t="str">
        <f t="shared" si="5"/>
        <v>Not Eligible</v>
      </c>
      <c r="H71" s="24">
        <v>202767.2</v>
      </c>
      <c r="I71" s="24">
        <v>175815.8</v>
      </c>
      <c r="J71" s="24">
        <v>153324.6</v>
      </c>
      <c r="K71" s="17">
        <v>0.8</v>
      </c>
      <c r="L71" s="17">
        <v>1</v>
      </c>
      <c r="M71" s="18">
        <v>12</v>
      </c>
      <c r="N71" s="19">
        <v>13.5</v>
      </c>
      <c r="O71" s="20">
        <f t="shared" si="6"/>
        <v>5</v>
      </c>
      <c r="P71" s="20">
        <v>538.36166230000003</v>
      </c>
      <c r="Q71" s="20">
        <v>323.01699739999998</v>
      </c>
      <c r="R71" s="17">
        <v>0.03</v>
      </c>
      <c r="S71" s="18">
        <v>0.74319999999999997</v>
      </c>
      <c r="T71" s="25">
        <v>497.90485542704988</v>
      </c>
      <c r="U71" s="26">
        <v>1128.4105179709784</v>
      </c>
      <c r="V71">
        <f t="shared" si="7"/>
        <v>0.17</v>
      </c>
    </row>
    <row r="72" spans="1:22" ht="14.45" customHeight="1" x14ac:dyDescent="0.25">
      <c r="A72" s="14" t="s">
        <v>209</v>
      </c>
      <c r="B72" t="s">
        <v>210</v>
      </c>
      <c r="C72" t="s">
        <v>66</v>
      </c>
      <c r="D72" t="s">
        <v>504</v>
      </c>
      <c r="E72" s="14" t="s">
        <v>57</v>
      </c>
      <c r="F72" s="14" t="s">
        <v>58</v>
      </c>
      <c r="G72" s="15" t="str">
        <f t="shared" si="5"/>
        <v>Not Eligible</v>
      </c>
      <c r="H72" s="24">
        <v>28811.399999999998</v>
      </c>
      <c r="I72" s="24">
        <v>24720</v>
      </c>
      <c r="J72" s="24">
        <v>21710.6</v>
      </c>
      <c r="K72" s="17">
        <v>0.8</v>
      </c>
      <c r="L72" s="17">
        <v>1</v>
      </c>
      <c r="M72" s="18">
        <v>12</v>
      </c>
      <c r="N72" s="19">
        <v>13.5</v>
      </c>
      <c r="O72" s="20">
        <f t="shared" si="6"/>
        <v>5</v>
      </c>
      <c r="P72" s="20">
        <v>538.36166230000003</v>
      </c>
      <c r="Q72" s="20">
        <v>430.6893298</v>
      </c>
      <c r="R72" s="17">
        <v>0.03</v>
      </c>
      <c r="S72" s="18">
        <v>0.74319999999999997</v>
      </c>
      <c r="T72" s="25">
        <v>629.21077869621422</v>
      </c>
      <c r="U72" s="26">
        <v>1251.2866444166934</v>
      </c>
      <c r="V72">
        <f t="shared" si="7"/>
        <v>0.17</v>
      </c>
    </row>
    <row r="73" spans="1:22" ht="14.45" customHeight="1" x14ac:dyDescent="0.25">
      <c r="A73" s="14" t="s">
        <v>211</v>
      </c>
      <c r="B73" t="s">
        <v>212</v>
      </c>
      <c r="C73" t="s">
        <v>76</v>
      </c>
      <c r="D73" t="s">
        <v>505</v>
      </c>
      <c r="E73" s="14" t="s">
        <v>62</v>
      </c>
      <c r="F73" s="14" t="s">
        <v>58</v>
      </c>
      <c r="G73" s="15" t="str">
        <f t="shared" si="5"/>
        <v>Not Eligible</v>
      </c>
      <c r="H73" s="24">
        <v>6544.7999999999993</v>
      </c>
      <c r="I73" s="24">
        <v>6314.4</v>
      </c>
      <c r="J73" s="24">
        <v>8981.6</v>
      </c>
      <c r="K73" s="17">
        <v>0.8</v>
      </c>
      <c r="L73" s="17">
        <v>1</v>
      </c>
      <c r="M73" s="18">
        <v>12</v>
      </c>
      <c r="N73" s="19">
        <v>13.5</v>
      </c>
      <c r="O73" s="20">
        <f t="shared" si="6"/>
        <v>15</v>
      </c>
      <c r="P73" s="20">
        <v>743.00257050000005</v>
      </c>
      <c r="Q73" s="20">
        <v>445.80154229999999</v>
      </c>
      <c r="R73" s="17">
        <v>0.03</v>
      </c>
      <c r="S73" s="18">
        <v>0.70940000000000003</v>
      </c>
      <c r="T73" s="25">
        <v>3408.1948935509208</v>
      </c>
      <c r="U73" s="23">
        <v>3444.7251379895101</v>
      </c>
      <c r="V73">
        <f t="shared" si="7"/>
        <v>0.11</v>
      </c>
    </row>
    <row r="74" spans="1:22" ht="14.45" customHeight="1" x14ac:dyDescent="0.25">
      <c r="A74" s="14" t="s">
        <v>213</v>
      </c>
      <c r="B74" t="s">
        <v>214</v>
      </c>
      <c r="C74" t="s">
        <v>76</v>
      </c>
      <c r="D74" t="s">
        <v>504</v>
      </c>
      <c r="E74" s="14" t="s">
        <v>57</v>
      </c>
      <c r="F74" s="14" t="s">
        <v>58</v>
      </c>
      <c r="G74" s="15" t="str">
        <f t="shared" si="5"/>
        <v>Not Eligible</v>
      </c>
      <c r="H74" s="24">
        <v>121341.2</v>
      </c>
      <c r="I74" s="24">
        <v>119142.39999999999</v>
      </c>
      <c r="J74" s="24">
        <v>114707</v>
      </c>
      <c r="K74" s="17">
        <v>0.8</v>
      </c>
      <c r="L74" s="17">
        <v>1</v>
      </c>
      <c r="M74" s="18">
        <v>12</v>
      </c>
      <c r="N74" s="19">
        <v>13.5</v>
      </c>
      <c r="O74" s="20">
        <f t="shared" si="6"/>
        <v>5</v>
      </c>
      <c r="P74" s="20">
        <v>546.30694100000005</v>
      </c>
      <c r="Q74" s="20">
        <v>327.7841646</v>
      </c>
      <c r="R74" s="17">
        <v>0.03</v>
      </c>
      <c r="S74" s="18">
        <v>0.70940000000000003</v>
      </c>
      <c r="T74" s="25">
        <v>725.63327365978557</v>
      </c>
      <c r="U74" s="26">
        <v>1179.3949767972049</v>
      </c>
      <c r="V74">
        <f t="shared" si="7"/>
        <v>0.17</v>
      </c>
    </row>
    <row r="75" spans="1:22" ht="14.45" customHeight="1" x14ac:dyDescent="0.25">
      <c r="A75" s="14" t="s">
        <v>215</v>
      </c>
      <c r="B75" t="s">
        <v>216</v>
      </c>
      <c r="C75" t="s">
        <v>76</v>
      </c>
      <c r="D75" t="s">
        <v>505</v>
      </c>
      <c r="E75" s="14" t="s">
        <v>62</v>
      </c>
      <c r="F75" s="14" t="s">
        <v>73</v>
      </c>
      <c r="G75" s="15" t="str">
        <f t="shared" si="5"/>
        <v>Not Eligible</v>
      </c>
      <c r="H75" s="24">
        <v>79961.399999999994</v>
      </c>
      <c r="I75" s="24">
        <v>84125.599999999991</v>
      </c>
      <c r="J75" s="24">
        <v>87675.199999999983</v>
      </c>
      <c r="K75" s="17">
        <v>0.8</v>
      </c>
      <c r="L75" s="17">
        <v>1</v>
      </c>
      <c r="M75" s="18">
        <v>12</v>
      </c>
      <c r="N75" s="19">
        <v>13.5</v>
      </c>
      <c r="O75" s="20">
        <f t="shared" si="6"/>
        <v>15</v>
      </c>
      <c r="P75" s="20">
        <v>743.00257050000005</v>
      </c>
      <c r="Q75" s="20">
        <v>445.80154229999999</v>
      </c>
      <c r="R75" s="17">
        <v>0.03</v>
      </c>
      <c r="S75" s="18">
        <v>0.70940000000000003</v>
      </c>
      <c r="T75" s="25">
        <v>2247.231181032661</v>
      </c>
      <c r="U75" s="26">
        <v>4065.8708983744505</v>
      </c>
      <c r="V75">
        <f t="shared" si="7"/>
        <v>0.11</v>
      </c>
    </row>
    <row r="76" spans="1:22" ht="14.45" customHeight="1" x14ac:dyDescent="0.25">
      <c r="A76" s="14" t="s">
        <v>217</v>
      </c>
      <c r="B76" t="s">
        <v>218</v>
      </c>
      <c r="C76" t="s">
        <v>61</v>
      </c>
      <c r="D76" t="s">
        <v>507</v>
      </c>
      <c r="E76" s="14" t="s">
        <v>70</v>
      </c>
      <c r="F76" s="14" t="s">
        <v>63</v>
      </c>
      <c r="G76" s="15" t="str">
        <f t="shared" si="5"/>
        <v>Not Eligible</v>
      </c>
      <c r="H76" s="24">
        <v>44999.4</v>
      </c>
      <c r="I76" s="24">
        <v>47786.200000000004</v>
      </c>
      <c r="J76" s="24">
        <v>46814.6</v>
      </c>
      <c r="K76" s="17">
        <v>0.8</v>
      </c>
      <c r="L76" s="17">
        <v>1</v>
      </c>
      <c r="M76" s="18">
        <v>12</v>
      </c>
      <c r="N76" s="19">
        <v>390</v>
      </c>
      <c r="O76" s="20">
        <f t="shared" si="6"/>
        <v>25</v>
      </c>
      <c r="P76" s="20">
        <v>744.10140560000002</v>
      </c>
      <c r="Q76" s="20">
        <v>1041.741968</v>
      </c>
      <c r="R76" s="17">
        <v>0.03</v>
      </c>
      <c r="S76" s="18">
        <v>0.7659999999999999</v>
      </c>
      <c r="T76" s="25">
        <v>14043.661064515723</v>
      </c>
      <c r="U76" s="26">
        <v>21610.488199759577</v>
      </c>
      <c r="V76">
        <f t="shared" si="7"/>
        <v>0.13</v>
      </c>
    </row>
    <row r="77" spans="1:22" ht="14.45" customHeight="1" x14ac:dyDescent="0.25">
      <c r="A77" s="14" t="s">
        <v>219</v>
      </c>
      <c r="B77" t="s">
        <v>220</v>
      </c>
      <c r="C77" t="s">
        <v>61</v>
      </c>
      <c r="D77" t="s">
        <v>506</v>
      </c>
      <c r="E77" s="14" t="s">
        <v>70</v>
      </c>
      <c r="F77" s="14" t="s">
        <v>63</v>
      </c>
      <c r="G77" s="15" t="str">
        <f t="shared" si="5"/>
        <v>Not Eligible</v>
      </c>
      <c r="H77" s="24">
        <v>2266.6</v>
      </c>
      <c r="I77" s="24">
        <v>2225.4</v>
      </c>
      <c r="J77" s="24">
        <v>2084.4</v>
      </c>
      <c r="K77" s="17">
        <v>0.8</v>
      </c>
      <c r="L77" s="17">
        <v>1</v>
      </c>
      <c r="M77" s="18">
        <v>12</v>
      </c>
      <c r="N77" s="19">
        <v>390</v>
      </c>
      <c r="O77" s="20">
        <f t="shared" si="6"/>
        <v>25</v>
      </c>
      <c r="P77" s="20">
        <v>1325.425371</v>
      </c>
      <c r="Q77" s="20">
        <v>1325.425371</v>
      </c>
      <c r="R77" s="17">
        <v>0.03</v>
      </c>
      <c r="S77" s="18">
        <v>0.7659999999999999</v>
      </c>
      <c r="T77" s="25">
        <v>43969.19210125973</v>
      </c>
      <c r="U77" s="26">
        <v>36085.204399625531</v>
      </c>
      <c r="V77">
        <f t="shared" si="7"/>
        <v>0.04</v>
      </c>
    </row>
    <row r="78" spans="1:22" ht="14.45" customHeight="1" x14ac:dyDescent="0.25">
      <c r="A78" s="14" t="s">
        <v>221</v>
      </c>
      <c r="B78" t="s">
        <v>222</v>
      </c>
      <c r="C78" t="s">
        <v>94</v>
      </c>
      <c r="D78" t="s">
        <v>504</v>
      </c>
      <c r="E78" s="14" t="s">
        <v>62</v>
      </c>
      <c r="F78" s="14" t="s">
        <v>58</v>
      </c>
      <c r="G78" s="15" t="str">
        <f t="shared" si="5"/>
        <v>Not Eligible</v>
      </c>
      <c r="H78" s="24">
        <v>11719276.200000001</v>
      </c>
      <c r="I78" s="24">
        <v>12003831.200000001</v>
      </c>
      <c r="J78" s="24">
        <v>11973173.800000001</v>
      </c>
      <c r="K78" s="17">
        <v>0.8</v>
      </c>
      <c r="L78" s="17">
        <v>1</v>
      </c>
      <c r="M78" s="18">
        <v>12</v>
      </c>
      <c r="N78" s="19">
        <v>13.5</v>
      </c>
      <c r="O78" s="20">
        <f t="shared" si="6"/>
        <v>15</v>
      </c>
      <c r="P78" s="20">
        <v>493.69661500000001</v>
      </c>
      <c r="Q78" s="20">
        <v>394.957292</v>
      </c>
      <c r="R78" s="17">
        <v>0.03</v>
      </c>
      <c r="S78" s="18">
        <v>0.81889999999999996</v>
      </c>
      <c r="T78" s="25">
        <v>1488.5128605113478</v>
      </c>
      <c r="U78" s="26">
        <v>3651.991909369458</v>
      </c>
      <c r="V78">
        <f t="shared" si="7"/>
        <v>0.17</v>
      </c>
    </row>
    <row r="79" spans="1:22" ht="14.45" customHeight="1" x14ac:dyDescent="0.25">
      <c r="A79" s="14" t="s">
        <v>223</v>
      </c>
      <c r="B79" t="s">
        <v>224</v>
      </c>
      <c r="C79" t="s">
        <v>94</v>
      </c>
      <c r="D79" t="s">
        <v>505</v>
      </c>
      <c r="E79" s="14" t="s">
        <v>62</v>
      </c>
      <c r="F79" s="14" t="s">
        <v>73</v>
      </c>
      <c r="G79" s="15" t="str">
        <f t="shared" si="5"/>
        <v>Not Eligible</v>
      </c>
      <c r="H79" s="24">
        <v>2433538.9999999995</v>
      </c>
      <c r="I79" s="24">
        <v>2228057.4000000004</v>
      </c>
      <c r="J79" s="24">
        <v>2283763.7999999998</v>
      </c>
      <c r="K79" s="17">
        <v>0.8</v>
      </c>
      <c r="L79" s="17">
        <v>1</v>
      </c>
      <c r="M79" s="18">
        <v>12</v>
      </c>
      <c r="N79" s="19">
        <v>13.5</v>
      </c>
      <c r="O79" s="20">
        <f t="shared" si="6"/>
        <v>15</v>
      </c>
      <c r="P79" s="20">
        <v>539.82276060000004</v>
      </c>
      <c r="Q79" s="20">
        <v>647.7873128</v>
      </c>
      <c r="R79" s="17">
        <v>0.03</v>
      </c>
      <c r="S79" s="18">
        <v>0.68420000000000003</v>
      </c>
      <c r="T79" s="33">
        <v>3494.6045738883286</v>
      </c>
      <c r="U79" s="26">
        <v>4667.9577728805907</v>
      </c>
      <c r="V79">
        <f t="shared" si="7"/>
        <v>0.11</v>
      </c>
    </row>
    <row r="80" spans="1:22" ht="14.45" customHeight="1" x14ac:dyDescent="0.25">
      <c r="A80" s="14" t="s">
        <v>225</v>
      </c>
      <c r="B80" t="s">
        <v>226</v>
      </c>
      <c r="C80" t="s">
        <v>56</v>
      </c>
      <c r="D80" t="s">
        <v>505</v>
      </c>
      <c r="E80" s="14" t="s">
        <v>67</v>
      </c>
      <c r="F80" s="14" t="s">
        <v>63</v>
      </c>
      <c r="G80" s="15" t="str">
        <f t="shared" si="5"/>
        <v>Not Eligible</v>
      </c>
      <c r="H80" s="24">
        <v>672542.6</v>
      </c>
      <c r="I80" s="24">
        <v>631111.6</v>
      </c>
      <c r="J80" s="24">
        <v>524563</v>
      </c>
      <c r="K80" s="17">
        <v>0.8</v>
      </c>
      <c r="L80" s="17">
        <v>1</v>
      </c>
      <c r="M80" s="18">
        <v>12</v>
      </c>
      <c r="N80" s="19">
        <v>40.44</v>
      </c>
      <c r="O80" s="20">
        <f t="shared" si="6"/>
        <v>15</v>
      </c>
      <c r="P80" s="20">
        <v>811.19980080000005</v>
      </c>
      <c r="Q80" s="20">
        <v>486.71988049999999</v>
      </c>
      <c r="R80" s="17">
        <v>0.03</v>
      </c>
      <c r="S80" s="18">
        <v>0.81889999999999996</v>
      </c>
      <c r="T80" s="34">
        <v>4525.9486080334427</v>
      </c>
      <c r="U80" s="32">
        <v>11479.417657968001</v>
      </c>
      <c r="V80">
        <f t="shared" si="7"/>
        <v>0.11</v>
      </c>
    </row>
    <row r="81" spans="1:22" ht="14.45" customHeight="1" x14ac:dyDescent="0.25">
      <c r="A81" s="14" t="s">
        <v>227</v>
      </c>
      <c r="B81" t="s">
        <v>228</v>
      </c>
      <c r="C81" t="s">
        <v>56</v>
      </c>
      <c r="D81" t="s">
        <v>504</v>
      </c>
      <c r="E81" s="14" t="s">
        <v>62</v>
      </c>
      <c r="F81" s="14" t="s">
        <v>63</v>
      </c>
      <c r="G81" s="15" t="str">
        <f t="shared" si="5"/>
        <v>Not Eligible</v>
      </c>
      <c r="H81" s="24">
        <v>556651.20000000007</v>
      </c>
      <c r="I81" s="24">
        <v>482987.39999999997</v>
      </c>
      <c r="J81" s="24">
        <v>410601.4</v>
      </c>
      <c r="K81" s="17">
        <v>0.8</v>
      </c>
      <c r="L81" s="17">
        <v>1</v>
      </c>
      <c r="M81" s="18">
        <v>12</v>
      </c>
      <c r="N81" s="19">
        <v>40.44</v>
      </c>
      <c r="O81" s="20">
        <f t="shared" si="6"/>
        <v>15</v>
      </c>
      <c r="P81" s="20">
        <v>603.06939599999998</v>
      </c>
      <c r="Q81" s="20">
        <v>844.29715439999995</v>
      </c>
      <c r="R81" s="17">
        <v>0.03</v>
      </c>
      <c r="S81" s="18">
        <v>0.81889999999999996</v>
      </c>
      <c r="T81" s="25">
        <v>3500.6556793047093</v>
      </c>
      <c r="U81" s="26">
        <v>3890.46313405301</v>
      </c>
      <c r="V81">
        <f t="shared" si="7"/>
        <v>0.17</v>
      </c>
    </row>
    <row r="82" spans="1:22" ht="14.45" customHeight="1" x14ac:dyDescent="0.25">
      <c r="A82" s="14" t="s">
        <v>229</v>
      </c>
      <c r="B82" t="s">
        <v>230</v>
      </c>
      <c r="C82" t="s">
        <v>61</v>
      </c>
      <c r="D82" t="s">
        <v>506</v>
      </c>
      <c r="E82" s="14" t="s">
        <v>70</v>
      </c>
      <c r="F82" s="14" t="s">
        <v>63</v>
      </c>
      <c r="G82" s="15" t="str">
        <f t="shared" si="5"/>
        <v>Not Eligible</v>
      </c>
      <c r="H82" s="24">
        <v>34144</v>
      </c>
      <c r="I82" s="24">
        <v>34336.799999999996</v>
      </c>
      <c r="J82" s="24">
        <v>30387.999999999996</v>
      </c>
      <c r="K82" s="17">
        <v>0.8</v>
      </c>
      <c r="L82" s="17">
        <v>1</v>
      </c>
      <c r="M82" s="18">
        <v>12</v>
      </c>
      <c r="N82" s="19">
        <v>390</v>
      </c>
      <c r="O82" s="20">
        <f t="shared" si="6"/>
        <v>25</v>
      </c>
      <c r="P82" s="20">
        <v>1325.425371</v>
      </c>
      <c r="Q82" s="20">
        <v>1590.5104449999999</v>
      </c>
      <c r="R82" s="17">
        <v>0.03</v>
      </c>
      <c r="S82" s="18">
        <v>0.7659999999999999</v>
      </c>
      <c r="T82" s="25">
        <v>48423.211782185579</v>
      </c>
      <c r="U82" s="26">
        <v>41543.272598676107</v>
      </c>
      <c r="V82">
        <f t="shared" si="7"/>
        <v>0.04</v>
      </c>
    </row>
    <row r="83" spans="1:22" ht="14.45" customHeight="1" x14ac:dyDescent="0.25">
      <c r="A83" s="14" t="s">
        <v>231</v>
      </c>
      <c r="B83" t="s">
        <v>232</v>
      </c>
      <c r="C83" t="s">
        <v>61</v>
      </c>
      <c r="D83" t="s">
        <v>506</v>
      </c>
      <c r="E83" s="14" t="s">
        <v>70</v>
      </c>
      <c r="F83" s="14" t="s">
        <v>63</v>
      </c>
      <c r="G83" s="15" t="str">
        <f t="shared" si="5"/>
        <v>Not Eligible</v>
      </c>
      <c r="H83" s="24">
        <v>81009.399999999994</v>
      </c>
      <c r="I83" s="24">
        <v>72026.199999999983</v>
      </c>
      <c r="J83" s="24">
        <v>65367.8</v>
      </c>
      <c r="K83" s="17">
        <v>0.8</v>
      </c>
      <c r="L83" s="17">
        <v>1</v>
      </c>
      <c r="M83" s="18">
        <v>12</v>
      </c>
      <c r="N83" s="19">
        <v>390</v>
      </c>
      <c r="O83" s="20">
        <f t="shared" si="6"/>
        <v>25</v>
      </c>
      <c r="P83" s="20">
        <v>1325.425371</v>
      </c>
      <c r="Q83" s="20">
        <v>1060.340297</v>
      </c>
      <c r="R83" s="17">
        <v>0.03</v>
      </c>
      <c r="S83" s="18">
        <v>0.7659999999999999</v>
      </c>
      <c r="T83" s="25">
        <v>31282.27090084759</v>
      </c>
      <c r="U83" s="26">
        <v>27834.942624323307</v>
      </c>
      <c r="V83">
        <f t="shared" si="7"/>
        <v>0.04</v>
      </c>
    </row>
    <row r="84" spans="1:22" ht="14.45" customHeight="1" x14ac:dyDescent="0.25">
      <c r="A84" s="14" t="s">
        <v>233</v>
      </c>
      <c r="B84" t="s">
        <v>234</v>
      </c>
      <c r="C84" t="s">
        <v>61</v>
      </c>
      <c r="D84" t="s">
        <v>506</v>
      </c>
      <c r="E84" s="14" t="s">
        <v>70</v>
      </c>
      <c r="F84" s="14" t="s">
        <v>63</v>
      </c>
      <c r="G84" s="15" t="str">
        <f t="shared" si="5"/>
        <v>Not Eligible</v>
      </c>
      <c r="H84" s="24">
        <v>249214.6</v>
      </c>
      <c r="I84" s="24">
        <v>273500.59999999998</v>
      </c>
      <c r="J84" s="24">
        <v>273499.8</v>
      </c>
      <c r="K84" s="17">
        <v>0.8</v>
      </c>
      <c r="L84" s="17">
        <v>1</v>
      </c>
      <c r="M84" s="18">
        <v>12</v>
      </c>
      <c r="N84" s="19">
        <v>390</v>
      </c>
      <c r="O84" s="20">
        <f t="shared" si="6"/>
        <v>25</v>
      </c>
      <c r="P84" s="20">
        <v>1325.425371</v>
      </c>
      <c r="Q84" s="20">
        <v>1325.425371</v>
      </c>
      <c r="R84" s="17">
        <v>0.03</v>
      </c>
      <c r="S84" s="18">
        <v>0.7659999999999999</v>
      </c>
      <c r="T84" s="25">
        <v>36102.864293008242</v>
      </c>
      <c r="U84" s="26">
        <v>32927.548858662631</v>
      </c>
      <c r="V84">
        <f t="shared" si="7"/>
        <v>0.04</v>
      </c>
    </row>
    <row r="85" spans="1:22" ht="14.45" customHeight="1" x14ac:dyDescent="0.25">
      <c r="A85" s="14" t="s">
        <v>235</v>
      </c>
      <c r="B85" t="s">
        <v>236</v>
      </c>
      <c r="C85" t="s">
        <v>76</v>
      </c>
      <c r="D85" t="s">
        <v>505</v>
      </c>
      <c r="E85" s="14" t="s">
        <v>67</v>
      </c>
      <c r="F85" s="14" t="s">
        <v>63</v>
      </c>
      <c r="G85" s="15" t="str">
        <f t="shared" si="5"/>
        <v>Not Eligible</v>
      </c>
      <c r="H85" s="24">
        <v>19835</v>
      </c>
      <c r="I85" s="24">
        <v>21440.199999999997</v>
      </c>
      <c r="J85" s="24">
        <v>23156.799999999999</v>
      </c>
      <c r="K85" s="17">
        <v>0.8</v>
      </c>
      <c r="L85" s="17">
        <v>1</v>
      </c>
      <c r="M85" s="18">
        <v>12</v>
      </c>
      <c r="N85" s="19">
        <v>40.44</v>
      </c>
      <c r="O85" s="20">
        <f t="shared" si="6"/>
        <v>15</v>
      </c>
      <c r="P85" s="20">
        <v>743.00257050000005</v>
      </c>
      <c r="Q85" s="20">
        <v>594.40205639999999</v>
      </c>
      <c r="R85" s="17">
        <v>0.03</v>
      </c>
      <c r="S85" s="18">
        <v>0.70940000000000003</v>
      </c>
      <c r="T85" s="25">
        <v>5329.5432013246364</v>
      </c>
      <c r="U85" s="26">
        <v>8065.156370662552</v>
      </c>
      <c r="V85">
        <f t="shared" si="7"/>
        <v>0.11</v>
      </c>
    </row>
    <row r="86" spans="1:22" ht="14.45" customHeight="1" x14ac:dyDescent="0.25">
      <c r="A86" s="14" t="s">
        <v>237</v>
      </c>
      <c r="B86" t="s">
        <v>238</v>
      </c>
      <c r="C86" t="s">
        <v>83</v>
      </c>
      <c r="D86" t="s">
        <v>506</v>
      </c>
      <c r="E86" s="14" t="s">
        <v>70</v>
      </c>
      <c r="F86" s="14" t="s">
        <v>63</v>
      </c>
      <c r="G86" s="15" t="str">
        <f t="shared" si="5"/>
        <v>Not Eligible</v>
      </c>
      <c r="H86" s="24">
        <v>512653</v>
      </c>
      <c r="I86" s="24">
        <v>525834.59999999986</v>
      </c>
      <c r="J86" s="24">
        <v>546709.79999999993</v>
      </c>
      <c r="K86" s="17">
        <v>0.8</v>
      </c>
      <c r="L86" s="17">
        <v>1</v>
      </c>
      <c r="M86" s="18">
        <v>12</v>
      </c>
      <c r="N86" s="19">
        <v>390</v>
      </c>
      <c r="O86" s="20">
        <f t="shared" si="6"/>
        <v>25</v>
      </c>
      <c r="P86" s="20">
        <v>1472.623308</v>
      </c>
      <c r="Q86" s="20">
        <v>1472.623308</v>
      </c>
      <c r="R86" s="17">
        <v>0.03</v>
      </c>
      <c r="S86" s="18">
        <v>0.68420000000000003</v>
      </c>
      <c r="T86" s="25">
        <v>45902.671607675584</v>
      </c>
      <c r="U86" s="26">
        <v>34293.684143572587</v>
      </c>
      <c r="V86">
        <f t="shared" si="7"/>
        <v>0.04</v>
      </c>
    </row>
    <row r="87" spans="1:22" ht="14.45" customHeight="1" x14ac:dyDescent="0.25">
      <c r="A87" s="14" t="s">
        <v>239</v>
      </c>
      <c r="B87" t="s">
        <v>240</v>
      </c>
      <c r="C87" t="s">
        <v>56</v>
      </c>
      <c r="D87" t="s">
        <v>505</v>
      </c>
      <c r="E87" s="14" t="s">
        <v>67</v>
      </c>
      <c r="F87" s="14" t="s">
        <v>63</v>
      </c>
      <c r="G87" s="15" t="str">
        <f t="shared" si="5"/>
        <v>Not Eligible</v>
      </c>
      <c r="H87" s="24">
        <v>95964.4</v>
      </c>
      <c r="I87" s="24">
        <v>87957.6</v>
      </c>
      <c r="J87" s="24">
        <v>80598</v>
      </c>
      <c r="K87" s="17">
        <v>0.8</v>
      </c>
      <c r="L87" s="17">
        <v>1</v>
      </c>
      <c r="M87" s="18">
        <v>12</v>
      </c>
      <c r="N87" s="19">
        <v>40.44</v>
      </c>
      <c r="O87" s="20">
        <f t="shared" si="6"/>
        <v>15</v>
      </c>
      <c r="P87" s="20">
        <v>811.19980080000005</v>
      </c>
      <c r="Q87" s="20">
        <v>648.95984069999997</v>
      </c>
      <c r="R87" s="17">
        <v>0.03</v>
      </c>
      <c r="S87" s="18">
        <v>0.81889999999999996</v>
      </c>
      <c r="T87" s="25">
        <v>4665.94353968012</v>
      </c>
      <c r="U87" s="26">
        <v>6007.1134177300091</v>
      </c>
      <c r="V87">
        <f t="shared" si="7"/>
        <v>0.11</v>
      </c>
    </row>
    <row r="88" spans="1:22" ht="14.45" customHeight="1" x14ac:dyDescent="0.25">
      <c r="A88" s="14" t="s">
        <v>241</v>
      </c>
      <c r="B88" t="s">
        <v>242</v>
      </c>
      <c r="C88" t="s">
        <v>61</v>
      </c>
      <c r="D88" t="s">
        <v>507</v>
      </c>
      <c r="E88" s="14" t="s">
        <v>67</v>
      </c>
      <c r="F88" s="14" t="s">
        <v>63</v>
      </c>
      <c r="G88" s="15" t="str">
        <f t="shared" si="5"/>
        <v>Not Eligible</v>
      </c>
      <c r="H88" s="24">
        <v>189323</v>
      </c>
      <c r="I88" s="24">
        <v>157217.60000000001</v>
      </c>
      <c r="J88" s="24">
        <v>111434.79999999999</v>
      </c>
      <c r="K88" s="17">
        <v>0.8</v>
      </c>
      <c r="L88" s="17">
        <v>1</v>
      </c>
      <c r="M88" s="18">
        <v>12</v>
      </c>
      <c r="N88" s="19">
        <v>40.44</v>
      </c>
      <c r="O88" s="20">
        <f t="shared" si="6"/>
        <v>15</v>
      </c>
      <c r="P88" s="20">
        <v>744.10140560000002</v>
      </c>
      <c r="Q88" s="20">
        <v>595.28112450000003</v>
      </c>
      <c r="R88" s="17">
        <v>0.03</v>
      </c>
      <c r="S88" s="18">
        <v>0.7659999999999999</v>
      </c>
      <c r="T88" s="25">
        <v>11356.732311822989</v>
      </c>
      <c r="U88" s="26">
        <v>13189.209783616021</v>
      </c>
      <c r="V88">
        <f t="shared" si="7"/>
        <v>0.13</v>
      </c>
    </row>
    <row r="89" spans="1:22" ht="14.45" customHeight="1" x14ac:dyDescent="0.25">
      <c r="A89" s="14" t="s">
        <v>243</v>
      </c>
      <c r="B89" t="s">
        <v>244</v>
      </c>
      <c r="C89" t="s">
        <v>66</v>
      </c>
      <c r="D89" t="s">
        <v>508</v>
      </c>
      <c r="E89" s="14" t="s">
        <v>57</v>
      </c>
      <c r="F89" s="14" t="s">
        <v>58</v>
      </c>
      <c r="G89" s="15" t="str">
        <f t="shared" si="5"/>
        <v>Not Eligible</v>
      </c>
      <c r="H89" s="24">
        <v>710638.6</v>
      </c>
      <c r="I89" s="24">
        <v>644721.20000000007</v>
      </c>
      <c r="J89" s="24">
        <v>561655</v>
      </c>
      <c r="K89" s="17">
        <v>0.8</v>
      </c>
      <c r="L89" s="17">
        <v>1</v>
      </c>
      <c r="M89" s="18">
        <v>12</v>
      </c>
      <c r="N89" s="19">
        <v>13.5</v>
      </c>
      <c r="O89" s="20">
        <f t="shared" si="6"/>
        <v>5</v>
      </c>
      <c r="P89" s="20">
        <v>551.90324139999996</v>
      </c>
      <c r="Q89" s="20">
        <v>551.90324139999996</v>
      </c>
      <c r="R89" s="17">
        <v>0.03</v>
      </c>
      <c r="S89" s="18">
        <v>0.74319999999999997</v>
      </c>
      <c r="T89" s="33">
        <v>808.00057178552743</v>
      </c>
      <c r="U89" s="26">
        <v>1718.2933213228275</v>
      </c>
      <c r="V89">
        <f t="shared" si="7"/>
        <v>0.17</v>
      </c>
    </row>
    <row r="90" spans="1:22" ht="14.45" customHeight="1" x14ac:dyDescent="0.25">
      <c r="A90" s="14" t="s">
        <v>245</v>
      </c>
      <c r="B90" t="s">
        <v>246</v>
      </c>
      <c r="C90" t="s">
        <v>83</v>
      </c>
      <c r="D90" t="s">
        <v>505</v>
      </c>
      <c r="E90" s="14" t="s">
        <v>62</v>
      </c>
      <c r="F90" s="14" t="s">
        <v>73</v>
      </c>
      <c r="G90" s="15" t="str">
        <f t="shared" si="5"/>
        <v>Not Eligible</v>
      </c>
      <c r="H90" s="24">
        <v>1445.2</v>
      </c>
      <c r="I90" s="24">
        <v>1351.9999999999998</v>
      </c>
      <c r="J90" s="24">
        <v>1038.8</v>
      </c>
      <c r="K90" s="17">
        <v>0.8</v>
      </c>
      <c r="L90" s="17">
        <v>1</v>
      </c>
      <c r="M90" s="18">
        <v>12</v>
      </c>
      <c r="N90" s="19">
        <v>13.5</v>
      </c>
      <c r="O90" s="20">
        <f t="shared" si="6"/>
        <v>15</v>
      </c>
      <c r="P90" s="20">
        <v>650.09150220000004</v>
      </c>
      <c r="Q90" s="20">
        <v>390.05490129999998</v>
      </c>
      <c r="R90" s="17">
        <v>0.03</v>
      </c>
      <c r="S90" s="18">
        <v>0.76080000000000003</v>
      </c>
      <c r="T90" s="25">
        <v>1648.8795918506696</v>
      </c>
      <c r="U90" s="26">
        <v>2530.9835867049842</v>
      </c>
      <c r="V90">
        <f t="shared" si="7"/>
        <v>0.11</v>
      </c>
    </row>
    <row r="91" spans="1:22" ht="14.45" customHeight="1" x14ac:dyDescent="0.25">
      <c r="A91" s="14" t="s">
        <v>247</v>
      </c>
      <c r="B91" t="s">
        <v>248</v>
      </c>
      <c r="C91" t="s">
        <v>94</v>
      </c>
      <c r="D91" t="s">
        <v>504</v>
      </c>
      <c r="E91" s="14" t="s">
        <v>57</v>
      </c>
      <c r="F91" s="14" t="s">
        <v>58</v>
      </c>
      <c r="G91" s="15" t="str">
        <f t="shared" si="5"/>
        <v>Not Eligible</v>
      </c>
      <c r="H91" s="24">
        <v>170845.59999999998</v>
      </c>
      <c r="I91" s="24">
        <v>167273.79999999999</v>
      </c>
      <c r="J91" s="24">
        <v>182931.80000000002</v>
      </c>
      <c r="K91" s="17">
        <v>0.8</v>
      </c>
      <c r="L91" s="17">
        <v>1</v>
      </c>
      <c r="M91" s="18">
        <v>12</v>
      </c>
      <c r="N91" s="19">
        <v>13.5</v>
      </c>
      <c r="O91" s="20">
        <f t="shared" si="6"/>
        <v>5</v>
      </c>
      <c r="P91" s="20">
        <v>493.69661500000001</v>
      </c>
      <c r="Q91" s="20">
        <v>691.17526099999998</v>
      </c>
      <c r="R91" s="17">
        <v>0.03</v>
      </c>
      <c r="S91" s="18">
        <v>0.68420000000000003</v>
      </c>
      <c r="T91" s="27">
        <v>8483.8499159663643</v>
      </c>
      <c r="U91" s="28">
        <v>7362.0655556750798</v>
      </c>
      <c r="V91">
        <f t="shared" si="7"/>
        <v>0.17</v>
      </c>
    </row>
    <row r="92" spans="1:22" ht="14.45" customHeight="1" x14ac:dyDescent="0.25">
      <c r="A92" s="14" t="s">
        <v>249</v>
      </c>
      <c r="B92" t="s">
        <v>250</v>
      </c>
      <c r="C92" t="s">
        <v>83</v>
      </c>
      <c r="D92" t="s">
        <v>505</v>
      </c>
      <c r="E92" s="14" t="s">
        <v>70</v>
      </c>
      <c r="F92" s="14" t="s">
        <v>63</v>
      </c>
      <c r="G92" s="15" t="str">
        <f t="shared" si="5"/>
        <v>Not Eligible</v>
      </c>
      <c r="H92" s="24">
        <v>221119.59999999998</v>
      </c>
      <c r="I92" s="24">
        <v>220436.80000000002</v>
      </c>
      <c r="J92" s="24">
        <v>238211.20000000001</v>
      </c>
      <c r="K92" s="17">
        <v>0.8</v>
      </c>
      <c r="L92" s="17">
        <v>1</v>
      </c>
      <c r="M92" s="18">
        <v>12</v>
      </c>
      <c r="N92" s="19">
        <v>390</v>
      </c>
      <c r="O92" s="20">
        <f t="shared" si="6"/>
        <v>25</v>
      </c>
      <c r="P92" s="20">
        <v>650.09150220000004</v>
      </c>
      <c r="Q92" s="20">
        <v>910.12810309999998</v>
      </c>
      <c r="R92" s="17">
        <v>0.03</v>
      </c>
      <c r="S92" s="18">
        <v>0.68420000000000003</v>
      </c>
      <c r="T92" s="25">
        <v>22424.062301746617</v>
      </c>
      <c r="U92" s="26">
        <v>30253.807442836292</v>
      </c>
      <c r="V92">
        <f t="shared" si="7"/>
        <v>0.11</v>
      </c>
    </row>
    <row r="93" spans="1:22" ht="14.45" customHeight="1" x14ac:dyDescent="0.25">
      <c r="A93" s="14" t="s">
        <v>251</v>
      </c>
      <c r="B93" t="s">
        <v>252</v>
      </c>
      <c r="C93" t="s">
        <v>56</v>
      </c>
      <c r="D93" t="s">
        <v>505</v>
      </c>
      <c r="E93" s="14" t="s">
        <v>70</v>
      </c>
      <c r="F93" s="14" t="s">
        <v>63</v>
      </c>
      <c r="G93" s="15" t="str">
        <f t="shared" si="5"/>
        <v>Not Eligible</v>
      </c>
      <c r="H93" s="24">
        <v>34094.400000000001</v>
      </c>
      <c r="I93" s="24">
        <v>29494.799999999999</v>
      </c>
      <c r="J93" s="24">
        <v>20982.400000000001</v>
      </c>
      <c r="K93" s="17">
        <v>0.8</v>
      </c>
      <c r="L93" s="17">
        <v>1</v>
      </c>
      <c r="M93" s="18">
        <v>12</v>
      </c>
      <c r="N93" s="19">
        <v>390</v>
      </c>
      <c r="O93" s="20">
        <f t="shared" si="6"/>
        <v>25</v>
      </c>
      <c r="P93" s="20">
        <v>811.19980080000005</v>
      </c>
      <c r="Q93" s="20">
        <v>1135.679721</v>
      </c>
      <c r="R93" s="17">
        <v>0.03</v>
      </c>
      <c r="S93" s="18">
        <v>0.81889999999999996</v>
      </c>
      <c r="T93" s="25">
        <v>62664.103379069471</v>
      </c>
      <c r="U93" s="26">
        <v>54654.456599939673</v>
      </c>
      <c r="V93">
        <f t="shared" si="7"/>
        <v>0.11</v>
      </c>
    </row>
    <row r="94" spans="1:22" ht="14.45" customHeight="1" x14ac:dyDescent="0.25">
      <c r="A94" s="14" t="s">
        <v>253</v>
      </c>
      <c r="B94" t="s">
        <v>254</v>
      </c>
      <c r="C94" t="s">
        <v>61</v>
      </c>
      <c r="D94" t="s">
        <v>505</v>
      </c>
      <c r="E94" s="14" t="s">
        <v>57</v>
      </c>
      <c r="F94" s="14" t="s">
        <v>58</v>
      </c>
      <c r="G94" s="15" t="str">
        <f t="shared" si="5"/>
        <v>Not Eligible</v>
      </c>
      <c r="H94" s="24">
        <v>75937.2</v>
      </c>
      <c r="I94" s="24">
        <v>59049.599999999999</v>
      </c>
      <c r="J94" s="24">
        <v>47399.4</v>
      </c>
      <c r="K94" s="17">
        <v>0.8</v>
      </c>
      <c r="L94" s="17">
        <v>1</v>
      </c>
      <c r="M94" s="18">
        <v>12</v>
      </c>
      <c r="N94" s="19">
        <v>13.5</v>
      </c>
      <c r="O94" s="20">
        <f t="shared" si="6"/>
        <v>5</v>
      </c>
      <c r="P94" s="20">
        <v>588.11935960000005</v>
      </c>
      <c r="Q94" s="20">
        <v>352.87161579999997</v>
      </c>
      <c r="R94" s="17">
        <v>0.03</v>
      </c>
      <c r="S94" s="18">
        <v>0.7659999999999999</v>
      </c>
      <c r="T94" s="25">
        <v>1074.7432283302055</v>
      </c>
      <c r="U94" s="26">
        <v>2423.8447460863681</v>
      </c>
      <c r="V94">
        <f t="shared" si="7"/>
        <v>0.11</v>
      </c>
    </row>
    <row r="95" spans="1:22" ht="14.45" customHeight="1" x14ac:dyDescent="0.25">
      <c r="A95" s="14" t="s">
        <v>255</v>
      </c>
      <c r="B95" t="s">
        <v>256</v>
      </c>
      <c r="C95" t="s">
        <v>83</v>
      </c>
      <c r="D95" t="s">
        <v>505</v>
      </c>
      <c r="E95" s="14" t="s">
        <v>62</v>
      </c>
      <c r="F95" s="14" t="s">
        <v>58</v>
      </c>
      <c r="G95" s="15" t="str">
        <f t="shared" si="5"/>
        <v>Not Eligible</v>
      </c>
      <c r="H95" s="24">
        <v>82081.400000000009</v>
      </c>
      <c r="I95" s="24">
        <v>77922.400000000009</v>
      </c>
      <c r="J95" s="24">
        <v>71762.599999999991</v>
      </c>
      <c r="K95" s="17">
        <v>0.8</v>
      </c>
      <c r="L95" s="17">
        <v>1</v>
      </c>
      <c r="M95" s="18">
        <v>12</v>
      </c>
      <c r="N95" s="19">
        <v>13.5</v>
      </c>
      <c r="O95" s="20">
        <f t="shared" si="6"/>
        <v>15</v>
      </c>
      <c r="P95" s="20">
        <v>650.09150220000004</v>
      </c>
      <c r="Q95" s="20">
        <v>390.05490129999998</v>
      </c>
      <c r="R95" s="17">
        <v>0.03</v>
      </c>
      <c r="S95" s="18">
        <v>0.76080000000000003</v>
      </c>
      <c r="T95" s="25">
        <v>1319.5954064794214</v>
      </c>
      <c r="U95" s="26">
        <v>2809.2136484334092</v>
      </c>
      <c r="V95">
        <f t="shared" si="7"/>
        <v>0.11</v>
      </c>
    </row>
    <row r="96" spans="1:22" ht="14.45" customHeight="1" x14ac:dyDescent="0.25">
      <c r="A96" s="14" t="s">
        <v>257</v>
      </c>
      <c r="B96" t="s">
        <v>258</v>
      </c>
      <c r="C96" t="s">
        <v>61</v>
      </c>
      <c r="D96" t="s">
        <v>507</v>
      </c>
      <c r="E96" s="14" t="s">
        <v>67</v>
      </c>
      <c r="F96" s="14" t="s">
        <v>63</v>
      </c>
      <c r="G96" s="15" t="str">
        <f t="shared" si="5"/>
        <v>Not Eligible</v>
      </c>
      <c r="H96" s="24">
        <v>9207.4</v>
      </c>
      <c r="I96" s="24">
        <v>10458</v>
      </c>
      <c r="J96" s="24">
        <v>8984.4</v>
      </c>
      <c r="K96" s="17">
        <v>0.8</v>
      </c>
      <c r="L96" s="17">
        <v>1</v>
      </c>
      <c r="M96" s="18">
        <v>12</v>
      </c>
      <c r="N96" s="19">
        <v>40.44</v>
      </c>
      <c r="O96" s="20">
        <f t="shared" si="6"/>
        <v>15</v>
      </c>
      <c r="P96" s="20">
        <v>744.10140560000002</v>
      </c>
      <c r="Q96" s="20">
        <v>744.10140560000002</v>
      </c>
      <c r="R96" s="17">
        <v>0.03</v>
      </c>
      <c r="S96" s="18">
        <v>0.7659999999999999</v>
      </c>
      <c r="T96" s="25">
        <v>12726.350834604531</v>
      </c>
      <c r="U96" s="26">
        <v>17691.682910644795</v>
      </c>
      <c r="V96">
        <f t="shared" si="7"/>
        <v>0.13</v>
      </c>
    </row>
    <row r="97" spans="1:22" ht="14.45" customHeight="1" x14ac:dyDescent="0.25">
      <c r="A97" s="14" t="s">
        <v>259</v>
      </c>
      <c r="B97" t="s">
        <v>260</v>
      </c>
      <c r="C97" t="s">
        <v>56</v>
      </c>
      <c r="D97" t="s">
        <v>505</v>
      </c>
      <c r="E97" s="14" t="s">
        <v>67</v>
      </c>
      <c r="F97" s="14" t="s">
        <v>63</v>
      </c>
      <c r="G97" s="15" t="str">
        <f t="shared" ref="G97:G112" si="8">IF(C97="AMRO","Participating","Not Eligible")</f>
        <v>Not Eligible</v>
      </c>
      <c r="H97" s="24">
        <v>45516.800000000003</v>
      </c>
      <c r="I97" s="24">
        <v>44034.6</v>
      </c>
      <c r="J97" s="24">
        <v>51277.200000000004</v>
      </c>
      <c r="K97" s="17">
        <v>0.8</v>
      </c>
      <c r="L97" s="17">
        <v>1</v>
      </c>
      <c r="M97" s="18">
        <v>12</v>
      </c>
      <c r="N97" s="19">
        <v>40.44</v>
      </c>
      <c r="O97" s="20">
        <f t="shared" si="6"/>
        <v>15</v>
      </c>
      <c r="P97" s="20">
        <v>811.19980080000005</v>
      </c>
      <c r="Q97" s="20">
        <v>648.95984069999997</v>
      </c>
      <c r="R97" s="17">
        <v>0.03</v>
      </c>
      <c r="S97" s="18">
        <v>0.81889999999999996</v>
      </c>
      <c r="T97" s="25">
        <v>9413.1289131249523</v>
      </c>
      <c r="U97" s="26">
        <v>14708.562470421401</v>
      </c>
      <c r="V97">
        <f t="shared" si="7"/>
        <v>0.11</v>
      </c>
    </row>
    <row r="98" spans="1:22" ht="14.45" customHeight="1" x14ac:dyDescent="0.25">
      <c r="A98" s="14" t="s">
        <v>261</v>
      </c>
      <c r="B98" t="s">
        <v>262</v>
      </c>
      <c r="C98" t="s">
        <v>66</v>
      </c>
      <c r="D98" t="s">
        <v>508</v>
      </c>
      <c r="E98" s="14" t="s">
        <v>62</v>
      </c>
      <c r="F98" s="14" t="s">
        <v>58</v>
      </c>
      <c r="G98" s="15" t="str">
        <f t="shared" si="8"/>
        <v>Not Eligible</v>
      </c>
      <c r="H98" s="24">
        <v>27623.200000000004</v>
      </c>
      <c r="I98" s="24">
        <v>24744.399999999998</v>
      </c>
      <c r="J98" s="24">
        <v>24041.999999999996</v>
      </c>
      <c r="K98" s="17">
        <v>0.8</v>
      </c>
      <c r="L98" s="17">
        <v>1</v>
      </c>
      <c r="M98" s="18">
        <v>12</v>
      </c>
      <c r="N98" s="19">
        <v>13.5</v>
      </c>
      <c r="O98" s="20">
        <f t="shared" ref="O98:O129" si="9">IF(E98="High income",25,IF(E98="Low-income",5,15))</f>
        <v>15</v>
      </c>
      <c r="P98" s="20">
        <v>551.90324139999996</v>
      </c>
      <c r="Q98" s="20">
        <v>662.28388970000003</v>
      </c>
      <c r="R98" s="17">
        <v>0.03</v>
      </c>
      <c r="S98" s="18">
        <v>0.74319999999999997</v>
      </c>
      <c r="T98" s="25">
        <v>1105.9132385359908</v>
      </c>
      <c r="U98" s="26">
        <v>1714.6855341068272</v>
      </c>
      <c r="V98">
        <f t="shared" si="7"/>
        <v>0.17</v>
      </c>
    </row>
    <row r="99" spans="1:22" ht="14.45" customHeight="1" x14ac:dyDescent="0.25">
      <c r="A99" s="14" t="s">
        <v>263</v>
      </c>
      <c r="B99" t="s">
        <v>264</v>
      </c>
      <c r="C99" t="s">
        <v>66</v>
      </c>
      <c r="D99" t="s">
        <v>504</v>
      </c>
      <c r="E99" s="14" t="s">
        <v>57</v>
      </c>
      <c r="F99" s="14" t="s">
        <v>58</v>
      </c>
      <c r="G99" s="15" t="str">
        <f t="shared" si="8"/>
        <v>Not Eligible</v>
      </c>
      <c r="H99" s="24">
        <v>68634</v>
      </c>
      <c r="I99" s="24">
        <v>62398</v>
      </c>
      <c r="J99" s="24">
        <v>55565.8</v>
      </c>
      <c r="K99" s="17">
        <v>0.8</v>
      </c>
      <c r="L99" s="17">
        <v>1</v>
      </c>
      <c r="M99" s="18">
        <v>12</v>
      </c>
      <c r="N99" s="19">
        <v>13.5</v>
      </c>
      <c r="O99" s="20">
        <f t="shared" si="9"/>
        <v>5</v>
      </c>
      <c r="P99" s="20">
        <v>538.36166230000003</v>
      </c>
      <c r="Q99" s="20">
        <v>323.01699739999998</v>
      </c>
      <c r="R99" s="17">
        <v>0.03</v>
      </c>
      <c r="S99" s="18">
        <v>0.74319999999999997</v>
      </c>
      <c r="T99" s="25">
        <v>374.3332221925163</v>
      </c>
      <c r="U99" s="26">
        <v>577.07554206914847</v>
      </c>
      <c r="V99">
        <f t="shared" si="7"/>
        <v>0.17</v>
      </c>
    </row>
    <row r="100" spans="1:22" ht="14.45" customHeight="1" x14ac:dyDescent="0.25">
      <c r="A100" s="14" t="s">
        <v>265</v>
      </c>
      <c r="B100" t="s">
        <v>266</v>
      </c>
      <c r="C100" t="s">
        <v>56</v>
      </c>
      <c r="D100" t="s">
        <v>505</v>
      </c>
      <c r="E100" s="14" t="s">
        <v>67</v>
      </c>
      <c r="F100" s="14" t="s">
        <v>63</v>
      </c>
      <c r="G100" s="15" t="str">
        <f t="shared" si="8"/>
        <v>Not Eligible</v>
      </c>
      <c r="H100" s="24">
        <v>63249.2</v>
      </c>
      <c r="I100" s="24">
        <v>63366</v>
      </c>
      <c r="J100" s="24">
        <v>55931.200000000004</v>
      </c>
      <c r="K100" s="17">
        <v>0.8</v>
      </c>
      <c r="L100" s="17">
        <v>1</v>
      </c>
      <c r="M100" s="18">
        <v>12</v>
      </c>
      <c r="N100" s="19">
        <v>40.44</v>
      </c>
      <c r="O100" s="20">
        <f t="shared" si="9"/>
        <v>15</v>
      </c>
      <c r="P100" s="20">
        <v>811.19980080000005</v>
      </c>
      <c r="Q100" s="20">
        <v>811.19980080000005</v>
      </c>
      <c r="R100" s="17">
        <v>0.03</v>
      </c>
      <c r="S100" s="18">
        <v>0.81889999999999996</v>
      </c>
      <c r="T100" s="34">
        <v>9957.4904063992035</v>
      </c>
      <c r="U100" s="32">
        <v>16854.5763842862</v>
      </c>
      <c r="V100">
        <f t="shared" si="7"/>
        <v>0.11</v>
      </c>
    </row>
    <row r="101" spans="1:22" ht="14.45" customHeight="1" x14ac:dyDescent="0.25">
      <c r="A101" s="14" t="s">
        <v>267</v>
      </c>
      <c r="B101" t="s">
        <v>268</v>
      </c>
      <c r="C101" t="s">
        <v>61</v>
      </c>
      <c r="D101" t="s">
        <v>507</v>
      </c>
      <c r="E101" s="14" t="s">
        <v>67</v>
      </c>
      <c r="F101" s="14" t="s">
        <v>63</v>
      </c>
      <c r="G101" s="15" t="str">
        <f t="shared" si="8"/>
        <v>Not Eligible</v>
      </c>
      <c r="H101" s="24">
        <v>14800.999999999998</v>
      </c>
      <c r="I101" s="24">
        <v>13071.199999999999</v>
      </c>
      <c r="J101" s="24">
        <v>12875.6</v>
      </c>
      <c r="K101" s="17">
        <v>0.8</v>
      </c>
      <c r="L101" s="17">
        <v>1</v>
      </c>
      <c r="M101" s="18">
        <v>12</v>
      </c>
      <c r="N101" s="19">
        <v>40.44</v>
      </c>
      <c r="O101" s="20">
        <f t="shared" si="9"/>
        <v>15</v>
      </c>
      <c r="P101" s="20">
        <v>744.10140560000002</v>
      </c>
      <c r="Q101" s="20">
        <v>892.92168670000001</v>
      </c>
      <c r="R101" s="17">
        <v>0.03</v>
      </c>
      <c r="S101" s="18">
        <v>0.7659999999999999</v>
      </c>
      <c r="T101" s="25">
        <v>13339.183282751537</v>
      </c>
      <c r="U101" s="26">
        <v>20373.553993551443</v>
      </c>
      <c r="V101">
        <f t="shared" si="7"/>
        <v>0.13</v>
      </c>
    </row>
    <row r="102" spans="1:22" ht="14.45" customHeight="1" x14ac:dyDescent="0.25">
      <c r="A102" s="14" t="s">
        <v>269</v>
      </c>
      <c r="B102" t="s">
        <v>270</v>
      </c>
      <c r="C102" t="s">
        <v>61</v>
      </c>
      <c r="D102" t="s">
        <v>506</v>
      </c>
      <c r="E102" s="14" t="s">
        <v>70</v>
      </c>
      <c r="F102" s="14" t="s">
        <v>63</v>
      </c>
      <c r="G102" s="15" t="str">
        <f t="shared" si="8"/>
        <v>Not Eligible</v>
      </c>
      <c r="H102" s="24">
        <v>3086</v>
      </c>
      <c r="I102" s="24">
        <v>2947.4</v>
      </c>
      <c r="J102" s="24">
        <v>3043.4</v>
      </c>
      <c r="K102" s="17">
        <v>0.8</v>
      </c>
      <c r="L102" s="17">
        <v>1</v>
      </c>
      <c r="M102" s="18">
        <v>12</v>
      </c>
      <c r="N102" s="19">
        <v>390</v>
      </c>
      <c r="O102" s="20">
        <f t="shared" si="9"/>
        <v>25</v>
      </c>
      <c r="P102" s="20">
        <v>1325.425371</v>
      </c>
      <c r="Q102" s="20">
        <v>1855.595519</v>
      </c>
      <c r="R102" s="17">
        <v>0.03</v>
      </c>
      <c r="S102" s="18">
        <v>0.7659999999999999</v>
      </c>
      <c r="T102" s="25">
        <v>114508.38168923276</v>
      </c>
      <c r="U102" s="26">
        <v>89992.252292311925</v>
      </c>
      <c r="V102">
        <f t="shared" si="7"/>
        <v>0.04</v>
      </c>
    </row>
    <row r="103" spans="1:22" ht="14.45" customHeight="1" x14ac:dyDescent="0.25">
      <c r="A103" s="14" t="s">
        <v>271</v>
      </c>
      <c r="B103" t="s">
        <v>272</v>
      </c>
      <c r="C103" t="s">
        <v>61</v>
      </c>
      <c r="D103" t="s">
        <v>505</v>
      </c>
      <c r="E103" s="14" t="s">
        <v>67</v>
      </c>
      <c r="F103" s="14" t="s">
        <v>63</v>
      </c>
      <c r="G103" s="15" t="str">
        <f t="shared" si="8"/>
        <v>Not Eligible</v>
      </c>
      <c r="H103" s="24">
        <v>11245.8</v>
      </c>
      <c r="I103" s="24">
        <v>10936.6</v>
      </c>
      <c r="J103" s="24">
        <v>12172.8</v>
      </c>
      <c r="K103" s="17">
        <v>0.8</v>
      </c>
      <c r="L103" s="17">
        <v>1</v>
      </c>
      <c r="M103" s="18">
        <v>12</v>
      </c>
      <c r="N103" s="19">
        <v>40.44</v>
      </c>
      <c r="O103" s="20">
        <f t="shared" si="9"/>
        <v>15</v>
      </c>
      <c r="P103" s="20">
        <v>588.11935960000005</v>
      </c>
      <c r="Q103" s="20">
        <v>588.11935960000005</v>
      </c>
      <c r="R103" s="17">
        <v>0.03</v>
      </c>
      <c r="S103" s="18">
        <v>0.7659999999999999</v>
      </c>
      <c r="T103" s="25">
        <v>4925.3392584333878</v>
      </c>
      <c r="U103" s="26">
        <v>11665.908055222317</v>
      </c>
      <c r="V103">
        <f t="shared" si="7"/>
        <v>0.11</v>
      </c>
    </row>
    <row r="104" spans="1:22" ht="14.45" customHeight="1" x14ac:dyDescent="0.25">
      <c r="A104" s="14" t="s">
        <v>273</v>
      </c>
      <c r="B104" t="s">
        <v>274</v>
      </c>
      <c r="C104" t="s">
        <v>66</v>
      </c>
      <c r="D104" t="s">
        <v>504</v>
      </c>
      <c r="E104" s="14" t="s">
        <v>57</v>
      </c>
      <c r="F104" s="14" t="s">
        <v>58</v>
      </c>
      <c r="G104" s="15" t="str">
        <f t="shared" si="8"/>
        <v>Not Eligible</v>
      </c>
      <c r="H104" s="24">
        <v>372516.19999999995</v>
      </c>
      <c r="I104" s="24">
        <v>330362.19999999995</v>
      </c>
      <c r="J104" s="24">
        <v>300134.8</v>
      </c>
      <c r="K104" s="17">
        <v>0.8</v>
      </c>
      <c r="L104" s="17">
        <v>1</v>
      </c>
      <c r="M104" s="18">
        <v>12</v>
      </c>
      <c r="N104" s="19">
        <v>13.5</v>
      </c>
      <c r="O104" s="20">
        <f t="shared" si="9"/>
        <v>5</v>
      </c>
      <c r="P104" s="20">
        <v>538.36166230000003</v>
      </c>
      <c r="Q104" s="20">
        <v>323.01699739999998</v>
      </c>
      <c r="R104" s="17">
        <v>0.03</v>
      </c>
      <c r="S104" s="18">
        <v>0.74319999999999997</v>
      </c>
      <c r="T104" s="25">
        <v>465.01142482286639</v>
      </c>
      <c r="U104" s="26">
        <v>972.30463010325229</v>
      </c>
      <c r="V104">
        <f t="shared" si="7"/>
        <v>0.17</v>
      </c>
    </row>
    <row r="105" spans="1:22" ht="14.45" customHeight="1" x14ac:dyDescent="0.25">
      <c r="A105" s="14" t="s">
        <v>275</v>
      </c>
      <c r="B105" t="s">
        <v>276</v>
      </c>
      <c r="C105" t="s">
        <v>66</v>
      </c>
      <c r="D105" t="s">
        <v>508</v>
      </c>
      <c r="E105" s="14" t="s">
        <v>57</v>
      </c>
      <c r="F105" s="14" t="s">
        <v>58</v>
      </c>
      <c r="G105" s="15" t="str">
        <f t="shared" si="8"/>
        <v>Not Eligible</v>
      </c>
      <c r="H105" s="24">
        <v>292004.8</v>
      </c>
      <c r="I105" s="24">
        <v>260093.8</v>
      </c>
      <c r="J105" s="24">
        <v>219994.99999999997</v>
      </c>
      <c r="K105" s="17">
        <v>0.8</v>
      </c>
      <c r="L105" s="17">
        <v>1</v>
      </c>
      <c r="M105" s="18">
        <v>12</v>
      </c>
      <c r="N105" s="19">
        <v>13.5</v>
      </c>
      <c r="O105" s="20">
        <f t="shared" si="9"/>
        <v>5</v>
      </c>
      <c r="P105" s="20">
        <v>551.90324139999996</v>
      </c>
      <c r="Q105" s="20">
        <v>331.14194479999998</v>
      </c>
      <c r="R105" s="17">
        <v>0.03</v>
      </c>
      <c r="S105" s="18">
        <v>0.74319999999999997</v>
      </c>
      <c r="T105" s="25">
        <v>365.45358615830372</v>
      </c>
      <c r="U105" s="26">
        <v>918.30318730911961</v>
      </c>
      <c r="V105">
        <f t="shared" si="7"/>
        <v>0.17</v>
      </c>
    </row>
    <row r="106" spans="1:22" ht="14.45" customHeight="1" x14ac:dyDescent="0.25">
      <c r="A106" s="14" t="s">
        <v>277</v>
      </c>
      <c r="B106" t="s">
        <v>278</v>
      </c>
      <c r="C106" t="s">
        <v>83</v>
      </c>
      <c r="D106" t="s">
        <v>505</v>
      </c>
      <c r="E106" s="14" t="s">
        <v>67</v>
      </c>
      <c r="F106" s="14" t="s">
        <v>63</v>
      </c>
      <c r="G106" s="15" t="str">
        <f t="shared" si="8"/>
        <v>Not Eligible</v>
      </c>
      <c r="H106" s="24">
        <v>240780.6</v>
      </c>
      <c r="I106" s="24">
        <v>238331</v>
      </c>
      <c r="J106" s="24">
        <v>270956.19999999995</v>
      </c>
      <c r="K106" s="17">
        <v>0.8</v>
      </c>
      <c r="L106" s="17">
        <v>1</v>
      </c>
      <c r="M106" s="18">
        <v>12</v>
      </c>
      <c r="N106" s="19">
        <v>40.44</v>
      </c>
      <c r="O106" s="20">
        <f t="shared" si="9"/>
        <v>15</v>
      </c>
      <c r="P106" s="20">
        <v>650.09150220000004</v>
      </c>
      <c r="Q106" s="20">
        <v>910.12810309999998</v>
      </c>
      <c r="R106" s="17">
        <v>0.03</v>
      </c>
      <c r="S106" s="18">
        <v>0.68420000000000003</v>
      </c>
      <c r="T106" s="25">
        <v>9977.3185180985074</v>
      </c>
      <c r="U106" s="26">
        <v>15588.658633984704</v>
      </c>
      <c r="V106">
        <f t="shared" si="7"/>
        <v>0.11</v>
      </c>
    </row>
    <row r="107" spans="1:22" ht="14.45" customHeight="1" x14ac:dyDescent="0.25">
      <c r="A107" s="14" t="s">
        <v>279</v>
      </c>
      <c r="B107" t="s">
        <v>280</v>
      </c>
      <c r="C107" t="s">
        <v>94</v>
      </c>
      <c r="D107" t="s">
        <v>504</v>
      </c>
      <c r="E107" s="14" t="s">
        <v>67</v>
      </c>
      <c r="F107" s="14" t="s">
        <v>63</v>
      </c>
      <c r="G107" s="15" t="str">
        <f t="shared" si="8"/>
        <v>Not Eligible</v>
      </c>
      <c r="H107" s="24">
        <v>3555.4</v>
      </c>
      <c r="I107" s="24">
        <v>3180</v>
      </c>
      <c r="J107" s="24">
        <v>2909.4</v>
      </c>
      <c r="K107" s="17">
        <v>0.8</v>
      </c>
      <c r="L107" s="17">
        <v>1</v>
      </c>
      <c r="M107" s="18">
        <v>12</v>
      </c>
      <c r="N107" s="19">
        <v>40.44</v>
      </c>
      <c r="O107" s="20">
        <f t="shared" si="9"/>
        <v>15</v>
      </c>
      <c r="P107" s="20">
        <v>493.69661500000001</v>
      </c>
      <c r="Q107" s="20">
        <v>592.43593799999996</v>
      </c>
      <c r="R107" s="17">
        <v>0.03</v>
      </c>
      <c r="S107" s="18">
        <v>0.68420000000000003</v>
      </c>
      <c r="T107" s="25">
        <v>6405.0530573545229</v>
      </c>
      <c r="U107" s="26">
        <v>8932.1078075301593</v>
      </c>
      <c r="V107">
        <f t="shared" si="7"/>
        <v>0.17</v>
      </c>
    </row>
    <row r="108" spans="1:22" ht="14.45" customHeight="1" x14ac:dyDescent="0.25">
      <c r="A108" s="14" t="s">
        <v>281</v>
      </c>
      <c r="B108" t="s">
        <v>282</v>
      </c>
      <c r="C108" t="s">
        <v>66</v>
      </c>
      <c r="D108" t="s">
        <v>504</v>
      </c>
      <c r="E108" s="14" t="s">
        <v>57</v>
      </c>
      <c r="F108" s="14" t="s">
        <v>58</v>
      </c>
      <c r="G108" s="15" t="str">
        <f t="shared" si="8"/>
        <v>Not Eligible</v>
      </c>
      <c r="H108" s="24">
        <v>321996.2</v>
      </c>
      <c r="I108" s="24">
        <v>274123</v>
      </c>
      <c r="J108" s="24">
        <v>223951.4</v>
      </c>
      <c r="K108" s="17">
        <v>0.8</v>
      </c>
      <c r="L108" s="17">
        <v>1</v>
      </c>
      <c r="M108" s="18">
        <v>12</v>
      </c>
      <c r="N108" s="19">
        <v>13.5</v>
      </c>
      <c r="O108" s="20">
        <f t="shared" si="9"/>
        <v>5</v>
      </c>
      <c r="P108" s="20">
        <v>538.36166230000003</v>
      </c>
      <c r="Q108" s="20">
        <v>430.6893298</v>
      </c>
      <c r="R108" s="17">
        <v>0.03</v>
      </c>
      <c r="S108" s="18">
        <v>0.74319999999999997</v>
      </c>
      <c r="T108" s="25">
        <v>668.57539355549238</v>
      </c>
      <c r="U108" s="26">
        <v>1098.5849310634335</v>
      </c>
      <c r="V108">
        <f t="shared" si="7"/>
        <v>0.17</v>
      </c>
    </row>
    <row r="109" spans="1:22" ht="14.45" customHeight="1" x14ac:dyDescent="0.25">
      <c r="A109" s="14" t="s">
        <v>283</v>
      </c>
      <c r="B109" t="s">
        <v>284</v>
      </c>
      <c r="C109" t="s">
        <v>61</v>
      </c>
      <c r="D109" t="s">
        <v>506</v>
      </c>
      <c r="E109" s="14" t="s">
        <v>70</v>
      </c>
      <c r="F109" s="14" t="s">
        <v>63</v>
      </c>
      <c r="G109" s="15" t="str">
        <f t="shared" si="8"/>
        <v>Not Eligible</v>
      </c>
      <c r="H109" s="24">
        <v>1810</v>
      </c>
      <c r="I109" s="24">
        <v>1910.8</v>
      </c>
      <c r="J109" s="24">
        <v>2282</v>
      </c>
      <c r="K109" s="17">
        <v>0.8</v>
      </c>
      <c r="L109" s="17">
        <v>1</v>
      </c>
      <c r="M109" s="18">
        <v>12</v>
      </c>
      <c r="N109" s="19">
        <v>390</v>
      </c>
      <c r="O109" s="20">
        <f t="shared" si="9"/>
        <v>25</v>
      </c>
      <c r="P109" s="20">
        <v>1325.425371</v>
      </c>
      <c r="Q109" s="20">
        <v>795.25522260000002</v>
      </c>
      <c r="R109" s="17">
        <v>0.03</v>
      </c>
      <c r="S109" s="18">
        <v>0.7659999999999999</v>
      </c>
      <c r="T109" s="25">
        <v>21209.002729004478</v>
      </c>
      <c r="U109" s="26">
        <v>27293.541580228597</v>
      </c>
      <c r="V109">
        <f t="shared" si="7"/>
        <v>0.04</v>
      </c>
    </row>
    <row r="110" spans="1:22" ht="14.45" customHeight="1" x14ac:dyDescent="0.25">
      <c r="A110" s="14" t="s">
        <v>285</v>
      </c>
      <c r="B110" t="s">
        <v>286</v>
      </c>
      <c r="C110" t="s">
        <v>83</v>
      </c>
      <c r="D110" t="s">
        <v>505</v>
      </c>
      <c r="E110" s="14" t="s">
        <v>62</v>
      </c>
      <c r="F110" s="14" t="s">
        <v>63</v>
      </c>
      <c r="G110" s="15" t="str">
        <f t="shared" si="8"/>
        <v>Not Eligible</v>
      </c>
      <c r="H110" s="24" t="e">
        <v>#N/A</v>
      </c>
      <c r="I110" s="24" t="e">
        <v>#N/A</v>
      </c>
      <c r="J110" s="24" t="e">
        <v>#N/A</v>
      </c>
      <c r="K110" s="17">
        <v>0.8</v>
      </c>
      <c r="L110" s="17">
        <v>1</v>
      </c>
      <c r="M110" s="18">
        <v>12</v>
      </c>
      <c r="N110" s="19">
        <v>40.44</v>
      </c>
      <c r="O110" s="20">
        <f t="shared" si="9"/>
        <v>15</v>
      </c>
      <c r="P110" s="20">
        <v>650.09150220000004</v>
      </c>
      <c r="Q110" s="20">
        <v>650.09150220000004</v>
      </c>
      <c r="R110" s="17">
        <v>0.03</v>
      </c>
      <c r="S110" s="18">
        <v>0.76080000000000003</v>
      </c>
      <c r="T110" s="25">
        <v>3168.7828371278461</v>
      </c>
      <c r="U110" s="28">
        <v>4235.4937501481299</v>
      </c>
      <c r="V110">
        <f t="shared" si="7"/>
        <v>0.11</v>
      </c>
    </row>
    <row r="111" spans="1:22" ht="14.45" customHeight="1" x14ac:dyDescent="0.25">
      <c r="A111" s="14" t="s">
        <v>287</v>
      </c>
      <c r="B111" t="s">
        <v>288</v>
      </c>
      <c r="C111" t="s">
        <v>66</v>
      </c>
      <c r="D111" t="s">
        <v>504</v>
      </c>
      <c r="E111" s="14" t="s">
        <v>57</v>
      </c>
      <c r="F111" s="14" t="s">
        <v>58</v>
      </c>
      <c r="G111" s="15" t="str">
        <f t="shared" si="8"/>
        <v>Not Eligible</v>
      </c>
      <c r="H111" s="24">
        <v>59122.400000000009</v>
      </c>
      <c r="I111" s="24">
        <v>53429.200000000004</v>
      </c>
      <c r="J111" s="24">
        <v>47714.2</v>
      </c>
      <c r="K111" s="17">
        <v>0.8</v>
      </c>
      <c r="L111" s="17">
        <v>1</v>
      </c>
      <c r="M111" s="18">
        <v>12</v>
      </c>
      <c r="N111" s="19">
        <v>13.5</v>
      </c>
      <c r="O111" s="20">
        <f t="shared" si="9"/>
        <v>5</v>
      </c>
      <c r="P111" s="20">
        <v>538.36166230000003</v>
      </c>
      <c r="Q111" s="20">
        <v>538.36166230000003</v>
      </c>
      <c r="R111" s="17">
        <v>0.03</v>
      </c>
      <c r="S111" s="18">
        <v>0.74319999999999997</v>
      </c>
      <c r="T111" s="25">
        <v>1150.8199971682891</v>
      </c>
      <c r="U111" s="26">
        <v>2571.0914459300716</v>
      </c>
      <c r="V111">
        <f t="shared" si="7"/>
        <v>0.17</v>
      </c>
    </row>
    <row r="112" spans="1:22" ht="14.45" customHeight="1" x14ac:dyDescent="0.25">
      <c r="A112" s="14" t="s">
        <v>289</v>
      </c>
      <c r="B112" t="s">
        <v>290</v>
      </c>
      <c r="C112" t="s">
        <v>66</v>
      </c>
      <c r="D112" t="s">
        <v>504</v>
      </c>
      <c r="E112" s="14" t="s">
        <v>67</v>
      </c>
      <c r="F112" s="14" t="s">
        <v>63</v>
      </c>
      <c r="G112" s="15" t="str">
        <f t="shared" si="8"/>
        <v>Not Eligible</v>
      </c>
      <c r="H112" s="24">
        <v>6926.6</v>
      </c>
      <c r="I112" s="24">
        <v>7909.4</v>
      </c>
      <c r="J112" s="24">
        <v>9293.0000000000018</v>
      </c>
      <c r="K112" s="17">
        <v>0.8</v>
      </c>
      <c r="L112" s="17">
        <v>1</v>
      </c>
      <c r="M112" s="18">
        <v>12</v>
      </c>
      <c r="N112" s="19">
        <v>40.44</v>
      </c>
      <c r="O112" s="20">
        <f t="shared" si="9"/>
        <v>15</v>
      </c>
      <c r="P112" s="20">
        <v>538.36166230000003</v>
      </c>
      <c r="Q112" s="20">
        <v>753.70632720000003</v>
      </c>
      <c r="R112" s="17">
        <v>0.03</v>
      </c>
      <c r="S112" s="18">
        <v>0.74319999999999997</v>
      </c>
      <c r="T112" s="25">
        <v>8755.3730766032713</v>
      </c>
      <c r="U112" s="26">
        <v>14522.712810816694</v>
      </c>
      <c r="V112">
        <f t="shared" si="7"/>
        <v>0.17</v>
      </c>
    </row>
    <row r="113" spans="1:22" ht="14.45" customHeight="1" x14ac:dyDescent="0.25">
      <c r="A113" s="14" t="s">
        <v>291</v>
      </c>
      <c r="B113" t="s">
        <v>292</v>
      </c>
      <c r="C113" t="s">
        <v>76</v>
      </c>
      <c r="D113" t="s">
        <v>505</v>
      </c>
      <c r="E113" s="14" t="s">
        <v>67</v>
      </c>
      <c r="F113" s="14" t="s">
        <v>63</v>
      </c>
      <c r="G113" s="15" t="s">
        <v>129</v>
      </c>
      <c r="H113" s="24">
        <v>1136431.2</v>
      </c>
      <c r="I113" s="24">
        <v>1134871.5999999999</v>
      </c>
      <c r="J113" s="24">
        <v>1162357</v>
      </c>
      <c r="K113" s="17">
        <v>0.8</v>
      </c>
      <c r="L113" s="17">
        <v>1</v>
      </c>
      <c r="M113" s="18">
        <v>12</v>
      </c>
      <c r="N113" s="19">
        <v>40.44</v>
      </c>
      <c r="O113" s="20">
        <f t="shared" si="9"/>
        <v>15</v>
      </c>
      <c r="P113" s="20">
        <v>743.00257050000005</v>
      </c>
      <c r="Q113" s="20">
        <v>891.60308459999999</v>
      </c>
      <c r="R113" s="17">
        <v>0.03</v>
      </c>
      <c r="S113" s="18">
        <v>0.73180000000000012</v>
      </c>
      <c r="T113" s="25">
        <v>10047.125202159128</v>
      </c>
      <c r="U113" s="26">
        <v>15269.902329522129</v>
      </c>
      <c r="V113">
        <f t="shared" si="7"/>
        <v>0.11</v>
      </c>
    </row>
    <row r="114" spans="1:22" ht="14.45" customHeight="1" x14ac:dyDescent="0.25">
      <c r="A114" s="14" t="s">
        <v>293</v>
      </c>
      <c r="B114" t="s">
        <v>294</v>
      </c>
      <c r="C114" t="s">
        <v>83</v>
      </c>
      <c r="D114" t="s">
        <v>505</v>
      </c>
      <c r="E114" s="14" t="s">
        <v>62</v>
      </c>
      <c r="F114" s="14" t="s">
        <v>63</v>
      </c>
      <c r="G114" s="15" t="str">
        <f t="shared" ref="G114:G145" si="10">IF(C114="AMRO","Participating","Not Eligible")</f>
        <v>Not Eligible</v>
      </c>
      <c r="H114" s="24">
        <v>1117.3999999999999</v>
      </c>
      <c r="I114" s="24">
        <v>1113.3999999999999</v>
      </c>
      <c r="J114" s="24">
        <v>1202.2</v>
      </c>
      <c r="K114" s="17">
        <v>0.8</v>
      </c>
      <c r="L114" s="17">
        <v>1</v>
      </c>
      <c r="M114" s="18">
        <v>12</v>
      </c>
      <c r="N114" s="19">
        <v>40.44</v>
      </c>
      <c r="O114" s="20">
        <f t="shared" si="9"/>
        <v>15</v>
      </c>
      <c r="P114" s="20">
        <v>650.09150220000004</v>
      </c>
      <c r="Q114" s="20">
        <v>520.07320179999999</v>
      </c>
      <c r="R114" s="17">
        <v>0.03</v>
      </c>
      <c r="S114" s="18">
        <v>0.76080000000000003</v>
      </c>
      <c r="T114" s="25">
        <v>2781.799853614918</v>
      </c>
      <c r="U114" s="26">
        <v>3439.7253981902295</v>
      </c>
      <c r="V114">
        <f t="shared" si="7"/>
        <v>0.11</v>
      </c>
    </row>
    <row r="115" spans="1:22" ht="14.45" customHeight="1" x14ac:dyDescent="0.25">
      <c r="A115" s="14" t="s">
        <v>295</v>
      </c>
      <c r="B115" t="s">
        <v>296</v>
      </c>
      <c r="C115" t="s">
        <v>61</v>
      </c>
      <c r="D115" t="s">
        <v>507</v>
      </c>
      <c r="E115" s="14" t="s">
        <v>62</v>
      </c>
      <c r="F115" s="14" t="s">
        <v>73</v>
      </c>
      <c r="G115" s="15" t="str">
        <f t="shared" si="10"/>
        <v>Not Eligible</v>
      </c>
      <c r="H115" s="24">
        <v>21563.8</v>
      </c>
      <c r="I115" s="24">
        <v>21033</v>
      </c>
      <c r="J115" s="24">
        <v>19448.8</v>
      </c>
      <c r="K115" s="17">
        <v>0.8</v>
      </c>
      <c r="L115" s="17">
        <v>1</v>
      </c>
      <c r="M115" s="18">
        <v>12</v>
      </c>
      <c r="N115" s="19">
        <v>13.5</v>
      </c>
      <c r="O115" s="20">
        <f t="shared" si="9"/>
        <v>15</v>
      </c>
      <c r="P115" s="20">
        <v>744.10140560000002</v>
      </c>
      <c r="Q115" s="20">
        <v>446.46084330000002</v>
      </c>
      <c r="R115" s="17">
        <v>0.03</v>
      </c>
      <c r="S115" s="18">
        <v>0.7659999999999999</v>
      </c>
      <c r="T115" s="25">
        <v>1966.9361470328731</v>
      </c>
      <c r="U115" s="26">
        <v>3391.8896395350353</v>
      </c>
      <c r="V115">
        <f t="shared" si="7"/>
        <v>0.13</v>
      </c>
    </row>
    <row r="116" spans="1:22" ht="14.45" customHeight="1" x14ac:dyDescent="0.25">
      <c r="A116" s="14" t="s">
        <v>297</v>
      </c>
      <c r="B116" t="s">
        <v>298</v>
      </c>
      <c r="C116" t="s">
        <v>61</v>
      </c>
      <c r="D116" t="s">
        <v>506</v>
      </c>
      <c r="E116" s="14" t="s">
        <v>70</v>
      </c>
      <c r="F116" s="14" t="s">
        <v>63</v>
      </c>
      <c r="G116" s="15" t="str">
        <f t="shared" si="10"/>
        <v>Not Eligible</v>
      </c>
      <c r="H116" s="24" t="e">
        <v>#N/A</v>
      </c>
      <c r="I116" s="24" t="e">
        <v>#N/A</v>
      </c>
      <c r="J116" s="24" t="e">
        <v>#N/A</v>
      </c>
      <c r="K116" s="17">
        <v>0.8</v>
      </c>
      <c r="L116" s="17">
        <v>1</v>
      </c>
      <c r="M116" s="18">
        <v>12</v>
      </c>
      <c r="N116" s="19">
        <v>390</v>
      </c>
      <c r="O116" s="20">
        <f t="shared" si="9"/>
        <v>25</v>
      </c>
      <c r="P116" s="20">
        <v>1325.425371</v>
      </c>
      <c r="Q116" s="20">
        <v>1855.595519</v>
      </c>
      <c r="R116" s="17">
        <v>0.03</v>
      </c>
      <c r="S116" s="18">
        <v>0.7659999999999999</v>
      </c>
      <c r="T116" s="34">
        <v>172676.3407245258</v>
      </c>
      <c r="U116" s="28">
        <v>35305.844379786402</v>
      </c>
      <c r="V116">
        <f t="shared" si="7"/>
        <v>0.04</v>
      </c>
    </row>
    <row r="117" spans="1:22" ht="14.45" customHeight="1" x14ac:dyDescent="0.25">
      <c r="A117" s="14" t="s">
        <v>299</v>
      </c>
      <c r="B117" t="s">
        <v>300</v>
      </c>
      <c r="C117" t="s">
        <v>83</v>
      </c>
      <c r="D117" t="s">
        <v>505</v>
      </c>
      <c r="E117" s="14" t="s">
        <v>62</v>
      </c>
      <c r="F117" s="14" t="s">
        <v>73</v>
      </c>
      <c r="G117" s="15" t="str">
        <f t="shared" si="10"/>
        <v>Not Eligible</v>
      </c>
      <c r="H117" s="24">
        <v>33386.800000000003</v>
      </c>
      <c r="I117" s="24">
        <v>27527.599999999999</v>
      </c>
      <c r="J117" s="24">
        <v>21688</v>
      </c>
      <c r="K117" s="17">
        <v>0.8</v>
      </c>
      <c r="L117" s="17">
        <v>1</v>
      </c>
      <c r="M117" s="18">
        <v>12</v>
      </c>
      <c r="N117" s="19">
        <v>13.5</v>
      </c>
      <c r="O117" s="20">
        <f t="shared" si="9"/>
        <v>15</v>
      </c>
      <c r="P117" s="20">
        <v>650.09150220000004</v>
      </c>
      <c r="Q117" s="20">
        <v>650.09150220000004</v>
      </c>
      <c r="R117" s="17">
        <v>0.03</v>
      </c>
      <c r="S117" s="18">
        <v>0.68420000000000003</v>
      </c>
      <c r="T117" s="25">
        <v>3128.9534537393261</v>
      </c>
      <c r="U117" s="26">
        <v>4763.9928289253794</v>
      </c>
      <c r="V117">
        <f t="shared" si="7"/>
        <v>0.11</v>
      </c>
    </row>
    <row r="118" spans="1:22" ht="14.45" customHeight="1" x14ac:dyDescent="0.25">
      <c r="A118" s="14" t="s">
        <v>301</v>
      </c>
      <c r="B118" t="s">
        <v>302</v>
      </c>
      <c r="C118" t="s">
        <v>61</v>
      </c>
      <c r="D118" t="s">
        <v>505</v>
      </c>
      <c r="E118" s="14" t="s">
        <v>67</v>
      </c>
      <c r="F118" s="14" t="s">
        <v>63</v>
      </c>
      <c r="G118" s="15" t="str">
        <f t="shared" si="10"/>
        <v>Not Eligible</v>
      </c>
      <c r="H118" s="24">
        <v>3554.8</v>
      </c>
      <c r="I118" s="24">
        <v>3824.6000000000004</v>
      </c>
      <c r="J118" s="24">
        <v>3876.2</v>
      </c>
      <c r="K118" s="17">
        <v>0.8</v>
      </c>
      <c r="L118" s="17">
        <v>1</v>
      </c>
      <c r="M118" s="18">
        <v>12</v>
      </c>
      <c r="N118" s="19">
        <v>40.44</v>
      </c>
      <c r="O118" s="20">
        <f t="shared" si="9"/>
        <v>15</v>
      </c>
      <c r="P118" s="20">
        <v>588.11935960000005</v>
      </c>
      <c r="Q118" s="20">
        <v>705.74323159999994</v>
      </c>
      <c r="R118" s="17">
        <v>0.03</v>
      </c>
      <c r="S118" s="18">
        <v>0.7659999999999999</v>
      </c>
      <c r="T118" s="25">
        <v>7110.6329226779017</v>
      </c>
      <c r="U118" s="26">
        <v>13611.566900569245</v>
      </c>
      <c r="V118">
        <f t="shared" si="7"/>
        <v>0.11</v>
      </c>
    </row>
    <row r="119" spans="1:22" ht="14.45" customHeight="1" x14ac:dyDescent="0.25">
      <c r="A119" s="14" t="s">
        <v>303</v>
      </c>
      <c r="B119" t="s">
        <v>304</v>
      </c>
      <c r="C119" t="s">
        <v>56</v>
      </c>
      <c r="D119" t="s">
        <v>504</v>
      </c>
      <c r="E119" s="14" t="s">
        <v>62</v>
      </c>
      <c r="F119" s="14" t="s">
        <v>63</v>
      </c>
      <c r="G119" s="15" t="str">
        <f t="shared" si="10"/>
        <v>Not Eligible</v>
      </c>
      <c r="H119" s="24">
        <v>332958.59999999998</v>
      </c>
      <c r="I119" s="24">
        <v>300754.39999999997</v>
      </c>
      <c r="J119" s="24">
        <v>277920.60000000003</v>
      </c>
      <c r="K119" s="17">
        <v>0.8</v>
      </c>
      <c r="L119" s="17">
        <v>1</v>
      </c>
      <c r="M119" s="18">
        <v>12</v>
      </c>
      <c r="N119" s="19">
        <v>40.44</v>
      </c>
      <c r="O119" s="20">
        <f t="shared" si="9"/>
        <v>15</v>
      </c>
      <c r="P119" s="20">
        <v>603.06939599999998</v>
      </c>
      <c r="Q119" s="20">
        <v>723.68327520000003</v>
      </c>
      <c r="R119" s="17">
        <v>0.03</v>
      </c>
      <c r="S119" s="18">
        <v>0.81889999999999996</v>
      </c>
      <c r="T119" s="25">
        <v>3053.5306724000002</v>
      </c>
      <c r="U119" s="26">
        <v>4986.3642355175762</v>
      </c>
      <c r="V119">
        <f t="shared" si="7"/>
        <v>0.17</v>
      </c>
    </row>
    <row r="120" spans="1:22" ht="14.45" customHeight="1" x14ac:dyDescent="0.25">
      <c r="A120" s="14" t="s">
        <v>305</v>
      </c>
      <c r="B120" t="s">
        <v>306</v>
      </c>
      <c r="C120" t="s">
        <v>66</v>
      </c>
      <c r="D120" t="s">
        <v>508</v>
      </c>
      <c r="E120" s="14" t="s">
        <v>57</v>
      </c>
      <c r="F120" s="14" t="s">
        <v>58</v>
      </c>
      <c r="G120" s="15" t="str">
        <f t="shared" si="10"/>
        <v>Not Eligible</v>
      </c>
      <c r="H120" s="24">
        <v>478055.6</v>
      </c>
      <c r="I120" s="24">
        <v>418721</v>
      </c>
      <c r="J120" s="24">
        <v>365074.8</v>
      </c>
      <c r="K120" s="17">
        <v>0.8</v>
      </c>
      <c r="L120" s="17">
        <v>1</v>
      </c>
      <c r="M120" s="18">
        <v>12</v>
      </c>
      <c r="N120" s="19">
        <v>13.5</v>
      </c>
      <c r="O120" s="20">
        <f t="shared" si="9"/>
        <v>5</v>
      </c>
      <c r="P120" s="20">
        <v>551.90324139999996</v>
      </c>
      <c r="Q120" s="20">
        <v>551.90324139999996</v>
      </c>
      <c r="R120" s="17">
        <v>0.03</v>
      </c>
      <c r="S120" s="18">
        <v>0.74319999999999997</v>
      </c>
      <c r="T120" s="25">
        <v>534.80611758830651</v>
      </c>
      <c r="U120" s="26">
        <v>982.00668537661659</v>
      </c>
      <c r="V120">
        <f t="shared" si="7"/>
        <v>0.17</v>
      </c>
    </row>
    <row r="121" spans="1:22" ht="14.45" customHeight="1" x14ac:dyDescent="0.25">
      <c r="A121" s="14" t="s">
        <v>307</v>
      </c>
      <c r="B121" t="s">
        <v>308</v>
      </c>
      <c r="C121" t="s">
        <v>94</v>
      </c>
      <c r="D121" t="s">
        <v>504</v>
      </c>
      <c r="E121" s="14" t="s">
        <v>57</v>
      </c>
      <c r="F121" s="14" t="s">
        <v>58</v>
      </c>
      <c r="G121" s="15" t="str">
        <f t="shared" si="10"/>
        <v>Not Eligible</v>
      </c>
      <c r="H121" s="24">
        <v>452767.60000000003</v>
      </c>
      <c r="I121" s="24">
        <v>495410</v>
      </c>
      <c r="J121" s="24">
        <v>526809.80000000005</v>
      </c>
      <c r="K121" s="17">
        <v>0.8</v>
      </c>
      <c r="L121" s="17">
        <v>1</v>
      </c>
      <c r="M121" s="18">
        <v>12</v>
      </c>
      <c r="N121" s="19">
        <v>13.5</v>
      </c>
      <c r="O121" s="20">
        <f t="shared" si="9"/>
        <v>5</v>
      </c>
      <c r="P121" s="20">
        <v>493.69661500000001</v>
      </c>
      <c r="Q121" s="20">
        <v>691.17526099999998</v>
      </c>
      <c r="R121" s="17">
        <v>0.03</v>
      </c>
      <c r="S121" s="18">
        <v>0.68420000000000003</v>
      </c>
      <c r="T121" s="27">
        <v>8483.8499159663643</v>
      </c>
      <c r="U121" s="28">
        <v>7362.0655556750798</v>
      </c>
      <c r="V121">
        <f t="shared" si="7"/>
        <v>0.17</v>
      </c>
    </row>
    <row r="122" spans="1:22" ht="14.45" customHeight="1" x14ac:dyDescent="0.25">
      <c r="A122" s="14" t="s">
        <v>309</v>
      </c>
      <c r="B122" t="s">
        <v>310</v>
      </c>
      <c r="C122" t="s">
        <v>66</v>
      </c>
      <c r="D122" t="s">
        <v>508</v>
      </c>
      <c r="E122" s="14" t="s">
        <v>67</v>
      </c>
      <c r="F122" s="14" t="s">
        <v>63</v>
      </c>
      <c r="G122" s="15" t="str">
        <f t="shared" si="10"/>
        <v>Not Eligible</v>
      </c>
      <c r="H122" s="24">
        <v>33581</v>
      </c>
      <c r="I122" s="24">
        <v>29090.2</v>
      </c>
      <c r="J122" s="24">
        <v>27105.8</v>
      </c>
      <c r="K122" s="17">
        <v>0.8</v>
      </c>
      <c r="L122" s="17">
        <v>1</v>
      </c>
      <c r="M122" s="18">
        <v>12</v>
      </c>
      <c r="N122" s="19">
        <v>40.44</v>
      </c>
      <c r="O122" s="20">
        <f t="shared" si="9"/>
        <v>15</v>
      </c>
      <c r="P122" s="20">
        <v>551.90324139999996</v>
      </c>
      <c r="Q122" s="20">
        <v>772.66453799999999</v>
      </c>
      <c r="R122" s="17">
        <v>0.03</v>
      </c>
      <c r="S122" s="18">
        <v>0.74319999999999997</v>
      </c>
      <c r="T122" s="25">
        <v>5292.8905868805086</v>
      </c>
      <c r="U122" s="26">
        <v>6825.5714629263684</v>
      </c>
      <c r="V122">
        <f t="shared" si="7"/>
        <v>0.17</v>
      </c>
    </row>
    <row r="123" spans="1:22" ht="14.45" customHeight="1" x14ac:dyDescent="0.25">
      <c r="A123" s="14" t="s">
        <v>311</v>
      </c>
      <c r="B123" t="s">
        <v>312</v>
      </c>
      <c r="C123" t="s">
        <v>83</v>
      </c>
      <c r="D123" t="s">
        <v>505</v>
      </c>
      <c r="E123" s="14"/>
      <c r="F123" s="14" t="s">
        <v>63</v>
      </c>
      <c r="G123" s="15" t="str">
        <f t="shared" si="10"/>
        <v>Not Eligible</v>
      </c>
      <c r="H123" s="24" t="e">
        <v>#N/A</v>
      </c>
      <c r="I123" s="24" t="e">
        <v>#N/A</v>
      </c>
      <c r="J123" s="24" t="e">
        <v>#N/A</v>
      </c>
      <c r="K123" s="17">
        <v>0.8</v>
      </c>
      <c r="L123" s="17">
        <v>1</v>
      </c>
      <c r="M123" s="18">
        <v>12</v>
      </c>
      <c r="N123" s="19">
        <v>40.44</v>
      </c>
      <c r="O123" s="20">
        <f t="shared" si="9"/>
        <v>15</v>
      </c>
      <c r="P123" s="20">
        <v>650.09150220000004</v>
      </c>
      <c r="Q123" s="20">
        <v>780.10980270000005</v>
      </c>
      <c r="R123" s="17">
        <v>0.03</v>
      </c>
      <c r="S123" s="18">
        <v>0.76080000000000003</v>
      </c>
      <c r="T123" s="27">
        <v>3259.7875359857308</v>
      </c>
      <c r="U123" s="28">
        <v>4235.4937501481299</v>
      </c>
      <c r="V123">
        <f t="shared" si="7"/>
        <v>0.11</v>
      </c>
    </row>
    <row r="124" spans="1:22" ht="14.45" customHeight="1" x14ac:dyDescent="0.25">
      <c r="A124" s="14" t="s">
        <v>313</v>
      </c>
      <c r="B124" t="s">
        <v>314</v>
      </c>
      <c r="C124" t="s">
        <v>94</v>
      </c>
      <c r="D124" t="s">
        <v>504</v>
      </c>
      <c r="E124" s="14" t="s">
        <v>57</v>
      </c>
      <c r="F124" s="14" t="s">
        <v>58</v>
      </c>
      <c r="G124" s="15" t="str">
        <f t="shared" si="10"/>
        <v>Not Eligible</v>
      </c>
      <c r="H124" s="24">
        <v>272498.60000000003</v>
      </c>
      <c r="I124" s="24">
        <v>306628.2</v>
      </c>
      <c r="J124" s="24">
        <v>327906.59999999998</v>
      </c>
      <c r="K124" s="17">
        <v>0.8</v>
      </c>
      <c r="L124" s="17">
        <v>1</v>
      </c>
      <c r="M124" s="18">
        <v>12</v>
      </c>
      <c r="N124" s="19">
        <v>13.5</v>
      </c>
      <c r="O124" s="20">
        <f t="shared" si="9"/>
        <v>5</v>
      </c>
      <c r="P124" s="20">
        <v>493.69661500000001</v>
      </c>
      <c r="Q124" s="20">
        <v>296.21796899999998</v>
      </c>
      <c r="R124" s="17">
        <v>0.03</v>
      </c>
      <c r="S124" s="18">
        <v>0.81889999999999996</v>
      </c>
      <c r="T124" s="25">
        <v>619.45223240542009</v>
      </c>
      <c r="U124" s="26">
        <v>1256.37656161059</v>
      </c>
      <c r="V124">
        <f t="shared" si="7"/>
        <v>0.17</v>
      </c>
    </row>
    <row r="125" spans="1:22" ht="14.45" customHeight="1" x14ac:dyDescent="0.25">
      <c r="A125" s="14" t="s">
        <v>315</v>
      </c>
      <c r="B125" t="s">
        <v>316</v>
      </c>
      <c r="C125" t="s">
        <v>61</v>
      </c>
      <c r="D125" t="s">
        <v>506</v>
      </c>
      <c r="E125" s="14" t="s">
        <v>70</v>
      </c>
      <c r="F125" s="14" t="s">
        <v>63</v>
      </c>
      <c r="G125" s="15" t="str">
        <f t="shared" si="10"/>
        <v>Not Eligible</v>
      </c>
      <c r="H125" s="24">
        <v>86069.400000000009</v>
      </c>
      <c r="I125" s="24">
        <v>89547.199999999997</v>
      </c>
      <c r="J125" s="24">
        <v>96786.599999999991</v>
      </c>
      <c r="K125" s="17">
        <v>0.8</v>
      </c>
      <c r="L125" s="17">
        <v>1</v>
      </c>
      <c r="M125" s="18">
        <v>12</v>
      </c>
      <c r="N125" s="19">
        <v>390</v>
      </c>
      <c r="O125" s="20">
        <f t="shared" si="9"/>
        <v>25</v>
      </c>
      <c r="P125" s="20">
        <v>1325.425371</v>
      </c>
      <c r="Q125" s="20">
        <v>1590.5104449999999</v>
      </c>
      <c r="R125" s="17">
        <v>0.03</v>
      </c>
      <c r="S125" s="18">
        <v>0.7659999999999999</v>
      </c>
      <c r="T125" s="25">
        <v>50076.282409625725</v>
      </c>
      <c r="U125" s="26">
        <v>42833.847114538534</v>
      </c>
      <c r="V125">
        <f t="shared" si="7"/>
        <v>0.04</v>
      </c>
    </row>
    <row r="126" spans="1:22" ht="14.45" customHeight="1" x14ac:dyDescent="0.25">
      <c r="A126" s="14" t="s">
        <v>317</v>
      </c>
      <c r="B126" t="s">
        <v>318</v>
      </c>
      <c r="C126" t="s">
        <v>83</v>
      </c>
      <c r="D126" t="s">
        <v>506</v>
      </c>
      <c r="E126" s="14" t="s">
        <v>70</v>
      </c>
      <c r="F126" s="14" t="s">
        <v>63</v>
      </c>
      <c r="G126" s="15" t="str">
        <f t="shared" si="10"/>
        <v>Not Eligible</v>
      </c>
      <c r="H126" s="24">
        <v>30081</v>
      </c>
      <c r="I126" s="24">
        <v>30292.2</v>
      </c>
      <c r="J126" s="24">
        <v>28836.399999999998</v>
      </c>
      <c r="K126" s="17">
        <v>0.8</v>
      </c>
      <c r="L126" s="17">
        <v>1</v>
      </c>
      <c r="M126" s="18">
        <v>12</v>
      </c>
      <c r="N126" s="19">
        <v>390</v>
      </c>
      <c r="O126" s="20">
        <f t="shared" si="9"/>
        <v>25</v>
      </c>
      <c r="P126" s="20">
        <v>1472.623308</v>
      </c>
      <c r="Q126" s="20">
        <v>883.57398499999999</v>
      </c>
      <c r="R126" s="17">
        <v>0.03</v>
      </c>
      <c r="S126" s="18">
        <v>0.76080000000000003</v>
      </c>
      <c r="T126" s="25">
        <v>36253.915563083639</v>
      </c>
      <c r="U126" s="23">
        <v>29935.048019349098</v>
      </c>
      <c r="V126">
        <f t="shared" si="7"/>
        <v>0.04</v>
      </c>
    </row>
    <row r="127" spans="1:22" ht="14.45" customHeight="1" x14ac:dyDescent="0.25">
      <c r="A127" s="14" t="s">
        <v>319</v>
      </c>
      <c r="B127" t="s">
        <v>320</v>
      </c>
      <c r="C127" t="s">
        <v>76</v>
      </c>
      <c r="D127" t="s">
        <v>504</v>
      </c>
      <c r="E127" s="14" t="s">
        <v>62</v>
      </c>
      <c r="F127" s="14" t="s">
        <v>58</v>
      </c>
      <c r="G127" s="15" t="str">
        <f t="shared" si="10"/>
        <v>Not Eligible</v>
      </c>
      <c r="H127" s="24">
        <v>59218.399999999994</v>
      </c>
      <c r="I127" s="24">
        <v>60025.599999999999</v>
      </c>
      <c r="J127" s="24">
        <v>58486.000000000007</v>
      </c>
      <c r="K127" s="17">
        <v>0.8</v>
      </c>
      <c r="L127" s="17">
        <v>1</v>
      </c>
      <c r="M127" s="18">
        <v>12</v>
      </c>
      <c r="N127" s="19">
        <v>13.5</v>
      </c>
      <c r="O127" s="20">
        <f t="shared" si="9"/>
        <v>15</v>
      </c>
      <c r="P127" s="20">
        <v>546.30694100000005</v>
      </c>
      <c r="Q127" s="20">
        <v>437.0455528</v>
      </c>
      <c r="R127" s="17">
        <v>0.03</v>
      </c>
      <c r="S127" s="18">
        <v>0.70940000000000003</v>
      </c>
      <c r="T127" s="25">
        <v>1587.2196486940666</v>
      </c>
      <c r="U127" s="26">
        <v>2940.8846919245411</v>
      </c>
      <c r="V127">
        <f t="shared" si="7"/>
        <v>0.17</v>
      </c>
    </row>
    <row r="128" spans="1:22" ht="14.45" customHeight="1" x14ac:dyDescent="0.25">
      <c r="A128" s="14" t="s">
        <v>321</v>
      </c>
      <c r="B128" t="s">
        <v>322</v>
      </c>
      <c r="C128" t="s">
        <v>66</v>
      </c>
      <c r="D128" t="s">
        <v>504</v>
      </c>
      <c r="E128" s="14" t="s">
        <v>57</v>
      </c>
      <c r="F128" s="14" t="s">
        <v>58</v>
      </c>
      <c r="G128" s="15" t="str">
        <f t="shared" si="10"/>
        <v>Not Eligible</v>
      </c>
      <c r="H128" s="24">
        <v>406250.8</v>
      </c>
      <c r="I128" s="24">
        <v>320669.8</v>
      </c>
      <c r="J128" s="24">
        <v>255873.2</v>
      </c>
      <c r="K128" s="17">
        <v>0.8</v>
      </c>
      <c r="L128" s="17">
        <v>1</v>
      </c>
      <c r="M128" s="18">
        <v>12</v>
      </c>
      <c r="N128" s="19">
        <v>13.5</v>
      </c>
      <c r="O128" s="20">
        <f t="shared" si="9"/>
        <v>5</v>
      </c>
      <c r="P128" s="20">
        <v>538.36166230000003</v>
      </c>
      <c r="Q128" s="20">
        <v>323.01699739999998</v>
      </c>
      <c r="R128" s="17">
        <v>0.03</v>
      </c>
      <c r="S128" s="18">
        <v>0.74319999999999997</v>
      </c>
      <c r="T128" s="25">
        <v>374.44540634568256</v>
      </c>
      <c r="U128" s="26">
        <v>732.05785428067361</v>
      </c>
      <c r="V128">
        <f t="shared" si="7"/>
        <v>0.17</v>
      </c>
    </row>
    <row r="129" spans="1:22" ht="14.45" customHeight="1" x14ac:dyDescent="0.25">
      <c r="A129" s="14" t="s">
        <v>323</v>
      </c>
      <c r="B129" t="s">
        <v>324</v>
      </c>
      <c r="C129" t="s">
        <v>66</v>
      </c>
      <c r="D129" t="s">
        <v>504</v>
      </c>
      <c r="E129" s="14" t="s">
        <v>62</v>
      </c>
      <c r="F129" s="14" t="s">
        <v>58</v>
      </c>
      <c r="G129" s="15" t="str">
        <f t="shared" si="10"/>
        <v>Not Eligible</v>
      </c>
      <c r="H129" s="24">
        <v>3034793.2</v>
      </c>
      <c r="I129" s="24">
        <v>2584734.4000000004</v>
      </c>
      <c r="J129" s="24">
        <v>2197532.6</v>
      </c>
      <c r="K129" s="17">
        <v>0.8</v>
      </c>
      <c r="L129" s="17">
        <v>1</v>
      </c>
      <c r="M129" s="18">
        <v>12</v>
      </c>
      <c r="N129" s="19">
        <v>13.5</v>
      </c>
      <c r="O129" s="20">
        <f t="shared" si="9"/>
        <v>15</v>
      </c>
      <c r="P129" s="20">
        <v>538.36166230000003</v>
      </c>
      <c r="Q129" s="20">
        <v>646.03399469999999</v>
      </c>
      <c r="R129" s="17">
        <v>0.03</v>
      </c>
      <c r="S129" s="18">
        <v>0.74319999999999997</v>
      </c>
      <c r="T129" s="25">
        <v>1501.7215825168407</v>
      </c>
      <c r="U129" s="26">
        <v>2531.9745120737552</v>
      </c>
      <c r="V129">
        <f t="shared" si="7"/>
        <v>0.17</v>
      </c>
    </row>
    <row r="130" spans="1:22" ht="14.45" customHeight="1" x14ac:dyDescent="0.25">
      <c r="A130" s="14" t="s">
        <v>325</v>
      </c>
      <c r="B130" t="s">
        <v>326</v>
      </c>
      <c r="C130" t="s">
        <v>83</v>
      </c>
      <c r="D130" t="s">
        <v>505</v>
      </c>
      <c r="E130" s="14"/>
      <c r="F130" s="14" t="s">
        <v>63</v>
      </c>
      <c r="G130" s="15" t="str">
        <f t="shared" si="10"/>
        <v>Not Eligible</v>
      </c>
      <c r="H130" s="24" t="e">
        <v>#N/A</v>
      </c>
      <c r="I130" s="24" t="e">
        <v>#N/A</v>
      </c>
      <c r="J130" s="24" t="e">
        <v>#N/A</v>
      </c>
      <c r="K130" s="17">
        <v>0.8</v>
      </c>
      <c r="L130" s="17">
        <v>1</v>
      </c>
      <c r="M130" s="18">
        <v>12</v>
      </c>
      <c r="N130" s="19">
        <v>40.44</v>
      </c>
      <c r="O130" s="20">
        <f t="shared" ref="O130:O161" si="11">IF(E130="High income",25,IF(E130="Low-income",5,15))</f>
        <v>15</v>
      </c>
      <c r="P130" s="20">
        <v>650.09150220000004</v>
      </c>
      <c r="Q130" s="20">
        <v>780.10980270000005</v>
      </c>
      <c r="R130" s="17">
        <v>0.03</v>
      </c>
      <c r="S130" s="18">
        <v>0.76080000000000003</v>
      </c>
      <c r="T130" s="27">
        <v>3259.7875359857308</v>
      </c>
      <c r="U130" s="28">
        <v>4235.4937501481299</v>
      </c>
      <c r="V130">
        <f t="shared" si="7"/>
        <v>0.11</v>
      </c>
    </row>
    <row r="131" spans="1:22" ht="14.45" customHeight="1" x14ac:dyDescent="0.25">
      <c r="A131" s="14" t="s">
        <v>327</v>
      </c>
      <c r="B131" t="s">
        <v>328</v>
      </c>
      <c r="C131" t="s">
        <v>61</v>
      </c>
      <c r="D131" t="s">
        <v>506</v>
      </c>
      <c r="E131" s="14" t="s">
        <v>70</v>
      </c>
      <c r="F131" s="14" t="s">
        <v>63</v>
      </c>
      <c r="G131" s="15" t="str">
        <f t="shared" si="10"/>
        <v>Not Eligible</v>
      </c>
      <c r="H131" s="24">
        <v>30654.000000000004</v>
      </c>
      <c r="I131" s="24">
        <v>30816.199999999997</v>
      </c>
      <c r="J131" s="24">
        <v>29916.800000000003</v>
      </c>
      <c r="K131" s="17">
        <v>0.8</v>
      </c>
      <c r="L131" s="17">
        <v>1</v>
      </c>
      <c r="M131" s="18">
        <v>12</v>
      </c>
      <c r="N131" s="19">
        <v>390</v>
      </c>
      <c r="O131" s="20">
        <f t="shared" si="11"/>
        <v>25</v>
      </c>
      <c r="P131" s="20">
        <v>1325.425371</v>
      </c>
      <c r="Q131" s="20">
        <v>1855.595519</v>
      </c>
      <c r="R131" s="17">
        <v>0.03</v>
      </c>
      <c r="S131" s="18">
        <v>0.7659999999999999</v>
      </c>
      <c r="T131" s="25">
        <v>98102.462208631434</v>
      </c>
      <c r="U131" s="26">
        <v>61882.282079804674</v>
      </c>
      <c r="V131">
        <f t="shared" ref="V131:V194" si="12">LOOKUP($D131,$Z$2:$Z$6,$AA$2:$AA$6)</f>
        <v>0.04</v>
      </c>
    </row>
    <row r="132" spans="1:22" ht="14.45" customHeight="1" x14ac:dyDescent="0.25">
      <c r="A132" s="14" t="s">
        <v>329</v>
      </c>
      <c r="B132" t="s">
        <v>330</v>
      </c>
      <c r="C132" t="s">
        <v>56</v>
      </c>
      <c r="D132" t="s">
        <v>505</v>
      </c>
      <c r="E132" s="14" t="s">
        <v>70</v>
      </c>
      <c r="F132" s="14" t="s">
        <v>63</v>
      </c>
      <c r="G132" s="15" t="str">
        <f t="shared" si="10"/>
        <v>Not Eligible</v>
      </c>
      <c r="H132" s="24">
        <v>37531</v>
      </c>
      <c r="I132" s="24">
        <v>30378.2</v>
      </c>
      <c r="J132" s="24">
        <v>22841.599999999999</v>
      </c>
      <c r="K132" s="17">
        <v>0.8</v>
      </c>
      <c r="L132" s="17">
        <v>1</v>
      </c>
      <c r="M132" s="18">
        <v>12</v>
      </c>
      <c r="N132" s="19">
        <v>390</v>
      </c>
      <c r="O132" s="20">
        <f t="shared" si="11"/>
        <v>25</v>
      </c>
      <c r="P132" s="20">
        <v>811.19980080000005</v>
      </c>
      <c r="Q132" s="20">
        <v>973.43976099999998</v>
      </c>
      <c r="R132" s="17">
        <v>0.03</v>
      </c>
      <c r="S132" s="18">
        <v>0.81889999999999996</v>
      </c>
      <c r="T132" s="25">
        <v>25220.617726421748</v>
      </c>
      <c r="U132" s="26">
        <v>28880.432381436229</v>
      </c>
      <c r="V132">
        <f t="shared" si="12"/>
        <v>0.11</v>
      </c>
    </row>
    <row r="133" spans="1:22" ht="14.45" customHeight="1" x14ac:dyDescent="0.25">
      <c r="A133" s="14" t="s">
        <v>331</v>
      </c>
      <c r="B133" t="s">
        <v>332</v>
      </c>
      <c r="C133" t="s">
        <v>56</v>
      </c>
      <c r="D133" t="s">
        <v>504</v>
      </c>
      <c r="E133" s="14" t="s">
        <v>62</v>
      </c>
      <c r="F133" s="14" t="s">
        <v>58</v>
      </c>
      <c r="G133" s="15" t="str">
        <f t="shared" si="10"/>
        <v>Not Eligible</v>
      </c>
      <c r="H133" s="24">
        <v>2374258.6</v>
      </c>
      <c r="I133" s="24">
        <v>2119296.1999999997</v>
      </c>
      <c r="J133" s="24">
        <v>1869474.0000000002</v>
      </c>
      <c r="K133" s="17">
        <v>0.8</v>
      </c>
      <c r="L133" s="17">
        <v>1</v>
      </c>
      <c r="M133" s="18">
        <v>12</v>
      </c>
      <c r="N133" s="19">
        <v>13.5</v>
      </c>
      <c r="O133" s="20">
        <f t="shared" si="11"/>
        <v>15</v>
      </c>
      <c r="P133" s="20">
        <v>603.06939599999998</v>
      </c>
      <c r="Q133" s="20">
        <v>361.84163760000001</v>
      </c>
      <c r="R133" s="17">
        <v>0.03</v>
      </c>
      <c r="S133" s="18">
        <v>0.81889999999999996</v>
      </c>
      <c r="T133" s="25">
        <v>1189.3731930783247</v>
      </c>
      <c r="U133" s="26">
        <v>2763.4077840351083</v>
      </c>
      <c r="V133">
        <f t="shared" si="12"/>
        <v>0.17</v>
      </c>
    </row>
    <row r="134" spans="1:22" ht="14.45" customHeight="1" x14ac:dyDescent="0.25">
      <c r="A134" s="14" t="s">
        <v>333</v>
      </c>
      <c r="B134" t="s">
        <v>334</v>
      </c>
      <c r="C134" t="s">
        <v>83</v>
      </c>
      <c r="D134" t="s">
        <v>505</v>
      </c>
      <c r="E134" s="14" t="s">
        <v>67</v>
      </c>
      <c r="F134" s="14" t="s">
        <v>63</v>
      </c>
      <c r="G134" s="15" t="str">
        <f t="shared" si="10"/>
        <v>Not Eligible</v>
      </c>
      <c r="H134" s="24" t="e">
        <v>#N/A</v>
      </c>
      <c r="I134" s="24" t="e">
        <v>#N/A</v>
      </c>
      <c r="J134" s="24" t="e">
        <v>#N/A</v>
      </c>
      <c r="K134" s="17">
        <v>0.8</v>
      </c>
      <c r="L134" s="17">
        <v>1</v>
      </c>
      <c r="M134" s="18">
        <v>12</v>
      </c>
      <c r="N134" s="19">
        <v>40.44</v>
      </c>
      <c r="O134" s="20">
        <f t="shared" si="11"/>
        <v>15</v>
      </c>
      <c r="P134" s="20">
        <v>650.09150220000004</v>
      </c>
      <c r="Q134" s="20">
        <v>910.12810309999998</v>
      </c>
      <c r="R134" s="17">
        <v>0.03</v>
      </c>
      <c r="S134" s="18">
        <v>0.76080000000000003</v>
      </c>
      <c r="T134" s="25">
        <v>8031.3122525054832</v>
      </c>
      <c r="U134" s="26">
        <v>15023.102269717871</v>
      </c>
      <c r="V134">
        <f t="shared" si="12"/>
        <v>0.11</v>
      </c>
    </row>
    <row r="135" spans="1:22" ht="14.45" customHeight="1" x14ac:dyDescent="0.25">
      <c r="A135" s="14" t="s">
        <v>335</v>
      </c>
      <c r="B135" t="s">
        <v>336</v>
      </c>
      <c r="C135" t="s">
        <v>76</v>
      </c>
      <c r="D135" t="s">
        <v>505</v>
      </c>
      <c r="E135" s="14" t="s">
        <v>67</v>
      </c>
      <c r="F135" s="14" t="s">
        <v>63</v>
      </c>
      <c r="G135" s="15" t="str">
        <f t="shared" si="10"/>
        <v>Not Eligible</v>
      </c>
      <c r="H135" s="24">
        <v>36059</v>
      </c>
      <c r="I135" s="24">
        <v>34861.599999999999</v>
      </c>
      <c r="J135" s="24">
        <v>33646.199999999997</v>
      </c>
      <c r="K135" s="17">
        <v>0.8</v>
      </c>
      <c r="L135" s="17">
        <v>1</v>
      </c>
      <c r="M135" s="18">
        <v>12</v>
      </c>
      <c r="N135" s="19">
        <v>40.44</v>
      </c>
      <c r="O135" s="20">
        <f t="shared" si="11"/>
        <v>15</v>
      </c>
      <c r="P135" s="20">
        <v>743.00257050000005</v>
      </c>
      <c r="Q135" s="20">
        <v>743.00257050000005</v>
      </c>
      <c r="R135" s="17">
        <v>0.03</v>
      </c>
      <c r="S135" s="18">
        <v>0.70940000000000003</v>
      </c>
      <c r="T135" s="25">
        <v>7498.3793894743621</v>
      </c>
      <c r="U135" s="26">
        <v>15695.406261671018</v>
      </c>
      <c r="V135">
        <f t="shared" si="12"/>
        <v>0.11</v>
      </c>
    </row>
    <row r="136" spans="1:22" ht="14.45" customHeight="1" x14ac:dyDescent="0.25">
      <c r="A136" s="14" t="s">
        <v>337</v>
      </c>
      <c r="B136" t="s">
        <v>338</v>
      </c>
      <c r="C136" t="s">
        <v>83</v>
      </c>
      <c r="D136" t="s">
        <v>505</v>
      </c>
      <c r="E136" s="14" t="s">
        <v>62</v>
      </c>
      <c r="F136" s="14" t="s">
        <v>58</v>
      </c>
      <c r="G136" s="15" t="str">
        <f t="shared" si="10"/>
        <v>Not Eligible</v>
      </c>
      <c r="H136" s="24">
        <v>95791.6</v>
      </c>
      <c r="I136" s="24">
        <v>91279.799999999988</v>
      </c>
      <c r="J136" s="24">
        <v>85437.8</v>
      </c>
      <c r="K136" s="17">
        <v>0.8</v>
      </c>
      <c r="L136" s="17">
        <v>1</v>
      </c>
      <c r="M136" s="18">
        <v>12</v>
      </c>
      <c r="N136" s="19">
        <v>13.5</v>
      </c>
      <c r="O136" s="20">
        <f t="shared" si="11"/>
        <v>15</v>
      </c>
      <c r="P136" s="20">
        <v>650.09150220000004</v>
      </c>
      <c r="Q136" s="20">
        <v>520.07320179999999</v>
      </c>
      <c r="R136" s="17">
        <v>0.03</v>
      </c>
      <c r="S136" s="18">
        <v>0.76080000000000003</v>
      </c>
      <c r="T136" s="33">
        <v>1844.5250399157769</v>
      </c>
      <c r="U136" s="26">
        <v>2694.5617824327737</v>
      </c>
      <c r="V136">
        <f t="shared" si="12"/>
        <v>0.11</v>
      </c>
    </row>
    <row r="137" spans="1:22" ht="14.45" customHeight="1" x14ac:dyDescent="0.25">
      <c r="A137" s="14" t="s">
        <v>339</v>
      </c>
      <c r="B137" t="s">
        <v>340</v>
      </c>
      <c r="C137" t="s">
        <v>76</v>
      </c>
      <c r="D137" t="s">
        <v>505</v>
      </c>
      <c r="E137" s="14" t="s">
        <v>62</v>
      </c>
      <c r="F137" s="14" t="s">
        <v>63</v>
      </c>
      <c r="G137" s="15" t="str">
        <f t="shared" si="10"/>
        <v>Not Eligible</v>
      </c>
      <c r="H137" s="24">
        <v>66058.399999999994</v>
      </c>
      <c r="I137" s="24">
        <v>65713</v>
      </c>
      <c r="J137" s="24">
        <v>64441.600000000006</v>
      </c>
      <c r="K137" s="17">
        <v>0.8</v>
      </c>
      <c r="L137" s="17">
        <v>1</v>
      </c>
      <c r="M137" s="18">
        <v>12</v>
      </c>
      <c r="N137" s="19">
        <v>40.44</v>
      </c>
      <c r="O137" s="20">
        <f t="shared" si="11"/>
        <v>15</v>
      </c>
      <c r="P137" s="20">
        <v>743.00257050000005</v>
      </c>
      <c r="Q137" s="20">
        <v>445.80154229999999</v>
      </c>
      <c r="R137" s="17">
        <v>0.03</v>
      </c>
      <c r="S137" s="18">
        <v>0.70940000000000003</v>
      </c>
      <c r="T137" s="25">
        <v>3629.0677971791633</v>
      </c>
      <c r="U137" s="26">
        <v>5418.5182515368615</v>
      </c>
      <c r="V137">
        <f t="shared" si="12"/>
        <v>0.11</v>
      </c>
    </row>
    <row r="138" spans="1:22" ht="14.45" customHeight="1" x14ac:dyDescent="0.25">
      <c r="A138" s="14" t="s">
        <v>341</v>
      </c>
      <c r="B138" t="s">
        <v>342</v>
      </c>
      <c r="C138" t="s">
        <v>76</v>
      </c>
      <c r="D138" t="s">
        <v>504</v>
      </c>
      <c r="E138" s="14" t="s">
        <v>67</v>
      </c>
      <c r="F138" s="14" t="s">
        <v>63</v>
      </c>
      <c r="G138" s="15" t="str">
        <f t="shared" si="10"/>
        <v>Not Eligible</v>
      </c>
      <c r="H138" s="24">
        <v>295777.60000000003</v>
      </c>
      <c r="I138" s="24">
        <v>284577.2</v>
      </c>
      <c r="J138" s="24">
        <v>276416.2</v>
      </c>
      <c r="K138" s="17">
        <v>0.8</v>
      </c>
      <c r="L138" s="17">
        <v>1</v>
      </c>
      <c r="M138" s="18">
        <v>12</v>
      </c>
      <c r="N138" s="19">
        <v>40.44</v>
      </c>
      <c r="O138" s="20">
        <f t="shared" si="11"/>
        <v>15</v>
      </c>
      <c r="P138" s="20">
        <v>546.30694100000005</v>
      </c>
      <c r="Q138" s="20">
        <v>764.82971740000005</v>
      </c>
      <c r="R138" s="17">
        <v>0.03</v>
      </c>
      <c r="S138" s="18">
        <v>0.70940000000000003</v>
      </c>
      <c r="T138" s="25">
        <v>6017.9062315946721</v>
      </c>
      <c r="U138" s="26">
        <v>10317.832689158602</v>
      </c>
      <c r="V138">
        <f t="shared" si="12"/>
        <v>0.17</v>
      </c>
    </row>
    <row r="139" spans="1:22" ht="14.45" customHeight="1" x14ac:dyDescent="0.25">
      <c r="A139" s="14" t="s">
        <v>343</v>
      </c>
      <c r="B139" t="s">
        <v>344</v>
      </c>
      <c r="C139" t="s">
        <v>83</v>
      </c>
      <c r="D139" t="s">
        <v>505</v>
      </c>
      <c r="E139" s="14" t="s">
        <v>62</v>
      </c>
      <c r="F139" s="14" t="s">
        <v>63</v>
      </c>
      <c r="G139" s="15" t="str">
        <f t="shared" si="10"/>
        <v>Not Eligible</v>
      </c>
      <c r="H139" s="24">
        <v>1096032.2000000002</v>
      </c>
      <c r="I139" s="24">
        <v>1038928.0000000001</v>
      </c>
      <c r="J139" s="24">
        <v>982870.8</v>
      </c>
      <c r="K139" s="17">
        <v>0.8</v>
      </c>
      <c r="L139" s="17">
        <v>1</v>
      </c>
      <c r="M139" s="18">
        <v>12</v>
      </c>
      <c r="N139" s="19">
        <v>40.44</v>
      </c>
      <c r="O139" s="20">
        <f t="shared" si="11"/>
        <v>15</v>
      </c>
      <c r="P139" s="20">
        <v>650.09150220000004</v>
      </c>
      <c r="Q139" s="20">
        <v>520.07320179999999</v>
      </c>
      <c r="R139" s="17">
        <v>0.03</v>
      </c>
      <c r="S139" s="18">
        <v>0.68420000000000003</v>
      </c>
      <c r="T139" s="33">
        <v>2369.517867279269</v>
      </c>
      <c r="U139" s="26">
        <v>4139.9154365953746</v>
      </c>
      <c r="V139">
        <f t="shared" si="12"/>
        <v>0.11</v>
      </c>
    </row>
    <row r="140" spans="1:22" ht="14.45" customHeight="1" x14ac:dyDescent="0.25">
      <c r="A140" s="14" t="s">
        <v>345</v>
      </c>
      <c r="B140" t="s">
        <v>346</v>
      </c>
      <c r="C140" t="s">
        <v>61</v>
      </c>
      <c r="D140" t="s">
        <v>505</v>
      </c>
      <c r="E140" s="14" t="s">
        <v>70</v>
      </c>
      <c r="F140" s="14" t="s">
        <v>63</v>
      </c>
      <c r="G140" s="15" t="str">
        <f t="shared" si="10"/>
        <v>Not Eligible</v>
      </c>
      <c r="H140" s="24">
        <v>194102.8</v>
      </c>
      <c r="I140" s="24">
        <v>195727.8</v>
      </c>
      <c r="J140" s="24">
        <v>171992.59999999998</v>
      </c>
      <c r="K140" s="17">
        <v>0.8</v>
      </c>
      <c r="L140" s="17">
        <v>1</v>
      </c>
      <c r="M140" s="18">
        <v>12</v>
      </c>
      <c r="N140" s="19">
        <v>390</v>
      </c>
      <c r="O140" s="20">
        <f t="shared" si="11"/>
        <v>25</v>
      </c>
      <c r="P140" s="20">
        <v>588.11935960000005</v>
      </c>
      <c r="Q140" s="20">
        <v>823.36710349999998</v>
      </c>
      <c r="R140" s="17">
        <v>0.03</v>
      </c>
      <c r="S140" s="18">
        <v>0.7659999999999999</v>
      </c>
      <c r="T140" s="25">
        <v>13462.854740753246</v>
      </c>
      <c r="U140" s="26">
        <v>21309.92449511397</v>
      </c>
      <c r="V140">
        <f t="shared" si="12"/>
        <v>0.11</v>
      </c>
    </row>
    <row r="141" spans="1:22" ht="14.45" customHeight="1" x14ac:dyDescent="0.25">
      <c r="A141" s="14" t="s">
        <v>347</v>
      </c>
      <c r="B141" t="s">
        <v>348</v>
      </c>
      <c r="C141" t="s">
        <v>61</v>
      </c>
      <c r="D141" t="s">
        <v>506</v>
      </c>
      <c r="E141" s="14" t="s">
        <v>70</v>
      </c>
      <c r="F141" s="14" t="s">
        <v>63</v>
      </c>
      <c r="G141" s="15" t="str">
        <f t="shared" si="10"/>
        <v>Not Eligible</v>
      </c>
      <c r="H141" s="24">
        <v>42611.8</v>
      </c>
      <c r="I141" s="24">
        <v>47857</v>
      </c>
      <c r="J141" s="24">
        <v>51449.8</v>
      </c>
      <c r="K141" s="17">
        <v>0.8</v>
      </c>
      <c r="L141" s="17">
        <v>1</v>
      </c>
      <c r="M141" s="18">
        <v>12</v>
      </c>
      <c r="N141" s="19">
        <v>390</v>
      </c>
      <c r="O141" s="20">
        <f t="shared" si="11"/>
        <v>25</v>
      </c>
      <c r="P141" s="20">
        <v>1325.425371</v>
      </c>
      <c r="Q141" s="20">
        <v>795.25522260000002</v>
      </c>
      <c r="R141" s="17">
        <v>0.03</v>
      </c>
      <c r="S141" s="18">
        <v>0.7659999999999999</v>
      </c>
      <c r="T141" s="25">
        <v>22315.841977165659</v>
      </c>
      <c r="U141" s="26">
        <v>25384.763048023822</v>
      </c>
      <c r="V141">
        <f t="shared" si="12"/>
        <v>0.04</v>
      </c>
    </row>
    <row r="142" spans="1:22" ht="14.45" customHeight="1" x14ac:dyDescent="0.25">
      <c r="A142" s="14" t="s">
        <v>349</v>
      </c>
      <c r="B142" t="s">
        <v>350</v>
      </c>
      <c r="C142" t="s">
        <v>56</v>
      </c>
      <c r="D142" t="s">
        <v>505</v>
      </c>
      <c r="E142" s="14" t="s">
        <v>70</v>
      </c>
      <c r="F142" s="14" t="s">
        <v>63</v>
      </c>
      <c r="G142" s="15" t="str">
        <f t="shared" si="10"/>
        <v>Not Eligible</v>
      </c>
      <c r="H142" s="24">
        <v>12975.399999999998</v>
      </c>
      <c r="I142" s="24">
        <v>10914.199999999999</v>
      </c>
      <c r="J142" s="24">
        <v>8978</v>
      </c>
      <c r="K142" s="17">
        <v>0.8</v>
      </c>
      <c r="L142" s="17">
        <v>1</v>
      </c>
      <c r="M142" s="18">
        <v>12</v>
      </c>
      <c r="N142" s="19">
        <v>390</v>
      </c>
      <c r="O142" s="20">
        <f t="shared" si="11"/>
        <v>25</v>
      </c>
      <c r="P142" s="20">
        <v>811.19980080000005</v>
      </c>
      <c r="Q142" s="20">
        <v>1135.679721</v>
      </c>
      <c r="R142" s="17">
        <v>0.03</v>
      </c>
      <c r="S142" s="18">
        <v>0.81889999999999996</v>
      </c>
      <c r="T142" s="25">
        <v>92501.495112296325</v>
      </c>
      <c r="U142" s="26">
        <v>88919.116411626106</v>
      </c>
      <c r="V142">
        <f t="shared" si="12"/>
        <v>0.11</v>
      </c>
    </row>
    <row r="143" spans="1:22" ht="14.45" customHeight="1" x14ac:dyDescent="0.25">
      <c r="A143" s="14" t="s">
        <v>351</v>
      </c>
      <c r="B143" t="s">
        <v>352</v>
      </c>
      <c r="C143" t="s">
        <v>61</v>
      </c>
      <c r="D143" t="s">
        <v>505</v>
      </c>
      <c r="E143" s="14" t="s">
        <v>67</v>
      </c>
      <c r="F143" s="14" t="s">
        <v>63</v>
      </c>
      <c r="G143" s="15" t="str">
        <f t="shared" si="10"/>
        <v>Not Eligible</v>
      </c>
      <c r="H143" s="24">
        <v>89883.6</v>
      </c>
      <c r="I143" s="24">
        <v>102226.4</v>
      </c>
      <c r="J143" s="24">
        <v>102649.2</v>
      </c>
      <c r="K143" s="17">
        <v>0.8</v>
      </c>
      <c r="L143" s="17">
        <v>1</v>
      </c>
      <c r="M143" s="18">
        <v>12</v>
      </c>
      <c r="N143" s="19">
        <v>40.44</v>
      </c>
      <c r="O143" s="20">
        <f t="shared" si="11"/>
        <v>15</v>
      </c>
      <c r="P143" s="20">
        <v>588.11935960000005</v>
      </c>
      <c r="Q143" s="20">
        <v>823.36710349999998</v>
      </c>
      <c r="R143" s="17">
        <v>0.03</v>
      </c>
      <c r="S143" s="18">
        <v>0.7659999999999999</v>
      </c>
      <c r="T143" s="25">
        <v>8405.4937980519098</v>
      </c>
      <c r="U143" s="26">
        <v>15163.27695215233</v>
      </c>
      <c r="V143">
        <f t="shared" si="12"/>
        <v>0.11</v>
      </c>
    </row>
    <row r="144" spans="1:22" ht="14.45" customHeight="1" x14ac:dyDescent="0.25">
      <c r="A144" s="14" t="s">
        <v>353</v>
      </c>
      <c r="B144" t="s">
        <v>354</v>
      </c>
      <c r="C144" t="s">
        <v>61</v>
      </c>
      <c r="D144" t="s">
        <v>507</v>
      </c>
      <c r="E144" s="14" t="s">
        <v>67</v>
      </c>
      <c r="F144" s="14" t="s">
        <v>63</v>
      </c>
      <c r="G144" s="15" t="str">
        <f t="shared" si="10"/>
        <v>Not Eligible</v>
      </c>
      <c r="H144" s="24">
        <v>891395.2</v>
      </c>
      <c r="I144" s="24">
        <v>775208.8</v>
      </c>
      <c r="J144" s="24">
        <v>675821</v>
      </c>
      <c r="K144" s="17">
        <v>0.8</v>
      </c>
      <c r="L144" s="17">
        <v>1</v>
      </c>
      <c r="M144" s="18">
        <v>12</v>
      </c>
      <c r="N144" s="19">
        <v>40.44</v>
      </c>
      <c r="O144" s="20">
        <f t="shared" si="11"/>
        <v>15</v>
      </c>
      <c r="P144" s="20">
        <v>744.10140560000002</v>
      </c>
      <c r="Q144" s="20">
        <v>892.92168670000001</v>
      </c>
      <c r="R144" s="17">
        <v>0.03</v>
      </c>
      <c r="S144" s="18">
        <v>0.7659999999999999</v>
      </c>
      <c r="T144" s="33">
        <v>13089.337533598493</v>
      </c>
      <c r="U144" s="26">
        <v>21247.588498567737</v>
      </c>
      <c r="V144">
        <f t="shared" si="12"/>
        <v>0.13</v>
      </c>
    </row>
    <row r="145" spans="1:22" ht="14.45" customHeight="1" x14ac:dyDescent="0.25">
      <c r="A145" s="14" t="s">
        <v>355</v>
      </c>
      <c r="B145" t="s">
        <v>356</v>
      </c>
      <c r="C145" t="s">
        <v>66</v>
      </c>
      <c r="D145" t="s">
        <v>508</v>
      </c>
      <c r="E145" s="14" t="s">
        <v>57</v>
      </c>
      <c r="F145" s="14" t="s">
        <v>58</v>
      </c>
      <c r="G145" s="15" t="str">
        <f t="shared" si="10"/>
        <v>Not Eligible</v>
      </c>
      <c r="H145" s="24">
        <v>168878.6</v>
      </c>
      <c r="I145" s="24">
        <v>164654.40000000002</v>
      </c>
      <c r="J145" s="24">
        <v>143204</v>
      </c>
      <c r="K145" s="17">
        <v>0.8</v>
      </c>
      <c r="L145" s="17">
        <v>1</v>
      </c>
      <c r="M145" s="18">
        <v>12</v>
      </c>
      <c r="N145" s="19">
        <v>13.5</v>
      </c>
      <c r="O145" s="20">
        <f t="shared" si="11"/>
        <v>5</v>
      </c>
      <c r="P145" s="20">
        <v>551.90324139999996</v>
      </c>
      <c r="Q145" s="20">
        <v>551.90324139999996</v>
      </c>
      <c r="R145" s="17">
        <v>0.03</v>
      </c>
      <c r="S145" s="18">
        <v>0.74319999999999997</v>
      </c>
      <c r="T145" s="25">
        <v>582.55566078028448</v>
      </c>
      <c r="U145" s="26">
        <v>1251.0862948219617</v>
      </c>
      <c r="V145">
        <f t="shared" si="12"/>
        <v>0.17</v>
      </c>
    </row>
    <row r="146" spans="1:22" ht="14.45" customHeight="1" x14ac:dyDescent="0.25">
      <c r="A146" s="14" t="s">
        <v>357</v>
      </c>
      <c r="B146" t="s">
        <v>358</v>
      </c>
      <c r="C146" t="s">
        <v>76</v>
      </c>
      <c r="D146" t="s">
        <v>505</v>
      </c>
      <c r="E146" s="14" t="s">
        <v>70</v>
      </c>
      <c r="F146" s="14" t="s">
        <v>63</v>
      </c>
      <c r="G146" s="15" t="str">
        <f t="shared" ref="G146:G177" si="13">IF(C146="AMRO","Participating","Not Eligible")</f>
        <v>Not Eligible</v>
      </c>
      <c r="H146" s="24" t="e">
        <v>#N/A</v>
      </c>
      <c r="I146" s="24" t="e">
        <v>#N/A</v>
      </c>
      <c r="J146" s="24" t="e">
        <v>#N/A</v>
      </c>
      <c r="K146" s="17">
        <v>0.8</v>
      </c>
      <c r="L146" s="17">
        <v>1</v>
      </c>
      <c r="M146" s="18">
        <v>12</v>
      </c>
      <c r="N146" s="19">
        <v>390</v>
      </c>
      <c r="O146" s="20">
        <f t="shared" si="11"/>
        <v>25</v>
      </c>
      <c r="P146" s="20">
        <v>743.00257050000005</v>
      </c>
      <c r="Q146" s="20">
        <v>1040.2035989999999</v>
      </c>
      <c r="R146" s="17">
        <v>0.03</v>
      </c>
      <c r="S146" s="18">
        <v>0.70940000000000003</v>
      </c>
      <c r="T146" s="25">
        <v>13143.554462267964</v>
      </c>
      <c r="U146" s="26">
        <v>15154.213404266167</v>
      </c>
      <c r="V146">
        <f t="shared" si="12"/>
        <v>0.11</v>
      </c>
    </row>
    <row r="147" spans="1:22" ht="14.45" customHeight="1" x14ac:dyDescent="0.25">
      <c r="A147" s="14" t="s">
        <v>359</v>
      </c>
      <c r="B147" t="s">
        <v>360</v>
      </c>
      <c r="C147" t="s">
        <v>76</v>
      </c>
      <c r="D147" t="s">
        <v>505</v>
      </c>
      <c r="E147" s="14" t="s">
        <v>67</v>
      </c>
      <c r="F147" s="14" t="s">
        <v>63</v>
      </c>
      <c r="G147" s="15" t="str">
        <f t="shared" si="13"/>
        <v>Not Eligible</v>
      </c>
      <c r="H147" s="24">
        <v>1359.2</v>
      </c>
      <c r="I147" s="24">
        <v>1387.6</v>
      </c>
      <c r="J147" s="24">
        <v>1486.4</v>
      </c>
      <c r="K147" s="17">
        <v>0.8</v>
      </c>
      <c r="L147" s="17">
        <v>1</v>
      </c>
      <c r="M147" s="18">
        <v>12</v>
      </c>
      <c r="N147" s="19">
        <v>40.44</v>
      </c>
      <c r="O147" s="20">
        <f t="shared" si="11"/>
        <v>15</v>
      </c>
      <c r="P147" s="20">
        <v>743.00257050000005</v>
      </c>
      <c r="Q147" s="20">
        <v>594.40205639999999</v>
      </c>
      <c r="R147" s="17">
        <v>0.03</v>
      </c>
      <c r="S147" s="18">
        <v>0.70940000000000003</v>
      </c>
      <c r="T147" s="25">
        <v>7153.8544423400663</v>
      </c>
      <c r="U147" s="26">
        <v>9385.3379274237959</v>
      </c>
      <c r="V147">
        <f t="shared" si="12"/>
        <v>0.11</v>
      </c>
    </row>
    <row r="148" spans="1:22" ht="14.45" customHeight="1" x14ac:dyDescent="0.25">
      <c r="A148" s="14" t="s">
        <v>361</v>
      </c>
      <c r="B148" t="s">
        <v>362</v>
      </c>
      <c r="C148" t="s">
        <v>76</v>
      </c>
      <c r="D148" t="s">
        <v>505</v>
      </c>
      <c r="E148" s="14" t="s">
        <v>67</v>
      </c>
      <c r="F148" s="14" t="s">
        <v>63</v>
      </c>
      <c r="G148" s="15" t="str">
        <f t="shared" si="13"/>
        <v>Not Eligible</v>
      </c>
      <c r="H148" s="24">
        <v>841.2</v>
      </c>
      <c r="I148" s="24">
        <v>900</v>
      </c>
      <c r="J148" s="24">
        <v>914.19999999999993</v>
      </c>
      <c r="K148" s="17">
        <v>0.8</v>
      </c>
      <c r="L148" s="17">
        <v>1</v>
      </c>
      <c r="M148" s="18">
        <v>12</v>
      </c>
      <c r="N148" s="19">
        <v>40.44</v>
      </c>
      <c r="O148" s="20">
        <f t="shared" si="11"/>
        <v>15</v>
      </c>
      <c r="P148" s="20">
        <v>743.00257050000005</v>
      </c>
      <c r="Q148" s="20">
        <v>594.40205639999999</v>
      </c>
      <c r="R148" s="17">
        <v>0.03</v>
      </c>
      <c r="S148" s="18">
        <v>0.70940000000000003</v>
      </c>
      <c r="T148" s="25">
        <v>6290.8041200803964</v>
      </c>
      <c r="U148" s="26">
        <v>10811.65862566266</v>
      </c>
      <c r="V148">
        <f t="shared" si="12"/>
        <v>0.11</v>
      </c>
    </row>
    <row r="149" spans="1:22" ht="14.45" customHeight="1" x14ac:dyDescent="0.25">
      <c r="A149" s="14" t="s">
        <v>363</v>
      </c>
      <c r="B149" t="s">
        <v>364</v>
      </c>
      <c r="C149" t="s">
        <v>83</v>
      </c>
      <c r="D149" t="s">
        <v>505</v>
      </c>
      <c r="E149" s="14" t="s">
        <v>62</v>
      </c>
      <c r="F149" s="14" t="s">
        <v>63</v>
      </c>
      <c r="G149" s="15" t="str">
        <f t="shared" si="13"/>
        <v>Not Eligible</v>
      </c>
      <c r="H149" s="24">
        <v>2326.8000000000002</v>
      </c>
      <c r="I149" s="24">
        <v>2426</v>
      </c>
      <c r="J149" s="24">
        <v>2200.1999999999998</v>
      </c>
      <c r="K149" s="17">
        <v>0.8</v>
      </c>
      <c r="L149" s="17">
        <v>1</v>
      </c>
      <c r="M149" s="18">
        <v>12</v>
      </c>
      <c r="N149" s="19">
        <v>40.44</v>
      </c>
      <c r="O149" s="20">
        <f t="shared" si="11"/>
        <v>15</v>
      </c>
      <c r="P149" s="20">
        <v>650.09150220000004</v>
      </c>
      <c r="Q149" s="20">
        <v>780.10980270000005</v>
      </c>
      <c r="R149" s="17">
        <v>0.03</v>
      </c>
      <c r="S149" s="18">
        <v>0.76080000000000003</v>
      </c>
      <c r="T149" s="25">
        <v>3485.4136709596551</v>
      </c>
      <c r="U149" s="26">
        <v>4570.3082798269543</v>
      </c>
      <c r="V149">
        <f t="shared" si="12"/>
        <v>0.11</v>
      </c>
    </row>
    <row r="150" spans="1:22" ht="14.45" customHeight="1" x14ac:dyDescent="0.25">
      <c r="A150" s="14" t="s">
        <v>365</v>
      </c>
      <c r="B150" t="s">
        <v>366</v>
      </c>
      <c r="C150" t="s">
        <v>61</v>
      </c>
      <c r="D150" t="s">
        <v>506</v>
      </c>
      <c r="E150" s="14" t="s">
        <v>70</v>
      </c>
      <c r="F150" s="14" t="s">
        <v>63</v>
      </c>
      <c r="G150" s="15" t="str">
        <f t="shared" si="13"/>
        <v>Not Eligible</v>
      </c>
      <c r="H150" s="24" t="e">
        <v>#N/A</v>
      </c>
      <c r="I150" s="24" t="e">
        <v>#N/A</v>
      </c>
      <c r="J150" s="24" t="e">
        <v>#N/A</v>
      </c>
      <c r="K150" s="17">
        <v>0.8</v>
      </c>
      <c r="L150" s="17">
        <v>1</v>
      </c>
      <c r="M150" s="18">
        <v>12</v>
      </c>
      <c r="N150" s="19">
        <v>390</v>
      </c>
      <c r="O150" s="20">
        <f t="shared" si="11"/>
        <v>25</v>
      </c>
      <c r="P150" s="20">
        <v>1325.425371</v>
      </c>
      <c r="Q150" s="20">
        <v>1060.340297</v>
      </c>
      <c r="R150" s="17">
        <v>0.03</v>
      </c>
      <c r="S150" s="18">
        <v>0.7659999999999999</v>
      </c>
      <c r="T150" s="27">
        <v>34891.997663271039</v>
      </c>
      <c r="U150" s="28">
        <v>35305.844379786402</v>
      </c>
      <c r="V150">
        <f t="shared" si="12"/>
        <v>0.04</v>
      </c>
    </row>
    <row r="151" spans="1:22" ht="14.45" customHeight="1" x14ac:dyDescent="0.25">
      <c r="A151" s="14" t="s">
        <v>367</v>
      </c>
      <c r="B151" t="s">
        <v>368</v>
      </c>
      <c r="C151" t="s">
        <v>66</v>
      </c>
      <c r="D151" t="s">
        <v>504</v>
      </c>
      <c r="E151" s="14" t="s">
        <v>62</v>
      </c>
      <c r="F151" s="14" t="s">
        <v>58</v>
      </c>
      <c r="G151" s="15" t="str">
        <f t="shared" si="13"/>
        <v>Not Eligible</v>
      </c>
      <c r="H151" s="24">
        <v>2930</v>
      </c>
      <c r="I151" s="24">
        <v>2683</v>
      </c>
      <c r="J151" s="24">
        <v>2436.1999999999998</v>
      </c>
      <c r="K151" s="17">
        <v>0.8</v>
      </c>
      <c r="L151" s="17">
        <v>1</v>
      </c>
      <c r="M151" s="18">
        <v>12</v>
      </c>
      <c r="N151" s="19">
        <v>13.5</v>
      </c>
      <c r="O151" s="20">
        <f t="shared" si="11"/>
        <v>15</v>
      </c>
      <c r="P151" s="20">
        <v>538.36166230000003</v>
      </c>
      <c r="Q151" s="20">
        <v>646.03399469999999</v>
      </c>
      <c r="R151" s="17">
        <v>0.03</v>
      </c>
      <c r="S151" s="18">
        <v>0.74319999999999997</v>
      </c>
      <c r="T151" s="25">
        <v>1473.2847051088827</v>
      </c>
      <c r="U151" s="26">
        <v>2058.1461341191707</v>
      </c>
      <c r="V151">
        <f t="shared" si="12"/>
        <v>0.17</v>
      </c>
    </row>
    <row r="152" spans="1:22" ht="14.45" customHeight="1" x14ac:dyDescent="0.25">
      <c r="A152" s="14" t="s">
        <v>369</v>
      </c>
      <c r="B152" t="s">
        <v>370</v>
      </c>
      <c r="C152" t="s">
        <v>56</v>
      </c>
      <c r="D152" t="s">
        <v>505</v>
      </c>
      <c r="E152" s="14" t="s">
        <v>70</v>
      </c>
      <c r="F152" s="14" t="s">
        <v>63</v>
      </c>
      <c r="G152" s="15" t="str">
        <f t="shared" si="13"/>
        <v>Not Eligible</v>
      </c>
      <c r="H152" s="24">
        <v>310761.2</v>
      </c>
      <c r="I152" s="24">
        <v>302769.8</v>
      </c>
      <c r="J152" s="24">
        <v>269227.39999999997</v>
      </c>
      <c r="K152" s="17">
        <v>0.8</v>
      </c>
      <c r="L152" s="17">
        <v>1</v>
      </c>
      <c r="M152" s="18">
        <v>12</v>
      </c>
      <c r="N152" s="19">
        <v>390</v>
      </c>
      <c r="O152" s="20">
        <f t="shared" si="11"/>
        <v>25</v>
      </c>
      <c r="P152" s="20">
        <v>811.19980080000005</v>
      </c>
      <c r="Q152" s="20">
        <v>811.19980080000005</v>
      </c>
      <c r="R152" s="17">
        <v>0.03</v>
      </c>
      <c r="S152" s="18">
        <v>0.81889999999999996</v>
      </c>
      <c r="T152" s="25">
        <v>20540.306519983358</v>
      </c>
      <c r="U152" s="26">
        <v>24434.249779776292</v>
      </c>
      <c r="V152">
        <f t="shared" si="12"/>
        <v>0.11</v>
      </c>
    </row>
    <row r="153" spans="1:22" ht="14.45" customHeight="1" x14ac:dyDescent="0.25">
      <c r="A153" s="14" t="s">
        <v>371</v>
      </c>
      <c r="B153" t="s">
        <v>372</v>
      </c>
      <c r="C153" t="s">
        <v>66</v>
      </c>
      <c r="D153" t="s">
        <v>504</v>
      </c>
      <c r="E153" s="14" t="s">
        <v>62</v>
      </c>
      <c r="F153" s="14" t="s">
        <v>58</v>
      </c>
      <c r="G153" s="15" t="str">
        <f t="shared" si="13"/>
        <v>Not Eligible</v>
      </c>
      <c r="H153" s="24">
        <v>256575</v>
      </c>
      <c r="I153" s="24">
        <v>214378.80000000002</v>
      </c>
      <c r="J153" s="24">
        <v>183037.6</v>
      </c>
      <c r="K153" s="17">
        <v>0.8</v>
      </c>
      <c r="L153" s="17">
        <v>1</v>
      </c>
      <c r="M153" s="18">
        <v>12</v>
      </c>
      <c r="N153" s="19">
        <v>13.5</v>
      </c>
      <c r="O153" s="20">
        <f t="shared" si="11"/>
        <v>15</v>
      </c>
      <c r="P153" s="20">
        <v>538.36166230000003</v>
      </c>
      <c r="Q153" s="20">
        <v>538.36166230000003</v>
      </c>
      <c r="R153" s="17">
        <v>0.03</v>
      </c>
      <c r="S153" s="18">
        <v>0.74319999999999997</v>
      </c>
      <c r="T153" s="33">
        <v>1119.3572876997914</v>
      </c>
      <c r="U153" s="26">
        <v>1980.609062525476</v>
      </c>
      <c r="V153">
        <f t="shared" si="12"/>
        <v>0.17</v>
      </c>
    </row>
    <row r="154" spans="1:22" ht="14.45" customHeight="1" x14ac:dyDescent="0.25">
      <c r="A154" s="14" t="s">
        <v>373</v>
      </c>
      <c r="B154" t="s">
        <v>374</v>
      </c>
      <c r="C154" t="s">
        <v>61</v>
      </c>
      <c r="D154" t="s">
        <v>505</v>
      </c>
      <c r="E154" s="14" t="s">
        <v>67</v>
      </c>
      <c r="F154" s="14" t="s">
        <v>63</v>
      </c>
      <c r="G154" s="15" t="str">
        <f t="shared" si="13"/>
        <v>Not Eligible</v>
      </c>
      <c r="H154" s="24">
        <v>44013.999999999993</v>
      </c>
      <c r="I154" s="24">
        <v>45858.8</v>
      </c>
      <c r="J154" s="24">
        <v>50970.8</v>
      </c>
      <c r="K154" s="17">
        <v>0.8</v>
      </c>
      <c r="L154" s="17">
        <v>1</v>
      </c>
      <c r="M154" s="18">
        <v>12</v>
      </c>
      <c r="N154" s="19">
        <v>40.44</v>
      </c>
      <c r="O154" s="20">
        <f t="shared" si="11"/>
        <v>15</v>
      </c>
      <c r="P154" s="20">
        <v>588.11935960000005</v>
      </c>
      <c r="Q154" s="20">
        <v>588.11935960000005</v>
      </c>
      <c r="R154" s="17">
        <v>0.03</v>
      </c>
      <c r="S154" s="18">
        <v>0.7659999999999999</v>
      </c>
      <c r="T154" s="25">
        <v>6310.3651037847267</v>
      </c>
      <c r="U154" s="26">
        <v>11919.429283744639</v>
      </c>
      <c r="V154">
        <f t="shared" si="12"/>
        <v>0.11</v>
      </c>
    </row>
    <row r="155" spans="1:22" ht="14.45" customHeight="1" x14ac:dyDescent="0.25">
      <c r="A155" s="14" t="s">
        <v>375</v>
      </c>
      <c r="B155" t="s">
        <v>376</v>
      </c>
      <c r="C155" t="s">
        <v>66</v>
      </c>
      <c r="D155" t="s">
        <v>504</v>
      </c>
      <c r="E155" s="14" t="s">
        <v>67</v>
      </c>
      <c r="F155" s="14" t="s">
        <v>63</v>
      </c>
      <c r="G155" s="15" t="str">
        <f t="shared" si="13"/>
        <v>Not Eligible</v>
      </c>
      <c r="H155" s="24">
        <v>817.2</v>
      </c>
      <c r="I155" s="24">
        <v>753.4</v>
      </c>
      <c r="J155" s="24">
        <v>642.20000000000005</v>
      </c>
      <c r="K155" s="17">
        <v>0.8</v>
      </c>
      <c r="L155" s="17">
        <v>1</v>
      </c>
      <c r="M155" s="18">
        <v>12</v>
      </c>
      <c r="N155" s="19">
        <v>40.44</v>
      </c>
      <c r="O155" s="20">
        <f t="shared" si="11"/>
        <v>15</v>
      </c>
      <c r="P155" s="20">
        <v>538.36166230000003</v>
      </c>
      <c r="Q155" s="20">
        <v>753.70632720000003</v>
      </c>
      <c r="R155" s="17">
        <v>0.03</v>
      </c>
      <c r="S155" s="18">
        <v>0.74319999999999997</v>
      </c>
      <c r="T155" s="25">
        <v>11711.468515633942</v>
      </c>
      <c r="U155" s="26">
        <v>26420.376614093431</v>
      </c>
      <c r="V155">
        <f t="shared" si="12"/>
        <v>0.17</v>
      </c>
    </row>
    <row r="156" spans="1:22" ht="14.45" customHeight="1" x14ac:dyDescent="0.25">
      <c r="A156" s="14" t="s">
        <v>377</v>
      </c>
      <c r="B156" t="s">
        <v>378</v>
      </c>
      <c r="C156" t="s">
        <v>66</v>
      </c>
      <c r="D156" t="s">
        <v>504</v>
      </c>
      <c r="E156" s="14" t="s">
        <v>57</v>
      </c>
      <c r="F156" s="14" t="s">
        <v>58</v>
      </c>
      <c r="G156" s="15" t="str">
        <f t="shared" si="13"/>
        <v>Not Eligible</v>
      </c>
      <c r="H156" s="24">
        <v>100192.8</v>
      </c>
      <c r="I156" s="24">
        <v>92306</v>
      </c>
      <c r="J156" s="24">
        <v>81209.599999999991</v>
      </c>
      <c r="K156" s="17">
        <v>0.8</v>
      </c>
      <c r="L156" s="17">
        <v>1</v>
      </c>
      <c r="M156" s="18">
        <v>12</v>
      </c>
      <c r="N156" s="19">
        <v>13.5</v>
      </c>
      <c r="O156" s="20">
        <f t="shared" si="11"/>
        <v>5</v>
      </c>
      <c r="P156" s="20">
        <v>538.36166230000003</v>
      </c>
      <c r="Q156" s="20">
        <v>323.01699739999998</v>
      </c>
      <c r="R156" s="17">
        <v>0.03</v>
      </c>
      <c r="S156" s="18">
        <v>0.74319999999999997</v>
      </c>
      <c r="T156" s="25">
        <v>373.98352024178121</v>
      </c>
      <c r="U156" s="26">
        <v>876.97328672030483</v>
      </c>
      <c r="V156">
        <f t="shared" si="12"/>
        <v>0.17</v>
      </c>
    </row>
    <row r="157" spans="1:22" ht="14.45" customHeight="1" x14ac:dyDescent="0.25">
      <c r="A157" s="14" t="s">
        <v>379</v>
      </c>
      <c r="B157" t="s">
        <v>380</v>
      </c>
      <c r="C157" t="s">
        <v>83</v>
      </c>
      <c r="D157" t="s">
        <v>506</v>
      </c>
      <c r="E157" s="14" t="s">
        <v>70</v>
      </c>
      <c r="F157" s="14" t="s">
        <v>63</v>
      </c>
      <c r="G157" s="15" t="str">
        <f t="shared" si="13"/>
        <v>Not Eligible</v>
      </c>
      <c r="H157" s="24">
        <v>26008.600000000002</v>
      </c>
      <c r="I157" s="24">
        <v>28070.399999999998</v>
      </c>
      <c r="J157" s="24">
        <v>31065.199999999997</v>
      </c>
      <c r="K157" s="17">
        <v>0.8</v>
      </c>
      <c r="L157" s="17">
        <v>1</v>
      </c>
      <c r="M157" s="18">
        <v>12</v>
      </c>
      <c r="N157" s="19">
        <v>390</v>
      </c>
      <c r="O157" s="20">
        <f t="shared" si="11"/>
        <v>25</v>
      </c>
      <c r="P157" s="20">
        <v>1472.623308</v>
      </c>
      <c r="Q157" s="20">
        <v>1767.14797</v>
      </c>
      <c r="R157" s="17">
        <v>0.03</v>
      </c>
      <c r="S157" s="18">
        <v>0.76080000000000003</v>
      </c>
      <c r="T157" s="25">
        <v>46241.024454019454</v>
      </c>
      <c r="U157" s="26">
        <v>61103.359066485944</v>
      </c>
      <c r="V157">
        <f t="shared" si="12"/>
        <v>0.04</v>
      </c>
    </row>
    <row r="158" spans="1:22" ht="14.45" customHeight="1" x14ac:dyDescent="0.25">
      <c r="A158" s="14" t="s">
        <v>381</v>
      </c>
      <c r="B158" t="s">
        <v>382</v>
      </c>
      <c r="C158" t="s">
        <v>61</v>
      </c>
      <c r="D158" t="s">
        <v>505</v>
      </c>
      <c r="E158" s="14" t="s">
        <v>70</v>
      </c>
      <c r="F158" s="14" t="s">
        <v>63</v>
      </c>
      <c r="G158" s="15" t="str">
        <f t="shared" si="13"/>
        <v>Not Eligible</v>
      </c>
      <c r="H158" s="24">
        <v>27622.800000000003</v>
      </c>
      <c r="I158" s="24">
        <v>27301.200000000001</v>
      </c>
      <c r="J158" s="24">
        <v>25210.2</v>
      </c>
      <c r="K158" s="17">
        <v>0.8</v>
      </c>
      <c r="L158" s="17">
        <v>1</v>
      </c>
      <c r="M158" s="18">
        <v>12</v>
      </c>
      <c r="N158" s="19">
        <v>390</v>
      </c>
      <c r="O158" s="20">
        <f t="shared" si="11"/>
        <v>25</v>
      </c>
      <c r="P158" s="20">
        <v>588.11935960000005</v>
      </c>
      <c r="Q158" s="20">
        <v>823.36710349999998</v>
      </c>
      <c r="R158" s="17">
        <v>0.03</v>
      </c>
      <c r="S158" s="18">
        <v>0.7659999999999999</v>
      </c>
      <c r="T158" s="25">
        <v>17645.983070042028</v>
      </c>
      <c r="U158" s="26">
        <v>24021.747734897719</v>
      </c>
      <c r="V158">
        <f t="shared" si="12"/>
        <v>0.11</v>
      </c>
    </row>
    <row r="159" spans="1:22" ht="14.45" customHeight="1" x14ac:dyDescent="0.25">
      <c r="A159" s="14" t="s">
        <v>383</v>
      </c>
      <c r="B159" t="s">
        <v>384</v>
      </c>
      <c r="C159" t="s">
        <v>61</v>
      </c>
      <c r="D159" t="s">
        <v>506</v>
      </c>
      <c r="E159" s="14" t="s">
        <v>70</v>
      </c>
      <c r="F159" s="14" t="s">
        <v>63</v>
      </c>
      <c r="G159" s="15" t="str">
        <f t="shared" si="13"/>
        <v>Not Eligible</v>
      </c>
      <c r="H159" s="24">
        <v>10769.8</v>
      </c>
      <c r="I159" s="24">
        <v>10107.200000000001</v>
      </c>
      <c r="J159" s="24">
        <v>8809.9999999999982</v>
      </c>
      <c r="K159" s="17">
        <v>0.8</v>
      </c>
      <c r="L159" s="17">
        <v>1</v>
      </c>
      <c r="M159" s="18">
        <v>12</v>
      </c>
      <c r="N159" s="19">
        <v>390</v>
      </c>
      <c r="O159" s="20">
        <f t="shared" si="11"/>
        <v>25</v>
      </c>
      <c r="P159" s="20">
        <v>1325.425371</v>
      </c>
      <c r="Q159" s="20">
        <v>795.25522260000002</v>
      </c>
      <c r="R159" s="17">
        <v>0.03</v>
      </c>
      <c r="S159" s="18">
        <v>0.7659999999999999</v>
      </c>
      <c r="T159" s="25">
        <v>24141.944983169669</v>
      </c>
      <c r="U159" s="26">
        <v>27412.348640853506</v>
      </c>
      <c r="V159">
        <f t="shared" si="12"/>
        <v>0.04</v>
      </c>
    </row>
    <row r="160" spans="1:22" ht="14.45" customHeight="1" x14ac:dyDescent="0.25">
      <c r="A160" s="14" t="s">
        <v>385</v>
      </c>
      <c r="B160" t="s">
        <v>386</v>
      </c>
      <c r="C160" t="s">
        <v>83</v>
      </c>
      <c r="D160" t="s">
        <v>505</v>
      </c>
      <c r="E160" s="14" t="s">
        <v>62</v>
      </c>
      <c r="F160" s="14" t="s">
        <v>58</v>
      </c>
      <c r="G160" s="15" t="str">
        <f t="shared" si="13"/>
        <v>Not Eligible</v>
      </c>
      <c r="H160" s="24">
        <v>7919.1999999999989</v>
      </c>
      <c r="I160" s="24">
        <v>7550.8</v>
      </c>
      <c r="J160" s="24">
        <v>6855.2000000000007</v>
      </c>
      <c r="K160" s="17">
        <v>0.8</v>
      </c>
      <c r="L160" s="17">
        <v>1</v>
      </c>
      <c r="M160" s="18">
        <v>12</v>
      </c>
      <c r="N160" s="19">
        <v>13.5</v>
      </c>
      <c r="O160" s="20">
        <f t="shared" si="11"/>
        <v>15</v>
      </c>
      <c r="P160" s="20">
        <v>650.09150220000004</v>
      </c>
      <c r="Q160" s="20">
        <v>390.05490129999998</v>
      </c>
      <c r="R160" s="17">
        <v>0.03</v>
      </c>
      <c r="S160" s="18">
        <v>0.76080000000000003</v>
      </c>
      <c r="T160" s="25">
        <v>1517.422016701134</v>
      </c>
      <c r="U160" s="26">
        <v>2942.8964754355075</v>
      </c>
      <c r="V160">
        <f t="shared" si="12"/>
        <v>0.11</v>
      </c>
    </row>
    <row r="161" spans="1:22" ht="14.45" customHeight="1" x14ac:dyDescent="0.25">
      <c r="A161" s="14" t="s">
        <v>387</v>
      </c>
      <c r="B161" t="s">
        <v>388</v>
      </c>
      <c r="C161" t="s">
        <v>56</v>
      </c>
      <c r="D161" t="s">
        <v>504</v>
      </c>
      <c r="E161" s="14" t="s">
        <v>57</v>
      </c>
      <c r="F161" s="14" t="s">
        <v>136</v>
      </c>
      <c r="G161" s="15" t="str">
        <f t="shared" si="13"/>
        <v>Not Eligible</v>
      </c>
      <c r="H161" s="24">
        <v>195454.99999999997</v>
      </c>
      <c r="I161" s="24">
        <v>165982.59999999998</v>
      </c>
      <c r="J161" s="24">
        <v>139197.60000000003</v>
      </c>
      <c r="K161" s="17">
        <v>0.8</v>
      </c>
      <c r="L161" s="17">
        <v>1</v>
      </c>
      <c r="M161" s="18">
        <v>12</v>
      </c>
      <c r="N161" s="19">
        <v>13.5</v>
      </c>
      <c r="O161" s="20">
        <f t="shared" si="11"/>
        <v>5</v>
      </c>
      <c r="P161" s="20">
        <v>603.06939599999998</v>
      </c>
      <c r="Q161" s="20">
        <v>844.29715439999995</v>
      </c>
      <c r="R161" s="17">
        <v>0.03</v>
      </c>
      <c r="S161" s="18">
        <v>0.81889999999999996</v>
      </c>
      <c r="T161" s="27">
        <v>7824.9943692076358</v>
      </c>
      <c r="U161" s="28">
        <v>11088.869668187101</v>
      </c>
      <c r="V161">
        <f t="shared" si="12"/>
        <v>0.17</v>
      </c>
    </row>
    <row r="162" spans="1:22" ht="14.45" customHeight="1" x14ac:dyDescent="0.25">
      <c r="A162" s="14" t="s">
        <v>389</v>
      </c>
      <c r="B162" t="s">
        <v>390</v>
      </c>
      <c r="C162" t="s">
        <v>66</v>
      </c>
      <c r="D162" t="s">
        <v>508</v>
      </c>
      <c r="E162" s="14" t="s">
        <v>67</v>
      </c>
      <c r="F162" s="14" t="s">
        <v>63</v>
      </c>
      <c r="G162" s="15" t="str">
        <f t="shared" si="13"/>
        <v>Not Eligible</v>
      </c>
      <c r="H162" s="24">
        <v>532223</v>
      </c>
      <c r="I162" s="24">
        <v>541954.6</v>
      </c>
      <c r="J162" s="24">
        <v>503042.8</v>
      </c>
      <c r="K162" s="17">
        <v>0.8</v>
      </c>
      <c r="L162" s="17">
        <v>1</v>
      </c>
      <c r="M162" s="18">
        <v>12</v>
      </c>
      <c r="N162" s="19">
        <v>40.44</v>
      </c>
      <c r="O162" s="20">
        <f t="shared" ref="O162:O195" si="14">IF(E162="High income",25,IF(E162="Low-income",5,15))</f>
        <v>15</v>
      </c>
      <c r="P162" s="20">
        <v>551.90324139999996</v>
      </c>
      <c r="Q162" s="20">
        <v>772.66453799999999</v>
      </c>
      <c r="R162" s="17">
        <v>0.03</v>
      </c>
      <c r="S162" s="18">
        <v>0.74319999999999997</v>
      </c>
      <c r="T162" s="33">
        <v>8070.0320904096707</v>
      </c>
      <c r="U162" s="26">
        <v>11034.82295176254</v>
      </c>
      <c r="V162">
        <f t="shared" si="12"/>
        <v>0.17</v>
      </c>
    </row>
    <row r="163" spans="1:22" ht="14.45" customHeight="1" x14ac:dyDescent="0.25">
      <c r="A163" s="14" t="s">
        <v>391</v>
      </c>
      <c r="B163" t="s">
        <v>392</v>
      </c>
      <c r="C163" t="s">
        <v>61</v>
      </c>
      <c r="D163" t="s">
        <v>506</v>
      </c>
      <c r="E163" s="14" t="s">
        <v>70</v>
      </c>
      <c r="F163" s="14" t="s">
        <v>63</v>
      </c>
      <c r="G163" s="15" t="str">
        <f t="shared" si="13"/>
        <v>Not Eligible</v>
      </c>
      <c r="H163" s="24">
        <v>207772.20000000004</v>
      </c>
      <c r="I163" s="24">
        <v>236442.6</v>
      </c>
      <c r="J163" s="24">
        <v>221539.80000000002</v>
      </c>
      <c r="K163" s="17">
        <v>0.8</v>
      </c>
      <c r="L163" s="17">
        <v>1</v>
      </c>
      <c r="M163" s="18">
        <v>12</v>
      </c>
      <c r="N163" s="19">
        <v>390</v>
      </c>
      <c r="O163" s="20">
        <f t="shared" si="14"/>
        <v>25</v>
      </c>
      <c r="P163" s="20">
        <v>1325.425371</v>
      </c>
      <c r="Q163" s="20">
        <v>1060.340297</v>
      </c>
      <c r="R163" s="17">
        <v>0.03</v>
      </c>
      <c r="S163" s="18">
        <v>0.7659999999999999</v>
      </c>
      <c r="T163" s="25">
        <v>31942.942455811499</v>
      </c>
      <c r="U163" s="26">
        <v>32423.724971086263</v>
      </c>
      <c r="V163">
        <f t="shared" si="12"/>
        <v>0.04</v>
      </c>
    </row>
    <row r="164" spans="1:22" ht="14.45" customHeight="1" x14ac:dyDescent="0.25">
      <c r="A164" s="14" t="s">
        <v>393</v>
      </c>
      <c r="B164" t="s">
        <v>394</v>
      </c>
      <c r="C164" t="s">
        <v>94</v>
      </c>
      <c r="D164" t="s">
        <v>505</v>
      </c>
      <c r="E164" s="14" t="s">
        <v>62</v>
      </c>
      <c r="F164" s="14" t="s">
        <v>73</v>
      </c>
      <c r="G164" s="15" t="str">
        <f t="shared" si="13"/>
        <v>Not Eligible</v>
      </c>
      <c r="H164" s="24">
        <v>161798</v>
      </c>
      <c r="I164" s="24">
        <v>173841.6</v>
      </c>
      <c r="J164" s="24">
        <v>169628.80000000002</v>
      </c>
      <c r="K164" s="17">
        <v>0.8</v>
      </c>
      <c r="L164" s="17">
        <v>1</v>
      </c>
      <c r="M164" s="18">
        <v>12</v>
      </c>
      <c r="N164" s="19">
        <v>13.5</v>
      </c>
      <c r="O164" s="20">
        <f t="shared" si="14"/>
        <v>15</v>
      </c>
      <c r="P164" s="20">
        <v>539.82276060000004</v>
      </c>
      <c r="Q164" s="20">
        <v>431.85820849999999</v>
      </c>
      <c r="R164" s="17">
        <v>0.03</v>
      </c>
      <c r="S164" s="18">
        <v>0.68420000000000003</v>
      </c>
      <c r="T164" s="25">
        <v>2835.4082753800221</v>
      </c>
      <c r="U164" s="26">
        <v>5619.924163702025</v>
      </c>
      <c r="V164">
        <f t="shared" si="12"/>
        <v>0.11</v>
      </c>
    </row>
    <row r="165" spans="1:22" ht="14.45" customHeight="1" x14ac:dyDescent="0.25">
      <c r="A165" s="14" t="s">
        <v>395</v>
      </c>
      <c r="B165" t="s">
        <v>396</v>
      </c>
      <c r="C165" t="s">
        <v>56</v>
      </c>
      <c r="D165" t="s">
        <v>504</v>
      </c>
      <c r="E165" s="14" t="s">
        <v>62</v>
      </c>
      <c r="F165" s="14" t="s">
        <v>58</v>
      </c>
      <c r="G165" s="15" t="str">
        <f t="shared" si="13"/>
        <v>Not Eligible</v>
      </c>
      <c r="H165" s="24">
        <v>584998.80000000005</v>
      </c>
      <c r="I165" s="24">
        <v>532638.19999999995</v>
      </c>
      <c r="J165" s="24">
        <v>486704.39999999997</v>
      </c>
      <c r="K165" s="17">
        <v>0.8</v>
      </c>
      <c r="L165" s="17">
        <v>1</v>
      </c>
      <c r="M165" s="18">
        <v>12</v>
      </c>
      <c r="N165" s="19">
        <v>13.5</v>
      </c>
      <c r="O165" s="20">
        <f t="shared" si="14"/>
        <v>15</v>
      </c>
      <c r="P165" s="20">
        <v>603.06939599999998</v>
      </c>
      <c r="Q165" s="20">
        <v>603.06939599999998</v>
      </c>
      <c r="R165" s="17">
        <v>0.03</v>
      </c>
      <c r="S165" s="18">
        <v>0.81889999999999996</v>
      </c>
      <c r="T165" s="25">
        <v>1435.1314362999999</v>
      </c>
      <c r="U165" s="26">
        <v>2140.9322366757979</v>
      </c>
      <c r="V165">
        <f t="shared" si="12"/>
        <v>0.17</v>
      </c>
    </row>
    <row r="166" spans="1:22" ht="14.45" customHeight="1" x14ac:dyDescent="0.25">
      <c r="A166" s="14" t="s">
        <v>397</v>
      </c>
      <c r="B166" t="s">
        <v>398</v>
      </c>
      <c r="C166" t="s">
        <v>66</v>
      </c>
      <c r="D166" t="s">
        <v>504</v>
      </c>
      <c r="E166" s="14" t="s">
        <v>62</v>
      </c>
      <c r="F166" s="14" t="s">
        <v>58</v>
      </c>
      <c r="G166" s="15" t="str">
        <f t="shared" si="13"/>
        <v>Not Eligible</v>
      </c>
      <c r="H166" s="24">
        <v>192704</v>
      </c>
      <c r="I166" s="24">
        <v>169696.2</v>
      </c>
      <c r="J166" s="24">
        <v>150266.59999999998</v>
      </c>
      <c r="K166" s="17">
        <v>0.8</v>
      </c>
      <c r="L166" s="17">
        <v>1</v>
      </c>
      <c r="M166" s="18">
        <v>12</v>
      </c>
      <c r="N166" s="19">
        <v>13.5</v>
      </c>
      <c r="O166" s="20">
        <f t="shared" si="14"/>
        <v>15</v>
      </c>
      <c r="P166" s="20">
        <v>603.06939599999998</v>
      </c>
      <c r="Q166" s="20">
        <v>603.06939599999998</v>
      </c>
      <c r="R166" s="17">
        <v>0.03</v>
      </c>
      <c r="S166" s="18">
        <v>0.74319999999999997</v>
      </c>
      <c r="T166" s="21">
        <v>1858.8256363141429</v>
      </c>
      <c r="U166" s="28">
        <v>2363.07393798165</v>
      </c>
      <c r="V166">
        <f t="shared" si="12"/>
        <v>0.17</v>
      </c>
    </row>
    <row r="167" spans="1:22" ht="14.45" customHeight="1" x14ac:dyDescent="0.25">
      <c r="A167" s="14" t="s">
        <v>399</v>
      </c>
      <c r="B167" t="s">
        <v>400</v>
      </c>
      <c r="C167" t="s">
        <v>76</v>
      </c>
      <c r="D167" t="s">
        <v>505</v>
      </c>
      <c r="E167" s="14" t="s">
        <v>67</v>
      </c>
      <c r="F167" s="14" t="s">
        <v>63</v>
      </c>
      <c r="G167" s="15" t="str">
        <f t="shared" si="13"/>
        <v>Not Eligible</v>
      </c>
      <c r="H167" s="24">
        <v>4651.6000000000004</v>
      </c>
      <c r="I167" s="24">
        <v>4687.4000000000005</v>
      </c>
      <c r="J167" s="24">
        <v>4820.4000000000005</v>
      </c>
      <c r="K167" s="17">
        <v>0.8</v>
      </c>
      <c r="L167" s="17">
        <v>1</v>
      </c>
      <c r="M167" s="18">
        <v>12</v>
      </c>
      <c r="N167" s="19">
        <v>40.44</v>
      </c>
      <c r="O167" s="20">
        <f t="shared" si="14"/>
        <v>15</v>
      </c>
      <c r="P167" s="20">
        <v>743.00257050000005</v>
      </c>
      <c r="Q167" s="20">
        <v>743.00257050000005</v>
      </c>
      <c r="R167" s="17">
        <v>0.03</v>
      </c>
      <c r="S167" s="18">
        <v>0.70940000000000003</v>
      </c>
      <c r="T167" s="31">
        <v>8292.4610585243863</v>
      </c>
      <c r="U167" s="23">
        <v>7891.4054147462302</v>
      </c>
      <c r="V167">
        <f t="shared" si="12"/>
        <v>0.11</v>
      </c>
    </row>
    <row r="168" spans="1:22" ht="14.45" customHeight="1" x14ac:dyDescent="0.25">
      <c r="A168" s="14" t="s">
        <v>401</v>
      </c>
      <c r="B168" t="s">
        <v>402</v>
      </c>
      <c r="C168" t="s">
        <v>66</v>
      </c>
      <c r="D168" t="s">
        <v>508</v>
      </c>
      <c r="E168" s="14" t="s">
        <v>62</v>
      </c>
      <c r="F168" s="14" t="s">
        <v>63</v>
      </c>
      <c r="G168" s="15" t="str">
        <f t="shared" si="13"/>
        <v>Not Eligible</v>
      </c>
      <c r="H168" s="24">
        <v>17204.599999999999</v>
      </c>
      <c r="I168" s="24">
        <v>15868.199999999999</v>
      </c>
      <c r="J168" s="24">
        <v>14675.4</v>
      </c>
      <c r="K168" s="17">
        <v>0.8</v>
      </c>
      <c r="L168" s="17">
        <v>1</v>
      </c>
      <c r="M168" s="18">
        <v>12</v>
      </c>
      <c r="N168" s="19">
        <v>40.44</v>
      </c>
      <c r="O168" s="20">
        <f t="shared" si="14"/>
        <v>15</v>
      </c>
      <c r="P168" s="20">
        <v>551.90324139999996</v>
      </c>
      <c r="Q168" s="20">
        <v>772.66453799999999</v>
      </c>
      <c r="R168" s="17">
        <v>0.03</v>
      </c>
      <c r="S168" s="18">
        <v>0.74319999999999997</v>
      </c>
      <c r="T168" s="25">
        <v>3725.2808979895949</v>
      </c>
      <c r="U168" s="26">
        <v>6098.5571639653572</v>
      </c>
      <c r="V168">
        <f t="shared" si="12"/>
        <v>0.17</v>
      </c>
    </row>
    <row r="169" spans="1:22" ht="14.45" customHeight="1" x14ac:dyDescent="0.25">
      <c r="A169" s="14" t="s">
        <v>403</v>
      </c>
      <c r="B169" t="s">
        <v>404</v>
      </c>
      <c r="C169" t="s">
        <v>61</v>
      </c>
      <c r="D169" t="s">
        <v>506</v>
      </c>
      <c r="E169" s="14" t="s">
        <v>70</v>
      </c>
      <c r="F169" s="14" t="s">
        <v>63</v>
      </c>
      <c r="G169" s="15" t="str">
        <f t="shared" si="13"/>
        <v>Not Eligible</v>
      </c>
      <c r="H169" s="24">
        <v>57399</v>
      </c>
      <c r="I169" s="24">
        <v>56450.2</v>
      </c>
      <c r="J169" s="24">
        <v>50548.6</v>
      </c>
      <c r="K169" s="17">
        <v>0.8</v>
      </c>
      <c r="L169" s="17">
        <v>1</v>
      </c>
      <c r="M169" s="18">
        <v>12</v>
      </c>
      <c r="N169" s="19">
        <v>390</v>
      </c>
      <c r="O169" s="20">
        <f t="shared" si="14"/>
        <v>25</v>
      </c>
      <c r="P169" s="20">
        <v>1325.425371</v>
      </c>
      <c r="Q169" s="20">
        <v>1855.595519</v>
      </c>
      <c r="R169" s="17">
        <v>0.03</v>
      </c>
      <c r="S169" s="18">
        <v>0.7659999999999999</v>
      </c>
      <c r="T169" s="25">
        <v>57091.0466622885</v>
      </c>
      <c r="U169" s="26">
        <v>41299.761806051778</v>
      </c>
      <c r="V169">
        <f t="shared" si="12"/>
        <v>0.04</v>
      </c>
    </row>
    <row r="170" spans="1:22" ht="14.45" customHeight="1" x14ac:dyDescent="0.25">
      <c r="A170" s="14" t="s">
        <v>405</v>
      </c>
      <c r="B170" t="s">
        <v>406</v>
      </c>
      <c r="C170" t="s">
        <v>61</v>
      </c>
      <c r="D170" t="s">
        <v>506</v>
      </c>
      <c r="E170" s="14" t="s">
        <v>70</v>
      </c>
      <c r="F170" s="14" t="s">
        <v>63</v>
      </c>
      <c r="G170" s="15" t="str">
        <f t="shared" si="13"/>
        <v>Not Eligible</v>
      </c>
      <c r="H170" s="24">
        <v>41134.6</v>
      </c>
      <c r="I170" s="24">
        <v>39475</v>
      </c>
      <c r="J170" s="24">
        <v>38726.600000000006</v>
      </c>
      <c r="K170" s="17">
        <v>0.8</v>
      </c>
      <c r="L170" s="17">
        <v>1</v>
      </c>
      <c r="M170" s="18">
        <v>12</v>
      </c>
      <c r="N170" s="19">
        <v>390</v>
      </c>
      <c r="O170" s="20">
        <f t="shared" si="14"/>
        <v>25</v>
      </c>
      <c r="P170" s="20">
        <v>1325.425371</v>
      </c>
      <c r="Q170" s="20">
        <v>1855.595519</v>
      </c>
      <c r="R170" s="17">
        <v>0.03</v>
      </c>
      <c r="S170" s="18">
        <v>0.7659999999999999</v>
      </c>
      <c r="T170" s="25">
        <v>83382.81533387427</v>
      </c>
      <c r="U170" s="26">
        <v>49151.39587647625</v>
      </c>
      <c r="V170">
        <f t="shared" si="12"/>
        <v>0.04</v>
      </c>
    </row>
    <row r="171" spans="1:22" ht="14.45" customHeight="1" x14ac:dyDescent="0.25">
      <c r="A171" s="14" t="s">
        <v>407</v>
      </c>
      <c r="B171" t="s">
        <v>408</v>
      </c>
      <c r="C171" t="s">
        <v>56</v>
      </c>
      <c r="D171" t="s">
        <v>505</v>
      </c>
      <c r="E171" s="14" t="s">
        <v>62</v>
      </c>
      <c r="F171" s="14" t="s">
        <v>63</v>
      </c>
      <c r="G171" s="15" t="str">
        <f t="shared" si="13"/>
        <v>Not Eligible</v>
      </c>
      <c r="H171" s="24">
        <v>213596.99999999997</v>
      </c>
      <c r="I171" s="24">
        <v>228546</v>
      </c>
      <c r="J171" s="24">
        <v>227728.40000000002</v>
      </c>
      <c r="K171" s="17">
        <v>0.8</v>
      </c>
      <c r="L171" s="17">
        <v>1</v>
      </c>
      <c r="M171" s="18">
        <v>12</v>
      </c>
      <c r="N171" s="19">
        <v>40.44</v>
      </c>
      <c r="O171" s="20">
        <f t="shared" si="14"/>
        <v>15</v>
      </c>
      <c r="P171" s="20">
        <v>811.19980080000005</v>
      </c>
      <c r="Q171" s="20">
        <v>486.71988049999999</v>
      </c>
      <c r="R171" s="17">
        <v>0.03</v>
      </c>
      <c r="S171" s="18">
        <v>0.81889999999999996</v>
      </c>
      <c r="T171" s="31">
        <v>2892.7551483892803</v>
      </c>
      <c r="U171" s="23">
        <v>5261.6986058889197</v>
      </c>
      <c r="V171">
        <f t="shared" si="12"/>
        <v>0.11</v>
      </c>
    </row>
    <row r="172" spans="1:22" ht="14.45" customHeight="1" x14ac:dyDescent="0.25">
      <c r="A172" s="14" t="s">
        <v>409</v>
      </c>
      <c r="B172" t="s">
        <v>410</v>
      </c>
      <c r="C172" t="s">
        <v>61</v>
      </c>
      <c r="D172" t="s">
        <v>505</v>
      </c>
      <c r="E172" s="14" t="s">
        <v>57</v>
      </c>
      <c r="F172" s="14" t="s">
        <v>58</v>
      </c>
      <c r="G172" s="15" t="str">
        <f t="shared" si="13"/>
        <v>Not Eligible</v>
      </c>
      <c r="H172" s="24">
        <v>114047.4</v>
      </c>
      <c r="I172" s="24">
        <v>89902</v>
      </c>
      <c r="J172" s="24">
        <v>81544.799999999988</v>
      </c>
      <c r="K172" s="17">
        <v>0.8</v>
      </c>
      <c r="L172" s="17">
        <v>1</v>
      </c>
      <c r="M172" s="18">
        <v>12</v>
      </c>
      <c r="N172" s="19">
        <v>13.5</v>
      </c>
      <c r="O172" s="20">
        <f t="shared" si="14"/>
        <v>5</v>
      </c>
      <c r="P172" s="20">
        <v>588.11935960000005</v>
      </c>
      <c r="Q172" s="20">
        <v>352.87161579999997</v>
      </c>
      <c r="R172" s="17">
        <v>0.03</v>
      </c>
      <c r="S172" s="18">
        <v>0.7659999999999999</v>
      </c>
      <c r="T172" s="25">
        <v>934.82005920825907</v>
      </c>
      <c r="U172" s="26">
        <v>2340.1860151486867</v>
      </c>
      <c r="V172">
        <f t="shared" si="12"/>
        <v>0.11</v>
      </c>
    </row>
    <row r="173" spans="1:22" ht="14.45" customHeight="1" x14ac:dyDescent="0.25">
      <c r="A173" s="14" t="s">
        <v>411</v>
      </c>
      <c r="B173" t="s">
        <v>412</v>
      </c>
      <c r="C173" t="s">
        <v>66</v>
      </c>
      <c r="D173" t="s">
        <v>508</v>
      </c>
      <c r="E173" s="14" t="s">
        <v>57</v>
      </c>
      <c r="F173" s="14" t="s">
        <v>58</v>
      </c>
      <c r="G173" s="15" t="str">
        <f t="shared" si="13"/>
        <v>Not Eligible</v>
      </c>
      <c r="H173" s="24">
        <v>395953.00000000006</v>
      </c>
      <c r="I173" s="24">
        <v>388450.60000000003</v>
      </c>
      <c r="J173" s="24">
        <v>338891.19999999995</v>
      </c>
      <c r="K173" s="17">
        <v>0.8</v>
      </c>
      <c r="L173" s="17">
        <v>1</v>
      </c>
      <c r="M173" s="18">
        <v>12</v>
      </c>
      <c r="N173" s="19">
        <v>13.5</v>
      </c>
      <c r="O173" s="20">
        <f t="shared" si="14"/>
        <v>5</v>
      </c>
      <c r="P173" s="20">
        <v>551.90324139999996</v>
      </c>
      <c r="Q173" s="20">
        <v>441.52259309999999</v>
      </c>
      <c r="R173" s="17">
        <v>0.03</v>
      </c>
      <c r="S173" s="18">
        <v>0.74319999999999997</v>
      </c>
      <c r="T173" s="25">
        <v>532.32008406</v>
      </c>
      <c r="U173" s="26">
        <v>1521.0481655754456</v>
      </c>
      <c r="V173">
        <f t="shared" si="12"/>
        <v>0.17</v>
      </c>
    </row>
    <row r="174" spans="1:22" ht="14.45" customHeight="1" x14ac:dyDescent="0.25">
      <c r="A174" s="14" t="s">
        <v>413</v>
      </c>
      <c r="B174" t="s">
        <v>414</v>
      </c>
      <c r="C174" t="s">
        <v>94</v>
      </c>
      <c r="D174" t="s">
        <v>505</v>
      </c>
      <c r="E174" s="14" t="s">
        <v>67</v>
      </c>
      <c r="F174" s="14" t="s">
        <v>63</v>
      </c>
      <c r="G174" s="15" t="str">
        <f t="shared" si="13"/>
        <v>Not Eligible</v>
      </c>
      <c r="H174" s="24">
        <v>369594</v>
      </c>
      <c r="I174" s="24">
        <v>392914.8</v>
      </c>
      <c r="J174" s="24">
        <v>411765.99999999994</v>
      </c>
      <c r="K174" s="17">
        <v>0.8</v>
      </c>
      <c r="L174" s="17">
        <v>1</v>
      </c>
      <c r="M174" s="18">
        <v>12</v>
      </c>
      <c r="N174" s="19">
        <v>40.44</v>
      </c>
      <c r="O174" s="20">
        <f t="shared" si="14"/>
        <v>15</v>
      </c>
      <c r="P174" s="20">
        <v>539.82276060000004</v>
      </c>
      <c r="Q174" s="20">
        <v>755.75186489999999</v>
      </c>
      <c r="R174" s="17">
        <v>0.03</v>
      </c>
      <c r="S174" s="18">
        <v>0.68420000000000003</v>
      </c>
      <c r="T174" s="25">
        <v>4972.373665068626</v>
      </c>
      <c r="U174" s="26">
        <v>8702.9869449606667</v>
      </c>
      <c r="V174">
        <f t="shared" si="12"/>
        <v>0.11</v>
      </c>
    </row>
    <row r="175" spans="1:22" ht="14.45" customHeight="1" x14ac:dyDescent="0.25">
      <c r="A175" s="14" t="s">
        <v>415</v>
      </c>
      <c r="B175" t="s">
        <v>416</v>
      </c>
      <c r="C175" t="s">
        <v>94</v>
      </c>
      <c r="D175" t="s">
        <v>505</v>
      </c>
      <c r="E175" s="14" t="s">
        <v>62</v>
      </c>
      <c r="F175" s="14" t="s">
        <v>73</v>
      </c>
      <c r="G175" s="15" t="str">
        <f t="shared" si="13"/>
        <v>Not Eligible</v>
      </c>
      <c r="H175" s="24">
        <v>19963.599999999999</v>
      </c>
      <c r="I175" s="24">
        <v>14554.599999999999</v>
      </c>
      <c r="J175" s="24">
        <v>14658.4</v>
      </c>
      <c r="K175" s="17">
        <v>0.8</v>
      </c>
      <c r="L175" s="17">
        <v>1</v>
      </c>
      <c r="M175" s="18">
        <v>12</v>
      </c>
      <c r="N175" s="19">
        <v>13.5</v>
      </c>
      <c r="O175" s="20">
        <f t="shared" si="14"/>
        <v>15</v>
      </c>
      <c r="P175" s="20">
        <v>539.82276060000004</v>
      </c>
      <c r="Q175" s="20">
        <v>323.8936564</v>
      </c>
      <c r="R175" s="17">
        <v>0.03</v>
      </c>
      <c r="S175" s="18">
        <v>0.68420000000000003</v>
      </c>
      <c r="T175" s="25">
        <v>896.34996768377721</v>
      </c>
      <c r="U175" s="26">
        <v>1588.4258712547617</v>
      </c>
      <c r="V175">
        <f t="shared" si="12"/>
        <v>0.11</v>
      </c>
    </row>
    <row r="176" spans="1:22" ht="14.45" customHeight="1" x14ac:dyDescent="0.25">
      <c r="A176" s="14" t="s">
        <v>417</v>
      </c>
      <c r="B176" t="s">
        <v>418</v>
      </c>
      <c r="C176" t="s">
        <v>66</v>
      </c>
      <c r="D176" t="s">
        <v>504</v>
      </c>
      <c r="E176" s="14" t="s">
        <v>57</v>
      </c>
      <c r="F176" s="14" t="s">
        <v>58</v>
      </c>
      <c r="G176" s="15" t="str">
        <f t="shared" si="13"/>
        <v>Not Eligible</v>
      </c>
      <c r="H176" s="24">
        <v>115592.59999999999</v>
      </c>
      <c r="I176" s="24">
        <v>103077.2</v>
      </c>
      <c r="J176" s="24">
        <v>88953.400000000009</v>
      </c>
      <c r="K176" s="17">
        <v>0.8</v>
      </c>
      <c r="L176" s="17">
        <v>1</v>
      </c>
      <c r="M176" s="18">
        <v>12</v>
      </c>
      <c r="N176" s="19">
        <v>13.5</v>
      </c>
      <c r="O176" s="20">
        <f t="shared" si="14"/>
        <v>5</v>
      </c>
      <c r="P176" s="20">
        <v>538.36166230000003</v>
      </c>
      <c r="Q176" s="20">
        <v>430.6893298</v>
      </c>
      <c r="R176" s="17">
        <v>0.03</v>
      </c>
      <c r="S176" s="18">
        <v>0.74319999999999997</v>
      </c>
      <c r="T176" s="25">
        <v>588.18514990075471</v>
      </c>
      <c r="U176" s="26">
        <v>1042.1759145292763</v>
      </c>
      <c r="V176">
        <f t="shared" si="12"/>
        <v>0.17</v>
      </c>
    </row>
    <row r="177" spans="1:22" ht="14.45" customHeight="1" x14ac:dyDescent="0.25">
      <c r="A177" s="14" t="s">
        <v>419</v>
      </c>
      <c r="B177" t="s">
        <v>420</v>
      </c>
      <c r="C177" t="s">
        <v>83</v>
      </c>
      <c r="D177" t="s">
        <v>505</v>
      </c>
      <c r="E177" s="14" t="s">
        <v>62</v>
      </c>
      <c r="F177" s="14" t="s">
        <v>63</v>
      </c>
      <c r="G177" s="15" t="str">
        <f t="shared" si="13"/>
        <v>Not Eligible</v>
      </c>
      <c r="H177" s="24">
        <v>1258.5999999999999</v>
      </c>
      <c r="I177" s="24">
        <v>1286.8</v>
      </c>
      <c r="J177" s="24">
        <v>1220.2</v>
      </c>
      <c r="K177" s="17">
        <v>0.8</v>
      </c>
      <c r="L177" s="17">
        <v>1</v>
      </c>
      <c r="M177" s="18">
        <v>12</v>
      </c>
      <c r="N177" s="19">
        <v>40.44</v>
      </c>
      <c r="O177" s="20">
        <f t="shared" si="14"/>
        <v>15</v>
      </c>
      <c r="P177" s="20">
        <v>650.09150220000004</v>
      </c>
      <c r="Q177" s="20">
        <v>780.10980270000005</v>
      </c>
      <c r="R177" s="17">
        <v>0.03</v>
      </c>
      <c r="S177" s="18">
        <v>0.76080000000000003</v>
      </c>
      <c r="T177" s="25">
        <v>4151.5974177469288</v>
      </c>
      <c r="U177" s="26">
        <v>4665.5227935118755</v>
      </c>
      <c r="V177">
        <f t="shared" si="12"/>
        <v>0.11</v>
      </c>
    </row>
    <row r="178" spans="1:22" ht="14.45" customHeight="1" x14ac:dyDescent="0.25">
      <c r="A178" s="14" t="s">
        <v>421</v>
      </c>
      <c r="B178" t="s">
        <v>422</v>
      </c>
      <c r="C178" t="s">
        <v>76</v>
      </c>
      <c r="D178" t="s">
        <v>505</v>
      </c>
      <c r="E178" s="14" t="s">
        <v>70</v>
      </c>
      <c r="F178" s="14" t="s">
        <v>63</v>
      </c>
      <c r="G178" s="15" t="str">
        <f t="shared" ref="G178:G186" si="15">IF(C178="AMRO","Participating","Not Eligible")</f>
        <v>Not Eligible</v>
      </c>
      <c r="H178" s="24">
        <v>9458.1999999999989</v>
      </c>
      <c r="I178" s="24">
        <v>9510</v>
      </c>
      <c r="J178" s="24">
        <v>8894.4000000000015</v>
      </c>
      <c r="K178" s="17">
        <v>0.8</v>
      </c>
      <c r="L178" s="17">
        <v>1</v>
      </c>
      <c r="M178" s="18">
        <v>12</v>
      </c>
      <c r="N178" s="19">
        <v>390</v>
      </c>
      <c r="O178" s="20">
        <f t="shared" si="14"/>
        <v>25</v>
      </c>
      <c r="P178" s="20">
        <v>743.00257050000005</v>
      </c>
      <c r="Q178" s="20">
        <v>1040.2035989999999</v>
      </c>
      <c r="R178" s="17">
        <v>0.03</v>
      </c>
      <c r="S178" s="18">
        <v>0.70940000000000003</v>
      </c>
      <c r="T178" s="25">
        <v>16699.309888533608</v>
      </c>
      <c r="U178" s="26">
        <v>25951.063450059853</v>
      </c>
      <c r="V178">
        <f t="shared" si="12"/>
        <v>0.11</v>
      </c>
    </row>
    <row r="179" spans="1:22" ht="14.45" customHeight="1" x14ac:dyDescent="0.25">
      <c r="A179" s="14" t="s">
        <v>423</v>
      </c>
      <c r="B179" t="s">
        <v>424</v>
      </c>
      <c r="C179" t="s">
        <v>56</v>
      </c>
      <c r="D179" t="s">
        <v>505</v>
      </c>
      <c r="E179" s="14" t="s">
        <v>67</v>
      </c>
      <c r="F179" s="14" t="s">
        <v>63</v>
      </c>
      <c r="G179" s="15" t="str">
        <f t="shared" si="15"/>
        <v>Not Eligible</v>
      </c>
      <c r="H179" s="24">
        <v>95954.6</v>
      </c>
      <c r="I179" s="24">
        <v>83638</v>
      </c>
      <c r="J179" s="24">
        <v>77207.600000000006</v>
      </c>
      <c r="K179" s="17">
        <v>0.8</v>
      </c>
      <c r="L179" s="17">
        <v>1</v>
      </c>
      <c r="M179" s="18">
        <v>12</v>
      </c>
      <c r="N179" s="19">
        <v>40.44</v>
      </c>
      <c r="O179" s="20">
        <f t="shared" si="14"/>
        <v>15</v>
      </c>
      <c r="P179" s="20">
        <v>811.19980080000005</v>
      </c>
      <c r="Q179" s="20">
        <v>486.71988049999999</v>
      </c>
      <c r="R179" s="17">
        <v>0.03</v>
      </c>
      <c r="S179" s="18">
        <v>0.81889999999999996</v>
      </c>
      <c r="T179" s="25">
        <v>4296.8581760486059</v>
      </c>
      <c r="U179" s="26">
        <v>9415.2441826104896</v>
      </c>
      <c r="V179">
        <f t="shared" si="12"/>
        <v>0.11</v>
      </c>
    </row>
    <row r="180" spans="1:22" ht="14.45" customHeight="1" x14ac:dyDescent="0.25">
      <c r="A180" s="14" t="s">
        <v>425</v>
      </c>
      <c r="B180" t="s">
        <v>426</v>
      </c>
      <c r="C180" t="s">
        <v>61</v>
      </c>
      <c r="D180" t="s">
        <v>505</v>
      </c>
      <c r="E180" s="14" t="s">
        <v>67</v>
      </c>
      <c r="F180" s="14" t="s">
        <v>63</v>
      </c>
      <c r="G180" s="15" t="str">
        <f t="shared" si="15"/>
        <v>Not Eligible</v>
      </c>
      <c r="H180" s="24">
        <v>665940.80000000005</v>
      </c>
      <c r="I180" s="24">
        <v>653305.20000000007</v>
      </c>
      <c r="J180" s="24">
        <v>657031.79999999993</v>
      </c>
      <c r="K180" s="17">
        <v>0.8</v>
      </c>
      <c r="L180" s="17">
        <v>1</v>
      </c>
      <c r="M180" s="18">
        <v>12</v>
      </c>
      <c r="N180" s="19">
        <v>40.44</v>
      </c>
      <c r="O180" s="20">
        <f t="shared" si="14"/>
        <v>15</v>
      </c>
      <c r="P180" s="20">
        <v>588.11935960000005</v>
      </c>
      <c r="Q180" s="20">
        <v>823.36710349999998</v>
      </c>
      <c r="R180" s="17">
        <v>0.03</v>
      </c>
      <c r="S180" s="18">
        <v>0.81889999999999996</v>
      </c>
      <c r="T180" s="25">
        <v>10524.004205303881</v>
      </c>
      <c r="U180" s="26">
        <v>17499.251250812966</v>
      </c>
      <c r="V180">
        <f t="shared" si="12"/>
        <v>0.11</v>
      </c>
    </row>
    <row r="181" spans="1:22" ht="14.45" customHeight="1" x14ac:dyDescent="0.25">
      <c r="A181" s="14" t="s">
        <v>427</v>
      </c>
      <c r="B181" t="s">
        <v>428</v>
      </c>
      <c r="C181" t="s">
        <v>61</v>
      </c>
      <c r="D181" t="s">
        <v>505</v>
      </c>
      <c r="E181" s="14" t="s">
        <v>67</v>
      </c>
      <c r="F181" s="14" t="s">
        <v>63</v>
      </c>
      <c r="G181" s="15" t="str">
        <f t="shared" si="15"/>
        <v>Not Eligible</v>
      </c>
      <c r="H181" s="24">
        <v>51953.599999999991</v>
      </c>
      <c r="I181" s="24">
        <v>49095</v>
      </c>
      <c r="J181" s="24">
        <v>48472.4</v>
      </c>
      <c r="K181" s="17">
        <v>0.8</v>
      </c>
      <c r="L181" s="17">
        <v>1</v>
      </c>
      <c r="M181" s="18">
        <v>12</v>
      </c>
      <c r="N181" s="19">
        <v>40.44</v>
      </c>
      <c r="O181" s="20">
        <f t="shared" si="14"/>
        <v>15</v>
      </c>
      <c r="P181" s="20">
        <v>588.11935960000005</v>
      </c>
      <c r="Q181" s="20">
        <v>588.11935960000005</v>
      </c>
      <c r="R181" s="17">
        <v>0.03</v>
      </c>
      <c r="S181" s="18">
        <v>0.7659999999999999</v>
      </c>
      <c r="T181" s="25">
        <v>5496.591559628886</v>
      </c>
      <c r="U181" s="26">
        <v>9184.369800178778</v>
      </c>
      <c r="V181">
        <f t="shared" si="12"/>
        <v>0.11</v>
      </c>
    </row>
    <row r="182" spans="1:22" ht="14.45" customHeight="1" x14ac:dyDescent="0.25">
      <c r="A182" s="14" t="s">
        <v>429</v>
      </c>
      <c r="B182" t="s">
        <v>430</v>
      </c>
      <c r="C182" t="s">
        <v>83</v>
      </c>
      <c r="D182" t="s">
        <v>505</v>
      </c>
      <c r="E182" s="14" t="s">
        <v>67</v>
      </c>
      <c r="F182" s="14" t="s">
        <v>63</v>
      </c>
      <c r="G182" s="15" t="str">
        <f t="shared" si="15"/>
        <v>Not Eligible</v>
      </c>
      <c r="H182" s="24" t="e">
        <v>#N/A</v>
      </c>
      <c r="I182" s="24" t="e">
        <v>#N/A</v>
      </c>
      <c r="J182" s="24" t="e">
        <v>#N/A</v>
      </c>
      <c r="K182" s="17">
        <v>0.8</v>
      </c>
      <c r="L182" s="17">
        <v>1</v>
      </c>
      <c r="M182" s="18">
        <v>12</v>
      </c>
      <c r="N182" s="19">
        <v>40.44</v>
      </c>
      <c r="O182" s="20">
        <f t="shared" si="14"/>
        <v>15</v>
      </c>
      <c r="P182" s="20">
        <v>650.09150220000004</v>
      </c>
      <c r="Q182" s="20">
        <v>780.10980270000005</v>
      </c>
      <c r="R182" s="17">
        <v>0.03</v>
      </c>
      <c r="S182" s="18">
        <v>0.76080000000000003</v>
      </c>
      <c r="T182" s="25">
        <v>3636.069095488032</v>
      </c>
      <c r="U182" s="28">
        <v>4235.4937501481299</v>
      </c>
      <c r="V182">
        <f t="shared" si="12"/>
        <v>0.11</v>
      </c>
    </row>
    <row r="183" spans="1:22" ht="14.45" customHeight="1" x14ac:dyDescent="0.25">
      <c r="A183" s="14" t="s">
        <v>431</v>
      </c>
      <c r="B183" t="s">
        <v>432</v>
      </c>
      <c r="C183" t="s">
        <v>66</v>
      </c>
      <c r="D183" t="s">
        <v>508</v>
      </c>
      <c r="E183" s="14" t="s">
        <v>57</v>
      </c>
      <c r="F183" s="14" t="s">
        <v>58</v>
      </c>
      <c r="G183" s="15" t="str">
        <f t="shared" si="15"/>
        <v>Not Eligible</v>
      </c>
      <c r="H183" s="24">
        <v>395953.00000000006</v>
      </c>
      <c r="I183" s="24">
        <v>388450.60000000003</v>
      </c>
      <c r="J183" s="24">
        <v>338891.19999999995</v>
      </c>
      <c r="K183" s="17">
        <v>0.8</v>
      </c>
      <c r="L183" s="17">
        <v>1</v>
      </c>
      <c r="M183" s="18">
        <v>12</v>
      </c>
      <c r="N183" s="19">
        <v>13.5</v>
      </c>
      <c r="O183" s="20">
        <f t="shared" si="14"/>
        <v>5</v>
      </c>
      <c r="P183" s="20">
        <v>551.90324139999996</v>
      </c>
      <c r="Q183" s="20">
        <v>441.52259309999999</v>
      </c>
      <c r="R183" s="17">
        <v>0.03</v>
      </c>
      <c r="S183" s="18">
        <v>0.74319999999999997</v>
      </c>
      <c r="T183" s="25">
        <v>487.10549805019309</v>
      </c>
      <c r="U183" s="26">
        <v>1354.1329391474897</v>
      </c>
      <c r="V183">
        <f t="shared" si="12"/>
        <v>0.17</v>
      </c>
    </row>
    <row r="184" spans="1:22" ht="14.45" customHeight="1" x14ac:dyDescent="0.25">
      <c r="A184" s="14" t="s">
        <v>433</v>
      </c>
      <c r="B184" t="s">
        <v>434</v>
      </c>
      <c r="C184" t="s">
        <v>61</v>
      </c>
      <c r="D184" t="s">
        <v>507</v>
      </c>
      <c r="E184" s="14" t="s">
        <v>62</v>
      </c>
      <c r="F184" s="14" t="s">
        <v>73</v>
      </c>
      <c r="G184" s="15" t="str">
        <f t="shared" si="15"/>
        <v>Not Eligible</v>
      </c>
      <c r="H184" s="24">
        <v>395953.00000000006</v>
      </c>
      <c r="I184" s="24">
        <v>388450.60000000003</v>
      </c>
      <c r="J184" s="24">
        <v>338891.19999999995</v>
      </c>
      <c r="K184" s="17">
        <v>0.8</v>
      </c>
      <c r="L184" s="17">
        <v>1</v>
      </c>
      <c r="M184" s="18">
        <v>12</v>
      </c>
      <c r="N184" s="19">
        <v>13.5</v>
      </c>
      <c r="O184" s="20">
        <f t="shared" si="14"/>
        <v>15</v>
      </c>
      <c r="P184" s="20">
        <v>744.10140560000002</v>
      </c>
      <c r="Q184" s="20">
        <v>446.46084330000002</v>
      </c>
      <c r="R184" s="17">
        <v>0.03</v>
      </c>
      <c r="S184" s="18">
        <v>0.7659999999999999</v>
      </c>
      <c r="T184" s="25">
        <v>3615.3819728928997</v>
      </c>
      <c r="U184" s="26">
        <v>7250.5050447857275</v>
      </c>
      <c r="V184">
        <f t="shared" si="12"/>
        <v>0.13</v>
      </c>
    </row>
    <row r="185" spans="1:22" ht="14.45" customHeight="1" x14ac:dyDescent="0.25">
      <c r="A185" s="14" t="s">
        <v>435</v>
      </c>
      <c r="B185" t="s">
        <v>436</v>
      </c>
      <c r="C185" t="s">
        <v>56</v>
      </c>
      <c r="D185" t="s">
        <v>505</v>
      </c>
      <c r="E185" s="14" t="s">
        <v>70</v>
      </c>
      <c r="F185" s="14" t="s">
        <v>63</v>
      </c>
      <c r="G185" s="15" t="str">
        <f t="shared" si="15"/>
        <v>Not Eligible</v>
      </c>
      <c r="H185" s="24">
        <v>48099.6</v>
      </c>
      <c r="I185" s="24">
        <v>42333.399999999994</v>
      </c>
      <c r="J185" s="24">
        <v>34352.199999999997</v>
      </c>
      <c r="K185" s="17">
        <v>0.8</v>
      </c>
      <c r="L185" s="17">
        <v>1</v>
      </c>
      <c r="M185" s="18">
        <v>12</v>
      </c>
      <c r="N185" s="19">
        <v>390</v>
      </c>
      <c r="O185" s="20">
        <f t="shared" si="14"/>
        <v>25</v>
      </c>
      <c r="P185" s="20">
        <v>811.19980080000005</v>
      </c>
      <c r="Q185" s="20">
        <v>1135.679721</v>
      </c>
      <c r="R185" s="17">
        <v>0.03</v>
      </c>
      <c r="S185" s="18">
        <v>0.81889999999999996</v>
      </c>
      <c r="T185" s="25">
        <v>45653.091445332226</v>
      </c>
      <c r="U185" s="26">
        <v>48221.591550204364</v>
      </c>
      <c r="V185">
        <f t="shared" si="12"/>
        <v>0.11</v>
      </c>
    </row>
    <row r="186" spans="1:22" ht="14.45" customHeight="1" x14ac:dyDescent="0.25">
      <c r="A186" s="14" t="s">
        <v>437</v>
      </c>
      <c r="B186" t="s">
        <v>438</v>
      </c>
      <c r="C186" t="s">
        <v>61</v>
      </c>
      <c r="D186" t="s">
        <v>506</v>
      </c>
      <c r="E186" s="14" t="s">
        <v>70</v>
      </c>
      <c r="F186" s="14" t="s">
        <v>63</v>
      </c>
      <c r="G186" s="15" t="str">
        <f t="shared" si="15"/>
        <v>Not Eligible</v>
      </c>
      <c r="H186" s="24">
        <v>395953.00000000006</v>
      </c>
      <c r="I186" s="24">
        <v>388450.60000000003</v>
      </c>
      <c r="J186" s="24">
        <v>338891.19999999995</v>
      </c>
      <c r="K186" s="17">
        <v>0.8</v>
      </c>
      <c r="L186" s="17">
        <v>1</v>
      </c>
      <c r="M186" s="18">
        <v>12</v>
      </c>
      <c r="N186" s="19">
        <v>390</v>
      </c>
      <c r="O186" s="20">
        <f t="shared" si="14"/>
        <v>25</v>
      </c>
      <c r="P186" s="20">
        <v>1325.425371</v>
      </c>
      <c r="Q186" s="20">
        <v>1325.425371</v>
      </c>
      <c r="R186" s="17">
        <v>0.03</v>
      </c>
      <c r="S186" s="18">
        <v>0.7659999999999999</v>
      </c>
      <c r="T186" s="25">
        <v>39038.458270400042</v>
      </c>
      <c r="U186" s="26">
        <v>35493.814342395526</v>
      </c>
      <c r="V186">
        <f t="shared" si="12"/>
        <v>0.04</v>
      </c>
    </row>
    <row r="187" spans="1:22" ht="14.45" customHeight="1" x14ac:dyDescent="0.25">
      <c r="A187" s="14" t="s">
        <v>439</v>
      </c>
      <c r="B187" t="s">
        <v>440</v>
      </c>
      <c r="C187" t="s">
        <v>76</v>
      </c>
      <c r="D187" t="s">
        <v>506</v>
      </c>
      <c r="E187" s="14" t="s">
        <v>70</v>
      </c>
      <c r="F187" s="14" t="s">
        <v>63</v>
      </c>
      <c r="G187" s="15" t="s">
        <v>129</v>
      </c>
      <c r="H187" s="24">
        <v>1926085.8</v>
      </c>
      <c r="I187" s="24">
        <v>2020817.5999999999</v>
      </c>
      <c r="J187" s="24">
        <v>2020917.6</v>
      </c>
      <c r="K187" s="17">
        <v>0.8</v>
      </c>
      <c r="L187" s="17">
        <v>1</v>
      </c>
      <c r="M187" s="18">
        <v>12</v>
      </c>
      <c r="N187" s="19">
        <v>390</v>
      </c>
      <c r="O187" s="20">
        <f t="shared" si="14"/>
        <v>25</v>
      </c>
      <c r="P187" s="20">
        <v>1817.5625600000001</v>
      </c>
      <c r="Q187" s="20">
        <v>1817.5625600000001</v>
      </c>
      <c r="R187" s="17">
        <v>0.03</v>
      </c>
      <c r="S187" s="18">
        <v>0.73180000000000012</v>
      </c>
      <c r="T187" s="25">
        <v>48111.966909590919</v>
      </c>
      <c r="U187" s="26">
        <v>48441.564676403337</v>
      </c>
      <c r="V187">
        <f t="shared" si="12"/>
        <v>0.04</v>
      </c>
    </row>
    <row r="188" spans="1:22" ht="14.45" customHeight="1" x14ac:dyDescent="0.25">
      <c r="A188" s="14" t="s">
        <v>441</v>
      </c>
      <c r="B188" t="s">
        <v>442</v>
      </c>
      <c r="C188" t="s">
        <v>76</v>
      </c>
      <c r="D188" t="s">
        <v>505</v>
      </c>
      <c r="E188" s="14" t="s">
        <v>67</v>
      </c>
      <c r="F188" s="14" t="s">
        <v>63</v>
      </c>
      <c r="G188" s="15" t="str">
        <f t="shared" ref="G188:G195" si="16">IF(C188="AMRO","Participating","Not Eligible")</f>
        <v>Not Eligible</v>
      </c>
      <c r="H188" s="24">
        <v>23571.4</v>
      </c>
      <c r="I188" s="24">
        <v>23898</v>
      </c>
      <c r="J188" s="24">
        <v>24421.600000000002</v>
      </c>
      <c r="K188" s="17">
        <v>0.8</v>
      </c>
      <c r="L188" s="17">
        <v>1</v>
      </c>
      <c r="M188" s="18">
        <v>12</v>
      </c>
      <c r="N188" s="19">
        <v>40.44</v>
      </c>
      <c r="O188" s="20">
        <f t="shared" si="14"/>
        <v>15</v>
      </c>
      <c r="P188" s="20">
        <v>743.00257050000005</v>
      </c>
      <c r="Q188" s="20">
        <v>1040.2035989999999</v>
      </c>
      <c r="R188" s="17">
        <v>0.03</v>
      </c>
      <c r="S188" s="18">
        <v>0.70940000000000003</v>
      </c>
      <c r="T188" s="25">
        <v>13866.255125304271</v>
      </c>
      <c r="U188" s="26">
        <v>15181.380563063707</v>
      </c>
      <c r="V188">
        <f t="shared" si="12"/>
        <v>0.11</v>
      </c>
    </row>
    <row r="189" spans="1:22" ht="14.45" customHeight="1" x14ac:dyDescent="0.25">
      <c r="A189" s="14" t="s">
        <v>443</v>
      </c>
      <c r="B189" t="s">
        <v>444</v>
      </c>
      <c r="C189" t="s">
        <v>61</v>
      </c>
      <c r="D189" t="s">
        <v>505</v>
      </c>
      <c r="E189" s="14" t="s">
        <v>62</v>
      </c>
      <c r="F189" s="14" t="s">
        <v>58</v>
      </c>
      <c r="G189" s="15" t="str">
        <f t="shared" si="16"/>
        <v>Not Eligible</v>
      </c>
      <c r="H189" s="24">
        <v>312389.60000000003</v>
      </c>
      <c r="I189" s="24">
        <v>277789.40000000002</v>
      </c>
      <c r="J189" s="24">
        <v>244247.40000000002</v>
      </c>
      <c r="K189" s="17">
        <v>0.8</v>
      </c>
      <c r="L189" s="17">
        <v>1</v>
      </c>
      <c r="M189" s="18">
        <v>12</v>
      </c>
      <c r="N189" s="19">
        <v>13.5</v>
      </c>
      <c r="O189" s="20">
        <f t="shared" si="14"/>
        <v>15</v>
      </c>
      <c r="P189" s="20">
        <v>588.11935960000005</v>
      </c>
      <c r="Q189" s="20">
        <v>352.87161579999997</v>
      </c>
      <c r="R189" s="17">
        <v>0.03</v>
      </c>
      <c r="S189" s="18">
        <v>0.7659999999999999</v>
      </c>
      <c r="T189" s="25">
        <v>1545.9296945991239</v>
      </c>
      <c r="U189" s="26">
        <v>3309.8810033482164</v>
      </c>
      <c r="V189">
        <f t="shared" si="12"/>
        <v>0.11</v>
      </c>
    </row>
    <row r="190" spans="1:22" ht="14.45" customHeight="1" x14ac:dyDescent="0.25">
      <c r="A190" s="14" t="s">
        <v>445</v>
      </c>
      <c r="B190" t="s">
        <v>446</v>
      </c>
      <c r="C190" t="s">
        <v>83</v>
      </c>
      <c r="D190" t="s">
        <v>505</v>
      </c>
      <c r="E190" s="14" t="s">
        <v>62</v>
      </c>
      <c r="F190" s="14" t="s">
        <v>63</v>
      </c>
      <c r="G190" s="15" t="str">
        <f t="shared" si="16"/>
        <v>Not Eligible</v>
      </c>
      <c r="H190" s="24">
        <v>3357.3999999999996</v>
      </c>
      <c r="I190" s="24">
        <v>3209.4</v>
      </c>
      <c r="J190" s="24">
        <v>2694</v>
      </c>
      <c r="K190" s="17">
        <v>0.8</v>
      </c>
      <c r="L190" s="17">
        <v>1</v>
      </c>
      <c r="M190" s="18">
        <v>12</v>
      </c>
      <c r="N190" s="19">
        <v>40.44</v>
      </c>
      <c r="O190" s="20">
        <f t="shared" si="14"/>
        <v>15</v>
      </c>
      <c r="P190" s="20">
        <v>650.09150220000004</v>
      </c>
      <c r="Q190" s="20">
        <v>520.07320179999999</v>
      </c>
      <c r="R190" s="17">
        <v>0.03</v>
      </c>
      <c r="S190" s="18">
        <v>0.76080000000000003</v>
      </c>
      <c r="T190" s="25">
        <v>3094.3851669391797</v>
      </c>
      <c r="U190" s="26">
        <v>4631.3588566818571</v>
      </c>
      <c r="V190">
        <f t="shared" si="12"/>
        <v>0.11</v>
      </c>
    </row>
    <row r="191" spans="1:22" ht="14.45" customHeight="1" x14ac:dyDescent="0.25">
      <c r="A191" s="14" t="s">
        <v>447</v>
      </c>
      <c r="B191" t="s">
        <v>448</v>
      </c>
      <c r="C191" t="s">
        <v>76</v>
      </c>
      <c r="D191" t="s">
        <v>505</v>
      </c>
      <c r="E191" s="14" t="s">
        <v>67</v>
      </c>
      <c r="F191" s="14" t="s">
        <v>63</v>
      </c>
      <c r="G191" s="15" t="str">
        <f t="shared" si="16"/>
        <v>Not Eligible</v>
      </c>
      <c r="H191" s="24">
        <v>289386.2</v>
      </c>
      <c r="I191" s="24">
        <v>286128.2</v>
      </c>
      <c r="J191" s="24">
        <v>280156</v>
      </c>
      <c r="K191" s="17">
        <v>0.8</v>
      </c>
      <c r="L191" s="17">
        <v>1</v>
      </c>
      <c r="M191" s="18">
        <v>12</v>
      </c>
      <c r="N191" s="19">
        <v>40.44</v>
      </c>
      <c r="O191" s="20">
        <f t="shared" si="14"/>
        <v>15</v>
      </c>
      <c r="P191" s="20">
        <v>743.00257050000005</v>
      </c>
      <c r="Q191" s="20">
        <v>891.60308459999999</v>
      </c>
      <c r="R191" s="17">
        <v>0.03</v>
      </c>
      <c r="S191" s="18">
        <v>0.70940000000000003</v>
      </c>
      <c r="T191" s="25">
        <v>10809.556349489845</v>
      </c>
      <c r="U191" s="26">
        <v>12836.077846858121</v>
      </c>
      <c r="V191">
        <f t="shared" si="12"/>
        <v>0.11</v>
      </c>
    </row>
    <row r="192" spans="1:22" ht="14.45" customHeight="1" x14ac:dyDescent="0.25">
      <c r="A192" s="14" t="s">
        <v>449</v>
      </c>
      <c r="B192" t="s">
        <v>450</v>
      </c>
      <c r="C192" t="s">
        <v>83</v>
      </c>
      <c r="D192" t="s">
        <v>505</v>
      </c>
      <c r="E192" s="14" t="s">
        <v>62</v>
      </c>
      <c r="F192" s="14" t="s">
        <v>58</v>
      </c>
      <c r="G192" s="15" t="str">
        <f t="shared" si="16"/>
        <v>Not Eligible</v>
      </c>
      <c r="H192" s="24">
        <v>732456.2</v>
      </c>
      <c r="I192" s="24">
        <v>689328.8</v>
      </c>
      <c r="J192" s="24">
        <v>641595.19999999995</v>
      </c>
      <c r="K192" s="17">
        <v>0.8</v>
      </c>
      <c r="L192" s="17">
        <v>1</v>
      </c>
      <c r="M192" s="18">
        <v>12</v>
      </c>
      <c r="N192" s="19">
        <v>13.5</v>
      </c>
      <c r="O192" s="20">
        <f t="shared" si="14"/>
        <v>15</v>
      </c>
      <c r="P192" s="20">
        <v>650.09150220000004</v>
      </c>
      <c r="Q192" s="20">
        <v>390.05490129999998</v>
      </c>
      <c r="R192" s="17">
        <v>0.03</v>
      </c>
      <c r="S192" s="18">
        <v>0.76080000000000003</v>
      </c>
      <c r="T192" s="25">
        <v>1407.1054348379466</v>
      </c>
      <c r="U192" s="26">
        <v>3434.970560607032</v>
      </c>
      <c r="V192">
        <f t="shared" si="12"/>
        <v>0.11</v>
      </c>
    </row>
    <row r="193" spans="1:22" ht="14.45" customHeight="1" x14ac:dyDescent="0.25">
      <c r="A193" s="14" t="s">
        <v>451</v>
      </c>
      <c r="B193" t="s">
        <v>452</v>
      </c>
      <c r="C193" t="s">
        <v>56</v>
      </c>
      <c r="D193" t="s">
        <v>504</v>
      </c>
      <c r="E193" s="14" t="s">
        <v>62</v>
      </c>
      <c r="F193" s="14" t="s">
        <v>58</v>
      </c>
      <c r="G193" s="15" t="str">
        <f t="shared" si="16"/>
        <v>Not Eligible</v>
      </c>
      <c r="H193" s="24">
        <v>384289.4</v>
      </c>
      <c r="I193" s="24">
        <v>354226</v>
      </c>
      <c r="J193" s="24">
        <v>319736.99999999994</v>
      </c>
      <c r="K193" s="17">
        <v>0.8</v>
      </c>
      <c r="L193" s="17">
        <v>1</v>
      </c>
      <c r="M193" s="18">
        <v>12</v>
      </c>
      <c r="N193" s="19">
        <v>13.5</v>
      </c>
      <c r="O193" s="20">
        <f t="shared" si="14"/>
        <v>15</v>
      </c>
      <c r="P193" s="20">
        <v>603.06939599999998</v>
      </c>
      <c r="Q193" s="20">
        <v>482.4555168</v>
      </c>
      <c r="R193" s="17">
        <v>0.03</v>
      </c>
      <c r="S193" s="18">
        <v>0.81889999999999996</v>
      </c>
      <c r="T193" s="25">
        <v>1361.1962365148959</v>
      </c>
      <c r="U193" s="26">
        <v>2349.0887669678523</v>
      </c>
      <c r="V193">
        <f t="shared" si="12"/>
        <v>0.17</v>
      </c>
    </row>
    <row r="194" spans="1:22" ht="14.45" customHeight="1" x14ac:dyDescent="0.25">
      <c r="A194" s="14" t="s">
        <v>453</v>
      </c>
      <c r="B194" t="s">
        <v>454</v>
      </c>
      <c r="C194" t="s">
        <v>66</v>
      </c>
      <c r="D194" t="s">
        <v>508</v>
      </c>
      <c r="E194" s="14" t="s">
        <v>62</v>
      </c>
      <c r="F194" s="14" t="s">
        <v>58</v>
      </c>
      <c r="G194" s="15" t="str">
        <f t="shared" si="16"/>
        <v>Not Eligible</v>
      </c>
      <c r="H194" s="24">
        <v>282490.2</v>
      </c>
      <c r="I194" s="24">
        <v>247085.80000000002</v>
      </c>
      <c r="J194" s="24">
        <v>209507.40000000002</v>
      </c>
      <c r="K194" s="17">
        <v>0.8</v>
      </c>
      <c r="L194" s="17">
        <v>1</v>
      </c>
      <c r="M194" s="18">
        <v>12</v>
      </c>
      <c r="N194" s="19">
        <v>13.5</v>
      </c>
      <c r="O194" s="20">
        <f t="shared" si="14"/>
        <v>15</v>
      </c>
      <c r="P194" s="20">
        <v>551.90324139999996</v>
      </c>
      <c r="Q194" s="20">
        <v>662.28388970000003</v>
      </c>
      <c r="R194" s="17">
        <v>0.03</v>
      </c>
      <c r="S194" s="18">
        <v>0.74319999999999997</v>
      </c>
      <c r="T194" s="25">
        <v>1425.3137936982844</v>
      </c>
      <c r="U194" s="26">
        <v>1622.9850713018511</v>
      </c>
      <c r="V194">
        <f t="shared" si="12"/>
        <v>0.17</v>
      </c>
    </row>
    <row r="195" spans="1:22" ht="14.45" customHeight="1" x14ac:dyDescent="0.25">
      <c r="A195" s="14" t="s">
        <v>455</v>
      </c>
      <c r="B195" t="s">
        <v>456</v>
      </c>
      <c r="C195" t="s">
        <v>66</v>
      </c>
      <c r="D195" t="s">
        <v>508</v>
      </c>
      <c r="E195" s="14" t="s">
        <v>57</v>
      </c>
      <c r="F195" s="14" t="s">
        <v>58</v>
      </c>
      <c r="G195" s="15" t="str">
        <f t="shared" si="16"/>
        <v>Not Eligible</v>
      </c>
      <c r="H195" s="24">
        <v>249596.99999999997</v>
      </c>
      <c r="I195" s="24">
        <v>214731.80000000002</v>
      </c>
      <c r="J195" s="24">
        <v>183390.00000000003</v>
      </c>
      <c r="K195" s="17">
        <v>0.8</v>
      </c>
      <c r="L195" s="17">
        <v>1</v>
      </c>
      <c r="M195" s="18">
        <v>12</v>
      </c>
      <c r="N195" s="19">
        <v>13.5</v>
      </c>
      <c r="O195" s="20">
        <f t="shared" si="14"/>
        <v>5</v>
      </c>
      <c r="P195" s="20">
        <v>551.90324139999996</v>
      </c>
      <c r="Q195" s="20">
        <v>551.90324139999996</v>
      </c>
      <c r="R195" s="17">
        <v>0.03</v>
      </c>
      <c r="S195" s="29">
        <v>0.74319999999999997</v>
      </c>
      <c r="T195" s="25">
        <v>757.08901788812761</v>
      </c>
      <c r="U195" s="28">
        <v>2363.07393798165</v>
      </c>
      <c r="V195">
        <f t="shared" ref="V195" si="17">LOOKUP($D195,$Z$2:$Z$6,$AA$2:$AA$6)</f>
        <v>0.17</v>
      </c>
    </row>
  </sheetData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CX195"/>
  <sheetViews>
    <sheetView workbookViewId="0">
      <selection activeCell="B2" sqref="B2"/>
    </sheetView>
  </sheetViews>
  <sheetFormatPr defaultRowHeight="15" x14ac:dyDescent="0.25"/>
  <sheetData>
    <row r="1" spans="1:102" x14ac:dyDescent="0.25">
      <c r="A1" t="s">
        <v>463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</row>
    <row r="2" spans="1:102" x14ac:dyDescent="0.25">
      <c r="A2" t="s">
        <v>54</v>
      </c>
      <c r="B2">
        <v>0.13477</v>
      </c>
      <c r="C2">
        <v>1.9550000000000001E-2</v>
      </c>
      <c r="D2">
        <v>1.9550000000000001E-2</v>
      </c>
      <c r="E2">
        <v>1.9550000000000001E-2</v>
      </c>
      <c r="F2">
        <v>1.9550000000000001E-2</v>
      </c>
      <c r="G2">
        <v>4.47E-3</v>
      </c>
      <c r="H2">
        <v>4.47E-3</v>
      </c>
      <c r="I2">
        <v>4.47E-3</v>
      </c>
      <c r="J2">
        <v>4.47E-3</v>
      </c>
      <c r="K2">
        <v>4.47E-3</v>
      </c>
      <c r="L2">
        <v>2.6700000000000001E-3</v>
      </c>
      <c r="M2">
        <v>2.6700000000000001E-3</v>
      </c>
      <c r="N2">
        <v>2.6700000000000001E-3</v>
      </c>
      <c r="O2">
        <v>2.6700000000000001E-3</v>
      </c>
      <c r="P2">
        <v>2.6700000000000001E-3</v>
      </c>
      <c r="Q2">
        <v>3.8500000000000001E-3</v>
      </c>
      <c r="R2">
        <v>3.8500000000000001E-3</v>
      </c>
      <c r="S2">
        <v>3.8500000000000001E-3</v>
      </c>
      <c r="T2">
        <v>3.8500000000000001E-3</v>
      </c>
      <c r="U2">
        <v>3.8500000000000001E-3</v>
      </c>
      <c r="V2">
        <v>5.5999999999999999E-3</v>
      </c>
      <c r="W2">
        <v>5.5999999999999999E-3</v>
      </c>
      <c r="X2">
        <v>5.5999999999999999E-3</v>
      </c>
      <c r="Y2">
        <v>5.5999999999999999E-3</v>
      </c>
      <c r="Z2">
        <v>5.5999999999999999E-3</v>
      </c>
      <c r="AA2">
        <v>6.28E-3</v>
      </c>
      <c r="AB2">
        <v>6.28E-3</v>
      </c>
      <c r="AC2">
        <v>6.28E-3</v>
      </c>
      <c r="AD2">
        <v>6.28E-3</v>
      </c>
      <c r="AE2">
        <v>6.28E-3</v>
      </c>
      <c r="AF2">
        <v>6.9100000000000003E-3</v>
      </c>
      <c r="AG2">
        <v>6.9100000000000003E-3</v>
      </c>
      <c r="AH2">
        <v>6.9100000000000003E-3</v>
      </c>
      <c r="AI2">
        <v>6.9100000000000003E-3</v>
      </c>
      <c r="AJ2">
        <v>6.9100000000000003E-3</v>
      </c>
      <c r="AK2">
        <v>7.9699999999999997E-3</v>
      </c>
      <c r="AL2">
        <v>7.9699999999999997E-3</v>
      </c>
      <c r="AM2">
        <v>7.9699999999999997E-3</v>
      </c>
      <c r="AN2">
        <v>7.9699999999999997E-3</v>
      </c>
      <c r="AO2">
        <v>7.9699999999999997E-3</v>
      </c>
      <c r="AP2">
        <v>9.11E-3</v>
      </c>
      <c r="AQ2">
        <v>9.11E-3</v>
      </c>
      <c r="AR2">
        <v>9.11E-3</v>
      </c>
      <c r="AS2">
        <v>9.11E-3</v>
      </c>
      <c r="AT2">
        <v>9.11E-3</v>
      </c>
      <c r="AU2">
        <v>1.086E-2</v>
      </c>
      <c r="AV2">
        <v>1.086E-2</v>
      </c>
      <c r="AW2">
        <v>1.086E-2</v>
      </c>
      <c r="AX2">
        <v>1.086E-2</v>
      </c>
      <c r="AY2">
        <v>1.086E-2</v>
      </c>
      <c r="AZ2">
        <v>1.465E-2</v>
      </c>
      <c r="BA2">
        <v>1.465E-2</v>
      </c>
      <c r="BB2">
        <v>1.465E-2</v>
      </c>
      <c r="BC2">
        <v>1.465E-2</v>
      </c>
      <c r="BD2">
        <v>1.465E-2</v>
      </c>
      <c r="BE2">
        <v>2.1399999999999999E-2</v>
      </c>
      <c r="BF2">
        <v>2.1399999999999999E-2</v>
      </c>
      <c r="BG2">
        <v>2.1399999999999999E-2</v>
      </c>
      <c r="BH2">
        <v>2.1399999999999999E-2</v>
      </c>
      <c r="BI2">
        <v>2.1399999999999999E-2</v>
      </c>
      <c r="BJ2">
        <v>2.809E-2</v>
      </c>
      <c r="BK2">
        <v>2.809E-2</v>
      </c>
      <c r="BL2">
        <v>2.809E-2</v>
      </c>
      <c r="BM2">
        <v>2.809E-2</v>
      </c>
      <c r="BN2">
        <v>2.809E-2</v>
      </c>
      <c r="BO2">
        <v>4.385E-2</v>
      </c>
      <c r="BP2">
        <v>4.385E-2</v>
      </c>
      <c r="BQ2">
        <v>4.385E-2</v>
      </c>
      <c r="BR2">
        <v>4.385E-2</v>
      </c>
      <c r="BS2">
        <v>4.385E-2</v>
      </c>
      <c r="BT2">
        <v>6.769E-2</v>
      </c>
      <c r="BU2">
        <v>6.769E-2</v>
      </c>
      <c r="BV2">
        <v>6.769E-2</v>
      </c>
      <c r="BW2">
        <v>6.769E-2</v>
      </c>
      <c r="BX2">
        <v>6.769E-2</v>
      </c>
      <c r="BY2">
        <v>0.10229000000000001</v>
      </c>
      <c r="BZ2">
        <v>0.10229000000000001</v>
      </c>
      <c r="CA2">
        <v>0.10229000000000001</v>
      </c>
      <c r="CB2">
        <v>0.10229000000000001</v>
      </c>
      <c r="CC2">
        <v>0.10229000000000001</v>
      </c>
      <c r="CD2">
        <v>0.15261</v>
      </c>
      <c r="CE2">
        <v>0.15261</v>
      </c>
      <c r="CF2">
        <v>0.15261</v>
      </c>
      <c r="CG2">
        <v>0.15261</v>
      </c>
      <c r="CH2">
        <v>0.15261</v>
      </c>
      <c r="CI2">
        <v>0.22417999999999999</v>
      </c>
      <c r="CJ2">
        <v>0.22417999999999999</v>
      </c>
      <c r="CK2">
        <v>0.22417999999999999</v>
      </c>
      <c r="CL2">
        <v>0.22417999999999999</v>
      </c>
      <c r="CM2">
        <v>0.22417999999999999</v>
      </c>
      <c r="CN2">
        <v>0.30928</v>
      </c>
      <c r="CO2">
        <v>0.30928</v>
      </c>
      <c r="CP2">
        <v>0.30928</v>
      </c>
      <c r="CQ2">
        <v>0.30928</v>
      </c>
      <c r="CR2">
        <v>0.30928</v>
      </c>
      <c r="CS2">
        <v>0.42770999999999998</v>
      </c>
      <c r="CT2">
        <v>0.42770999999999998</v>
      </c>
      <c r="CU2">
        <v>0.42770999999999998</v>
      </c>
      <c r="CV2">
        <v>0.42770999999999998</v>
      </c>
      <c r="CW2">
        <v>0.42770999999999998</v>
      </c>
      <c r="CX2">
        <v>1</v>
      </c>
    </row>
    <row r="3" spans="1:102" x14ac:dyDescent="0.25">
      <c r="A3" t="s">
        <v>59</v>
      </c>
      <c r="B3">
        <v>1.098E-2</v>
      </c>
      <c r="C3">
        <v>1.1E-4</v>
      </c>
      <c r="D3">
        <v>1.1E-4</v>
      </c>
      <c r="E3">
        <v>1.1E-4</v>
      </c>
      <c r="F3">
        <v>1.1E-4</v>
      </c>
      <c r="G3">
        <v>7.1000000000000002E-4</v>
      </c>
      <c r="H3">
        <v>7.1000000000000002E-4</v>
      </c>
      <c r="I3">
        <v>7.1000000000000002E-4</v>
      </c>
      <c r="J3">
        <v>7.1000000000000002E-4</v>
      </c>
      <c r="K3">
        <v>7.1000000000000002E-4</v>
      </c>
      <c r="L3">
        <v>4.4999999999999999E-4</v>
      </c>
      <c r="M3">
        <v>4.4999999999999999E-4</v>
      </c>
      <c r="N3">
        <v>4.4999999999999999E-4</v>
      </c>
      <c r="O3">
        <v>4.4999999999999999E-4</v>
      </c>
      <c r="P3">
        <v>4.4999999999999999E-4</v>
      </c>
      <c r="Q3">
        <v>5.4000000000000001E-4</v>
      </c>
      <c r="R3">
        <v>5.4000000000000001E-4</v>
      </c>
      <c r="S3">
        <v>5.4000000000000001E-4</v>
      </c>
      <c r="T3">
        <v>5.4000000000000001E-4</v>
      </c>
      <c r="U3">
        <v>5.4000000000000001E-4</v>
      </c>
      <c r="V3">
        <v>5.6999999999999998E-4</v>
      </c>
      <c r="W3">
        <v>5.6999999999999998E-4</v>
      </c>
      <c r="X3">
        <v>5.6999999999999998E-4</v>
      </c>
      <c r="Y3">
        <v>5.6999999999999998E-4</v>
      </c>
      <c r="Z3">
        <v>5.6999999999999998E-4</v>
      </c>
      <c r="AA3">
        <v>7.2000000000000005E-4</v>
      </c>
      <c r="AB3">
        <v>7.2000000000000005E-4</v>
      </c>
      <c r="AC3">
        <v>7.2000000000000005E-4</v>
      </c>
      <c r="AD3">
        <v>7.2000000000000005E-4</v>
      </c>
      <c r="AE3">
        <v>7.2000000000000005E-4</v>
      </c>
      <c r="AF3">
        <v>7.6000000000000004E-4</v>
      </c>
      <c r="AG3">
        <v>7.6000000000000004E-4</v>
      </c>
      <c r="AH3">
        <v>7.6000000000000004E-4</v>
      </c>
      <c r="AI3">
        <v>7.6000000000000004E-4</v>
      </c>
      <c r="AJ3">
        <v>7.6000000000000004E-4</v>
      </c>
      <c r="AK3">
        <v>1.4E-3</v>
      </c>
      <c r="AL3">
        <v>1.4E-3</v>
      </c>
      <c r="AM3">
        <v>1.4E-3</v>
      </c>
      <c r="AN3">
        <v>1.4E-3</v>
      </c>
      <c r="AO3">
        <v>1.4E-3</v>
      </c>
      <c r="AP3">
        <v>1.75E-3</v>
      </c>
      <c r="AQ3">
        <v>1.75E-3</v>
      </c>
      <c r="AR3">
        <v>1.75E-3</v>
      </c>
      <c r="AS3">
        <v>1.75E-3</v>
      </c>
      <c r="AT3">
        <v>1.75E-3</v>
      </c>
      <c r="AU3">
        <v>2.8700000000000002E-3</v>
      </c>
      <c r="AV3">
        <v>2.8700000000000002E-3</v>
      </c>
      <c r="AW3">
        <v>2.8700000000000002E-3</v>
      </c>
      <c r="AX3">
        <v>2.8700000000000002E-3</v>
      </c>
      <c r="AY3">
        <v>2.8700000000000002E-3</v>
      </c>
      <c r="AZ3">
        <v>4.0499999999999998E-3</v>
      </c>
      <c r="BA3">
        <v>4.0499999999999998E-3</v>
      </c>
      <c r="BB3">
        <v>4.0499999999999998E-3</v>
      </c>
      <c r="BC3">
        <v>4.0499999999999998E-3</v>
      </c>
      <c r="BD3">
        <v>4.0499999999999998E-3</v>
      </c>
      <c r="BE3">
        <v>5.7999999999999996E-3</v>
      </c>
      <c r="BF3">
        <v>5.7999999999999996E-3</v>
      </c>
      <c r="BG3">
        <v>5.7999999999999996E-3</v>
      </c>
      <c r="BH3">
        <v>5.7999999999999996E-3</v>
      </c>
      <c r="BI3">
        <v>5.7999999999999996E-3</v>
      </c>
      <c r="BJ3">
        <v>9.9000000000000008E-3</v>
      </c>
      <c r="BK3">
        <v>9.9000000000000008E-3</v>
      </c>
      <c r="BL3">
        <v>9.9000000000000008E-3</v>
      </c>
      <c r="BM3">
        <v>9.9000000000000008E-3</v>
      </c>
      <c r="BN3">
        <v>9.9000000000000008E-3</v>
      </c>
      <c r="BO3">
        <v>1.712E-2</v>
      </c>
      <c r="BP3">
        <v>1.712E-2</v>
      </c>
      <c r="BQ3">
        <v>1.712E-2</v>
      </c>
      <c r="BR3">
        <v>1.712E-2</v>
      </c>
      <c r="BS3">
        <v>1.712E-2</v>
      </c>
      <c r="BT3">
        <v>3.9960000000000002E-2</v>
      </c>
      <c r="BU3">
        <v>3.9960000000000002E-2</v>
      </c>
      <c r="BV3">
        <v>3.9960000000000002E-2</v>
      </c>
      <c r="BW3">
        <v>3.9960000000000002E-2</v>
      </c>
      <c r="BX3">
        <v>3.9960000000000002E-2</v>
      </c>
      <c r="BY3">
        <v>7.1249999999999994E-2</v>
      </c>
      <c r="BZ3">
        <v>7.1249999999999994E-2</v>
      </c>
      <c r="CA3">
        <v>7.1249999999999994E-2</v>
      </c>
      <c r="CB3">
        <v>7.1249999999999994E-2</v>
      </c>
      <c r="CC3">
        <v>7.1249999999999994E-2</v>
      </c>
      <c r="CD3">
        <v>0.14501</v>
      </c>
      <c r="CE3">
        <v>0.14501</v>
      </c>
      <c r="CF3">
        <v>0.14501</v>
      </c>
      <c r="CG3">
        <v>0.14501</v>
      </c>
      <c r="CH3">
        <v>0.14501</v>
      </c>
      <c r="CI3">
        <v>0.25939000000000001</v>
      </c>
      <c r="CJ3">
        <v>0.25939000000000001</v>
      </c>
      <c r="CK3">
        <v>0.25939000000000001</v>
      </c>
      <c r="CL3">
        <v>0.25939000000000001</v>
      </c>
      <c r="CM3">
        <v>0.25939000000000001</v>
      </c>
      <c r="CN3">
        <v>0.40786</v>
      </c>
      <c r="CO3">
        <v>0.40786</v>
      </c>
      <c r="CP3">
        <v>0.40786</v>
      </c>
      <c r="CQ3">
        <v>0.40786</v>
      </c>
      <c r="CR3">
        <v>0.40786</v>
      </c>
      <c r="CS3">
        <v>0.56369999999999998</v>
      </c>
      <c r="CT3">
        <v>0.56369999999999998</v>
      </c>
      <c r="CU3">
        <v>0.56369999999999998</v>
      </c>
      <c r="CV3">
        <v>0.56369999999999998</v>
      </c>
      <c r="CW3">
        <v>0.56369999999999998</v>
      </c>
      <c r="CX3">
        <v>1</v>
      </c>
    </row>
    <row r="4" spans="1:102" x14ac:dyDescent="0.25">
      <c r="A4" t="s">
        <v>64</v>
      </c>
      <c r="B4">
        <v>2.726E-2</v>
      </c>
      <c r="C4">
        <v>6.8999999999999997E-4</v>
      </c>
      <c r="D4">
        <v>6.8999999999999997E-4</v>
      </c>
      <c r="E4">
        <v>6.8999999999999997E-4</v>
      </c>
      <c r="F4">
        <v>6.8999999999999997E-4</v>
      </c>
      <c r="G4">
        <v>4.4999999999999999E-4</v>
      </c>
      <c r="H4">
        <v>4.4999999999999999E-4</v>
      </c>
      <c r="I4">
        <v>4.4999999999999999E-4</v>
      </c>
      <c r="J4">
        <v>4.4999999999999999E-4</v>
      </c>
      <c r="K4">
        <v>4.4999999999999999E-4</v>
      </c>
      <c r="L4">
        <v>3.4000000000000002E-4</v>
      </c>
      <c r="M4">
        <v>3.4000000000000002E-4</v>
      </c>
      <c r="N4">
        <v>3.4000000000000002E-4</v>
      </c>
      <c r="O4">
        <v>3.4000000000000002E-4</v>
      </c>
      <c r="P4">
        <v>3.4000000000000002E-4</v>
      </c>
      <c r="Q4">
        <v>5.2999999999999998E-4</v>
      </c>
      <c r="R4">
        <v>5.2999999999999998E-4</v>
      </c>
      <c r="S4">
        <v>5.2999999999999998E-4</v>
      </c>
      <c r="T4">
        <v>5.2999999999999998E-4</v>
      </c>
      <c r="U4">
        <v>5.2999999999999998E-4</v>
      </c>
      <c r="V4">
        <v>6.4999999999999997E-4</v>
      </c>
      <c r="W4">
        <v>6.4999999999999997E-4</v>
      </c>
      <c r="X4">
        <v>6.4999999999999997E-4</v>
      </c>
      <c r="Y4">
        <v>6.4999999999999997E-4</v>
      </c>
      <c r="Z4">
        <v>6.4999999999999997E-4</v>
      </c>
      <c r="AA4">
        <v>7.6999999999999996E-4</v>
      </c>
      <c r="AB4">
        <v>7.6999999999999996E-4</v>
      </c>
      <c r="AC4">
        <v>7.6999999999999996E-4</v>
      </c>
      <c r="AD4">
        <v>7.6999999999999996E-4</v>
      </c>
      <c r="AE4">
        <v>7.6999999999999996E-4</v>
      </c>
      <c r="AF4">
        <v>1.01E-3</v>
      </c>
      <c r="AG4">
        <v>1.01E-3</v>
      </c>
      <c r="AH4">
        <v>1.01E-3</v>
      </c>
      <c r="AI4">
        <v>1.01E-3</v>
      </c>
      <c r="AJ4">
        <v>1.01E-3</v>
      </c>
      <c r="AK4">
        <v>1.4300000000000001E-3</v>
      </c>
      <c r="AL4">
        <v>1.4300000000000001E-3</v>
      </c>
      <c r="AM4">
        <v>1.4300000000000001E-3</v>
      </c>
      <c r="AN4">
        <v>1.4300000000000001E-3</v>
      </c>
      <c r="AO4">
        <v>1.4300000000000001E-3</v>
      </c>
      <c r="AP4">
        <v>2.0999999999999999E-3</v>
      </c>
      <c r="AQ4">
        <v>2.0999999999999999E-3</v>
      </c>
      <c r="AR4">
        <v>2.0999999999999999E-3</v>
      </c>
      <c r="AS4">
        <v>2.0999999999999999E-3</v>
      </c>
      <c r="AT4">
        <v>2.0999999999999999E-3</v>
      </c>
      <c r="AU4">
        <v>3.2000000000000002E-3</v>
      </c>
      <c r="AV4">
        <v>3.2000000000000002E-3</v>
      </c>
      <c r="AW4">
        <v>3.2000000000000002E-3</v>
      </c>
      <c r="AX4">
        <v>3.2000000000000002E-3</v>
      </c>
      <c r="AY4">
        <v>3.2000000000000002E-3</v>
      </c>
      <c r="AZ4">
        <v>4.8900000000000002E-3</v>
      </c>
      <c r="BA4">
        <v>4.8900000000000002E-3</v>
      </c>
      <c r="BB4">
        <v>4.8900000000000002E-3</v>
      </c>
      <c r="BC4">
        <v>4.8900000000000002E-3</v>
      </c>
      <c r="BD4">
        <v>4.8900000000000002E-3</v>
      </c>
      <c r="BE4">
        <v>7.5399999999999998E-3</v>
      </c>
      <c r="BF4">
        <v>7.5399999999999998E-3</v>
      </c>
      <c r="BG4">
        <v>7.5399999999999998E-3</v>
      </c>
      <c r="BH4">
        <v>7.5399999999999998E-3</v>
      </c>
      <c r="BI4">
        <v>7.5399999999999998E-3</v>
      </c>
      <c r="BJ4">
        <v>1.2030000000000001E-2</v>
      </c>
      <c r="BK4">
        <v>1.2030000000000001E-2</v>
      </c>
      <c r="BL4">
        <v>1.2030000000000001E-2</v>
      </c>
      <c r="BM4">
        <v>1.2030000000000001E-2</v>
      </c>
      <c r="BN4">
        <v>1.2030000000000001E-2</v>
      </c>
      <c r="BO4">
        <v>2.0330000000000001E-2</v>
      </c>
      <c r="BP4">
        <v>2.0330000000000001E-2</v>
      </c>
      <c r="BQ4">
        <v>2.0330000000000001E-2</v>
      </c>
      <c r="BR4">
        <v>2.0330000000000001E-2</v>
      </c>
      <c r="BS4">
        <v>2.0330000000000001E-2</v>
      </c>
      <c r="BT4">
        <v>3.5900000000000001E-2</v>
      </c>
      <c r="BU4">
        <v>3.5900000000000001E-2</v>
      </c>
      <c r="BV4">
        <v>3.5900000000000001E-2</v>
      </c>
      <c r="BW4">
        <v>3.5900000000000001E-2</v>
      </c>
      <c r="BX4">
        <v>3.5900000000000001E-2</v>
      </c>
      <c r="BY4">
        <v>6.3509999999999997E-2</v>
      </c>
      <c r="BZ4">
        <v>6.3509999999999997E-2</v>
      </c>
      <c r="CA4">
        <v>6.3509999999999997E-2</v>
      </c>
      <c r="CB4">
        <v>6.3509999999999997E-2</v>
      </c>
      <c r="CC4">
        <v>6.3509999999999997E-2</v>
      </c>
      <c r="CD4">
        <v>0.11006000000000001</v>
      </c>
      <c r="CE4">
        <v>0.11006000000000001</v>
      </c>
      <c r="CF4">
        <v>0.11006000000000001</v>
      </c>
      <c r="CG4">
        <v>0.11006000000000001</v>
      </c>
      <c r="CH4">
        <v>0.11006000000000001</v>
      </c>
      <c r="CI4">
        <v>0.18002000000000001</v>
      </c>
      <c r="CJ4">
        <v>0.18002000000000001</v>
      </c>
      <c r="CK4">
        <v>0.18002000000000001</v>
      </c>
      <c r="CL4">
        <v>0.18002000000000001</v>
      </c>
      <c r="CM4">
        <v>0.18002000000000001</v>
      </c>
      <c r="CN4">
        <v>0.27794999999999997</v>
      </c>
      <c r="CO4">
        <v>0.27794999999999997</v>
      </c>
      <c r="CP4">
        <v>0.27794999999999997</v>
      </c>
      <c r="CQ4">
        <v>0.27794999999999997</v>
      </c>
      <c r="CR4">
        <v>0.27794999999999997</v>
      </c>
      <c r="CS4">
        <v>0.40506999999999999</v>
      </c>
      <c r="CT4">
        <v>0.40506999999999999</v>
      </c>
      <c r="CU4">
        <v>0.40506999999999999</v>
      </c>
      <c r="CV4">
        <v>0.40506999999999999</v>
      </c>
      <c r="CW4">
        <v>0.40506999999999999</v>
      </c>
      <c r="CX4">
        <v>1</v>
      </c>
    </row>
    <row r="5" spans="1:102" x14ac:dyDescent="0.25">
      <c r="A5" t="s">
        <v>68</v>
      </c>
      <c r="B5">
        <v>9.7912499999999996E-3</v>
      </c>
      <c r="C5">
        <v>3.5649999999999999E-4</v>
      </c>
      <c r="D5">
        <v>3.5649999999999999E-4</v>
      </c>
      <c r="E5">
        <v>3.5649999999999999E-4</v>
      </c>
      <c r="F5">
        <v>3.5649999999999999E-4</v>
      </c>
      <c r="G5">
        <v>1.7899999999999999E-4</v>
      </c>
      <c r="H5">
        <v>1.7899999999999999E-4</v>
      </c>
      <c r="I5">
        <v>1.7899999999999999E-4</v>
      </c>
      <c r="J5">
        <v>1.7899999999999999E-4</v>
      </c>
      <c r="K5">
        <v>1.7899999999999999E-4</v>
      </c>
      <c r="L5">
        <v>1.8075E-4</v>
      </c>
      <c r="M5">
        <v>1.8075E-4</v>
      </c>
      <c r="N5">
        <v>1.8075E-4</v>
      </c>
      <c r="O5">
        <v>1.8075E-4</v>
      </c>
      <c r="P5">
        <v>1.8075E-4</v>
      </c>
      <c r="Q5">
        <v>3.0775000000000003E-4</v>
      </c>
      <c r="R5">
        <v>3.0775000000000003E-4</v>
      </c>
      <c r="S5">
        <v>3.0775000000000003E-4</v>
      </c>
      <c r="T5">
        <v>3.0775000000000003E-4</v>
      </c>
      <c r="U5">
        <v>3.0775000000000003E-4</v>
      </c>
      <c r="V5">
        <v>4.2025E-4</v>
      </c>
      <c r="W5">
        <v>4.2025E-4</v>
      </c>
      <c r="X5">
        <v>4.2025E-4</v>
      </c>
      <c r="Y5">
        <v>4.2025E-4</v>
      </c>
      <c r="Z5">
        <v>4.2025E-4</v>
      </c>
      <c r="AA5">
        <v>5.2674999999999998E-4</v>
      </c>
      <c r="AB5">
        <v>5.2674999999999998E-4</v>
      </c>
      <c r="AC5">
        <v>5.2674999999999998E-4</v>
      </c>
      <c r="AD5">
        <v>5.2674999999999998E-4</v>
      </c>
      <c r="AE5">
        <v>5.2674999999999998E-4</v>
      </c>
      <c r="AF5">
        <v>7.3850000000000001E-4</v>
      </c>
      <c r="AG5">
        <v>7.3850000000000001E-4</v>
      </c>
      <c r="AH5">
        <v>7.3850000000000001E-4</v>
      </c>
      <c r="AI5">
        <v>7.3850000000000001E-4</v>
      </c>
      <c r="AJ5">
        <v>7.3850000000000001E-4</v>
      </c>
      <c r="AK5">
        <v>1.0690000000000001E-3</v>
      </c>
      <c r="AL5">
        <v>1.0690000000000001E-3</v>
      </c>
      <c r="AM5">
        <v>1.0690000000000001E-3</v>
      </c>
      <c r="AN5">
        <v>1.0690000000000001E-3</v>
      </c>
      <c r="AO5">
        <v>1.0690000000000001E-3</v>
      </c>
      <c r="AP5">
        <v>1.622E-3</v>
      </c>
      <c r="AQ5">
        <v>1.622E-3</v>
      </c>
      <c r="AR5">
        <v>1.622E-3</v>
      </c>
      <c r="AS5">
        <v>1.622E-3</v>
      </c>
      <c r="AT5">
        <v>1.622E-3</v>
      </c>
      <c r="AU5">
        <v>2.5685E-3</v>
      </c>
      <c r="AV5">
        <v>2.5685E-3</v>
      </c>
      <c r="AW5">
        <v>2.5685E-3</v>
      </c>
      <c r="AX5">
        <v>2.5685E-3</v>
      </c>
      <c r="AY5">
        <v>2.5685E-3</v>
      </c>
      <c r="AZ5">
        <v>4.117E-3</v>
      </c>
      <c r="BA5">
        <v>4.117E-3</v>
      </c>
      <c r="BB5">
        <v>4.117E-3</v>
      </c>
      <c r="BC5">
        <v>4.117E-3</v>
      </c>
      <c r="BD5">
        <v>4.117E-3</v>
      </c>
      <c r="BE5">
        <v>6.4475000000000001E-3</v>
      </c>
      <c r="BF5">
        <v>6.4475000000000001E-3</v>
      </c>
      <c r="BG5">
        <v>6.4475000000000001E-3</v>
      </c>
      <c r="BH5">
        <v>6.4475000000000001E-3</v>
      </c>
      <c r="BI5">
        <v>6.4475000000000001E-3</v>
      </c>
      <c r="BJ5">
        <v>9.7327500000000001E-3</v>
      </c>
      <c r="BK5">
        <v>9.7327500000000001E-3</v>
      </c>
      <c r="BL5">
        <v>9.7327500000000001E-3</v>
      </c>
      <c r="BM5">
        <v>9.7327500000000001E-3</v>
      </c>
      <c r="BN5">
        <v>9.7327500000000001E-3</v>
      </c>
      <c r="BO5">
        <v>1.5950249999999999E-2</v>
      </c>
      <c r="BP5">
        <v>1.5950249999999999E-2</v>
      </c>
      <c r="BQ5">
        <v>1.5950249999999999E-2</v>
      </c>
      <c r="BR5">
        <v>1.5950249999999999E-2</v>
      </c>
      <c r="BS5">
        <v>1.5950249999999999E-2</v>
      </c>
      <c r="BT5">
        <v>2.6643500000000001E-2</v>
      </c>
      <c r="BU5">
        <v>2.6643500000000001E-2</v>
      </c>
      <c r="BV5">
        <v>2.6643500000000001E-2</v>
      </c>
      <c r="BW5">
        <v>2.6643500000000001E-2</v>
      </c>
      <c r="BX5">
        <v>2.6643500000000001E-2</v>
      </c>
      <c r="BY5">
        <v>4.6877250000000002E-2</v>
      </c>
      <c r="BZ5">
        <v>4.6877250000000002E-2</v>
      </c>
      <c r="CA5">
        <v>4.6877250000000002E-2</v>
      </c>
      <c r="CB5">
        <v>4.6877250000000002E-2</v>
      </c>
      <c r="CC5">
        <v>4.6877250000000002E-2</v>
      </c>
      <c r="CD5">
        <v>8.3014249999999998E-2</v>
      </c>
      <c r="CE5">
        <v>8.3014249999999998E-2</v>
      </c>
      <c r="CF5">
        <v>8.3014249999999998E-2</v>
      </c>
      <c r="CG5">
        <v>8.3014249999999998E-2</v>
      </c>
      <c r="CH5">
        <v>8.3014249999999998E-2</v>
      </c>
      <c r="CI5">
        <v>0.14132575</v>
      </c>
      <c r="CJ5">
        <v>0.14132575</v>
      </c>
      <c r="CK5">
        <v>0.14132575</v>
      </c>
      <c r="CL5">
        <v>0.14132575</v>
      </c>
      <c r="CM5">
        <v>0.14132575</v>
      </c>
      <c r="CN5">
        <v>0.22859225</v>
      </c>
      <c r="CO5">
        <v>0.22859225</v>
      </c>
      <c r="CP5">
        <v>0.22859225</v>
      </c>
      <c r="CQ5">
        <v>0.22859225</v>
      </c>
      <c r="CR5">
        <v>0.22859225</v>
      </c>
      <c r="CS5">
        <v>0.34928749999999997</v>
      </c>
      <c r="CT5">
        <v>0.34928749999999997</v>
      </c>
      <c r="CU5">
        <v>0.34928749999999997</v>
      </c>
      <c r="CV5">
        <v>0.34928749999999997</v>
      </c>
      <c r="CW5">
        <v>0.34928749999999997</v>
      </c>
      <c r="CX5">
        <v>1</v>
      </c>
    </row>
    <row r="6" spans="1:102" x14ac:dyDescent="0.25">
      <c r="A6" t="s">
        <v>71</v>
      </c>
      <c r="B6">
        <v>6.6841463000000004E-2</v>
      </c>
      <c r="C6">
        <v>1.0634390000000001E-2</v>
      </c>
      <c r="D6">
        <v>1.0634390000000001E-2</v>
      </c>
      <c r="E6">
        <v>1.0634390000000001E-2</v>
      </c>
      <c r="F6">
        <v>1.0634390000000001E-2</v>
      </c>
      <c r="G6">
        <v>2.2570730000000001E-3</v>
      </c>
      <c r="H6">
        <v>2.2570730000000001E-3</v>
      </c>
      <c r="I6">
        <v>2.2570730000000001E-3</v>
      </c>
      <c r="J6">
        <v>2.2570730000000001E-3</v>
      </c>
      <c r="K6">
        <v>2.2570730000000001E-3</v>
      </c>
      <c r="L6">
        <v>1.5885369999999999E-3</v>
      </c>
      <c r="M6">
        <v>1.5885369999999999E-3</v>
      </c>
      <c r="N6">
        <v>1.5885369999999999E-3</v>
      </c>
      <c r="O6">
        <v>1.5885369999999999E-3</v>
      </c>
      <c r="P6">
        <v>1.5885369999999999E-3</v>
      </c>
      <c r="Q6">
        <v>1.952683E-3</v>
      </c>
      <c r="R6">
        <v>1.952683E-3</v>
      </c>
      <c r="S6">
        <v>1.952683E-3</v>
      </c>
      <c r="T6">
        <v>1.952683E-3</v>
      </c>
      <c r="U6">
        <v>1.952683E-3</v>
      </c>
      <c r="V6">
        <v>3.7490240000000001E-3</v>
      </c>
      <c r="W6">
        <v>3.7490240000000001E-3</v>
      </c>
      <c r="X6">
        <v>3.7490240000000001E-3</v>
      </c>
      <c r="Y6">
        <v>3.7490240000000001E-3</v>
      </c>
      <c r="Z6">
        <v>3.7490240000000001E-3</v>
      </c>
      <c r="AA6">
        <v>6.1653660000000002E-3</v>
      </c>
      <c r="AB6">
        <v>6.1653660000000002E-3</v>
      </c>
      <c r="AC6">
        <v>6.1653660000000002E-3</v>
      </c>
      <c r="AD6">
        <v>6.1653660000000002E-3</v>
      </c>
      <c r="AE6">
        <v>6.1653660000000002E-3</v>
      </c>
      <c r="AF6">
        <v>8.7904880000000008E-3</v>
      </c>
      <c r="AG6">
        <v>8.7904880000000008E-3</v>
      </c>
      <c r="AH6">
        <v>8.7904880000000008E-3</v>
      </c>
      <c r="AI6">
        <v>8.7904880000000008E-3</v>
      </c>
      <c r="AJ6">
        <v>8.7904880000000008E-3</v>
      </c>
      <c r="AK6">
        <v>1.0272195E-2</v>
      </c>
      <c r="AL6">
        <v>1.0272195E-2</v>
      </c>
      <c r="AM6">
        <v>1.0272195E-2</v>
      </c>
      <c r="AN6">
        <v>1.0272195E-2</v>
      </c>
      <c r="AO6">
        <v>1.0272195E-2</v>
      </c>
      <c r="AP6">
        <v>1.0323659000000001E-2</v>
      </c>
      <c r="AQ6">
        <v>1.0323659000000001E-2</v>
      </c>
      <c r="AR6">
        <v>1.0323659000000001E-2</v>
      </c>
      <c r="AS6">
        <v>1.0323659000000001E-2</v>
      </c>
      <c r="AT6">
        <v>1.0323659000000001E-2</v>
      </c>
      <c r="AU6">
        <v>1.0378780000000001E-2</v>
      </c>
      <c r="AV6">
        <v>1.0378780000000001E-2</v>
      </c>
      <c r="AW6">
        <v>1.0378780000000001E-2</v>
      </c>
      <c r="AX6">
        <v>1.0378780000000001E-2</v>
      </c>
      <c r="AY6">
        <v>1.0378780000000001E-2</v>
      </c>
      <c r="AZ6">
        <v>1.2075122000000001E-2</v>
      </c>
      <c r="BA6">
        <v>1.2075122000000001E-2</v>
      </c>
      <c r="BB6">
        <v>1.2075122000000001E-2</v>
      </c>
      <c r="BC6">
        <v>1.2075122000000001E-2</v>
      </c>
      <c r="BD6">
        <v>1.2075122000000001E-2</v>
      </c>
      <c r="BE6">
        <v>1.6080000000000001E-2</v>
      </c>
      <c r="BF6">
        <v>1.6080000000000001E-2</v>
      </c>
      <c r="BG6">
        <v>1.6080000000000001E-2</v>
      </c>
      <c r="BH6">
        <v>1.6080000000000001E-2</v>
      </c>
      <c r="BI6">
        <v>1.6080000000000001E-2</v>
      </c>
      <c r="BJ6">
        <v>2.1788780000000001E-2</v>
      </c>
      <c r="BK6">
        <v>2.1788780000000001E-2</v>
      </c>
      <c r="BL6">
        <v>2.1788780000000001E-2</v>
      </c>
      <c r="BM6">
        <v>2.1788780000000001E-2</v>
      </c>
      <c r="BN6">
        <v>2.1788780000000001E-2</v>
      </c>
      <c r="BO6">
        <v>3.3969024E-2</v>
      </c>
      <c r="BP6">
        <v>3.3969024E-2</v>
      </c>
      <c r="BQ6">
        <v>3.3969024E-2</v>
      </c>
      <c r="BR6">
        <v>3.3969024E-2</v>
      </c>
      <c r="BS6">
        <v>3.3969024E-2</v>
      </c>
      <c r="BT6">
        <v>5.3909024E-2</v>
      </c>
      <c r="BU6">
        <v>5.3909024E-2</v>
      </c>
      <c r="BV6">
        <v>5.3909024E-2</v>
      </c>
      <c r="BW6">
        <v>5.3909024E-2</v>
      </c>
      <c r="BX6">
        <v>5.3909024E-2</v>
      </c>
      <c r="BY6">
        <v>8.5237561000000003E-2</v>
      </c>
      <c r="BZ6">
        <v>8.5237561000000003E-2</v>
      </c>
      <c r="CA6">
        <v>8.5237561000000003E-2</v>
      </c>
      <c r="CB6">
        <v>8.5237561000000003E-2</v>
      </c>
      <c r="CC6">
        <v>8.5237561000000003E-2</v>
      </c>
      <c r="CD6">
        <v>0.13244804900000001</v>
      </c>
      <c r="CE6">
        <v>0.13244804900000001</v>
      </c>
      <c r="CF6">
        <v>0.13244804900000001</v>
      </c>
      <c r="CG6">
        <v>0.13244804900000001</v>
      </c>
      <c r="CH6">
        <v>0.13244804900000001</v>
      </c>
      <c r="CI6">
        <v>0.19970122000000001</v>
      </c>
      <c r="CJ6">
        <v>0.19970122000000001</v>
      </c>
      <c r="CK6">
        <v>0.19970122000000001</v>
      </c>
      <c r="CL6">
        <v>0.19970122000000001</v>
      </c>
      <c r="CM6">
        <v>0.19970122000000001</v>
      </c>
      <c r="CN6">
        <v>0.29157146299999998</v>
      </c>
      <c r="CO6">
        <v>0.29157146299999998</v>
      </c>
      <c r="CP6">
        <v>0.29157146299999998</v>
      </c>
      <c r="CQ6">
        <v>0.29157146299999998</v>
      </c>
      <c r="CR6">
        <v>0.29157146299999998</v>
      </c>
      <c r="CS6">
        <v>0.41195365900000003</v>
      </c>
      <c r="CT6">
        <v>0.41195365900000003</v>
      </c>
      <c r="CU6">
        <v>0.41195365900000003</v>
      </c>
      <c r="CV6">
        <v>0.41195365900000003</v>
      </c>
      <c r="CW6">
        <v>0.41195365900000003</v>
      </c>
      <c r="CX6">
        <v>1</v>
      </c>
    </row>
    <row r="7" spans="1:102" x14ac:dyDescent="0.25">
      <c r="A7" t="s">
        <v>74</v>
      </c>
      <c r="B7">
        <v>1.0279999999999999E-2</v>
      </c>
      <c r="C7">
        <v>2.9E-4</v>
      </c>
      <c r="D7">
        <v>2.9E-4</v>
      </c>
      <c r="E7">
        <v>2.9E-4</v>
      </c>
      <c r="F7">
        <v>2.9E-4</v>
      </c>
      <c r="G7">
        <v>2.5999999999999998E-4</v>
      </c>
      <c r="H7">
        <v>2.5999999999999998E-4</v>
      </c>
      <c r="I7">
        <v>2.5999999999999998E-4</v>
      </c>
      <c r="J7">
        <v>2.5999999999999998E-4</v>
      </c>
      <c r="K7">
        <v>2.5999999999999998E-4</v>
      </c>
      <c r="L7">
        <v>3.2000000000000003E-4</v>
      </c>
      <c r="M7">
        <v>3.2000000000000003E-4</v>
      </c>
      <c r="N7">
        <v>3.2000000000000003E-4</v>
      </c>
      <c r="O7">
        <v>3.2000000000000003E-4</v>
      </c>
      <c r="P7">
        <v>3.2000000000000003E-4</v>
      </c>
      <c r="Q7">
        <v>5.4000000000000001E-4</v>
      </c>
      <c r="R7">
        <v>5.4000000000000001E-4</v>
      </c>
      <c r="S7">
        <v>5.4000000000000001E-4</v>
      </c>
      <c r="T7">
        <v>5.4000000000000001E-4</v>
      </c>
      <c r="U7">
        <v>5.4000000000000001E-4</v>
      </c>
      <c r="V7">
        <v>6.2E-4</v>
      </c>
      <c r="W7">
        <v>6.2E-4</v>
      </c>
      <c r="X7">
        <v>6.2E-4</v>
      </c>
      <c r="Y7">
        <v>6.2E-4</v>
      </c>
      <c r="Z7">
        <v>6.2E-4</v>
      </c>
      <c r="AA7">
        <v>5.8E-4</v>
      </c>
      <c r="AB7">
        <v>5.8E-4</v>
      </c>
      <c r="AC7">
        <v>5.8E-4</v>
      </c>
      <c r="AD7">
        <v>5.8E-4</v>
      </c>
      <c r="AE7">
        <v>5.8E-4</v>
      </c>
      <c r="AF7">
        <v>1.33E-3</v>
      </c>
      <c r="AG7">
        <v>1.33E-3</v>
      </c>
      <c r="AH7">
        <v>1.33E-3</v>
      </c>
      <c r="AI7">
        <v>1.33E-3</v>
      </c>
      <c r="AJ7">
        <v>1.33E-3</v>
      </c>
      <c r="AK7">
        <v>2.5600000000000002E-3</v>
      </c>
      <c r="AL7">
        <v>2.5600000000000002E-3</v>
      </c>
      <c r="AM7">
        <v>2.5600000000000002E-3</v>
      </c>
      <c r="AN7">
        <v>2.5600000000000002E-3</v>
      </c>
      <c r="AO7">
        <v>2.5600000000000002E-3</v>
      </c>
      <c r="AP7">
        <v>3.48E-3</v>
      </c>
      <c r="AQ7">
        <v>3.48E-3</v>
      </c>
      <c r="AR7">
        <v>3.48E-3</v>
      </c>
      <c r="AS7">
        <v>3.48E-3</v>
      </c>
      <c r="AT7">
        <v>3.48E-3</v>
      </c>
      <c r="AU7">
        <v>5.3099999999999996E-3</v>
      </c>
      <c r="AV7">
        <v>5.3099999999999996E-3</v>
      </c>
      <c r="AW7">
        <v>5.3099999999999996E-3</v>
      </c>
      <c r="AX7">
        <v>5.3099999999999996E-3</v>
      </c>
      <c r="AY7">
        <v>5.3099999999999996E-3</v>
      </c>
      <c r="AZ7">
        <v>1.2409999999999999E-2</v>
      </c>
      <c r="BA7">
        <v>1.2409999999999999E-2</v>
      </c>
      <c r="BB7">
        <v>1.2409999999999999E-2</v>
      </c>
      <c r="BC7">
        <v>1.2409999999999999E-2</v>
      </c>
      <c r="BD7">
        <v>1.2409999999999999E-2</v>
      </c>
      <c r="BE7">
        <v>7.4599999999999996E-3</v>
      </c>
      <c r="BF7">
        <v>7.4599999999999996E-3</v>
      </c>
      <c r="BG7">
        <v>7.4599999999999996E-3</v>
      </c>
      <c r="BH7">
        <v>7.4599999999999996E-3</v>
      </c>
      <c r="BI7">
        <v>7.4599999999999996E-3</v>
      </c>
      <c r="BJ7">
        <v>1.1509999999999999E-2</v>
      </c>
      <c r="BK7">
        <v>1.1509999999999999E-2</v>
      </c>
      <c r="BL7">
        <v>1.1509999999999999E-2</v>
      </c>
      <c r="BM7">
        <v>1.1509999999999999E-2</v>
      </c>
      <c r="BN7">
        <v>1.1509999999999999E-2</v>
      </c>
      <c r="BO7">
        <v>1.6469999999999999E-2</v>
      </c>
      <c r="BP7">
        <v>1.6469999999999999E-2</v>
      </c>
      <c r="BQ7">
        <v>1.6469999999999999E-2</v>
      </c>
      <c r="BR7">
        <v>1.6469999999999999E-2</v>
      </c>
      <c r="BS7">
        <v>1.6469999999999999E-2</v>
      </c>
      <c r="BT7">
        <v>2.6460000000000001E-2</v>
      </c>
      <c r="BU7">
        <v>2.6460000000000001E-2</v>
      </c>
      <c r="BV7">
        <v>2.6460000000000001E-2</v>
      </c>
      <c r="BW7">
        <v>2.6460000000000001E-2</v>
      </c>
      <c r="BX7">
        <v>2.6460000000000001E-2</v>
      </c>
      <c r="BY7">
        <v>5.3409999999999999E-2</v>
      </c>
      <c r="BZ7">
        <v>5.3409999999999999E-2</v>
      </c>
      <c r="CA7">
        <v>5.3409999999999999E-2</v>
      </c>
      <c r="CB7">
        <v>5.3409999999999999E-2</v>
      </c>
      <c r="CC7">
        <v>5.3409999999999999E-2</v>
      </c>
      <c r="CD7">
        <v>7.4810000000000001E-2</v>
      </c>
      <c r="CE7">
        <v>7.4810000000000001E-2</v>
      </c>
      <c r="CF7">
        <v>7.4810000000000001E-2</v>
      </c>
      <c r="CG7">
        <v>7.4810000000000001E-2</v>
      </c>
      <c r="CH7">
        <v>7.4810000000000001E-2</v>
      </c>
      <c r="CI7">
        <v>0.10885</v>
      </c>
      <c r="CJ7">
        <v>0.10885</v>
      </c>
      <c r="CK7">
        <v>0.10885</v>
      </c>
      <c r="CL7">
        <v>0.10885</v>
      </c>
      <c r="CM7">
        <v>0.10885</v>
      </c>
      <c r="CN7">
        <v>0.16452</v>
      </c>
      <c r="CO7">
        <v>0.16452</v>
      </c>
      <c r="CP7">
        <v>0.16452</v>
      </c>
      <c r="CQ7">
        <v>0.16452</v>
      </c>
      <c r="CR7">
        <v>0.16452</v>
      </c>
      <c r="CS7">
        <v>0.25828000000000001</v>
      </c>
      <c r="CT7">
        <v>0.25828000000000001</v>
      </c>
      <c r="CU7">
        <v>0.25828000000000001</v>
      </c>
      <c r="CV7">
        <v>0.25828000000000001</v>
      </c>
      <c r="CW7">
        <v>0.25828000000000001</v>
      </c>
      <c r="CX7">
        <v>1</v>
      </c>
    </row>
    <row r="8" spans="1:102" x14ac:dyDescent="0.25">
      <c r="A8" t="s">
        <v>77</v>
      </c>
      <c r="B8">
        <v>1.1610000000000001E-2</v>
      </c>
      <c r="C8">
        <v>5.1999999999999995E-4</v>
      </c>
      <c r="D8">
        <v>5.1999999999999995E-4</v>
      </c>
      <c r="E8">
        <v>5.1999999999999995E-4</v>
      </c>
      <c r="F8">
        <v>5.1999999999999995E-4</v>
      </c>
      <c r="G8">
        <v>2.5000000000000001E-4</v>
      </c>
      <c r="H8">
        <v>2.5000000000000001E-4</v>
      </c>
      <c r="I8">
        <v>2.5000000000000001E-4</v>
      </c>
      <c r="J8">
        <v>2.5000000000000001E-4</v>
      </c>
      <c r="K8">
        <v>2.5000000000000001E-4</v>
      </c>
      <c r="L8">
        <v>2.4000000000000001E-4</v>
      </c>
      <c r="M8">
        <v>2.4000000000000001E-4</v>
      </c>
      <c r="N8">
        <v>2.4000000000000001E-4</v>
      </c>
      <c r="O8">
        <v>2.4000000000000001E-4</v>
      </c>
      <c r="P8">
        <v>2.4000000000000001E-4</v>
      </c>
      <c r="Q8">
        <v>4.8000000000000001E-4</v>
      </c>
      <c r="R8">
        <v>4.8000000000000001E-4</v>
      </c>
      <c r="S8">
        <v>4.8000000000000001E-4</v>
      </c>
      <c r="T8">
        <v>4.8000000000000001E-4</v>
      </c>
      <c r="U8">
        <v>4.8000000000000001E-4</v>
      </c>
      <c r="V8">
        <v>5.4000000000000001E-4</v>
      </c>
      <c r="W8">
        <v>5.4000000000000001E-4</v>
      </c>
      <c r="X8">
        <v>5.4000000000000001E-4</v>
      </c>
      <c r="Y8">
        <v>5.4000000000000001E-4</v>
      </c>
      <c r="Z8">
        <v>5.4000000000000001E-4</v>
      </c>
      <c r="AA8">
        <v>6.6E-4</v>
      </c>
      <c r="AB8">
        <v>6.6E-4</v>
      </c>
      <c r="AC8">
        <v>6.6E-4</v>
      </c>
      <c r="AD8">
        <v>6.6E-4</v>
      </c>
      <c r="AE8">
        <v>6.6E-4</v>
      </c>
      <c r="AF8">
        <v>8.3000000000000001E-4</v>
      </c>
      <c r="AG8">
        <v>8.3000000000000001E-4</v>
      </c>
      <c r="AH8">
        <v>8.3000000000000001E-4</v>
      </c>
      <c r="AI8">
        <v>8.3000000000000001E-4</v>
      </c>
      <c r="AJ8">
        <v>8.3000000000000001E-4</v>
      </c>
      <c r="AK8">
        <v>1.2199999999999999E-3</v>
      </c>
      <c r="AL8">
        <v>1.2199999999999999E-3</v>
      </c>
      <c r="AM8">
        <v>1.2199999999999999E-3</v>
      </c>
      <c r="AN8">
        <v>1.2199999999999999E-3</v>
      </c>
      <c r="AO8">
        <v>1.2199999999999999E-3</v>
      </c>
      <c r="AP8">
        <v>1.7899999999999999E-3</v>
      </c>
      <c r="AQ8">
        <v>1.7899999999999999E-3</v>
      </c>
      <c r="AR8">
        <v>1.7899999999999999E-3</v>
      </c>
      <c r="AS8">
        <v>1.7899999999999999E-3</v>
      </c>
      <c r="AT8">
        <v>1.7899999999999999E-3</v>
      </c>
      <c r="AU8">
        <v>2.6900000000000001E-3</v>
      </c>
      <c r="AV8">
        <v>2.6900000000000001E-3</v>
      </c>
      <c r="AW8">
        <v>2.6900000000000001E-3</v>
      </c>
      <c r="AX8">
        <v>2.6900000000000001E-3</v>
      </c>
      <c r="AY8">
        <v>2.6900000000000001E-3</v>
      </c>
      <c r="AZ8">
        <v>4.1399999999999996E-3</v>
      </c>
      <c r="BA8">
        <v>4.1399999999999996E-3</v>
      </c>
      <c r="BB8">
        <v>4.1399999999999996E-3</v>
      </c>
      <c r="BC8">
        <v>4.1399999999999996E-3</v>
      </c>
      <c r="BD8">
        <v>4.1399999999999996E-3</v>
      </c>
      <c r="BE8">
        <v>6.13E-3</v>
      </c>
      <c r="BF8">
        <v>6.13E-3</v>
      </c>
      <c r="BG8">
        <v>6.13E-3</v>
      </c>
      <c r="BH8">
        <v>6.13E-3</v>
      </c>
      <c r="BI8">
        <v>6.13E-3</v>
      </c>
      <c r="BJ8">
        <v>9.41E-3</v>
      </c>
      <c r="BK8">
        <v>9.41E-3</v>
      </c>
      <c r="BL8">
        <v>9.41E-3</v>
      </c>
      <c r="BM8">
        <v>9.41E-3</v>
      </c>
      <c r="BN8">
        <v>9.41E-3</v>
      </c>
      <c r="BO8">
        <v>1.357E-2</v>
      </c>
      <c r="BP8">
        <v>1.357E-2</v>
      </c>
      <c r="BQ8">
        <v>1.357E-2</v>
      </c>
      <c r="BR8">
        <v>1.357E-2</v>
      </c>
      <c r="BS8">
        <v>1.357E-2</v>
      </c>
      <c r="BT8">
        <v>2.085E-2</v>
      </c>
      <c r="BU8">
        <v>2.085E-2</v>
      </c>
      <c r="BV8">
        <v>2.085E-2</v>
      </c>
      <c r="BW8">
        <v>2.085E-2</v>
      </c>
      <c r="BX8">
        <v>2.085E-2</v>
      </c>
      <c r="BY8">
        <v>3.5180000000000003E-2</v>
      </c>
      <c r="BZ8">
        <v>3.5180000000000003E-2</v>
      </c>
      <c r="CA8">
        <v>3.5180000000000003E-2</v>
      </c>
      <c r="CB8">
        <v>3.5180000000000003E-2</v>
      </c>
      <c r="CC8">
        <v>3.5180000000000003E-2</v>
      </c>
      <c r="CD8">
        <v>6.8510000000000001E-2</v>
      </c>
      <c r="CE8">
        <v>6.8510000000000001E-2</v>
      </c>
      <c r="CF8">
        <v>6.8510000000000001E-2</v>
      </c>
      <c r="CG8">
        <v>6.8510000000000001E-2</v>
      </c>
      <c r="CH8">
        <v>6.8510000000000001E-2</v>
      </c>
      <c r="CI8">
        <v>0.12469</v>
      </c>
      <c r="CJ8">
        <v>0.12469</v>
      </c>
      <c r="CK8">
        <v>0.12469</v>
      </c>
      <c r="CL8">
        <v>0.12469</v>
      </c>
      <c r="CM8">
        <v>0.12469</v>
      </c>
      <c r="CN8">
        <v>0.21207000000000001</v>
      </c>
      <c r="CO8">
        <v>0.21207000000000001</v>
      </c>
      <c r="CP8">
        <v>0.21207000000000001</v>
      </c>
      <c r="CQ8">
        <v>0.21207000000000001</v>
      </c>
      <c r="CR8">
        <v>0.21207000000000001</v>
      </c>
      <c r="CS8">
        <v>0.33709</v>
      </c>
      <c r="CT8">
        <v>0.33709</v>
      </c>
      <c r="CU8">
        <v>0.33709</v>
      </c>
      <c r="CV8">
        <v>0.33709</v>
      </c>
      <c r="CW8">
        <v>0.33709</v>
      </c>
      <c r="CX8">
        <v>1</v>
      </c>
    </row>
    <row r="9" spans="1:102" x14ac:dyDescent="0.25">
      <c r="A9" t="s">
        <v>79</v>
      </c>
      <c r="B9">
        <v>1.8509999999999999E-2</v>
      </c>
      <c r="C9">
        <v>1.2999999999999999E-4</v>
      </c>
      <c r="D9">
        <v>1.2999999999999999E-4</v>
      </c>
      <c r="E9">
        <v>1.2999999999999999E-4</v>
      </c>
      <c r="F9">
        <v>1.2999999999999999E-4</v>
      </c>
      <c r="G9">
        <v>1.2999999999999999E-4</v>
      </c>
      <c r="H9">
        <v>1.2999999999999999E-4</v>
      </c>
      <c r="I9">
        <v>1.2999999999999999E-4</v>
      </c>
      <c r="J9">
        <v>1.2999999999999999E-4</v>
      </c>
      <c r="K9">
        <v>1.2999999999999999E-4</v>
      </c>
      <c r="L9">
        <v>2.0000000000000001E-4</v>
      </c>
      <c r="M9">
        <v>2.0000000000000001E-4</v>
      </c>
      <c r="N9">
        <v>2.0000000000000001E-4</v>
      </c>
      <c r="O9">
        <v>2.0000000000000001E-4</v>
      </c>
      <c r="P9">
        <v>2.0000000000000001E-4</v>
      </c>
      <c r="Q9">
        <v>2.5000000000000001E-4</v>
      </c>
      <c r="R9">
        <v>2.5000000000000001E-4</v>
      </c>
      <c r="S9">
        <v>2.5000000000000001E-4</v>
      </c>
      <c r="T9">
        <v>2.5000000000000001E-4</v>
      </c>
      <c r="U9">
        <v>2.5000000000000001E-4</v>
      </c>
      <c r="V9">
        <v>4.8000000000000001E-4</v>
      </c>
      <c r="W9">
        <v>4.8000000000000001E-4</v>
      </c>
      <c r="X9">
        <v>4.8000000000000001E-4</v>
      </c>
      <c r="Y9">
        <v>4.8000000000000001E-4</v>
      </c>
      <c r="Z9">
        <v>4.8000000000000001E-4</v>
      </c>
      <c r="AA9">
        <v>3.8999999999999999E-4</v>
      </c>
      <c r="AB9">
        <v>3.8999999999999999E-4</v>
      </c>
      <c r="AC9">
        <v>3.8999999999999999E-4</v>
      </c>
      <c r="AD9">
        <v>3.8999999999999999E-4</v>
      </c>
      <c r="AE9">
        <v>3.8999999999999999E-4</v>
      </c>
      <c r="AF9">
        <v>7.6999999999999996E-4</v>
      </c>
      <c r="AG9">
        <v>7.6999999999999996E-4</v>
      </c>
      <c r="AH9">
        <v>7.6999999999999996E-4</v>
      </c>
      <c r="AI9">
        <v>7.6999999999999996E-4</v>
      </c>
      <c r="AJ9">
        <v>7.6999999999999996E-4</v>
      </c>
      <c r="AK9">
        <v>1.2999999999999999E-3</v>
      </c>
      <c r="AL9">
        <v>1.2999999999999999E-3</v>
      </c>
      <c r="AM9">
        <v>1.2999999999999999E-3</v>
      </c>
      <c r="AN9">
        <v>1.2999999999999999E-3</v>
      </c>
      <c r="AO9">
        <v>1.2999999999999999E-3</v>
      </c>
      <c r="AP9">
        <v>2.2799999999999999E-3</v>
      </c>
      <c r="AQ9">
        <v>2.2799999999999999E-3</v>
      </c>
      <c r="AR9">
        <v>2.2799999999999999E-3</v>
      </c>
      <c r="AS9">
        <v>2.2799999999999999E-3</v>
      </c>
      <c r="AT9">
        <v>2.2799999999999999E-3</v>
      </c>
      <c r="AU9">
        <v>2.8999999999999998E-3</v>
      </c>
      <c r="AV9">
        <v>2.8999999999999998E-3</v>
      </c>
      <c r="AW9">
        <v>2.8999999999999998E-3</v>
      </c>
      <c r="AX9">
        <v>2.8999999999999998E-3</v>
      </c>
      <c r="AY9">
        <v>2.8999999999999998E-3</v>
      </c>
      <c r="AZ9">
        <v>4.9399999999999999E-3</v>
      </c>
      <c r="BA9">
        <v>4.9399999999999999E-3</v>
      </c>
      <c r="BB9">
        <v>4.9399999999999999E-3</v>
      </c>
      <c r="BC9">
        <v>4.9399999999999999E-3</v>
      </c>
      <c r="BD9">
        <v>4.9399999999999999E-3</v>
      </c>
      <c r="BE9">
        <v>8.4799999999999997E-3</v>
      </c>
      <c r="BF9">
        <v>8.4799999999999997E-3</v>
      </c>
      <c r="BG9">
        <v>8.4799999999999997E-3</v>
      </c>
      <c r="BH9">
        <v>8.4799999999999997E-3</v>
      </c>
      <c r="BI9">
        <v>8.4799999999999997E-3</v>
      </c>
      <c r="BJ9">
        <v>1.3769999999999999E-2</v>
      </c>
      <c r="BK9">
        <v>1.3769999999999999E-2</v>
      </c>
      <c r="BL9">
        <v>1.3769999999999999E-2</v>
      </c>
      <c r="BM9">
        <v>1.3769999999999999E-2</v>
      </c>
      <c r="BN9">
        <v>1.3769999999999999E-2</v>
      </c>
      <c r="BO9">
        <v>2.3630000000000002E-2</v>
      </c>
      <c r="BP9">
        <v>2.3630000000000002E-2</v>
      </c>
      <c r="BQ9">
        <v>2.3630000000000002E-2</v>
      </c>
      <c r="BR9">
        <v>2.3630000000000002E-2</v>
      </c>
      <c r="BS9">
        <v>2.3630000000000002E-2</v>
      </c>
      <c r="BT9">
        <v>4.4790000000000003E-2</v>
      </c>
      <c r="BU9">
        <v>4.4790000000000003E-2</v>
      </c>
      <c r="BV9">
        <v>4.4790000000000003E-2</v>
      </c>
      <c r="BW9">
        <v>4.4790000000000003E-2</v>
      </c>
      <c r="BX9">
        <v>4.4790000000000003E-2</v>
      </c>
      <c r="BY9">
        <v>7.6130000000000003E-2</v>
      </c>
      <c r="BZ9">
        <v>7.6130000000000003E-2</v>
      </c>
      <c r="CA9">
        <v>7.6130000000000003E-2</v>
      </c>
      <c r="CB9">
        <v>7.6130000000000003E-2</v>
      </c>
      <c r="CC9">
        <v>7.6130000000000003E-2</v>
      </c>
      <c r="CD9">
        <v>0.14185</v>
      </c>
      <c r="CE9">
        <v>0.14185</v>
      </c>
      <c r="CF9">
        <v>0.14185</v>
      </c>
      <c r="CG9">
        <v>0.14185</v>
      </c>
      <c r="CH9">
        <v>0.14185</v>
      </c>
      <c r="CI9">
        <v>0.23971999999999999</v>
      </c>
      <c r="CJ9">
        <v>0.23971999999999999</v>
      </c>
      <c r="CK9">
        <v>0.23971999999999999</v>
      </c>
      <c r="CL9">
        <v>0.23971999999999999</v>
      </c>
      <c r="CM9">
        <v>0.23971999999999999</v>
      </c>
      <c r="CN9">
        <v>0.36741000000000001</v>
      </c>
      <c r="CO9">
        <v>0.36741000000000001</v>
      </c>
      <c r="CP9">
        <v>0.36741000000000001</v>
      </c>
      <c r="CQ9">
        <v>0.36741000000000001</v>
      </c>
      <c r="CR9">
        <v>0.36741000000000001</v>
      </c>
      <c r="CS9">
        <v>0.51071</v>
      </c>
      <c r="CT9">
        <v>0.51071</v>
      </c>
      <c r="CU9">
        <v>0.51071</v>
      </c>
      <c r="CV9">
        <v>0.51071</v>
      </c>
      <c r="CW9">
        <v>0.51071</v>
      </c>
      <c r="CX9">
        <v>1</v>
      </c>
    </row>
    <row r="10" spans="1:102" x14ac:dyDescent="0.25">
      <c r="A10" t="s">
        <v>81</v>
      </c>
      <c r="B10">
        <v>3.9500000000000004E-3</v>
      </c>
      <c r="C10">
        <v>1.6000000000000001E-4</v>
      </c>
      <c r="D10">
        <v>1.6000000000000001E-4</v>
      </c>
      <c r="E10">
        <v>1.6000000000000001E-4</v>
      </c>
      <c r="F10">
        <v>1.6000000000000001E-4</v>
      </c>
      <c r="G10">
        <v>9.0000000000000006E-5</v>
      </c>
      <c r="H10">
        <v>9.0000000000000006E-5</v>
      </c>
      <c r="I10">
        <v>9.0000000000000006E-5</v>
      </c>
      <c r="J10">
        <v>9.0000000000000006E-5</v>
      </c>
      <c r="K10">
        <v>9.0000000000000006E-5</v>
      </c>
      <c r="L10">
        <v>1E-4</v>
      </c>
      <c r="M10">
        <v>1E-4</v>
      </c>
      <c r="N10">
        <v>1E-4</v>
      </c>
      <c r="O10">
        <v>1E-4</v>
      </c>
      <c r="P10">
        <v>1E-4</v>
      </c>
      <c r="Q10">
        <v>2.3000000000000001E-4</v>
      </c>
      <c r="R10">
        <v>2.3000000000000001E-4</v>
      </c>
      <c r="S10">
        <v>2.3000000000000001E-4</v>
      </c>
      <c r="T10">
        <v>2.3000000000000001E-4</v>
      </c>
      <c r="U10">
        <v>2.3000000000000001E-4</v>
      </c>
      <c r="V10">
        <v>2.7E-4</v>
      </c>
      <c r="W10">
        <v>2.7E-4</v>
      </c>
      <c r="X10">
        <v>2.7E-4</v>
      </c>
      <c r="Y10">
        <v>2.7E-4</v>
      </c>
      <c r="Z10">
        <v>2.7E-4</v>
      </c>
      <c r="AA10">
        <v>3.3E-4</v>
      </c>
      <c r="AB10">
        <v>3.3E-4</v>
      </c>
      <c r="AC10">
        <v>3.3E-4</v>
      </c>
      <c r="AD10">
        <v>3.3E-4</v>
      </c>
      <c r="AE10">
        <v>3.3E-4</v>
      </c>
      <c r="AF10">
        <v>4.4000000000000002E-4</v>
      </c>
      <c r="AG10">
        <v>4.4000000000000002E-4</v>
      </c>
      <c r="AH10">
        <v>4.4000000000000002E-4</v>
      </c>
      <c r="AI10">
        <v>4.4000000000000002E-4</v>
      </c>
      <c r="AJ10">
        <v>4.4000000000000002E-4</v>
      </c>
      <c r="AK10">
        <v>5.9999999999999995E-4</v>
      </c>
      <c r="AL10">
        <v>5.9999999999999995E-4</v>
      </c>
      <c r="AM10">
        <v>5.9999999999999995E-4</v>
      </c>
      <c r="AN10">
        <v>5.9999999999999995E-4</v>
      </c>
      <c r="AO10">
        <v>5.9999999999999995E-4</v>
      </c>
      <c r="AP10">
        <v>8.8999999999999995E-4</v>
      </c>
      <c r="AQ10">
        <v>8.8999999999999995E-4</v>
      </c>
      <c r="AR10">
        <v>8.8999999999999995E-4</v>
      </c>
      <c r="AS10">
        <v>8.8999999999999995E-4</v>
      </c>
      <c r="AT10">
        <v>8.8999999999999995E-4</v>
      </c>
      <c r="AU10">
        <v>1.3799999999999999E-3</v>
      </c>
      <c r="AV10">
        <v>1.3799999999999999E-3</v>
      </c>
      <c r="AW10">
        <v>1.3799999999999999E-3</v>
      </c>
      <c r="AX10">
        <v>1.3799999999999999E-3</v>
      </c>
      <c r="AY10">
        <v>1.3799999999999999E-3</v>
      </c>
      <c r="AZ10">
        <v>2.0699999999999998E-3</v>
      </c>
      <c r="BA10">
        <v>2.0699999999999998E-3</v>
      </c>
      <c r="BB10">
        <v>2.0699999999999998E-3</v>
      </c>
      <c r="BC10">
        <v>2.0699999999999998E-3</v>
      </c>
      <c r="BD10">
        <v>2.0699999999999998E-3</v>
      </c>
      <c r="BE10">
        <v>3.0100000000000001E-3</v>
      </c>
      <c r="BF10">
        <v>3.0100000000000001E-3</v>
      </c>
      <c r="BG10">
        <v>3.0100000000000001E-3</v>
      </c>
      <c r="BH10">
        <v>3.0100000000000001E-3</v>
      </c>
      <c r="BI10">
        <v>3.0100000000000001E-3</v>
      </c>
      <c r="BJ10">
        <v>5.0800000000000003E-3</v>
      </c>
      <c r="BK10">
        <v>5.0800000000000003E-3</v>
      </c>
      <c r="BL10">
        <v>5.0800000000000003E-3</v>
      </c>
      <c r="BM10">
        <v>5.0800000000000003E-3</v>
      </c>
      <c r="BN10">
        <v>5.0800000000000003E-3</v>
      </c>
      <c r="BO10">
        <v>7.9000000000000008E-3</v>
      </c>
      <c r="BP10">
        <v>7.9000000000000008E-3</v>
      </c>
      <c r="BQ10">
        <v>7.9000000000000008E-3</v>
      </c>
      <c r="BR10">
        <v>7.9000000000000008E-3</v>
      </c>
      <c r="BS10">
        <v>7.9000000000000008E-3</v>
      </c>
      <c r="BT10">
        <v>1.342E-2</v>
      </c>
      <c r="BU10">
        <v>1.342E-2</v>
      </c>
      <c r="BV10">
        <v>1.342E-2</v>
      </c>
      <c r="BW10">
        <v>1.342E-2</v>
      </c>
      <c r="BX10">
        <v>1.342E-2</v>
      </c>
      <c r="BY10">
        <v>2.46E-2</v>
      </c>
      <c r="BZ10">
        <v>2.46E-2</v>
      </c>
      <c r="CA10">
        <v>2.46E-2</v>
      </c>
      <c r="CB10">
        <v>2.46E-2</v>
      </c>
      <c r="CC10">
        <v>2.46E-2</v>
      </c>
      <c r="CD10">
        <v>4.6820000000000001E-2</v>
      </c>
      <c r="CE10">
        <v>4.6820000000000001E-2</v>
      </c>
      <c r="CF10">
        <v>4.6820000000000001E-2</v>
      </c>
      <c r="CG10">
        <v>4.6820000000000001E-2</v>
      </c>
      <c r="CH10">
        <v>4.6820000000000001E-2</v>
      </c>
      <c r="CI10">
        <v>8.5970000000000005E-2</v>
      </c>
      <c r="CJ10">
        <v>8.5970000000000005E-2</v>
      </c>
      <c r="CK10">
        <v>8.5970000000000005E-2</v>
      </c>
      <c r="CL10">
        <v>8.5970000000000005E-2</v>
      </c>
      <c r="CM10">
        <v>8.5970000000000005E-2</v>
      </c>
      <c r="CN10">
        <v>0.15235000000000001</v>
      </c>
      <c r="CO10">
        <v>0.15235000000000001</v>
      </c>
      <c r="CP10">
        <v>0.15235000000000001</v>
      </c>
      <c r="CQ10">
        <v>0.15235000000000001</v>
      </c>
      <c r="CR10">
        <v>0.15235000000000001</v>
      </c>
      <c r="CS10">
        <v>0.26052999999999998</v>
      </c>
      <c r="CT10">
        <v>0.26052999999999998</v>
      </c>
      <c r="CU10">
        <v>0.26052999999999998</v>
      </c>
      <c r="CV10">
        <v>0.26052999999999998</v>
      </c>
      <c r="CW10">
        <v>0.26052999999999998</v>
      </c>
      <c r="CX10">
        <v>1</v>
      </c>
    </row>
    <row r="11" spans="1:102" x14ac:dyDescent="0.25">
      <c r="A11" t="s">
        <v>84</v>
      </c>
      <c r="B11">
        <v>3.5300000000000002E-3</v>
      </c>
      <c r="C11">
        <v>2.2000000000000001E-4</v>
      </c>
      <c r="D11">
        <v>2.2000000000000001E-4</v>
      </c>
      <c r="E11">
        <v>2.2000000000000001E-4</v>
      </c>
      <c r="F11">
        <v>2.2000000000000001E-4</v>
      </c>
      <c r="G11">
        <v>9.0000000000000006E-5</v>
      </c>
      <c r="H11">
        <v>9.0000000000000006E-5</v>
      </c>
      <c r="I11">
        <v>9.0000000000000006E-5</v>
      </c>
      <c r="J11">
        <v>9.0000000000000006E-5</v>
      </c>
      <c r="K11">
        <v>9.0000000000000006E-5</v>
      </c>
      <c r="L11">
        <v>1.1E-4</v>
      </c>
      <c r="M11">
        <v>1.1E-4</v>
      </c>
      <c r="N11">
        <v>1.1E-4</v>
      </c>
      <c r="O11">
        <v>1.1E-4</v>
      </c>
      <c r="P11">
        <v>1.1E-4</v>
      </c>
      <c r="Q11">
        <v>2.1000000000000001E-4</v>
      </c>
      <c r="R11">
        <v>2.1000000000000001E-4</v>
      </c>
      <c r="S11">
        <v>2.1000000000000001E-4</v>
      </c>
      <c r="T11">
        <v>2.1000000000000001E-4</v>
      </c>
      <c r="U11">
        <v>2.1000000000000001E-4</v>
      </c>
      <c r="V11">
        <v>2.5999999999999998E-4</v>
      </c>
      <c r="W11">
        <v>2.5999999999999998E-4</v>
      </c>
      <c r="X11">
        <v>2.5999999999999998E-4</v>
      </c>
      <c r="Y11">
        <v>2.5999999999999998E-4</v>
      </c>
      <c r="Z11">
        <v>2.5999999999999998E-4</v>
      </c>
      <c r="AA11">
        <v>2.7E-4</v>
      </c>
      <c r="AB11">
        <v>2.7E-4</v>
      </c>
      <c r="AC11">
        <v>2.7E-4</v>
      </c>
      <c r="AD11">
        <v>2.7E-4</v>
      </c>
      <c r="AE11">
        <v>2.7E-4</v>
      </c>
      <c r="AF11">
        <v>3.4000000000000002E-4</v>
      </c>
      <c r="AG11">
        <v>3.4000000000000002E-4</v>
      </c>
      <c r="AH11">
        <v>3.4000000000000002E-4</v>
      </c>
      <c r="AI11">
        <v>3.4000000000000002E-4</v>
      </c>
      <c r="AJ11">
        <v>3.4000000000000002E-4</v>
      </c>
      <c r="AK11">
        <v>5.1999999999999995E-4</v>
      </c>
      <c r="AL11">
        <v>5.1999999999999995E-4</v>
      </c>
      <c r="AM11">
        <v>5.1999999999999995E-4</v>
      </c>
      <c r="AN11">
        <v>5.1999999999999995E-4</v>
      </c>
      <c r="AO11">
        <v>5.1999999999999995E-4</v>
      </c>
      <c r="AP11">
        <v>8.4999999999999995E-4</v>
      </c>
      <c r="AQ11">
        <v>8.4999999999999995E-4</v>
      </c>
      <c r="AR11">
        <v>8.4999999999999995E-4</v>
      </c>
      <c r="AS11">
        <v>8.4999999999999995E-4</v>
      </c>
      <c r="AT11">
        <v>8.4999999999999995E-4</v>
      </c>
      <c r="AU11">
        <v>1.5E-3</v>
      </c>
      <c r="AV11">
        <v>1.5E-3</v>
      </c>
      <c r="AW11">
        <v>1.5E-3</v>
      </c>
      <c r="AX11">
        <v>1.5E-3</v>
      </c>
      <c r="AY11">
        <v>1.5E-3</v>
      </c>
      <c r="AZ11">
        <v>2.5999999999999999E-3</v>
      </c>
      <c r="BA11">
        <v>2.5999999999999999E-3</v>
      </c>
      <c r="BB11">
        <v>2.5999999999999999E-3</v>
      </c>
      <c r="BC11">
        <v>2.5999999999999999E-3</v>
      </c>
      <c r="BD11">
        <v>2.5999999999999999E-3</v>
      </c>
      <c r="BE11">
        <v>3.65E-3</v>
      </c>
      <c r="BF11">
        <v>3.65E-3</v>
      </c>
      <c r="BG11">
        <v>3.65E-3</v>
      </c>
      <c r="BH11">
        <v>3.65E-3</v>
      </c>
      <c r="BI11">
        <v>3.65E-3</v>
      </c>
      <c r="BJ11">
        <v>6.1000000000000004E-3</v>
      </c>
      <c r="BK11">
        <v>6.1000000000000004E-3</v>
      </c>
      <c r="BL11">
        <v>6.1000000000000004E-3</v>
      </c>
      <c r="BM11">
        <v>6.1000000000000004E-3</v>
      </c>
      <c r="BN11">
        <v>6.1000000000000004E-3</v>
      </c>
      <c r="BO11">
        <v>9.0200000000000002E-3</v>
      </c>
      <c r="BP11">
        <v>9.0200000000000002E-3</v>
      </c>
      <c r="BQ11">
        <v>9.0200000000000002E-3</v>
      </c>
      <c r="BR11">
        <v>9.0200000000000002E-3</v>
      </c>
      <c r="BS11">
        <v>9.0200000000000002E-3</v>
      </c>
      <c r="BT11">
        <v>1.4290000000000001E-2</v>
      </c>
      <c r="BU11">
        <v>1.4290000000000001E-2</v>
      </c>
      <c r="BV11">
        <v>1.4290000000000001E-2</v>
      </c>
      <c r="BW11">
        <v>1.4290000000000001E-2</v>
      </c>
      <c r="BX11">
        <v>1.4290000000000001E-2</v>
      </c>
      <c r="BY11">
        <v>2.76E-2</v>
      </c>
      <c r="BZ11">
        <v>2.76E-2</v>
      </c>
      <c r="CA11">
        <v>2.76E-2</v>
      </c>
      <c r="CB11">
        <v>2.76E-2</v>
      </c>
      <c r="CC11">
        <v>2.76E-2</v>
      </c>
      <c r="CD11">
        <v>5.6210000000000003E-2</v>
      </c>
      <c r="CE11">
        <v>5.6210000000000003E-2</v>
      </c>
      <c r="CF11">
        <v>5.6210000000000003E-2</v>
      </c>
      <c r="CG11">
        <v>5.6210000000000003E-2</v>
      </c>
      <c r="CH11">
        <v>5.6210000000000003E-2</v>
      </c>
      <c r="CI11">
        <v>0.10675</v>
      </c>
      <c r="CJ11">
        <v>0.10675</v>
      </c>
      <c r="CK11">
        <v>0.10675</v>
      </c>
      <c r="CL11">
        <v>0.10675</v>
      </c>
      <c r="CM11">
        <v>0.10675</v>
      </c>
      <c r="CN11">
        <v>0.18895000000000001</v>
      </c>
      <c r="CO11">
        <v>0.18895000000000001</v>
      </c>
      <c r="CP11">
        <v>0.18895000000000001</v>
      </c>
      <c r="CQ11">
        <v>0.18895000000000001</v>
      </c>
      <c r="CR11">
        <v>0.18895000000000001</v>
      </c>
      <c r="CS11">
        <v>0.31178</v>
      </c>
      <c r="CT11">
        <v>0.31178</v>
      </c>
      <c r="CU11">
        <v>0.31178</v>
      </c>
      <c r="CV11">
        <v>0.31178</v>
      </c>
      <c r="CW11">
        <v>0.31178</v>
      </c>
      <c r="CX11">
        <v>1</v>
      </c>
    </row>
    <row r="12" spans="1:102" x14ac:dyDescent="0.25">
      <c r="A12" t="s">
        <v>86</v>
      </c>
      <c r="B12">
        <v>2.6259999999999999E-2</v>
      </c>
      <c r="C12">
        <v>8.4000000000000003E-4</v>
      </c>
      <c r="D12">
        <v>8.4000000000000003E-4</v>
      </c>
      <c r="E12">
        <v>8.4000000000000003E-4</v>
      </c>
      <c r="F12">
        <v>8.4000000000000003E-4</v>
      </c>
      <c r="G12">
        <v>4.4000000000000002E-4</v>
      </c>
      <c r="H12">
        <v>4.4000000000000002E-4</v>
      </c>
      <c r="I12">
        <v>4.4000000000000002E-4</v>
      </c>
      <c r="J12">
        <v>4.4000000000000002E-4</v>
      </c>
      <c r="K12">
        <v>4.4000000000000002E-4</v>
      </c>
      <c r="L12">
        <v>4.0000000000000002E-4</v>
      </c>
      <c r="M12">
        <v>4.0000000000000002E-4</v>
      </c>
      <c r="N12">
        <v>4.0000000000000002E-4</v>
      </c>
      <c r="O12">
        <v>4.0000000000000002E-4</v>
      </c>
      <c r="P12">
        <v>4.0000000000000002E-4</v>
      </c>
      <c r="Q12">
        <v>5.2999999999999998E-4</v>
      </c>
      <c r="R12">
        <v>5.2999999999999998E-4</v>
      </c>
      <c r="S12">
        <v>5.2999999999999998E-4</v>
      </c>
      <c r="T12">
        <v>5.2999999999999998E-4</v>
      </c>
      <c r="U12">
        <v>5.2999999999999998E-4</v>
      </c>
      <c r="V12">
        <v>6.8000000000000005E-4</v>
      </c>
      <c r="W12">
        <v>6.8000000000000005E-4</v>
      </c>
      <c r="X12">
        <v>6.8000000000000005E-4</v>
      </c>
      <c r="Y12">
        <v>6.8000000000000005E-4</v>
      </c>
      <c r="Z12">
        <v>6.8000000000000005E-4</v>
      </c>
      <c r="AA12">
        <v>8.3000000000000001E-4</v>
      </c>
      <c r="AB12">
        <v>8.3000000000000001E-4</v>
      </c>
      <c r="AC12">
        <v>8.3000000000000001E-4</v>
      </c>
      <c r="AD12">
        <v>8.3000000000000001E-4</v>
      </c>
      <c r="AE12">
        <v>8.3000000000000001E-4</v>
      </c>
      <c r="AF12">
        <v>1.0200000000000001E-3</v>
      </c>
      <c r="AG12">
        <v>1.0200000000000001E-3</v>
      </c>
      <c r="AH12">
        <v>1.0200000000000001E-3</v>
      </c>
      <c r="AI12">
        <v>1.0200000000000001E-3</v>
      </c>
      <c r="AJ12">
        <v>1.0200000000000001E-3</v>
      </c>
      <c r="AK12">
        <v>1.67E-3</v>
      </c>
      <c r="AL12">
        <v>1.67E-3</v>
      </c>
      <c r="AM12">
        <v>1.67E-3</v>
      </c>
      <c r="AN12">
        <v>1.67E-3</v>
      </c>
      <c r="AO12">
        <v>1.67E-3</v>
      </c>
      <c r="AP12">
        <v>2.2200000000000002E-3</v>
      </c>
      <c r="AQ12">
        <v>2.2200000000000002E-3</v>
      </c>
      <c r="AR12">
        <v>2.2200000000000002E-3</v>
      </c>
      <c r="AS12">
        <v>2.2200000000000002E-3</v>
      </c>
      <c r="AT12">
        <v>2.2200000000000002E-3</v>
      </c>
      <c r="AU12">
        <v>3.6800000000000001E-3</v>
      </c>
      <c r="AV12">
        <v>3.6800000000000001E-3</v>
      </c>
      <c r="AW12">
        <v>3.6800000000000001E-3</v>
      </c>
      <c r="AX12">
        <v>3.6800000000000001E-3</v>
      </c>
      <c r="AY12">
        <v>3.6800000000000001E-3</v>
      </c>
      <c r="AZ12">
        <v>6.3699999999999998E-3</v>
      </c>
      <c r="BA12">
        <v>6.3699999999999998E-3</v>
      </c>
      <c r="BB12">
        <v>6.3699999999999998E-3</v>
      </c>
      <c r="BC12">
        <v>6.3699999999999998E-3</v>
      </c>
      <c r="BD12">
        <v>6.3699999999999998E-3</v>
      </c>
      <c r="BE12">
        <v>1.174E-2</v>
      </c>
      <c r="BF12">
        <v>1.174E-2</v>
      </c>
      <c r="BG12">
        <v>1.174E-2</v>
      </c>
      <c r="BH12">
        <v>1.174E-2</v>
      </c>
      <c r="BI12">
        <v>1.174E-2</v>
      </c>
      <c r="BJ12">
        <v>1.821E-2</v>
      </c>
      <c r="BK12">
        <v>1.821E-2</v>
      </c>
      <c r="BL12">
        <v>1.821E-2</v>
      </c>
      <c r="BM12">
        <v>1.821E-2</v>
      </c>
      <c r="BN12">
        <v>1.821E-2</v>
      </c>
      <c r="BO12">
        <v>3.4729999999999997E-2</v>
      </c>
      <c r="BP12">
        <v>3.4729999999999997E-2</v>
      </c>
      <c r="BQ12">
        <v>3.4729999999999997E-2</v>
      </c>
      <c r="BR12">
        <v>3.4729999999999997E-2</v>
      </c>
      <c r="BS12">
        <v>3.4729999999999997E-2</v>
      </c>
      <c r="BT12">
        <v>5.8610000000000002E-2</v>
      </c>
      <c r="BU12">
        <v>5.8610000000000002E-2</v>
      </c>
      <c r="BV12">
        <v>5.8610000000000002E-2</v>
      </c>
      <c r="BW12">
        <v>5.8610000000000002E-2</v>
      </c>
      <c r="BX12">
        <v>5.8610000000000002E-2</v>
      </c>
      <c r="BY12">
        <v>0.10188</v>
      </c>
      <c r="BZ12">
        <v>0.10188</v>
      </c>
      <c r="CA12">
        <v>0.10188</v>
      </c>
      <c r="CB12">
        <v>0.10188</v>
      </c>
      <c r="CC12">
        <v>0.10188</v>
      </c>
      <c r="CD12">
        <v>0.15126000000000001</v>
      </c>
      <c r="CE12">
        <v>0.15126000000000001</v>
      </c>
      <c r="CF12">
        <v>0.15126000000000001</v>
      </c>
      <c r="CG12">
        <v>0.15126000000000001</v>
      </c>
      <c r="CH12">
        <v>0.15126000000000001</v>
      </c>
      <c r="CI12">
        <v>0.21925</v>
      </c>
      <c r="CJ12">
        <v>0.21925</v>
      </c>
      <c r="CK12">
        <v>0.21925</v>
      </c>
      <c r="CL12">
        <v>0.21925</v>
      </c>
      <c r="CM12">
        <v>0.21925</v>
      </c>
      <c r="CN12">
        <v>0.31029000000000001</v>
      </c>
      <c r="CO12">
        <v>0.31029000000000001</v>
      </c>
      <c r="CP12">
        <v>0.31029000000000001</v>
      </c>
      <c r="CQ12">
        <v>0.31029000000000001</v>
      </c>
      <c r="CR12">
        <v>0.31029000000000001</v>
      </c>
      <c r="CS12">
        <v>0.42875000000000002</v>
      </c>
      <c r="CT12">
        <v>0.42875000000000002</v>
      </c>
      <c r="CU12">
        <v>0.42875000000000002</v>
      </c>
      <c r="CV12">
        <v>0.42875000000000002</v>
      </c>
      <c r="CW12">
        <v>0.42875000000000002</v>
      </c>
      <c r="CX12">
        <v>1</v>
      </c>
    </row>
    <row r="13" spans="1:102" x14ac:dyDescent="0.25">
      <c r="A13" t="s">
        <v>88</v>
      </c>
      <c r="B13">
        <v>8.4200000000000004E-3</v>
      </c>
      <c r="C13">
        <v>9.2000000000000003E-4</v>
      </c>
      <c r="D13">
        <v>9.2000000000000003E-4</v>
      </c>
      <c r="E13">
        <v>9.2000000000000003E-4</v>
      </c>
      <c r="F13">
        <v>9.2000000000000003E-4</v>
      </c>
      <c r="G13">
        <v>2.1000000000000001E-4</v>
      </c>
      <c r="H13">
        <v>2.1000000000000001E-4</v>
      </c>
      <c r="I13">
        <v>2.1000000000000001E-4</v>
      </c>
      <c r="J13">
        <v>2.1000000000000001E-4</v>
      </c>
      <c r="K13">
        <v>2.1000000000000001E-4</v>
      </c>
      <c r="L13">
        <v>1.7000000000000001E-4</v>
      </c>
      <c r="M13">
        <v>1.7000000000000001E-4</v>
      </c>
      <c r="N13">
        <v>1.7000000000000001E-4</v>
      </c>
      <c r="O13">
        <v>1.7000000000000001E-4</v>
      </c>
      <c r="P13">
        <v>1.7000000000000001E-4</v>
      </c>
      <c r="Q13">
        <v>5.4000000000000001E-4</v>
      </c>
      <c r="R13">
        <v>5.4000000000000001E-4</v>
      </c>
      <c r="S13">
        <v>5.4000000000000001E-4</v>
      </c>
      <c r="T13">
        <v>5.4000000000000001E-4</v>
      </c>
      <c r="U13">
        <v>5.4000000000000001E-4</v>
      </c>
      <c r="V13">
        <v>7.1000000000000002E-4</v>
      </c>
      <c r="W13">
        <v>7.1000000000000002E-4</v>
      </c>
      <c r="X13">
        <v>7.1000000000000002E-4</v>
      </c>
      <c r="Y13">
        <v>7.1000000000000002E-4</v>
      </c>
      <c r="Z13">
        <v>7.1000000000000002E-4</v>
      </c>
      <c r="AA13">
        <v>1.32E-3</v>
      </c>
      <c r="AB13">
        <v>1.32E-3</v>
      </c>
      <c r="AC13">
        <v>1.32E-3</v>
      </c>
      <c r="AD13">
        <v>1.32E-3</v>
      </c>
      <c r="AE13">
        <v>1.32E-3</v>
      </c>
      <c r="AF13">
        <v>1.74E-3</v>
      </c>
      <c r="AG13">
        <v>1.74E-3</v>
      </c>
      <c r="AH13">
        <v>1.74E-3</v>
      </c>
      <c r="AI13">
        <v>1.74E-3</v>
      </c>
      <c r="AJ13">
        <v>1.74E-3</v>
      </c>
      <c r="AK13">
        <v>2.81E-3</v>
      </c>
      <c r="AL13">
        <v>2.81E-3</v>
      </c>
      <c r="AM13">
        <v>2.81E-3</v>
      </c>
      <c r="AN13">
        <v>2.81E-3</v>
      </c>
      <c r="AO13">
        <v>2.81E-3</v>
      </c>
      <c r="AP13">
        <v>2.9399999999999999E-3</v>
      </c>
      <c r="AQ13">
        <v>2.9399999999999999E-3</v>
      </c>
      <c r="AR13">
        <v>2.9399999999999999E-3</v>
      </c>
      <c r="AS13">
        <v>2.9399999999999999E-3</v>
      </c>
      <c r="AT13">
        <v>2.9399999999999999E-3</v>
      </c>
      <c r="AU13">
        <v>4.3699999999999998E-3</v>
      </c>
      <c r="AV13">
        <v>4.3699999999999998E-3</v>
      </c>
      <c r="AW13">
        <v>4.3699999999999998E-3</v>
      </c>
      <c r="AX13">
        <v>4.3699999999999998E-3</v>
      </c>
      <c r="AY13">
        <v>4.3699999999999998E-3</v>
      </c>
      <c r="AZ13">
        <v>5.3099999999999996E-3</v>
      </c>
      <c r="BA13">
        <v>5.3099999999999996E-3</v>
      </c>
      <c r="BB13">
        <v>5.3099999999999996E-3</v>
      </c>
      <c r="BC13">
        <v>5.3099999999999996E-3</v>
      </c>
      <c r="BD13">
        <v>5.3099999999999996E-3</v>
      </c>
      <c r="BE13">
        <v>7.1500000000000001E-3</v>
      </c>
      <c r="BF13">
        <v>7.1500000000000001E-3</v>
      </c>
      <c r="BG13">
        <v>7.1500000000000001E-3</v>
      </c>
      <c r="BH13">
        <v>7.1500000000000001E-3</v>
      </c>
      <c r="BI13">
        <v>7.1500000000000001E-3</v>
      </c>
      <c r="BJ13">
        <v>8.9899999999999997E-3</v>
      </c>
      <c r="BK13">
        <v>8.9899999999999997E-3</v>
      </c>
      <c r="BL13">
        <v>8.9899999999999997E-3</v>
      </c>
      <c r="BM13">
        <v>8.9899999999999997E-3</v>
      </c>
      <c r="BN13">
        <v>8.9899999999999997E-3</v>
      </c>
      <c r="BO13">
        <v>1.3350000000000001E-2</v>
      </c>
      <c r="BP13">
        <v>1.3350000000000001E-2</v>
      </c>
      <c r="BQ13">
        <v>1.3350000000000001E-2</v>
      </c>
      <c r="BR13">
        <v>1.3350000000000001E-2</v>
      </c>
      <c r="BS13">
        <v>1.3350000000000001E-2</v>
      </c>
      <c r="BT13">
        <v>2.2440000000000002E-2</v>
      </c>
      <c r="BU13">
        <v>2.2440000000000002E-2</v>
      </c>
      <c r="BV13">
        <v>2.2440000000000002E-2</v>
      </c>
      <c r="BW13">
        <v>2.2440000000000002E-2</v>
      </c>
      <c r="BX13">
        <v>2.2440000000000002E-2</v>
      </c>
      <c r="BY13">
        <v>3.2960000000000003E-2</v>
      </c>
      <c r="BZ13">
        <v>3.2960000000000003E-2</v>
      </c>
      <c r="CA13">
        <v>3.2960000000000003E-2</v>
      </c>
      <c r="CB13">
        <v>3.2960000000000003E-2</v>
      </c>
      <c r="CC13">
        <v>3.2960000000000003E-2</v>
      </c>
      <c r="CD13">
        <v>5.3409999999999999E-2</v>
      </c>
      <c r="CE13">
        <v>5.3409999999999999E-2</v>
      </c>
      <c r="CF13">
        <v>5.3409999999999999E-2</v>
      </c>
      <c r="CG13">
        <v>5.3409999999999999E-2</v>
      </c>
      <c r="CH13">
        <v>5.3409999999999999E-2</v>
      </c>
      <c r="CI13">
        <v>8.7410000000000002E-2</v>
      </c>
      <c r="CJ13">
        <v>8.7410000000000002E-2</v>
      </c>
      <c r="CK13">
        <v>8.7410000000000002E-2</v>
      </c>
      <c r="CL13">
        <v>8.7410000000000002E-2</v>
      </c>
      <c r="CM13">
        <v>8.7410000000000002E-2</v>
      </c>
      <c r="CN13">
        <v>0.14449000000000001</v>
      </c>
      <c r="CO13">
        <v>0.14449000000000001</v>
      </c>
      <c r="CP13">
        <v>0.14449000000000001</v>
      </c>
      <c r="CQ13">
        <v>0.14449000000000001</v>
      </c>
      <c r="CR13">
        <v>0.14449000000000001</v>
      </c>
      <c r="CS13">
        <v>0.24124999999999999</v>
      </c>
      <c r="CT13">
        <v>0.24124999999999999</v>
      </c>
      <c r="CU13">
        <v>0.24124999999999999</v>
      </c>
      <c r="CV13">
        <v>0.24124999999999999</v>
      </c>
      <c r="CW13">
        <v>0.24124999999999999</v>
      </c>
      <c r="CX13">
        <v>1</v>
      </c>
    </row>
    <row r="14" spans="1:102" x14ac:dyDescent="0.25">
      <c r="A14" t="s">
        <v>90</v>
      </c>
      <c r="B14">
        <v>8.9700000000000005E-3</v>
      </c>
      <c r="C14">
        <v>6.3000000000000003E-4</v>
      </c>
      <c r="D14">
        <v>6.3000000000000003E-4</v>
      </c>
      <c r="E14">
        <v>6.3000000000000003E-4</v>
      </c>
      <c r="F14">
        <v>6.3000000000000003E-4</v>
      </c>
      <c r="G14">
        <v>2.2000000000000001E-4</v>
      </c>
      <c r="H14">
        <v>2.2000000000000001E-4</v>
      </c>
      <c r="I14">
        <v>2.2000000000000001E-4</v>
      </c>
      <c r="J14">
        <v>2.2000000000000001E-4</v>
      </c>
      <c r="K14">
        <v>2.2000000000000001E-4</v>
      </c>
      <c r="L14">
        <v>1E-4</v>
      </c>
      <c r="M14">
        <v>1E-4</v>
      </c>
      <c r="N14">
        <v>1E-4</v>
      </c>
      <c r="O14">
        <v>1E-4</v>
      </c>
      <c r="P14">
        <v>1E-4</v>
      </c>
      <c r="Q14">
        <v>2.7E-4</v>
      </c>
      <c r="R14">
        <v>2.7E-4</v>
      </c>
      <c r="S14">
        <v>2.7E-4</v>
      </c>
      <c r="T14">
        <v>2.7E-4</v>
      </c>
      <c r="U14">
        <v>2.7E-4</v>
      </c>
      <c r="V14">
        <v>4.2000000000000002E-4</v>
      </c>
      <c r="W14">
        <v>4.2000000000000002E-4</v>
      </c>
      <c r="X14">
        <v>4.2000000000000002E-4</v>
      </c>
      <c r="Y14">
        <v>4.2000000000000002E-4</v>
      </c>
      <c r="Z14">
        <v>4.2000000000000002E-4</v>
      </c>
      <c r="AA14">
        <v>4.8999999999999998E-4</v>
      </c>
      <c r="AB14">
        <v>4.8999999999999998E-4</v>
      </c>
      <c r="AC14">
        <v>4.8999999999999998E-4</v>
      </c>
      <c r="AD14">
        <v>4.8999999999999998E-4</v>
      </c>
      <c r="AE14">
        <v>4.8999999999999998E-4</v>
      </c>
      <c r="AF14">
        <v>5.1000000000000004E-4</v>
      </c>
      <c r="AG14">
        <v>5.1000000000000004E-4</v>
      </c>
      <c r="AH14">
        <v>5.1000000000000004E-4</v>
      </c>
      <c r="AI14">
        <v>5.1000000000000004E-4</v>
      </c>
      <c r="AJ14">
        <v>5.1000000000000004E-4</v>
      </c>
      <c r="AK14">
        <v>7.2999999999999996E-4</v>
      </c>
      <c r="AL14">
        <v>7.2999999999999996E-4</v>
      </c>
      <c r="AM14">
        <v>7.2999999999999996E-4</v>
      </c>
      <c r="AN14">
        <v>7.2999999999999996E-4</v>
      </c>
      <c r="AO14">
        <v>7.2999999999999996E-4</v>
      </c>
      <c r="AP14">
        <v>1.2999999999999999E-3</v>
      </c>
      <c r="AQ14">
        <v>1.2999999999999999E-3</v>
      </c>
      <c r="AR14">
        <v>1.2999999999999999E-3</v>
      </c>
      <c r="AS14">
        <v>1.2999999999999999E-3</v>
      </c>
      <c r="AT14">
        <v>1.2999999999999999E-3</v>
      </c>
      <c r="AU14">
        <v>2.2699999999999999E-3</v>
      </c>
      <c r="AV14">
        <v>2.2699999999999999E-3</v>
      </c>
      <c r="AW14">
        <v>2.2699999999999999E-3</v>
      </c>
      <c r="AX14">
        <v>2.2699999999999999E-3</v>
      </c>
      <c r="AY14">
        <v>2.2699999999999999E-3</v>
      </c>
      <c r="AZ14">
        <v>3.7699999999999999E-3</v>
      </c>
      <c r="BA14">
        <v>3.7699999999999999E-3</v>
      </c>
      <c r="BB14">
        <v>3.7699999999999999E-3</v>
      </c>
      <c r="BC14">
        <v>3.7699999999999999E-3</v>
      </c>
      <c r="BD14">
        <v>3.7699999999999999E-3</v>
      </c>
      <c r="BE14">
        <v>8.5000000000000006E-3</v>
      </c>
      <c r="BF14">
        <v>8.5000000000000006E-3</v>
      </c>
      <c r="BG14">
        <v>8.5000000000000006E-3</v>
      </c>
      <c r="BH14">
        <v>8.5000000000000006E-3</v>
      </c>
      <c r="BI14">
        <v>8.5000000000000006E-3</v>
      </c>
      <c r="BJ14">
        <v>9.3799999999999994E-3</v>
      </c>
      <c r="BK14">
        <v>9.3799999999999994E-3</v>
      </c>
      <c r="BL14">
        <v>9.3799999999999994E-3</v>
      </c>
      <c r="BM14">
        <v>9.3799999999999994E-3</v>
      </c>
      <c r="BN14">
        <v>9.3799999999999994E-3</v>
      </c>
      <c r="BO14">
        <v>2.4060000000000002E-2</v>
      </c>
      <c r="BP14">
        <v>2.4060000000000002E-2</v>
      </c>
      <c r="BQ14">
        <v>2.4060000000000002E-2</v>
      </c>
      <c r="BR14">
        <v>2.4060000000000002E-2</v>
      </c>
      <c r="BS14">
        <v>2.4060000000000002E-2</v>
      </c>
      <c r="BT14">
        <v>5.1839999999999997E-2</v>
      </c>
      <c r="BU14">
        <v>5.1839999999999997E-2</v>
      </c>
      <c r="BV14">
        <v>5.1839999999999997E-2</v>
      </c>
      <c r="BW14">
        <v>5.1839999999999997E-2</v>
      </c>
      <c r="BX14">
        <v>5.1839999999999997E-2</v>
      </c>
      <c r="BY14">
        <v>0.10116</v>
      </c>
      <c r="BZ14">
        <v>0.10116</v>
      </c>
      <c r="CA14">
        <v>0.10116</v>
      </c>
      <c r="CB14">
        <v>0.10116</v>
      </c>
      <c r="CC14">
        <v>0.10116</v>
      </c>
      <c r="CD14">
        <v>8.8059999999999999E-2</v>
      </c>
      <c r="CE14">
        <v>8.8059999999999999E-2</v>
      </c>
      <c r="CF14">
        <v>8.8059999999999999E-2</v>
      </c>
      <c r="CG14">
        <v>8.8059999999999999E-2</v>
      </c>
      <c r="CH14">
        <v>8.8059999999999999E-2</v>
      </c>
      <c r="CI14">
        <v>9.2700000000000005E-2</v>
      </c>
      <c r="CJ14">
        <v>9.2700000000000005E-2</v>
      </c>
      <c r="CK14">
        <v>9.2700000000000005E-2</v>
      </c>
      <c r="CL14">
        <v>9.2700000000000005E-2</v>
      </c>
      <c r="CM14">
        <v>9.2700000000000005E-2</v>
      </c>
      <c r="CN14">
        <v>0.11799999999999999</v>
      </c>
      <c r="CO14">
        <v>0.11799999999999999</v>
      </c>
      <c r="CP14">
        <v>0.11799999999999999</v>
      </c>
      <c r="CQ14">
        <v>0.11799999999999999</v>
      </c>
      <c r="CR14">
        <v>0.11799999999999999</v>
      </c>
      <c r="CS14">
        <v>0.18164</v>
      </c>
      <c r="CT14">
        <v>0.18164</v>
      </c>
      <c r="CU14">
        <v>0.18164</v>
      </c>
      <c r="CV14">
        <v>0.18164</v>
      </c>
      <c r="CW14">
        <v>0.18164</v>
      </c>
      <c r="CX14">
        <v>1</v>
      </c>
    </row>
    <row r="15" spans="1:102" x14ac:dyDescent="0.25">
      <c r="A15" t="s">
        <v>92</v>
      </c>
      <c r="B15">
        <v>3.9750000000000001E-2</v>
      </c>
      <c r="C15">
        <v>3.1700000000000001E-3</v>
      </c>
      <c r="D15">
        <v>3.1700000000000001E-3</v>
      </c>
      <c r="E15">
        <v>3.1700000000000001E-3</v>
      </c>
      <c r="F15">
        <v>3.1700000000000001E-3</v>
      </c>
      <c r="G15">
        <v>1.17E-3</v>
      </c>
      <c r="H15">
        <v>1.17E-3</v>
      </c>
      <c r="I15">
        <v>1.17E-3</v>
      </c>
      <c r="J15">
        <v>1.17E-3</v>
      </c>
      <c r="K15">
        <v>1.17E-3</v>
      </c>
      <c r="L15">
        <v>8.9999999999999998E-4</v>
      </c>
      <c r="M15">
        <v>8.9999999999999998E-4</v>
      </c>
      <c r="N15">
        <v>8.9999999999999998E-4</v>
      </c>
      <c r="O15">
        <v>8.9999999999999998E-4</v>
      </c>
      <c r="P15">
        <v>8.9999999999999998E-4</v>
      </c>
      <c r="Q15">
        <v>1.58E-3</v>
      </c>
      <c r="R15">
        <v>1.58E-3</v>
      </c>
      <c r="S15">
        <v>1.58E-3</v>
      </c>
      <c r="T15">
        <v>1.58E-3</v>
      </c>
      <c r="U15">
        <v>1.58E-3</v>
      </c>
      <c r="V15">
        <v>2.0400000000000001E-3</v>
      </c>
      <c r="W15">
        <v>2.0400000000000001E-3</v>
      </c>
      <c r="X15">
        <v>2.0400000000000001E-3</v>
      </c>
      <c r="Y15">
        <v>2.0400000000000001E-3</v>
      </c>
      <c r="Z15">
        <v>2.0400000000000001E-3</v>
      </c>
      <c r="AA15">
        <v>2.32E-3</v>
      </c>
      <c r="AB15">
        <v>2.32E-3</v>
      </c>
      <c r="AC15">
        <v>2.32E-3</v>
      </c>
      <c r="AD15">
        <v>2.32E-3</v>
      </c>
      <c r="AE15">
        <v>2.32E-3</v>
      </c>
      <c r="AF15">
        <v>2.8600000000000001E-3</v>
      </c>
      <c r="AG15">
        <v>2.8600000000000001E-3</v>
      </c>
      <c r="AH15">
        <v>2.8600000000000001E-3</v>
      </c>
      <c r="AI15">
        <v>2.8600000000000001E-3</v>
      </c>
      <c r="AJ15">
        <v>2.8600000000000001E-3</v>
      </c>
      <c r="AK15">
        <v>3.8500000000000001E-3</v>
      </c>
      <c r="AL15">
        <v>3.8500000000000001E-3</v>
      </c>
      <c r="AM15">
        <v>3.8500000000000001E-3</v>
      </c>
      <c r="AN15">
        <v>3.8500000000000001E-3</v>
      </c>
      <c r="AO15">
        <v>3.8500000000000001E-3</v>
      </c>
      <c r="AP15">
        <v>5.28E-3</v>
      </c>
      <c r="AQ15">
        <v>5.28E-3</v>
      </c>
      <c r="AR15">
        <v>5.28E-3</v>
      </c>
      <c r="AS15">
        <v>5.28E-3</v>
      </c>
      <c r="AT15">
        <v>5.28E-3</v>
      </c>
      <c r="AU15">
        <v>7.2899999999999996E-3</v>
      </c>
      <c r="AV15">
        <v>7.2899999999999996E-3</v>
      </c>
      <c r="AW15">
        <v>7.2899999999999996E-3</v>
      </c>
      <c r="AX15">
        <v>7.2899999999999996E-3</v>
      </c>
      <c r="AY15">
        <v>7.2899999999999996E-3</v>
      </c>
      <c r="AZ15">
        <v>1.0290000000000001E-2</v>
      </c>
      <c r="BA15">
        <v>1.0290000000000001E-2</v>
      </c>
      <c r="BB15">
        <v>1.0290000000000001E-2</v>
      </c>
      <c r="BC15">
        <v>1.0290000000000001E-2</v>
      </c>
      <c r="BD15">
        <v>1.0290000000000001E-2</v>
      </c>
      <c r="BE15">
        <v>1.4710000000000001E-2</v>
      </c>
      <c r="BF15">
        <v>1.4710000000000001E-2</v>
      </c>
      <c r="BG15">
        <v>1.4710000000000001E-2</v>
      </c>
      <c r="BH15">
        <v>1.4710000000000001E-2</v>
      </c>
      <c r="BI15">
        <v>1.4710000000000001E-2</v>
      </c>
      <c r="BJ15">
        <v>2.1129999999999999E-2</v>
      </c>
      <c r="BK15">
        <v>2.1129999999999999E-2</v>
      </c>
      <c r="BL15">
        <v>2.1129999999999999E-2</v>
      </c>
      <c r="BM15">
        <v>2.1129999999999999E-2</v>
      </c>
      <c r="BN15">
        <v>2.1129999999999999E-2</v>
      </c>
      <c r="BO15">
        <v>3.2390000000000002E-2</v>
      </c>
      <c r="BP15">
        <v>3.2390000000000002E-2</v>
      </c>
      <c r="BQ15">
        <v>3.2390000000000002E-2</v>
      </c>
      <c r="BR15">
        <v>3.2390000000000002E-2</v>
      </c>
      <c r="BS15">
        <v>3.2390000000000002E-2</v>
      </c>
      <c r="BT15">
        <v>5.1659999999999998E-2</v>
      </c>
      <c r="BU15">
        <v>5.1659999999999998E-2</v>
      </c>
      <c r="BV15">
        <v>5.1659999999999998E-2</v>
      </c>
      <c r="BW15">
        <v>5.1659999999999998E-2</v>
      </c>
      <c r="BX15">
        <v>5.1659999999999998E-2</v>
      </c>
      <c r="BY15">
        <v>8.1790000000000002E-2</v>
      </c>
      <c r="BZ15">
        <v>8.1790000000000002E-2</v>
      </c>
      <c r="CA15">
        <v>8.1790000000000002E-2</v>
      </c>
      <c r="CB15">
        <v>8.1790000000000002E-2</v>
      </c>
      <c r="CC15">
        <v>8.1790000000000002E-2</v>
      </c>
      <c r="CD15">
        <v>0.12942000000000001</v>
      </c>
      <c r="CE15">
        <v>0.12942000000000001</v>
      </c>
      <c r="CF15">
        <v>0.12942000000000001</v>
      </c>
      <c r="CG15">
        <v>0.12942000000000001</v>
      </c>
      <c r="CH15">
        <v>0.12942000000000001</v>
      </c>
      <c r="CI15">
        <v>0.19744</v>
      </c>
      <c r="CJ15">
        <v>0.19744</v>
      </c>
      <c r="CK15">
        <v>0.19744</v>
      </c>
      <c r="CL15">
        <v>0.19744</v>
      </c>
      <c r="CM15">
        <v>0.19744</v>
      </c>
      <c r="CN15">
        <v>0.29038999999999998</v>
      </c>
      <c r="CO15">
        <v>0.29038999999999998</v>
      </c>
      <c r="CP15">
        <v>0.29038999999999998</v>
      </c>
      <c r="CQ15">
        <v>0.29038999999999998</v>
      </c>
      <c r="CR15">
        <v>0.29038999999999998</v>
      </c>
      <c r="CS15">
        <v>0.41176000000000001</v>
      </c>
      <c r="CT15">
        <v>0.41176000000000001</v>
      </c>
      <c r="CU15">
        <v>0.41176000000000001</v>
      </c>
      <c r="CV15">
        <v>0.41176000000000001</v>
      </c>
      <c r="CW15">
        <v>0.41176000000000001</v>
      </c>
      <c r="CX15">
        <v>1</v>
      </c>
    </row>
    <row r="16" spans="1:102" x14ac:dyDescent="0.25">
      <c r="A16" t="s">
        <v>95</v>
      </c>
      <c r="B16">
        <v>9.5399999999999999E-3</v>
      </c>
      <c r="C16">
        <v>3.1E-4</v>
      </c>
      <c r="D16">
        <v>3.1E-4</v>
      </c>
      <c r="E16">
        <v>3.1E-4</v>
      </c>
      <c r="F16">
        <v>3.1E-4</v>
      </c>
      <c r="G16">
        <v>1.8000000000000001E-4</v>
      </c>
      <c r="H16">
        <v>1.8000000000000001E-4</v>
      </c>
      <c r="I16">
        <v>1.8000000000000001E-4</v>
      </c>
      <c r="J16">
        <v>1.8000000000000001E-4</v>
      </c>
      <c r="K16">
        <v>1.8000000000000001E-4</v>
      </c>
      <c r="L16">
        <v>1E-4</v>
      </c>
      <c r="M16">
        <v>1E-4</v>
      </c>
      <c r="N16">
        <v>1E-4</v>
      </c>
      <c r="O16">
        <v>1E-4</v>
      </c>
      <c r="P16">
        <v>1E-4</v>
      </c>
      <c r="Q16">
        <v>3.2000000000000003E-4</v>
      </c>
      <c r="R16">
        <v>3.2000000000000003E-4</v>
      </c>
      <c r="S16">
        <v>3.2000000000000003E-4</v>
      </c>
      <c r="T16">
        <v>3.2000000000000003E-4</v>
      </c>
      <c r="U16">
        <v>3.2000000000000003E-4</v>
      </c>
      <c r="V16">
        <v>5.5999999999999995E-4</v>
      </c>
      <c r="W16">
        <v>5.5999999999999995E-4</v>
      </c>
      <c r="X16">
        <v>5.5999999999999995E-4</v>
      </c>
      <c r="Y16">
        <v>5.5999999999999995E-4</v>
      </c>
      <c r="Z16">
        <v>5.5999999999999995E-4</v>
      </c>
      <c r="AA16">
        <v>4.2000000000000002E-4</v>
      </c>
      <c r="AB16">
        <v>4.2000000000000002E-4</v>
      </c>
      <c r="AC16">
        <v>4.2000000000000002E-4</v>
      </c>
      <c r="AD16">
        <v>4.2000000000000002E-4</v>
      </c>
      <c r="AE16">
        <v>4.2000000000000002E-4</v>
      </c>
      <c r="AF16">
        <v>1.3600000000000001E-3</v>
      </c>
      <c r="AG16">
        <v>1.3600000000000001E-3</v>
      </c>
      <c r="AH16">
        <v>1.3600000000000001E-3</v>
      </c>
      <c r="AI16">
        <v>1.3600000000000001E-3</v>
      </c>
      <c r="AJ16">
        <v>1.3600000000000001E-3</v>
      </c>
      <c r="AK16">
        <v>1.31E-3</v>
      </c>
      <c r="AL16">
        <v>1.31E-3</v>
      </c>
      <c r="AM16">
        <v>1.31E-3</v>
      </c>
      <c r="AN16">
        <v>1.31E-3</v>
      </c>
      <c r="AO16">
        <v>1.31E-3</v>
      </c>
      <c r="AP16">
        <v>1.7700000000000001E-3</v>
      </c>
      <c r="AQ16">
        <v>1.7700000000000001E-3</v>
      </c>
      <c r="AR16">
        <v>1.7700000000000001E-3</v>
      </c>
      <c r="AS16">
        <v>1.7700000000000001E-3</v>
      </c>
      <c r="AT16">
        <v>1.7700000000000001E-3</v>
      </c>
      <c r="AU16">
        <v>2.5999999999999999E-3</v>
      </c>
      <c r="AV16">
        <v>2.5999999999999999E-3</v>
      </c>
      <c r="AW16">
        <v>2.5999999999999999E-3</v>
      </c>
      <c r="AX16">
        <v>2.5999999999999999E-3</v>
      </c>
      <c r="AY16">
        <v>2.5999999999999999E-3</v>
      </c>
      <c r="AZ16">
        <v>3.2000000000000002E-3</v>
      </c>
      <c r="BA16">
        <v>3.2000000000000002E-3</v>
      </c>
      <c r="BB16">
        <v>3.2000000000000002E-3</v>
      </c>
      <c r="BC16">
        <v>3.2000000000000002E-3</v>
      </c>
      <c r="BD16">
        <v>3.2000000000000002E-3</v>
      </c>
      <c r="BE16">
        <v>5.2599999999999999E-3</v>
      </c>
      <c r="BF16">
        <v>5.2599999999999999E-3</v>
      </c>
      <c r="BG16">
        <v>5.2599999999999999E-3</v>
      </c>
      <c r="BH16">
        <v>5.2599999999999999E-3</v>
      </c>
      <c r="BI16">
        <v>5.2599999999999999E-3</v>
      </c>
      <c r="BJ16">
        <v>1.0330000000000001E-2</v>
      </c>
      <c r="BK16">
        <v>1.0330000000000001E-2</v>
      </c>
      <c r="BL16">
        <v>1.0330000000000001E-2</v>
      </c>
      <c r="BM16">
        <v>1.0330000000000001E-2</v>
      </c>
      <c r="BN16">
        <v>1.0330000000000001E-2</v>
      </c>
      <c r="BO16">
        <v>1.401E-2</v>
      </c>
      <c r="BP16">
        <v>1.401E-2</v>
      </c>
      <c r="BQ16">
        <v>1.401E-2</v>
      </c>
      <c r="BR16">
        <v>1.401E-2</v>
      </c>
      <c r="BS16">
        <v>1.401E-2</v>
      </c>
      <c r="BT16">
        <v>2.094E-2</v>
      </c>
      <c r="BU16">
        <v>2.094E-2</v>
      </c>
      <c r="BV16">
        <v>2.094E-2</v>
      </c>
      <c r="BW16">
        <v>2.094E-2</v>
      </c>
      <c r="BX16">
        <v>2.094E-2</v>
      </c>
      <c r="BY16">
        <v>3.9530000000000003E-2</v>
      </c>
      <c r="BZ16">
        <v>3.9530000000000003E-2</v>
      </c>
      <c r="CA16">
        <v>3.9530000000000003E-2</v>
      </c>
      <c r="CB16">
        <v>3.9530000000000003E-2</v>
      </c>
      <c r="CC16">
        <v>3.9530000000000003E-2</v>
      </c>
      <c r="CD16">
        <v>6.2979999999999994E-2</v>
      </c>
      <c r="CE16">
        <v>6.2979999999999994E-2</v>
      </c>
      <c r="CF16">
        <v>6.2979999999999994E-2</v>
      </c>
      <c r="CG16">
        <v>6.2979999999999994E-2</v>
      </c>
      <c r="CH16">
        <v>6.2979999999999994E-2</v>
      </c>
      <c r="CI16">
        <v>0.10086000000000001</v>
      </c>
      <c r="CJ16">
        <v>0.10086000000000001</v>
      </c>
      <c r="CK16">
        <v>0.10086000000000001</v>
      </c>
      <c r="CL16">
        <v>0.10086000000000001</v>
      </c>
      <c r="CM16">
        <v>0.10086000000000001</v>
      </c>
      <c r="CN16">
        <v>0.16238</v>
      </c>
      <c r="CO16">
        <v>0.16238</v>
      </c>
      <c r="CP16">
        <v>0.16238</v>
      </c>
      <c r="CQ16">
        <v>0.16238</v>
      </c>
      <c r="CR16">
        <v>0.16238</v>
      </c>
      <c r="CS16">
        <v>0.26282</v>
      </c>
      <c r="CT16">
        <v>0.26282</v>
      </c>
      <c r="CU16">
        <v>0.26282</v>
      </c>
      <c r="CV16">
        <v>0.26282</v>
      </c>
      <c r="CW16">
        <v>0.26282</v>
      </c>
      <c r="CX16">
        <v>1</v>
      </c>
    </row>
    <row r="17" spans="1:102" x14ac:dyDescent="0.25">
      <c r="A17" t="s">
        <v>97</v>
      </c>
      <c r="B17">
        <v>8.7799999999999996E-3</v>
      </c>
      <c r="C17">
        <v>2.7999999999999998E-4</v>
      </c>
      <c r="D17">
        <v>2.7999999999999998E-4</v>
      </c>
      <c r="E17">
        <v>2.7999999999999998E-4</v>
      </c>
      <c r="F17">
        <v>2.7999999999999998E-4</v>
      </c>
      <c r="G17">
        <v>1.2999999999999999E-4</v>
      </c>
      <c r="H17">
        <v>1.2999999999999999E-4</v>
      </c>
      <c r="I17">
        <v>1.2999999999999999E-4</v>
      </c>
      <c r="J17">
        <v>1.2999999999999999E-4</v>
      </c>
      <c r="K17">
        <v>1.2999999999999999E-4</v>
      </c>
      <c r="L17">
        <v>1.3999999999999999E-4</v>
      </c>
      <c r="M17">
        <v>1.3999999999999999E-4</v>
      </c>
      <c r="N17">
        <v>1.3999999999999999E-4</v>
      </c>
      <c r="O17">
        <v>1.3999999999999999E-4</v>
      </c>
      <c r="P17">
        <v>1.3999999999999999E-4</v>
      </c>
      <c r="Q17">
        <v>2.9E-4</v>
      </c>
      <c r="R17">
        <v>2.9E-4</v>
      </c>
      <c r="S17">
        <v>2.9E-4</v>
      </c>
      <c r="T17">
        <v>2.9E-4</v>
      </c>
      <c r="U17">
        <v>2.9E-4</v>
      </c>
      <c r="V17">
        <v>4.4999999999999999E-4</v>
      </c>
      <c r="W17">
        <v>4.4999999999999999E-4</v>
      </c>
      <c r="X17">
        <v>4.4999999999999999E-4</v>
      </c>
      <c r="Y17">
        <v>4.4999999999999999E-4</v>
      </c>
      <c r="Z17">
        <v>4.4999999999999999E-4</v>
      </c>
      <c r="AA17">
        <v>7.7999999999999999E-4</v>
      </c>
      <c r="AB17">
        <v>7.7999999999999999E-4</v>
      </c>
      <c r="AC17">
        <v>7.7999999999999999E-4</v>
      </c>
      <c r="AD17">
        <v>7.7999999999999999E-4</v>
      </c>
      <c r="AE17">
        <v>7.7999999999999999E-4</v>
      </c>
      <c r="AF17">
        <v>1.1000000000000001E-3</v>
      </c>
      <c r="AG17">
        <v>1.1000000000000001E-3</v>
      </c>
      <c r="AH17">
        <v>1.1000000000000001E-3</v>
      </c>
      <c r="AI17">
        <v>1.1000000000000001E-3</v>
      </c>
      <c r="AJ17">
        <v>1.1000000000000001E-3</v>
      </c>
      <c r="AK17">
        <v>1.6999999999999999E-3</v>
      </c>
      <c r="AL17">
        <v>1.6999999999999999E-3</v>
      </c>
      <c r="AM17">
        <v>1.6999999999999999E-3</v>
      </c>
      <c r="AN17">
        <v>1.6999999999999999E-3</v>
      </c>
      <c r="AO17">
        <v>1.6999999999999999E-3</v>
      </c>
      <c r="AP17">
        <v>2.31E-3</v>
      </c>
      <c r="AQ17">
        <v>2.31E-3</v>
      </c>
      <c r="AR17">
        <v>2.31E-3</v>
      </c>
      <c r="AS17">
        <v>2.31E-3</v>
      </c>
      <c r="AT17">
        <v>2.31E-3</v>
      </c>
      <c r="AU17">
        <v>3.5500000000000002E-3</v>
      </c>
      <c r="AV17">
        <v>3.5500000000000002E-3</v>
      </c>
      <c r="AW17">
        <v>3.5500000000000002E-3</v>
      </c>
      <c r="AX17">
        <v>3.5500000000000002E-3</v>
      </c>
      <c r="AY17">
        <v>3.5500000000000002E-3</v>
      </c>
      <c r="AZ17">
        <v>5.7600000000000004E-3</v>
      </c>
      <c r="BA17">
        <v>5.7600000000000004E-3</v>
      </c>
      <c r="BB17">
        <v>5.7600000000000004E-3</v>
      </c>
      <c r="BC17">
        <v>5.7600000000000004E-3</v>
      </c>
      <c r="BD17">
        <v>5.7600000000000004E-3</v>
      </c>
      <c r="BE17">
        <v>8.8500000000000002E-3</v>
      </c>
      <c r="BF17">
        <v>8.8500000000000002E-3</v>
      </c>
      <c r="BG17">
        <v>8.8500000000000002E-3</v>
      </c>
      <c r="BH17">
        <v>8.8500000000000002E-3</v>
      </c>
      <c r="BI17">
        <v>8.8500000000000002E-3</v>
      </c>
      <c r="BJ17">
        <v>1.375E-2</v>
      </c>
      <c r="BK17">
        <v>1.375E-2</v>
      </c>
      <c r="BL17">
        <v>1.375E-2</v>
      </c>
      <c r="BM17">
        <v>1.375E-2</v>
      </c>
      <c r="BN17">
        <v>1.375E-2</v>
      </c>
      <c r="BO17">
        <v>1.9609999999999999E-2</v>
      </c>
      <c r="BP17">
        <v>1.9609999999999999E-2</v>
      </c>
      <c r="BQ17">
        <v>1.9609999999999999E-2</v>
      </c>
      <c r="BR17">
        <v>1.9609999999999999E-2</v>
      </c>
      <c r="BS17">
        <v>1.9609999999999999E-2</v>
      </c>
      <c r="BT17">
        <v>3.1629999999999998E-2</v>
      </c>
      <c r="BU17">
        <v>3.1629999999999998E-2</v>
      </c>
      <c r="BV17">
        <v>3.1629999999999998E-2</v>
      </c>
      <c r="BW17">
        <v>3.1629999999999998E-2</v>
      </c>
      <c r="BX17">
        <v>3.1629999999999998E-2</v>
      </c>
      <c r="BY17">
        <v>5.4190000000000002E-2</v>
      </c>
      <c r="BZ17">
        <v>5.4190000000000002E-2</v>
      </c>
      <c r="CA17">
        <v>5.4190000000000002E-2</v>
      </c>
      <c r="CB17">
        <v>5.4190000000000002E-2</v>
      </c>
      <c r="CC17">
        <v>5.4190000000000002E-2</v>
      </c>
      <c r="CD17">
        <v>9.3649999999999997E-2</v>
      </c>
      <c r="CE17">
        <v>9.3649999999999997E-2</v>
      </c>
      <c r="CF17">
        <v>9.3649999999999997E-2</v>
      </c>
      <c r="CG17">
        <v>9.3649999999999997E-2</v>
      </c>
      <c r="CH17">
        <v>9.3649999999999997E-2</v>
      </c>
      <c r="CI17">
        <v>0.15443000000000001</v>
      </c>
      <c r="CJ17">
        <v>0.15443000000000001</v>
      </c>
      <c r="CK17">
        <v>0.15443000000000001</v>
      </c>
      <c r="CL17">
        <v>0.15443000000000001</v>
      </c>
      <c r="CM17">
        <v>0.15443000000000001</v>
      </c>
      <c r="CN17">
        <v>0.24296999999999999</v>
      </c>
      <c r="CO17">
        <v>0.24296999999999999</v>
      </c>
      <c r="CP17">
        <v>0.24296999999999999</v>
      </c>
      <c r="CQ17">
        <v>0.24296999999999999</v>
      </c>
      <c r="CR17">
        <v>0.24296999999999999</v>
      </c>
      <c r="CS17">
        <v>0.36475999999999997</v>
      </c>
      <c r="CT17">
        <v>0.36475999999999997</v>
      </c>
      <c r="CU17">
        <v>0.36475999999999997</v>
      </c>
      <c r="CV17">
        <v>0.36475999999999997</v>
      </c>
      <c r="CW17">
        <v>0.36475999999999997</v>
      </c>
      <c r="CX17">
        <v>1</v>
      </c>
    </row>
    <row r="18" spans="1:102" x14ac:dyDescent="0.25">
      <c r="A18" t="s">
        <v>99</v>
      </c>
      <c r="B18">
        <v>9.7912499999999996E-3</v>
      </c>
      <c r="C18">
        <v>3.5649999999999999E-4</v>
      </c>
      <c r="D18">
        <v>3.5649999999999999E-4</v>
      </c>
      <c r="E18">
        <v>3.5649999999999999E-4</v>
      </c>
      <c r="F18">
        <v>3.5649999999999999E-4</v>
      </c>
      <c r="G18">
        <v>1.7899999999999999E-4</v>
      </c>
      <c r="H18">
        <v>1.7899999999999999E-4</v>
      </c>
      <c r="I18">
        <v>1.7899999999999999E-4</v>
      </c>
      <c r="J18">
        <v>1.7899999999999999E-4</v>
      </c>
      <c r="K18">
        <v>1.7899999999999999E-4</v>
      </c>
      <c r="L18">
        <v>1.8075E-4</v>
      </c>
      <c r="M18">
        <v>1.8075E-4</v>
      </c>
      <c r="N18">
        <v>1.8075E-4</v>
      </c>
      <c r="O18">
        <v>1.8075E-4</v>
      </c>
      <c r="P18">
        <v>1.8075E-4</v>
      </c>
      <c r="Q18">
        <v>3.0775000000000003E-4</v>
      </c>
      <c r="R18">
        <v>3.0775000000000003E-4</v>
      </c>
      <c r="S18">
        <v>3.0775000000000003E-4</v>
      </c>
      <c r="T18">
        <v>3.0775000000000003E-4</v>
      </c>
      <c r="U18">
        <v>3.0775000000000003E-4</v>
      </c>
      <c r="V18">
        <v>4.2025E-4</v>
      </c>
      <c r="W18">
        <v>4.2025E-4</v>
      </c>
      <c r="X18">
        <v>4.2025E-4</v>
      </c>
      <c r="Y18">
        <v>4.2025E-4</v>
      </c>
      <c r="Z18">
        <v>4.2025E-4</v>
      </c>
      <c r="AA18">
        <v>5.2674999999999998E-4</v>
      </c>
      <c r="AB18">
        <v>5.2674999999999998E-4</v>
      </c>
      <c r="AC18">
        <v>5.2674999999999998E-4</v>
      </c>
      <c r="AD18">
        <v>5.2674999999999998E-4</v>
      </c>
      <c r="AE18">
        <v>5.2674999999999998E-4</v>
      </c>
      <c r="AF18">
        <v>7.3850000000000001E-4</v>
      </c>
      <c r="AG18">
        <v>7.3850000000000001E-4</v>
      </c>
      <c r="AH18">
        <v>7.3850000000000001E-4</v>
      </c>
      <c r="AI18">
        <v>7.3850000000000001E-4</v>
      </c>
      <c r="AJ18">
        <v>7.3850000000000001E-4</v>
      </c>
      <c r="AK18">
        <v>1.0690000000000001E-3</v>
      </c>
      <c r="AL18">
        <v>1.0690000000000001E-3</v>
      </c>
      <c r="AM18">
        <v>1.0690000000000001E-3</v>
      </c>
      <c r="AN18">
        <v>1.0690000000000001E-3</v>
      </c>
      <c r="AO18">
        <v>1.0690000000000001E-3</v>
      </c>
      <c r="AP18">
        <v>1.622E-3</v>
      </c>
      <c r="AQ18">
        <v>1.622E-3</v>
      </c>
      <c r="AR18">
        <v>1.622E-3</v>
      </c>
      <c r="AS18">
        <v>1.622E-3</v>
      </c>
      <c r="AT18">
        <v>1.622E-3</v>
      </c>
      <c r="AU18">
        <v>2.5685E-3</v>
      </c>
      <c r="AV18">
        <v>2.5685E-3</v>
      </c>
      <c r="AW18">
        <v>2.5685E-3</v>
      </c>
      <c r="AX18">
        <v>2.5685E-3</v>
      </c>
      <c r="AY18">
        <v>2.5685E-3</v>
      </c>
      <c r="AZ18">
        <v>4.117E-3</v>
      </c>
      <c r="BA18">
        <v>4.117E-3</v>
      </c>
      <c r="BB18">
        <v>4.117E-3</v>
      </c>
      <c r="BC18">
        <v>4.117E-3</v>
      </c>
      <c r="BD18">
        <v>4.117E-3</v>
      </c>
      <c r="BE18">
        <v>6.4475000000000001E-3</v>
      </c>
      <c r="BF18">
        <v>6.4475000000000001E-3</v>
      </c>
      <c r="BG18">
        <v>6.4475000000000001E-3</v>
      </c>
      <c r="BH18">
        <v>6.4475000000000001E-3</v>
      </c>
      <c r="BI18">
        <v>6.4475000000000001E-3</v>
      </c>
      <c r="BJ18">
        <v>9.7327500000000001E-3</v>
      </c>
      <c r="BK18">
        <v>9.7327500000000001E-3</v>
      </c>
      <c r="BL18">
        <v>9.7327500000000001E-3</v>
      </c>
      <c r="BM18">
        <v>9.7327500000000001E-3</v>
      </c>
      <c r="BN18">
        <v>9.7327500000000001E-3</v>
      </c>
      <c r="BO18">
        <v>1.5950249999999999E-2</v>
      </c>
      <c r="BP18">
        <v>1.5950249999999999E-2</v>
      </c>
      <c r="BQ18">
        <v>1.5950249999999999E-2</v>
      </c>
      <c r="BR18">
        <v>1.5950249999999999E-2</v>
      </c>
      <c r="BS18">
        <v>1.5950249999999999E-2</v>
      </c>
      <c r="BT18">
        <v>2.6643500000000001E-2</v>
      </c>
      <c r="BU18">
        <v>2.6643500000000001E-2</v>
      </c>
      <c r="BV18">
        <v>2.6643500000000001E-2</v>
      </c>
      <c r="BW18">
        <v>2.6643500000000001E-2</v>
      </c>
      <c r="BX18">
        <v>2.6643500000000001E-2</v>
      </c>
      <c r="BY18">
        <v>4.6877250000000002E-2</v>
      </c>
      <c r="BZ18">
        <v>4.6877250000000002E-2</v>
      </c>
      <c r="CA18">
        <v>4.6877250000000002E-2</v>
      </c>
      <c r="CB18">
        <v>4.6877250000000002E-2</v>
      </c>
      <c r="CC18">
        <v>4.6877250000000002E-2</v>
      </c>
      <c r="CD18">
        <v>8.3014249999999998E-2</v>
      </c>
      <c r="CE18">
        <v>8.3014249999999998E-2</v>
      </c>
      <c r="CF18">
        <v>8.3014249999999998E-2</v>
      </c>
      <c r="CG18">
        <v>8.3014249999999998E-2</v>
      </c>
      <c r="CH18">
        <v>8.3014249999999998E-2</v>
      </c>
      <c r="CI18">
        <v>0.14132575</v>
      </c>
      <c r="CJ18">
        <v>0.14132575</v>
      </c>
      <c r="CK18">
        <v>0.14132575</v>
      </c>
      <c r="CL18">
        <v>0.14132575</v>
      </c>
      <c r="CM18">
        <v>0.14132575</v>
      </c>
      <c r="CN18">
        <v>0.22859225</v>
      </c>
      <c r="CO18">
        <v>0.22859225</v>
      </c>
      <c r="CP18">
        <v>0.22859225</v>
      </c>
      <c r="CQ18">
        <v>0.22859225</v>
      </c>
      <c r="CR18">
        <v>0.22859225</v>
      </c>
      <c r="CS18">
        <v>0.34928749999999997</v>
      </c>
      <c r="CT18">
        <v>0.34928749999999997</v>
      </c>
      <c r="CU18">
        <v>0.34928749999999997</v>
      </c>
      <c r="CV18">
        <v>0.34928749999999997</v>
      </c>
      <c r="CW18">
        <v>0.34928749999999997</v>
      </c>
      <c r="CX18">
        <v>1</v>
      </c>
    </row>
    <row r="19" spans="1:102" x14ac:dyDescent="0.25">
      <c r="A19" t="s">
        <v>101</v>
      </c>
      <c r="B19">
        <v>1.46E-2</v>
      </c>
      <c r="C19">
        <v>4.2000000000000002E-4</v>
      </c>
      <c r="D19">
        <v>4.2000000000000002E-4</v>
      </c>
      <c r="E19">
        <v>4.2000000000000002E-4</v>
      </c>
      <c r="F19">
        <v>4.2000000000000002E-4</v>
      </c>
      <c r="G19">
        <v>2.4000000000000001E-4</v>
      </c>
      <c r="H19">
        <v>2.4000000000000001E-4</v>
      </c>
      <c r="I19">
        <v>2.4000000000000001E-4</v>
      </c>
      <c r="J19">
        <v>2.4000000000000001E-4</v>
      </c>
      <c r="K19">
        <v>2.4000000000000001E-4</v>
      </c>
      <c r="L19">
        <v>3.2000000000000003E-4</v>
      </c>
      <c r="M19">
        <v>3.2000000000000003E-4</v>
      </c>
      <c r="N19">
        <v>3.2000000000000003E-4</v>
      </c>
      <c r="O19">
        <v>3.2000000000000003E-4</v>
      </c>
      <c r="P19">
        <v>3.2000000000000003E-4</v>
      </c>
      <c r="Q19">
        <v>7.2999999999999996E-4</v>
      </c>
      <c r="R19">
        <v>7.2999999999999996E-4</v>
      </c>
      <c r="S19">
        <v>7.2999999999999996E-4</v>
      </c>
      <c r="T19">
        <v>7.2999999999999996E-4</v>
      </c>
      <c r="U19">
        <v>7.2999999999999996E-4</v>
      </c>
      <c r="V19">
        <v>9.2000000000000003E-4</v>
      </c>
      <c r="W19">
        <v>9.2000000000000003E-4</v>
      </c>
      <c r="X19">
        <v>9.2000000000000003E-4</v>
      </c>
      <c r="Y19">
        <v>9.2000000000000003E-4</v>
      </c>
      <c r="Z19">
        <v>9.2000000000000003E-4</v>
      </c>
      <c r="AA19">
        <v>8.4999999999999995E-4</v>
      </c>
      <c r="AB19">
        <v>8.4999999999999995E-4</v>
      </c>
      <c r="AC19">
        <v>8.4999999999999995E-4</v>
      </c>
      <c r="AD19">
        <v>8.4999999999999995E-4</v>
      </c>
      <c r="AE19">
        <v>8.4999999999999995E-4</v>
      </c>
      <c r="AF19">
        <v>1.64E-3</v>
      </c>
      <c r="AG19">
        <v>1.64E-3</v>
      </c>
      <c r="AH19">
        <v>1.64E-3</v>
      </c>
      <c r="AI19">
        <v>1.64E-3</v>
      </c>
      <c r="AJ19">
        <v>1.64E-3</v>
      </c>
      <c r="AK19">
        <v>1.89E-3</v>
      </c>
      <c r="AL19">
        <v>1.89E-3</v>
      </c>
      <c r="AM19">
        <v>1.89E-3</v>
      </c>
      <c r="AN19">
        <v>1.89E-3</v>
      </c>
      <c r="AO19">
        <v>1.89E-3</v>
      </c>
      <c r="AP19">
        <v>2.2200000000000002E-3</v>
      </c>
      <c r="AQ19">
        <v>2.2200000000000002E-3</v>
      </c>
      <c r="AR19">
        <v>2.2200000000000002E-3</v>
      </c>
      <c r="AS19">
        <v>2.2200000000000002E-3</v>
      </c>
      <c r="AT19">
        <v>2.2200000000000002E-3</v>
      </c>
      <c r="AU19">
        <v>3.9500000000000004E-3</v>
      </c>
      <c r="AV19">
        <v>3.9500000000000004E-3</v>
      </c>
      <c r="AW19">
        <v>3.9500000000000004E-3</v>
      </c>
      <c r="AX19">
        <v>3.9500000000000004E-3</v>
      </c>
      <c r="AY19">
        <v>3.9500000000000004E-3</v>
      </c>
      <c r="AZ19">
        <v>7.1300000000000001E-3</v>
      </c>
      <c r="BA19">
        <v>7.1300000000000001E-3</v>
      </c>
      <c r="BB19">
        <v>7.1300000000000001E-3</v>
      </c>
      <c r="BC19">
        <v>7.1300000000000001E-3</v>
      </c>
      <c r="BD19">
        <v>7.1300000000000001E-3</v>
      </c>
      <c r="BE19">
        <v>8.2299999999999995E-3</v>
      </c>
      <c r="BF19">
        <v>8.2299999999999995E-3</v>
      </c>
      <c r="BG19">
        <v>8.2299999999999995E-3</v>
      </c>
      <c r="BH19">
        <v>8.2299999999999995E-3</v>
      </c>
      <c r="BI19">
        <v>8.2299999999999995E-3</v>
      </c>
      <c r="BJ19">
        <v>1.3939999999999999E-2</v>
      </c>
      <c r="BK19">
        <v>1.3939999999999999E-2</v>
      </c>
      <c r="BL19">
        <v>1.3939999999999999E-2</v>
      </c>
      <c r="BM19">
        <v>1.3939999999999999E-2</v>
      </c>
      <c r="BN19">
        <v>1.3939999999999999E-2</v>
      </c>
      <c r="BO19">
        <v>2.1780000000000001E-2</v>
      </c>
      <c r="BP19">
        <v>2.1780000000000001E-2</v>
      </c>
      <c r="BQ19">
        <v>2.1780000000000001E-2</v>
      </c>
      <c r="BR19">
        <v>2.1780000000000001E-2</v>
      </c>
      <c r="BS19">
        <v>2.1780000000000001E-2</v>
      </c>
      <c r="BT19">
        <v>2.6179999999999998E-2</v>
      </c>
      <c r="BU19">
        <v>2.6179999999999998E-2</v>
      </c>
      <c r="BV19">
        <v>2.6179999999999998E-2</v>
      </c>
      <c r="BW19">
        <v>2.6179999999999998E-2</v>
      </c>
      <c r="BX19">
        <v>2.6179999999999998E-2</v>
      </c>
      <c r="BY19">
        <v>3.6560000000000002E-2</v>
      </c>
      <c r="BZ19">
        <v>3.6560000000000002E-2</v>
      </c>
      <c r="CA19">
        <v>3.6560000000000002E-2</v>
      </c>
      <c r="CB19">
        <v>3.6560000000000002E-2</v>
      </c>
      <c r="CC19">
        <v>3.6560000000000002E-2</v>
      </c>
      <c r="CD19">
        <v>7.2669999999999998E-2</v>
      </c>
      <c r="CE19">
        <v>7.2669999999999998E-2</v>
      </c>
      <c r="CF19">
        <v>7.2669999999999998E-2</v>
      </c>
      <c r="CG19">
        <v>7.2669999999999998E-2</v>
      </c>
      <c r="CH19">
        <v>7.2669999999999998E-2</v>
      </c>
      <c r="CI19">
        <v>0.13356000000000001</v>
      </c>
      <c r="CJ19">
        <v>0.13356000000000001</v>
      </c>
      <c r="CK19">
        <v>0.13356000000000001</v>
      </c>
      <c r="CL19">
        <v>0.13356000000000001</v>
      </c>
      <c r="CM19">
        <v>0.13356000000000001</v>
      </c>
      <c r="CN19">
        <v>0.22700000000000001</v>
      </c>
      <c r="CO19">
        <v>0.22700000000000001</v>
      </c>
      <c r="CP19">
        <v>0.22700000000000001</v>
      </c>
      <c r="CQ19">
        <v>0.22700000000000001</v>
      </c>
      <c r="CR19">
        <v>0.22700000000000001</v>
      </c>
      <c r="CS19">
        <v>0.35675000000000001</v>
      </c>
      <c r="CT19">
        <v>0.35675000000000001</v>
      </c>
      <c r="CU19">
        <v>0.35675000000000001</v>
      </c>
      <c r="CV19">
        <v>0.35675000000000001</v>
      </c>
      <c r="CW19">
        <v>0.35675000000000001</v>
      </c>
      <c r="CX19">
        <v>1</v>
      </c>
    </row>
    <row r="20" spans="1:102" x14ac:dyDescent="0.25">
      <c r="A20" t="s">
        <v>103</v>
      </c>
      <c r="B20">
        <v>6.6841463000000004E-2</v>
      </c>
      <c r="C20">
        <v>1.0634390000000001E-2</v>
      </c>
      <c r="D20">
        <v>1.0634390000000001E-2</v>
      </c>
      <c r="E20">
        <v>1.0634390000000001E-2</v>
      </c>
      <c r="F20">
        <v>1.0634390000000001E-2</v>
      </c>
      <c r="G20">
        <v>2.2570730000000001E-3</v>
      </c>
      <c r="H20">
        <v>2.2570730000000001E-3</v>
      </c>
      <c r="I20">
        <v>2.2570730000000001E-3</v>
      </c>
      <c r="J20">
        <v>2.2570730000000001E-3</v>
      </c>
      <c r="K20">
        <v>2.2570730000000001E-3</v>
      </c>
      <c r="L20">
        <v>1.5885369999999999E-3</v>
      </c>
      <c r="M20">
        <v>1.5885369999999999E-3</v>
      </c>
      <c r="N20">
        <v>1.5885369999999999E-3</v>
      </c>
      <c r="O20">
        <v>1.5885369999999999E-3</v>
      </c>
      <c r="P20">
        <v>1.5885369999999999E-3</v>
      </c>
      <c r="Q20">
        <v>1.952683E-3</v>
      </c>
      <c r="R20">
        <v>1.952683E-3</v>
      </c>
      <c r="S20">
        <v>1.952683E-3</v>
      </c>
      <c r="T20">
        <v>1.952683E-3</v>
      </c>
      <c r="U20">
        <v>1.952683E-3</v>
      </c>
      <c r="V20">
        <v>3.7490240000000001E-3</v>
      </c>
      <c r="W20">
        <v>3.7490240000000001E-3</v>
      </c>
      <c r="X20">
        <v>3.7490240000000001E-3</v>
      </c>
      <c r="Y20">
        <v>3.7490240000000001E-3</v>
      </c>
      <c r="Z20">
        <v>3.7490240000000001E-3</v>
      </c>
      <c r="AA20">
        <v>6.1653660000000002E-3</v>
      </c>
      <c r="AB20">
        <v>6.1653660000000002E-3</v>
      </c>
      <c r="AC20">
        <v>6.1653660000000002E-3</v>
      </c>
      <c r="AD20">
        <v>6.1653660000000002E-3</v>
      </c>
      <c r="AE20">
        <v>6.1653660000000002E-3</v>
      </c>
      <c r="AF20">
        <v>8.7904880000000008E-3</v>
      </c>
      <c r="AG20">
        <v>8.7904880000000008E-3</v>
      </c>
      <c r="AH20">
        <v>8.7904880000000008E-3</v>
      </c>
      <c r="AI20">
        <v>8.7904880000000008E-3</v>
      </c>
      <c r="AJ20">
        <v>8.7904880000000008E-3</v>
      </c>
      <c r="AK20">
        <v>1.0272195E-2</v>
      </c>
      <c r="AL20">
        <v>1.0272195E-2</v>
      </c>
      <c r="AM20">
        <v>1.0272195E-2</v>
      </c>
      <c r="AN20">
        <v>1.0272195E-2</v>
      </c>
      <c r="AO20">
        <v>1.0272195E-2</v>
      </c>
      <c r="AP20">
        <v>1.0323659000000001E-2</v>
      </c>
      <c r="AQ20">
        <v>1.0323659000000001E-2</v>
      </c>
      <c r="AR20">
        <v>1.0323659000000001E-2</v>
      </c>
      <c r="AS20">
        <v>1.0323659000000001E-2</v>
      </c>
      <c r="AT20">
        <v>1.0323659000000001E-2</v>
      </c>
      <c r="AU20">
        <v>1.0378780000000001E-2</v>
      </c>
      <c r="AV20">
        <v>1.0378780000000001E-2</v>
      </c>
      <c r="AW20">
        <v>1.0378780000000001E-2</v>
      </c>
      <c r="AX20">
        <v>1.0378780000000001E-2</v>
      </c>
      <c r="AY20">
        <v>1.0378780000000001E-2</v>
      </c>
      <c r="AZ20">
        <v>1.2075122000000001E-2</v>
      </c>
      <c r="BA20">
        <v>1.2075122000000001E-2</v>
      </c>
      <c r="BB20">
        <v>1.2075122000000001E-2</v>
      </c>
      <c r="BC20">
        <v>1.2075122000000001E-2</v>
      </c>
      <c r="BD20">
        <v>1.2075122000000001E-2</v>
      </c>
      <c r="BE20">
        <v>1.6080000000000001E-2</v>
      </c>
      <c r="BF20">
        <v>1.6080000000000001E-2</v>
      </c>
      <c r="BG20">
        <v>1.6080000000000001E-2</v>
      </c>
      <c r="BH20">
        <v>1.6080000000000001E-2</v>
      </c>
      <c r="BI20">
        <v>1.6080000000000001E-2</v>
      </c>
      <c r="BJ20">
        <v>2.1788780000000001E-2</v>
      </c>
      <c r="BK20">
        <v>2.1788780000000001E-2</v>
      </c>
      <c r="BL20">
        <v>2.1788780000000001E-2</v>
      </c>
      <c r="BM20">
        <v>2.1788780000000001E-2</v>
      </c>
      <c r="BN20">
        <v>2.1788780000000001E-2</v>
      </c>
      <c r="BO20">
        <v>3.3969024E-2</v>
      </c>
      <c r="BP20">
        <v>3.3969024E-2</v>
      </c>
      <c r="BQ20">
        <v>3.3969024E-2</v>
      </c>
      <c r="BR20">
        <v>3.3969024E-2</v>
      </c>
      <c r="BS20">
        <v>3.3969024E-2</v>
      </c>
      <c r="BT20">
        <v>5.3909024E-2</v>
      </c>
      <c r="BU20">
        <v>5.3909024E-2</v>
      </c>
      <c r="BV20">
        <v>5.3909024E-2</v>
      </c>
      <c r="BW20">
        <v>5.3909024E-2</v>
      </c>
      <c r="BX20">
        <v>5.3909024E-2</v>
      </c>
      <c r="BY20">
        <v>8.5237561000000003E-2</v>
      </c>
      <c r="BZ20">
        <v>8.5237561000000003E-2</v>
      </c>
      <c r="CA20">
        <v>8.5237561000000003E-2</v>
      </c>
      <c r="CB20">
        <v>8.5237561000000003E-2</v>
      </c>
      <c r="CC20">
        <v>8.5237561000000003E-2</v>
      </c>
      <c r="CD20">
        <v>0.13244804900000001</v>
      </c>
      <c r="CE20">
        <v>0.13244804900000001</v>
      </c>
      <c r="CF20">
        <v>0.13244804900000001</v>
      </c>
      <c r="CG20">
        <v>0.13244804900000001</v>
      </c>
      <c r="CH20">
        <v>0.13244804900000001</v>
      </c>
      <c r="CI20">
        <v>0.19970122000000001</v>
      </c>
      <c r="CJ20">
        <v>0.19970122000000001</v>
      </c>
      <c r="CK20">
        <v>0.19970122000000001</v>
      </c>
      <c r="CL20">
        <v>0.19970122000000001</v>
      </c>
      <c r="CM20">
        <v>0.19970122000000001</v>
      </c>
      <c r="CN20">
        <v>0.29157146299999998</v>
      </c>
      <c r="CO20">
        <v>0.29157146299999998</v>
      </c>
      <c r="CP20">
        <v>0.29157146299999998</v>
      </c>
      <c r="CQ20">
        <v>0.29157146299999998</v>
      </c>
      <c r="CR20">
        <v>0.29157146299999998</v>
      </c>
      <c r="CS20">
        <v>0.41195365900000003</v>
      </c>
      <c r="CT20">
        <v>0.41195365900000003</v>
      </c>
      <c r="CU20">
        <v>0.41195365900000003</v>
      </c>
      <c r="CV20">
        <v>0.41195365900000003</v>
      </c>
      <c r="CW20">
        <v>0.41195365900000003</v>
      </c>
      <c r="CX20">
        <v>1</v>
      </c>
    </row>
    <row r="21" spans="1:102" x14ac:dyDescent="0.25">
      <c r="A21" t="s">
        <v>105</v>
      </c>
      <c r="B21">
        <v>4.9790000000000001E-2</v>
      </c>
      <c r="C21">
        <v>6.6400000000000001E-3</v>
      </c>
      <c r="D21">
        <v>6.6400000000000001E-3</v>
      </c>
      <c r="E21">
        <v>6.6400000000000001E-3</v>
      </c>
      <c r="F21">
        <v>6.6400000000000001E-3</v>
      </c>
      <c r="G21">
        <v>1.3600000000000001E-3</v>
      </c>
      <c r="H21">
        <v>1.3600000000000001E-3</v>
      </c>
      <c r="I21">
        <v>1.3600000000000001E-3</v>
      </c>
      <c r="J21">
        <v>1.3600000000000001E-3</v>
      </c>
      <c r="K21">
        <v>1.3600000000000001E-3</v>
      </c>
      <c r="L21">
        <v>8.8000000000000003E-4</v>
      </c>
      <c r="M21">
        <v>8.8000000000000003E-4</v>
      </c>
      <c r="N21">
        <v>8.8000000000000003E-4</v>
      </c>
      <c r="O21">
        <v>8.8000000000000003E-4</v>
      </c>
      <c r="P21">
        <v>8.8000000000000003E-4</v>
      </c>
      <c r="Q21">
        <v>1.33E-3</v>
      </c>
      <c r="R21">
        <v>1.33E-3</v>
      </c>
      <c r="S21">
        <v>1.33E-3</v>
      </c>
      <c r="T21">
        <v>1.33E-3</v>
      </c>
      <c r="U21">
        <v>1.33E-3</v>
      </c>
      <c r="V21">
        <v>1.8E-3</v>
      </c>
      <c r="W21">
        <v>1.8E-3</v>
      </c>
      <c r="X21">
        <v>1.8E-3</v>
      </c>
      <c r="Y21">
        <v>1.8E-3</v>
      </c>
      <c r="Z21">
        <v>1.8E-3</v>
      </c>
      <c r="AA21">
        <v>2.1099999999999999E-3</v>
      </c>
      <c r="AB21">
        <v>2.1099999999999999E-3</v>
      </c>
      <c r="AC21">
        <v>2.1099999999999999E-3</v>
      </c>
      <c r="AD21">
        <v>2.1099999999999999E-3</v>
      </c>
      <c r="AE21">
        <v>2.1099999999999999E-3</v>
      </c>
      <c r="AF21">
        <v>2.5600000000000002E-3</v>
      </c>
      <c r="AG21">
        <v>2.5600000000000002E-3</v>
      </c>
      <c r="AH21">
        <v>2.5600000000000002E-3</v>
      </c>
      <c r="AI21">
        <v>2.5600000000000002E-3</v>
      </c>
      <c r="AJ21">
        <v>2.5600000000000002E-3</v>
      </c>
      <c r="AK21">
        <v>3.3E-3</v>
      </c>
      <c r="AL21">
        <v>3.3E-3</v>
      </c>
      <c r="AM21">
        <v>3.3E-3</v>
      </c>
      <c r="AN21">
        <v>3.3E-3</v>
      </c>
      <c r="AO21">
        <v>3.3E-3</v>
      </c>
      <c r="AP21">
        <v>4.3499999999999997E-3</v>
      </c>
      <c r="AQ21">
        <v>4.3499999999999997E-3</v>
      </c>
      <c r="AR21">
        <v>4.3499999999999997E-3</v>
      </c>
      <c r="AS21">
        <v>4.3499999999999997E-3</v>
      </c>
      <c r="AT21">
        <v>4.3499999999999997E-3</v>
      </c>
      <c r="AU21">
        <v>6.0099999999999997E-3</v>
      </c>
      <c r="AV21">
        <v>6.0099999999999997E-3</v>
      </c>
      <c r="AW21">
        <v>6.0099999999999997E-3</v>
      </c>
      <c r="AX21">
        <v>6.0099999999999997E-3</v>
      </c>
      <c r="AY21">
        <v>6.0099999999999997E-3</v>
      </c>
      <c r="AZ21">
        <v>8.6800000000000002E-3</v>
      </c>
      <c r="BA21">
        <v>8.6800000000000002E-3</v>
      </c>
      <c r="BB21">
        <v>8.6800000000000002E-3</v>
      </c>
      <c r="BC21">
        <v>8.6800000000000002E-3</v>
      </c>
      <c r="BD21">
        <v>8.6800000000000002E-3</v>
      </c>
      <c r="BE21">
        <v>1.303E-2</v>
      </c>
      <c r="BF21">
        <v>1.303E-2</v>
      </c>
      <c r="BG21">
        <v>1.303E-2</v>
      </c>
      <c r="BH21">
        <v>1.303E-2</v>
      </c>
      <c r="BI21">
        <v>1.303E-2</v>
      </c>
      <c r="BJ21">
        <v>1.9140000000000001E-2</v>
      </c>
      <c r="BK21">
        <v>1.9140000000000001E-2</v>
      </c>
      <c r="BL21">
        <v>1.9140000000000001E-2</v>
      </c>
      <c r="BM21">
        <v>1.9140000000000001E-2</v>
      </c>
      <c r="BN21">
        <v>1.9140000000000001E-2</v>
      </c>
      <c r="BO21">
        <v>3.1060000000000001E-2</v>
      </c>
      <c r="BP21">
        <v>3.1060000000000001E-2</v>
      </c>
      <c r="BQ21">
        <v>3.1060000000000001E-2</v>
      </c>
      <c r="BR21">
        <v>3.1060000000000001E-2</v>
      </c>
      <c r="BS21">
        <v>3.1060000000000001E-2</v>
      </c>
      <c r="BT21">
        <v>5.1409999999999997E-2</v>
      </c>
      <c r="BU21">
        <v>5.1409999999999997E-2</v>
      </c>
      <c r="BV21">
        <v>5.1409999999999997E-2</v>
      </c>
      <c r="BW21">
        <v>5.1409999999999997E-2</v>
      </c>
      <c r="BX21">
        <v>5.1409999999999997E-2</v>
      </c>
      <c r="BY21">
        <v>8.3739999999999995E-2</v>
      </c>
      <c r="BZ21">
        <v>8.3739999999999995E-2</v>
      </c>
      <c r="CA21">
        <v>8.3739999999999995E-2</v>
      </c>
      <c r="CB21">
        <v>8.3739999999999995E-2</v>
      </c>
      <c r="CC21">
        <v>8.3739999999999995E-2</v>
      </c>
      <c r="CD21">
        <v>0.13275000000000001</v>
      </c>
      <c r="CE21">
        <v>0.13275000000000001</v>
      </c>
      <c r="CF21">
        <v>0.13275000000000001</v>
      </c>
      <c r="CG21">
        <v>0.13275000000000001</v>
      </c>
      <c r="CH21">
        <v>0.13275000000000001</v>
      </c>
      <c r="CI21">
        <v>0.20246</v>
      </c>
      <c r="CJ21">
        <v>0.20246</v>
      </c>
      <c r="CK21">
        <v>0.20246</v>
      </c>
      <c r="CL21">
        <v>0.20246</v>
      </c>
      <c r="CM21">
        <v>0.20246</v>
      </c>
      <c r="CN21">
        <v>0.29704999999999998</v>
      </c>
      <c r="CO21">
        <v>0.29704999999999998</v>
      </c>
      <c r="CP21">
        <v>0.29704999999999998</v>
      </c>
      <c r="CQ21">
        <v>0.29704999999999998</v>
      </c>
      <c r="CR21">
        <v>0.29704999999999998</v>
      </c>
      <c r="CS21">
        <v>0.41927999999999999</v>
      </c>
      <c r="CT21">
        <v>0.41927999999999999</v>
      </c>
      <c r="CU21">
        <v>0.41927999999999999</v>
      </c>
      <c r="CV21">
        <v>0.41927999999999999</v>
      </c>
      <c r="CW21">
        <v>0.41927999999999999</v>
      </c>
      <c r="CX21">
        <v>1</v>
      </c>
    </row>
    <row r="22" spans="1:102" x14ac:dyDescent="0.25">
      <c r="A22" t="s">
        <v>107</v>
      </c>
      <c r="B22">
        <v>1.6713667000000001E-2</v>
      </c>
      <c r="C22">
        <v>9.1033300000000004E-4</v>
      </c>
      <c r="D22">
        <v>9.1033300000000004E-4</v>
      </c>
      <c r="E22">
        <v>9.1033300000000004E-4</v>
      </c>
      <c r="F22">
        <v>9.1033300000000004E-4</v>
      </c>
      <c r="G22">
        <v>3.0566700000000003E-4</v>
      </c>
      <c r="H22">
        <v>3.0566700000000003E-4</v>
      </c>
      <c r="I22">
        <v>3.0566700000000003E-4</v>
      </c>
      <c r="J22">
        <v>3.0566700000000003E-4</v>
      </c>
      <c r="K22">
        <v>3.0566700000000003E-4</v>
      </c>
      <c r="L22">
        <v>3.2699999999999998E-4</v>
      </c>
      <c r="M22">
        <v>3.2699999999999998E-4</v>
      </c>
      <c r="N22">
        <v>3.2699999999999998E-4</v>
      </c>
      <c r="O22">
        <v>3.2699999999999998E-4</v>
      </c>
      <c r="P22">
        <v>3.2699999999999998E-4</v>
      </c>
      <c r="Q22">
        <v>5.5366699999999998E-4</v>
      </c>
      <c r="R22">
        <v>5.5366699999999998E-4</v>
      </c>
      <c r="S22">
        <v>5.5366699999999998E-4</v>
      </c>
      <c r="T22">
        <v>5.5366699999999998E-4</v>
      </c>
      <c r="U22">
        <v>5.5366699999999998E-4</v>
      </c>
      <c r="V22">
        <v>7.8866699999999995E-4</v>
      </c>
      <c r="W22">
        <v>7.8866699999999995E-4</v>
      </c>
      <c r="X22">
        <v>7.8866699999999995E-4</v>
      </c>
      <c r="Y22">
        <v>7.8866699999999995E-4</v>
      </c>
      <c r="Z22">
        <v>7.8866699999999995E-4</v>
      </c>
      <c r="AA22">
        <v>1.018333E-3</v>
      </c>
      <c r="AB22">
        <v>1.018333E-3</v>
      </c>
      <c r="AC22">
        <v>1.018333E-3</v>
      </c>
      <c r="AD22">
        <v>1.018333E-3</v>
      </c>
      <c r="AE22">
        <v>1.018333E-3</v>
      </c>
      <c r="AF22">
        <v>1.351E-3</v>
      </c>
      <c r="AG22">
        <v>1.351E-3</v>
      </c>
      <c r="AH22">
        <v>1.351E-3</v>
      </c>
      <c r="AI22">
        <v>1.351E-3</v>
      </c>
      <c r="AJ22">
        <v>1.351E-3</v>
      </c>
      <c r="AK22">
        <v>1.8489999999999999E-3</v>
      </c>
      <c r="AL22">
        <v>1.8489999999999999E-3</v>
      </c>
      <c r="AM22">
        <v>1.8489999999999999E-3</v>
      </c>
      <c r="AN22">
        <v>1.8489999999999999E-3</v>
      </c>
      <c r="AO22">
        <v>1.8489999999999999E-3</v>
      </c>
      <c r="AP22">
        <v>2.4580000000000001E-3</v>
      </c>
      <c r="AQ22">
        <v>2.4580000000000001E-3</v>
      </c>
      <c r="AR22">
        <v>2.4580000000000001E-3</v>
      </c>
      <c r="AS22">
        <v>2.4580000000000001E-3</v>
      </c>
      <c r="AT22">
        <v>2.4580000000000001E-3</v>
      </c>
      <c r="AU22">
        <v>3.637333E-3</v>
      </c>
      <c r="AV22">
        <v>3.637333E-3</v>
      </c>
      <c r="AW22">
        <v>3.637333E-3</v>
      </c>
      <c r="AX22">
        <v>3.637333E-3</v>
      </c>
      <c r="AY22">
        <v>3.637333E-3</v>
      </c>
      <c r="AZ22">
        <v>5.4383330000000001E-3</v>
      </c>
      <c r="BA22">
        <v>5.4383330000000001E-3</v>
      </c>
      <c r="BB22">
        <v>5.4383330000000001E-3</v>
      </c>
      <c r="BC22">
        <v>5.4383330000000001E-3</v>
      </c>
      <c r="BD22">
        <v>5.4383330000000001E-3</v>
      </c>
      <c r="BE22">
        <v>7.6373329999999996E-3</v>
      </c>
      <c r="BF22">
        <v>7.6373329999999996E-3</v>
      </c>
      <c r="BG22">
        <v>7.6373329999999996E-3</v>
      </c>
      <c r="BH22">
        <v>7.6373329999999996E-3</v>
      </c>
      <c r="BI22">
        <v>7.6373329999999996E-3</v>
      </c>
      <c r="BJ22">
        <v>1.1368333E-2</v>
      </c>
      <c r="BK22">
        <v>1.1368333E-2</v>
      </c>
      <c r="BL22">
        <v>1.1368333E-2</v>
      </c>
      <c r="BM22">
        <v>1.1368333E-2</v>
      </c>
      <c r="BN22">
        <v>1.1368333E-2</v>
      </c>
      <c r="BO22">
        <v>1.6976333E-2</v>
      </c>
      <c r="BP22">
        <v>1.6976333E-2</v>
      </c>
      <c r="BQ22">
        <v>1.6976333E-2</v>
      </c>
      <c r="BR22">
        <v>1.6976333E-2</v>
      </c>
      <c r="BS22">
        <v>1.6976333E-2</v>
      </c>
      <c r="BT22">
        <v>2.7087666999999999E-2</v>
      </c>
      <c r="BU22">
        <v>2.7087666999999999E-2</v>
      </c>
      <c r="BV22">
        <v>2.7087666999999999E-2</v>
      </c>
      <c r="BW22">
        <v>2.7087666999999999E-2</v>
      </c>
      <c r="BX22">
        <v>2.7087666999999999E-2</v>
      </c>
      <c r="BY22">
        <v>4.3817666999999998E-2</v>
      </c>
      <c r="BZ22">
        <v>4.3817666999999998E-2</v>
      </c>
      <c r="CA22">
        <v>4.3817666999999998E-2</v>
      </c>
      <c r="CB22">
        <v>4.3817666999999998E-2</v>
      </c>
      <c r="CC22">
        <v>4.3817666999999998E-2</v>
      </c>
      <c r="CD22">
        <v>7.3869000000000004E-2</v>
      </c>
      <c r="CE22">
        <v>7.3869000000000004E-2</v>
      </c>
      <c r="CF22">
        <v>7.3869000000000004E-2</v>
      </c>
      <c r="CG22">
        <v>7.3869000000000004E-2</v>
      </c>
      <c r="CH22">
        <v>7.3869000000000004E-2</v>
      </c>
      <c r="CI22">
        <v>0.122025333</v>
      </c>
      <c r="CJ22">
        <v>0.122025333</v>
      </c>
      <c r="CK22">
        <v>0.122025333</v>
      </c>
      <c r="CL22">
        <v>0.122025333</v>
      </c>
      <c r="CM22">
        <v>0.122025333</v>
      </c>
      <c r="CN22">
        <v>0.19647200000000001</v>
      </c>
      <c r="CO22">
        <v>0.19647200000000001</v>
      </c>
      <c r="CP22">
        <v>0.19647200000000001</v>
      </c>
      <c r="CQ22">
        <v>0.19647200000000001</v>
      </c>
      <c r="CR22">
        <v>0.19647200000000001</v>
      </c>
      <c r="CS22">
        <v>0.30780433299999999</v>
      </c>
      <c r="CT22">
        <v>0.30780433299999999</v>
      </c>
      <c r="CU22">
        <v>0.30780433299999999</v>
      </c>
      <c r="CV22">
        <v>0.30780433299999999</v>
      </c>
      <c r="CW22">
        <v>0.30780433299999999</v>
      </c>
      <c r="CX22">
        <v>1</v>
      </c>
    </row>
    <row r="23" spans="1:102" x14ac:dyDescent="0.25">
      <c r="A23" t="s">
        <v>109</v>
      </c>
      <c r="B23">
        <v>1.1509999999999999E-2</v>
      </c>
      <c r="C23">
        <v>3.5E-4</v>
      </c>
      <c r="D23">
        <v>3.5E-4</v>
      </c>
      <c r="E23">
        <v>3.5E-4</v>
      </c>
      <c r="F23">
        <v>3.5E-4</v>
      </c>
      <c r="G23">
        <v>6.9999999999999994E-5</v>
      </c>
      <c r="H23">
        <v>6.9999999999999994E-5</v>
      </c>
      <c r="I23">
        <v>6.9999999999999994E-5</v>
      </c>
      <c r="J23">
        <v>6.9999999999999994E-5</v>
      </c>
      <c r="K23">
        <v>6.9999999999999994E-5</v>
      </c>
      <c r="L23">
        <v>1.3999999999999999E-4</v>
      </c>
      <c r="M23">
        <v>1.3999999999999999E-4</v>
      </c>
      <c r="N23">
        <v>1.3999999999999999E-4</v>
      </c>
      <c r="O23">
        <v>1.3999999999999999E-4</v>
      </c>
      <c r="P23">
        <v>1.3999999999999999E-4</v>
      </c>
      <c r="Q23">
        <v>1.8000000000000001E-4</v>
      </c>
      <c r="R23">
        <v>1.8000000000000001E-4</v>
      </c>
      <c r="S23">
        <v>1.8000000000000001E-4</v>
      </c>
      <c r="T23">
        <v>1.8000000000000001E-4</v>
      </c>
      <c r="U23">
        <v>1.8000000000000001E-4</v>
      </c>
      <c r="V23">
        <v>2.4000000000000001E-4</v>
      </c>
      <c r="W23">
        <v>2.4000000000000001E-4</v>
      </c>
      <c r="X23">
        <v>2.4000000000000001E-4</v>
      </c>
      <c r="Y23">
        <v>2.4000000000000001E-4</v>
      </c>
      <c r="Z23">
        <v>2.4000000000000001E-4</v>
      </c>
      <c r="AA23">
        <v>2.2000000000000001E-4</v>
      </c>
      <c r="AB23">
        <v>2.2000000000000001E-4</v>
      </c>
      <c r="AC23">
        <v>2.2000000000000001E-4</v>
      </c>
      <c r="AD23">
        <v>2.2000000000000001E-4</v>
      </c>
      <c r="AE23">
        <v>2.2000000000000001E-4</v>
      </c>
      <c r="AF23">
        <v>4.4999999999999999E-4</v>
      </c>
      <c r="AG23">
        <v>4.4999999999999999E-4</v>
      </c>
      <c r="AH23">
        <v>4.4999999999999999E-4</v>
      </c>
      <c r="AI23">
        <v>4.4999999999999999E-4</v>
      </c>
      <c r="AJ23">
        <v>4.4999999999999999E-4</v>
      </c>
      <c r="AK23">
        <v>6.8999999999999997E-4</v>
      </c>
      <c r="AL23">
        <v>6.8999999999999997E-4</v>
      </c>
      <c r="AM23">
        <v>6.8999999999999997E-4</v>
      </c>
      <c r="AN23">
        <v>6.8999999999999997E-4</v>
      </c>
      <c r="AO23">
        <v>6.8999999999999997E-4</v>
      </c>
      <c r="AP23">
        <v>1.0300000000000001E-3</v>
      </c>
      <c r="AQ23">
        <v>1.0300000000000001E-3</v>
      </c>
      <c r="AR23">
        <v>1.0300000000000001E-3</v>
      </c>
      <c r="AS23">
        <v>1.0300000000000001E-3</v>
      </c>
      <c r="AT23">
        <v>1.0300000000000001E-3</v>
      </c>
      <c r="AU23">
        <v>2.0500000000000002E-3</v>
      </c>
      <c r="AV23">
        <v>2.0500000000000002E-3</v>
      </c>
      <c r="AW23">
        <v>2.0500000000000002E-3</v>
      </c>
      <c r="AX23">
        <v>2.0500000000000002E-3</v>
      </c>
      <c r="AY23">
        <v>2.0500000000000002E-3</v>
      </c>
      <c r="AZ23">
        <v>3.3800000000000002E-3</v>
      </c>
      <c r="BA23">
        <v>3.3800000000000002E-3</v>
      </c>
      <c r="BB23">
        <v>3.3800000000000002E-3</v>
      </c>
      <c r="BC23">
        <v>3.3800000000000002E-3</v>
      </c>
      <c r="BD23">
        <v>3.3800000000000002E-3</v>
      </c>
      <c r="BE23">
        <v>5.6100000000000004E-3</v>
      </c>
      <c r="BF23">
        <v>5.6100000000000004E-3</v>
      </c>
      <c r="BG23">
        <v>5.6100000000000004E-3</v>
      </c>
      <c r="BH23">
        <v>5.6100000000000004E-3</v>
      </c>
      <c r="BI23">
        <v>5.6100000000000004E-3</v>
      </c>
      <c r="BJ23">
        <v>7.9299999999999995E-3</v>
      </c>
      <c r="BK23">
        <v>7.9299999999999995E-3</v>
      </c>
      <c r="BL23">
        <v>7.9299999999999995E-3</v>
      </c>
      <c r="BM23">
        <v>7.9299999999999995E-3</v>
      </c>
      <c r="BN23">
        <v>7.9299999999999995E-3</v>
      </c>
      <c r="BO23">
        <v>1.4200000000000001E-2</v>
      </c>
      <c r="BP23">
        <v>1.4200000000000001E-2</v>
      </c>
      <c r="BQ23">
        <v>1.4200000000000001E-2</v>
      </c>
      <c r="BR23">
        <v>1.4200000000000001E-2</v>
      </c>
      <c r="BS23">
        <v>1.4200000000000001E-2</v>
      </c>
      <c r="BT23">
        <v>2.7799999999999998E-2</v>
      </c>
      <c r="BU23">
        <v>2.7799999999999998E-2</v>
      </c>
      <c r="BV23">
        <v>2.7799999999999998E-2</v>
      </c>
      <c r="BW23">
        <v>2.7799999999999998E-2</v>
      </c>
      <c r="BX23">
        <v>2.7799999999999998E-2</v>
      </c>
      <c r="BY23">
        <v>5.0810000000000001E-2</v>
      </c>
      <c r="BZ23">
        <v>5.0810000000000001E-2</v>
      </c>
      <c r="CA23">
        <v>5.0810000000000001E-2</v>
      </c>
      <c r="CB23">
        <v>5.0810000000000001E-2</v>
      </c>
      <c r="CC23">
        <v>5.0810000000000001E-2</v>
      </c>
      <c r="CD23">
        <v>0.10798000000000001</v>
      </c>
      <c r="CE23">
        <v>0.10798000000000001</v>
      </c>
      <c r="CF23">
        <v>0.10798000000000001</v>
      </c>
      <c r="CG23">
        <v>0.10798000000000001</v>
      </c>
      <c r="CH23">
        <v>0.10798000000000001</v>
      </c>
      <c r="CI23">
        <v>0.20238999999999999</v>
      </c>
      <c r="CJ23">
        <v>0.20238999999999999</v>
      </c>
      <c r="CK23">
        <v>0.20238999999999999</v>
      </c>
      <c r="CL23">
        <v>0.20238999999999999</v>
      </c>
      <c r="CM23">
        <v>0.20238999999999999</v>
      </c>
      <c r="CN23">
        <v>0.33455000000000001</v>
      </c>
      <c r="CO23">
        <v>0.33455000000000001</v>
      </c>
      <c r="CP23">
        <v>0.33455000000000001</v>
      </c>
      <c r="CQ23">
        <v>0.33455000000000001</v>
      </c>
      <c r="CR23">
        <v>0.33455000000000001</v>
      </c>
      <c r="CS23">
        <v>0.48769000000000001</v>
      </c>
      <c r="CT23">
        <v>0.48769000000000001</v>
      </c>
      <c r="CU23">
        <v>0.48769000000000001</v>
      </c>
      <c r="CV23">
        <v>0.48769000000000001</v>
      </c>
      <c r="CW23">
        <v>0.48769000000000001</v>
      </c>
      <c r="CX23">
        <v>1</v>
      </c>
    </row>
    <row r="24" spans="1:102" x14ac:dyDescent="0.25">
      <c r="A24" t="s">
        <v>111</v>
      </c>
      <c r="B24">
        <v>4.3270000000000003E-2</v>
      </c>
      <c r="C24">
        <v>3.3700000000000002E-3</v>
      </c>
      <c r="D24">
        <v>3.3700000000000002E-3</v>
      </c>
      <c r="E24">
        <v>3.3700000000000002E-3</v>
      </c>
      <c r="F24">
        <v>3.3700000000000002E-3</v>
      </c>
      <c r="G24">
        <v>1.6199999999999999E-3</v>
      </c>
      <c r="H24">
        <v>1.6199999999999999E-3</v>
      </c>
      <c r="I24">
        <v>1.6199999999999999E-3</v>
      </c>
      <c r="J24">
        <v>1.6199999999999999E-3</v>
      </c>
      <c r="K24">
        <v>1.6199999999999999E-3</v>
      </c>
      <c r="L24">
        <v>1.5200000000000001E-3</v>
      </c>
      <c r="M24">
        <v>1.5200000000000001E-3</v>
      </c>
      <c r="N24">
        <v>1.5200000000000001E-3</v>
      </c>
      <c r="O24">
        <v>1.5200000000000001E-3</v>
      </c>
      <c r="P24">
        <v>1.5200000000000001E-3</v>
      </c>
      <c r="Q24">
        <v>1.14E-3</v>
      </c>
      <c r="R24">
        <v>1.14E-3</v>
      </c>
      <c r="S24">
        <v>1.14E-3</v>
      </c>
      <c r="T24">
        <v>1.14E-3</v>
      </c>
      <c r="U24">
        <v>1.14E-3</v>
      </c>
      <c r="V24">
        <v>2.8E-3</v>
      </c>
      <c r="W24">
        <v>2.8E-3</v>
      </c>
      <c r="X24">
        <v>2.8E-3</v>
      </c>
      <c r="Y24">
        <v>2.8E-3</v>
      </c>
      <c r="Z24">
        <v>2.8E-3</v>
      </c>
      <c r="AA24">
        <v>6.2599999999999999E-3</v>
      </c>
      <c r="AB24">
        <v>6.2599999999999999E-3</v>
      </c>
      <c r="AC24">
        <v>6.2599999999999999E-3</v>
      </c>
      <c r="AD24">
        <v>6.2599999999999999E-3</v>
      </c>
      <c r="AE24">
        <v>6.2599999999999999E-3</v>
      </c>
      <c r="AF24">
        <v>1.082E-2</v>
      </c>
      <c r="AG24">
        <v>1.082E-2</v>
      </c>
      <c r="AH24">
        <v>1.082E-2</v>
      </c>
      <c r="AI24">
        <v>1.082E-2</v>
      </c>
      <c r="AJ24">
        <v>1.082E-2</v>
      </c>
      <c r="AK24">
        <v>1.289E-2</v>
      </c>
      <c r="AL24">
        <v>1.289E-2</v>
      </c>
      <c r="AM24">
        <v>1.289E-2</v>
      </c>
      <c r="AN24">
        <v>1.289E-2</v>
      </c>
      <c r="AO24">
        <v>1.289E-2</v>
      </c>
      <c r="AP24">
        <v>1.175E-2</v>
      </c>
      <c r="AQ24">
        <v>1.175E-2</v>
      </c>
      <c r="AR24">
        <v>1.175E-2</v>
      </c>
      <c r="AS24">
        <v>1.175E-2</v>
      </c>
      <c r="AT24">
        <v>1.175E-2</v>
      </c>
      <c r="AU24">
        <v>0.01</v>
      </c>
      <c r="AV24">
        <v>0.01</v>
      </c>
      <c r="AW24">
        <v>0.01</v>
      </c>
      <c r="AX24">
        <v>0.01</v>
      </c>
      <c r="AY24">
        <v>0.01</v>
      </c>
      <c r="AZ24">
        <v>1.01E-2</v>
      </c>
      <c r="BA24">
        <v>1.01E-2</v>
      </c>
      <c r="BB24">
        <v>1.01E-2</v>
      </c>
      <c r="BC24">
        <v>1.01E-2</v>
      </c>
      <c r="BD24">
        <v>1.01E-2</v>
      </c>
      <c r="BE24">
        <v>1.2619999999999999E-2</v>
      </c>
      <c r="BF24">
        <v>1.2619999999999999E-2</v>
      </c>
      <c r="BG24">
        <v>1.2619999999999999E-2</v>
      </c>
      <c r="BH24">
        <v>1.2619999999999999E-2</v>
      </c>
      <c r="BI24">
        <v>1.2619999999999999E-2</v>
      </c>
      <c r="BJ24">
        <v>1.7639999999999999E-2</v>
      </c>
      <c r="BK24">
        <v>1.7639999999999999E-2</v>
      </c>
      <c r="BL24">
        <v>1.7639999999999999E-2</v>
      </c>
      <c r="BM24">
        <v>1.7639999999999999E-2</v>
      </c>
      <c r="BN24">
        <v>1.7639999999999999E-2</v>
      </c>
      <c r="BO24">
        <v>2.733E-2</v>
      </c>
      <c r="BP24">
        <v>2.733E-2</v>
      </c>
      <c r="BQ24">
        <v>2.733E-2</v>
      </c>
      <c r="BR24">
        <v>2.733E-2</v>
      </c>
      <c r="BS24">
        <v>2.733E-2</v>
      </c>
      <c r="BT24">
        <v>4.514E-2</v>
      </c>
      <c r="BU24">
        <v>4.514E-2</v>
      </c>
      <c r="BV24">
        <v>4.514E-2</v>
      </c>
      <c r="BW24">
        <v>4.514E-2</v>
      </c>
      <c r="BX24">
        <v>4.514E-2</v>
      </c>
      <c r="BY24">
        <v>7.5029999999999999E-2</v>
      </c>
      <c r="BZ24">
        <v>7.5029999999999999E-2</v>
      </c>
      <c r="CA24">
        <v>7.5029999999999999E-2</v>
      </c>
      <c r="CB24">
        <v>7.5029999999999999E-2</v>
      </c>
      <c r="CC24">
        <v>7.5029999999999999E-2</v>
      </c>
      <c r="CD24">
        <v>0.12318</v>
      </c>
      <c r="CE24">
        <v>0.12318</v>
      </c>
      <c r="CF24">
        <v>0.12318</v>
      </c>
      <c r="CG24">
        <v>0.12318</v>
      </c>
      <c r="CH24">
        <v>0.12318</v>
      </c>
      <c r="CI24">
        <v>0.19312000000000001</v>
      </c>
      <c r="CJ24">
        <v>0.19312000000000001</v>
      </c>
      <c r="CK24">
        <v>0.19312000000000001</v>
      </c>
      <c r="CL24">
        <v>0.19312000000000001</v>
      </c>
      <c r="CM24">
        <v>0.19312000000000001</v>
      </c>
      <c r="CN24">
        <v>0.28921000000000002</v>
      </c>
      <c r="CO24">
        <v>0.28921000000000002</v>
      </c>
      <c r="CP24">
        <v>0.28921000000000002</v>
      </c>
      <c r="CQ24">
        <v>0.28921000000000002</v>
      </c>
      <c r="CR24">
        <v>0.28921000000000002</v>
      </c>
      <c r="CS24">
        <v>0.41343999999999997</v>
      </c>
      <c r="CT24">
        <v>0.41343999999999997</v>
      </c>
      <c r="CU24">
        <v>0.41343999999999997</v>
      </c>
      <c r="CV24">
        <v>0.41343999999999997</v>
      </c>
      <c r="CW24">
        <v>0.41343999999999997</v>
      </c>
      <c r="CX24">
        <v>1</v>
      </c>
    </row>
    <row r="25" spans="1:102" x14ac:dyDescent="0.25">
      <c r="A25" t="s">
        <v>113</v>
      </c>
      <c r="B25">
        <v>1.5859999999999999E-2</v>
      </c>
      <c r="C25">
        <v>7.7999999999999999E-4</v>
      </c>
      <c r="D25">
        <v>7.7999999999999999E-4</v>
      </c>
      <c r="E25">
        <v>7.7999999999999999E-4</v>
      </c>
      <c r="F25">
        <v>7.7999999999999999E-4</v>
      </c>
      <c r="G25">
        <v>2.4000000000000001E-4</v>
      </c>
      <c r="H25">
        <v>2.4000000000000001E-4</v>
      </c>
      <c r="I25">
        <v>2.4000000000000001E-4</v>
      </c>
      <c r="J25">
        <v>2.4000000000000001E-4</v>
      </c>
      <c r="K25">
        <v>2.4000000000000001E-4</v>
      </c>
      <c r="L25">
        <v>2.9E-4</v>
      </c>
      <c r="M25">
        <v>2.9E-4</v>
      </c>
      <c r="N25">
        <v>2.9E-4</v>
      </c>
      <c r="O25">
        <v>2.9E-4</v>
      </c>
      <c r="P25">
        <v>2.9E-4</v>
      </c>
      <c r="Q25">
        <v>5.0000000000000001E-4</v>
      </c>
      <c r="R25">
        <v>5.0000000000000001E-4</v>
      </c>
      <c r="S25">
        <v>5.0000000000000001E-4</v>
      </c>
      <c r="T25">
        <v>5.0000000000000001E-4</v>
      </c>
      <c r="U25">
        <v>5.0000000000000001E-4</v>
      </c>
      <c r="V25">
        <v>5.8E-4</v>
      </c>
      <c r="W25">
        <v>5.8E-4</v>
      </c>
      <c r="X25">
        <v>5.8E-4</v>
      </c>
      <c r="Y25">
        <v>5.8E-4</v>
      </c>
      <c r="Z25">
        <v>5.8E-4</v>
      </c>
      <c r="AA25">
        <v>7.3999999999999999E-4</v>
      </c>
      <c r="AB25">
        <v>7.3999999999999999E-4</v>
      </c>
      <c r="AC25">
        <v>7.3999999999999999E-4</v>
      </c>
      <c r="AD25">
        <v>7.3999999999999999E-4</v>
      </c>
      <c r="AE25">
        <v>7.3999999999999999E-4</v>
      </c>
      <c r="AF25">
        <v>9.7999999999999997E-4</v>
      </c>
      <c r="AG25">
        <v>9.7999999999999997E-4</v>
      </c>
      <c r="AH25">
        <v>9.7999999999999997E-4</v>
      </c>
      <c r="AI25">
        <v>9.7999999999999997E-4</v>
      </c>
      <c r="AJ25">
        <v>9.7999999999999997E-4</v>
      </c>
      <c r="AK25">
        <v>1.4400000000000001E-3</v>
      </c>
      <c r="AL25">
        <v>1.4400000000000001E-3</v>
      </c>
      <c r="AM25">
        <v>1.4400000000000001E-3</v>
      </c>
      <c r="AN25">
        <v>1.4400000000000001E-3</v>
      </c>
      <c r="AO25">
        <v>1.4400000000000001E-3</v>
      </c>
      <c r="AP25">
        <v>2.1700000000000001E-3</v>
      </c>
      <c r="AQ25">
        <v>2.1700000000000001E-3</v>
      </c>
      <c r="AR25">
        <v>2.1700000000000001E-3</v>
      </c>
      <c r="AS25">
        <v>2.1700000000000001E-3</v>
      </c>
      <c r="AT25">
        <v>2.1700000000000001E-3</v>
      </c>
      <c r="AU25">
        <v>3.1800000000000001E-3</v>
      </c>
      <c r="AV25">
        <v>3.1800000000000001E-3</v>
      </c>
      <c r="AW25">
        <v>3.1800000000000001E-3</v>
      </c>
      <c r="AX25">
        <v>3.1800000000000001E-3</v>
      </c>
      <c r="AY25">
        <v>3.1800000000000001E-3</v>
      </c>
      <c r="AZ25">
        <v>4.8799999999999998E-3</v>
      </c>
      <c r="BA25">
        <v>4.8799999999999998E-3</v>
      </c>
      <c r="BB25">
        <v>4.8799999999999998E-3</v>
      </c>
      <c r="BC25">
        <v>4.8799999999999998E-3</v>
      </c>
      <c r="BD25">
        <v>4.8799999999999998E-3</v>
      </c>
      <c r="BE25">
        <v>7.0800000000000004E-3</v>
      </c>
      <c r="BF25">
        <v>7.0800000000000004E-3</v>
      </c>
      <c r="BG25">
        <v>7.0800000000000004E-3</v>
      </c>
      <c r="BH25">
        <v>7.0800000000000004E-3</v>
      </c>
      <c r="BI25">
        <v>7.0800000000000004E-3</v>
      </c>
      <c r="BJ25">
        <v>1.1270000000000001E-2</v>
      </c>
      <c r="BK25">
        <v>1.1270000000000001E-2</v>
      </c>
      <c r="BL25">
        <v>1.1270000000000001E-2</v>
      </c>
      <c r="BM25">
        <v>1.1270000000000001E-2</v>
      </c>
      <c r="BN25">
        <v>1.1270000000000001E-2</v>
      </c>
      <c r="BO25">
        <v>1.7389999999999999E-2</v>
      </c>
      <c r="BP25">
        <v>1.7389999999999999E-2</v>
      </c>
      <c r="BQ25">
        <v>1.7389999999999999E-2</v>
      </c>
      <c r="BR25">
        <v>1.7389999999999999E-2</v>
      </c>
      <c r="BS25">
        <v>1.7389999999999999E-2</v>
      </c>
      <c r="BT25">
        <v>2.7119999999999998E-2</v>
      </c>
      <c r="BU25">
        <v>2.7119999999999998E-2</v>
      </c>
      <c r="BV25">
        <v>2.7119999999999998E-2</v>
      </c>
      <c r="BW25">
        <v>2.7119999999999998E-2</v>
      </c>
      <c r="BX25">
        <v>2.7119999999999998E-2</v>
      </c>
      <c r="BY25">
        <v>4.5240000000000002E-2</v>
      </c>
      <c r="BZ25">
        <v>4.5240000000000002E-2</v>
      </c>
      <c r="CA25">
        <v>4.5240000000000002E-2</v>
      </c>
      <c r="CB25">
        <v>4.5240000000000002E-2</v>
      </c>
      <c r="CC25">
        <v>4.5240000000000002E-2</v>
      </c>
      <c r="CD25">
        <v>7.1830000000000005E-2</v>
      </c>
      <c r="CE25">
        <v>7.1830000000000005E-2</v>
      </c>
      <c r="CF25">
        <v>7.1830000000000005E-2</v>
      </c>
      <c r="CG25">
        <v>7.1830000000000005E-2</v>
      </c>
      <c r="CH25">
        <v>7.1830000000000005E-2</v>
      </c>
      <c r="CI25">
        <v>0.11384</v>
      </c>
      <c r="CJ25">
        <v>0.11384</v>
      </c>
      <c r="CK25">
        <v>0.11384</v>
      </c>
      <c r="CL25">
        <v>0.11384</v>
      </c>
      <c r="CM25">
        <v>0.11384</v>
      </c>
      <c r="CN25">
        <v>0.18009</v>
      </c>
      <c r="CO25">
        <v>0.18009</v>
      </c>
      <c r="CP25">
        <v>0.18009</v>
      </c>
      <c r="CQ25">
        <v>0.18009</v>
      </c>
      <c r="CR25">
        <v>0.18009</v>
      </c>
      <c r="CS25">
        <v>0.28437000000000001</v>
      </c>
      <c r="CT25">
        <v>0.28437000000000001</v>
      </c>
      <c r="CU25">
        <v>0.28437000000000001</v>
      </c>
      <c r="CV25">
        <v>0.28437000000000001</v>
      </c>
      <c r="CW25">
        <v>0.28437000000000001</v>
      </c>
      <c r="CX25">
        <v>1</v>
      </c>
    </row>
    <row r="26" spans="1:102" x14ac:dyDescent="0.25">
      <c r="A26" t="s">
        <v>115</v>
      </c>
      <c r="B26">
        <v>5.2100000000000002E-3</v>
      </c>
      <c r="C26">
        <v>2.9E-4</v>
      </c>
      <c r="D26">
        <v>2.9E-4</v>
      </c>
      <c r="E26">
        <v>2.9E-4</v>
      </c>
      <c r="F26">
        <v>2.9E-4</v>
      </c>
      <c r="G26">
        <v>2.5999999999999998E-4</v>
      </c>
      <c r="H26">
        <v>2.5999999999999998E-4</v>
      </c>
      <c r="I26">
        <v>2.5999999999999998E-4</v>
      </c>
      <c r="J26">
        <v>2.5999999999999998E-4</v>
      </c>
      <c r="K26">
        <v>2.5999999999999998E-4</v>
      </c>
      <c r="L26">
        <v>2.4000000000000001E-4</v>
      </c>
      <c r="M26">
        <v>2.4000000000000001E-4</v>
      </c>
      <c r="N26">
        <v>2.4000000000000001E-4</v>
      </c>
      <c r="O26">
        <v>2.4000000000000001E-4</v>
      </c>
      <c r="P26">
        <v>2.4000000000000001E-4</v>
      </c>
      <c r="Q26">
        <v>3.5E-4</v>
      </c>
      <c r="R26">
        <v>3.5E-4</v>
      </c>
      <c r="S26">
        <v>3.5E-4</v>
      </c>
      <c r="T26">
        <v>3.5E-4</v>
      </c>
      <c r="U26">
        <v>3.5E-4</v>
      </c>
      <c r="V26">
        <v>4.6000000000000001E-4</v>
      </c>
      <c r="W26">
        <v>4.6000000000000001E-4</v>
      </c>
      <c r="X26">
        <v>4.6000000000000001E-4</v>
      </c>
      <c r="Y26">
        <v>4.6000000000000001E-4</v>
      </c>
      <c r="Z26">
        <v>4.6000000000000001E-4</v>
      </c>
      <c r="AA26">
        <v>2.4000000000000001E-4</v>
      </c>
      <c r="AB26">
        <v>2.4000000000000001E-4</v>
      </c>
      <c r="AC26">
        <v>2.4000000000000001E-4</v>
      </c>
      <c r="AD26">
        <v>2.4000000000000001E-4</v>
      </c>
      <c r="AE26">
        <v>2.4000000000000001E-4</v>
      </c>
      <c r="AF26">
        <v>5.9999999999999995E-4</v>
      </c>
      <c r="AG26">
        <v>5.9999999999999995E-4</v>
      </c>
      <c r="AH26">
        <v>5.9999999999999995E-4</v>
      </c>
      <c r="AI26">
        <v>5.9999999999999995E-4</v>
      </c>
      <c r="AJ26">
        <v>5.9999999999999995E-4</v>
      </c>
      <c r="AK26">
        <v>7.5000000000000002E-4</v>
      </c>
      <c r="AL26">
        <v>7.5000000000000002E-4</v>
      </c>
      <c r="AM26">
        <v>7.5000000000000002E-4</v>
      </c>
      <c r="AN26">
        <v>7.5000000000000002E-4</v>
      </c>
      <c r="AO26">
        <v>7.5000000000000002E-4</v>
      </c>
      <c r="AP26">
        <v>1.24E-3</v>
      </c>
      <c r="AQ26">
        <v>1.24E-3</v>
      </c>
      <c r="AR26">
        <v>1.24E-3</v>
      </c>
      <c r="AS26">
        <v>1.24E-3</v>
      </c>
      <c r="AT26">
        <v>1.24E-3</v>
      </c>
      <c r="AU26">
        <v>2.8900000000000002E-3</v>
      </c>
      <c r="AV26">
        <v>2.8900000000000002E-3</v>
      </c>
      <c r="AW26">
        <v>2.8900000000000002E-3</v>
      </c>
      <c r="AX26">
        <v>2.8900000000000002E-3</v>
      </c>
      <c r="AY26">
        <v>2.8900000000000002E-3</v>
      </c>
      <c r="AZ26">
        <v>3.5300000000000002E-3</v>
      </c>
      <c r="BA26">
        <v>3.5300000000000002E-3</v>
      </c>
      <c r="BB26">
        <v>3.5300000000000002E-3</v>
      </c>
      <c r="BC26">
        <v>3.5300000000000002E-3</v>
      </c>
      <c r="BD26">
        <v>3.5300000000000002E-3</v>
      </c>
      <c r="BE26">
        <v>6.96E-3</v>
      </c>
      <c r="BF26">
        <v>6.96E-3</v>
      </c>
      <c r="BG26">
        <v>6.96E-3</v>
      </c>
      <c r="BH26">
        <v>6.96E-3</v>
      </c>
      <c r="BI26">
        <v>6.96E-3</v>
      </c>
      <c r="BJ26">
        <v>1.2999999999999999E-2</v>
      </c>
      <c r="BK26">
        <v>1.2999999999999999E-2</v>
      </c>
      <c r="BL26">
        <v>1.2999999999999999E-2</v>
      </c>
      <c r="BM26">
        <v>1.2999999999999999E-2</v>
      </c>
      <c r="BN26">
        <v>1.2999999999999999E-2</v>
      </c>
      <c r="BO26">
        <v>2.5059999999999999E-2</v>
      </c>
      <c r="BP26">
        <v>2.5059999999999999E-2</v>
      </c>
      <c r="BQ26">
        <v>2.5059999999999999E-2</v>
      </c>
      <c r="BR26">
        <v>2.5059999999999999E-2</v>
      </c>
      <c r="BS26">
        <v>2.5059999999999999E-2</v>
      </c>
      <c r="BT26">
        <v>2.9479999999999999E-2</v>
      </c>
      <c r="BU26">
        <v>2.9479999999999999E-2</v>
      </c>
      <c r="BV26">
        <v>2.9479999999999999E-2</v>
      </c>
      <c r="BW26">
        <v>2.9479999999999999E-2</v>
      </c>
      <c r="BX26">
        <v>2.9479999999999999E-2</v>
      </c>
      <c r="BY26">
        <v>4.3679999999999997E-2</v>
      </c>
      <c r="BZ26">
        <v>4.3679999999999997E-2</v>
      </c>
      <c r="CA26">
        <v>4.3679999999999997E-2</v>
      </c>
      <c r="CB26">
        <v>4.3679999999999997E-2</v>
      </c>
      <c r="CC26">
        <v>4.3679999999999997E-2</v>
      </c>
      <c r="CD26">
        <v>9.325E-2</v>
      </c>
      <c r="CE26">
        <v>9.325E-2</v>
      </c>
      <c r="CF26">
        <v>9.325E-2</v>
      </c>
      <c r="CG26">
        <v>9.325E-2</v>
      </c>
      <c r="CH26">
        <v>9.325E-2</v>
      </c>
      <c r="CI26">
        <v>0.17691000000000001</v>
      </c>
      <c r="CJ26">
        <v>0.17691000000000001</v>
      </c>
      <c r="CK26">
        <v>0.17691000000000001</v>
      </c>
      <c r="CL26">
        <v>0.17691000000000001</v>
      </c>
      <c r="CM26">
        <v>0.17691000000000001</v>
      </c>
      <c r="CN26">
        <v>0.29825000000000002</v>
      </c>
      <c r="CO26">
        <v>0.29825000000000002</v>
      </c>
      <c r="CP26">
        <v>0.29825000000000002</v>
      </c>
      <c r="CQ26">
        <v>0.29825000000000002</v>
      </c>
      <c r="CR26">
        <v>0.29825000000000002</v>
      </c>
      <c r="CS26">
        <v>0.44680999999999998</v>
      </c>
      <c r="CT26">
        <v>0.44680999999999998</v>
      </c>
      <c r="CU26">
        <v>0.44680999999999998</v>
      </c>
      <c r="CV26">
        <v>0.44680999999999998</v>
      </c>
      <c r="CW26">
        <v>0.44680999999999998</v>
      </c>
      <c r="CX26">
        <v>1</v>
      </c>
    </row>
    <row r="27" spans="1:102" x14ac:dyDescent="0.25">
      <c r="A27" t="s">
        <v>117</v>
      </c>
      <c r="B27">
        <v>9.7912499999999996E-3</v>
      </c>
      <c r="C27">
        <v>3.5649999999999999E-4</v>
      </c>
      <c r="D27">
        <v>3.5649999999999999E-4</v>
      </c>
      <c r="E27">
        <v>3.5649999999999999E-4</v>
      </c>
      <c r="F27">
        <v>3.5649999999999999E-4</v>
      </c>
      <c r="G27">
        <v>1.7899999999999999E-4</v>
      </c>
      <c r="H27">
        <v>1.7899999999999999E-4</v>
      </c>
      <c r="I27">
        <v>1.7899999999999999E-4</v>
      </c>
      <c r="J27">
        <v>1.7899999999999999E-4</v>
      </c>
      <c r="K27">
        <v>1.7899999999999999E-4</v>
      </c>
      <c r="L27">
        <v>1.8075E-4</v>
      </c>
      <c r="M27">
        <v>1.8075E-4</v>
      </c>
      <c r="N27">
        <v>1.8075E-4</v>
      </c>
      <c r="O27">
        <v>1.8075E-4</v>
      </c>
      <c r="P27">
        <v>1.8075E-4</v>
      </c>
      <c r="Q27">
        <v>3.0775000000000003E-4</v>
      </c>
      <c r="R27">
        <v>3.0775000000000003E-4</v>
      </c>
      <c r="S27">
        <v>3.0775000000000003E-4</v>
      </c>
      <c r="T27">
        <v>3.0775000000000003E-4</v>
      </c>
      <c r="U27">
        <v>3.0775000000000003E-4</v>
      </c>
      <c r="V27">
        <v>4.2025E-4</v>
      </c>
      <c r="W27">
        <v>4.2025E-4</v>
      </c>
      <c r="X27">
        <v>4.2025E-4</v>
      </c>
      <c r="Y27">
        <v>4.2025E-4</v>
      </c>
      <c r="Z27">
        <v>4.2025E-4</v>
      </c>
      <c r="AA27">
        <v>5.2674999999999998E-4</v>
      </c>
      <c r="AB27">
        <v>5.2674999999999998E-4</v>
      </c>
      <c r="AC27">
        <v>5.2674999999999998E-4</v>
      </c>
      <c r="AD27">
        <v>5.2674999999999998E-4</v>
      </c>
      <c r="AE27">
        <v>5.2674999999999998E-4</v>
      </c>
      <c r="AF27">
        <v>7.3850000000000001E-4</v>
      </c>
      <c r="AG27">
        <v>7.3850000000000001E-4</v>
      </c>
      <c r="AH27">
        <v>7.3850000000000001E-4</v>
      </c>
      <c r="AI27">
        <v>7.3850000000000001E-4</v>
      </c>
      <c r="AJ27">
        <v>7.3850000000000001E-4</v>
      </c>
      <c r="AK27">
        <v>1.0690000000000001E-3</v>
      </c>
      <c r="AL27">
        <v>1.0690000000000001E-3</v>
      </c>
      <c r="AM27">
        <v>1.0690000000000001E-3</v>
      </c>
      <c r="AN27">
        <v>1.0690000000000001E-3</v>
      </c>
      <c r="AO27">
        <v>1.0690000000000001E-3</v>
      </c>
      <c r="AP27">
        <v>1.622E-3</v>
      </c>
      <c r="AQ27">
        <v>1.622E-3</v>
      </c>
      <c r="AR27">
        <v>1.622E-3</v>
      </c>
      <c r="AS27">
        <v>1.622E-3</v>
      </c>
      <c r="AT27">
        <v>1.622E-3</v>
      </c>
      <c r="AU27">
        <v>2.5685E-3</v>
      </c>
      <c r="AV27">
        <v>2.5685E-3</v>
      </c>
      <c r="AW27">
        <v>2.5685E-3</v>
      </c>
      <c r="AX27">
        <v>2.5685E-3</v>
      </c>
      <c r="AY27">
        <v>2.5685E-3</v>
      </c>
      <c r="AZ27">
        <v>4.117E-3</v>
      </c>
      <c r="BA27">
        <v>4.117E-3</v>
      </c>
      <c r="BB27">
        <v>4.117E-3</v>
      </c>
      <c r="BC27">
        <v>4.117E-3</v>
      </c>
      <c r="BD27">
        <v>4.117E-3</v>
      </c>
      <c r="BE27">
        <v>6.4475000000000001E-3</v>
      </c>
      <c r="BF27">
        <v>6.4475000000000001E-3</v>
      </c>
      <c r="BG27">
        <v>6.4475000000000001E-3</v>
      </c>
      <c r="BH27">
        <v>6.4475000000000001E-3</v>
      </c>
      <c r="BI27">
        <v>6.4475000000000001E-3</v>
      </c>
      <c r="BJ27">
        <v>9.7327500000000001E-3</v>
      </c>
      <c r="BK27">
        <v>9.7327500000000001E-3</v>
      </c>
      <c r="BL27">
        <v>9.7327500000000001E-3</v>
      </c>
      <c r="BM27">
        <v>9.7327500000000001E-3</v>
      </c>
      <c r="BN27">
        <v>9.7327500000000001E-3</v>
      </c>
      <c r="BO27">
        <v>1.5950249999999999E-2</v>
      </c>
      <c r="BP27">
        <v>1.5950249999999999E-2</v>
      </c>
      <c r="BQ27">
        <v>1.5950249999999999E-2</v>
      </c>
      <c r="BR27">
        <v>1.5950249999999999E-2</v>
      </c>
      <c r="BS27">
        <v>1.5950249999999999E-2</v>
      </c>
      <c r="BT27">
        <v>2.6643500000000001E-2</v>
      </c>
      <c r="BU27">
        <v>2.6643500000000001E-2</v>
      </c>
      <c r="BV27">
        <v>2.6643500000000001E-2</v>
      </c>
      <c r="BW27">
        <v>2.6643500000000001E-2</v>
      </c>
      <c r="BX27">
        <v>2.6643500000000001E-2</v>
      </c>
      <c r="BY27">
        <v>4.6877250000000002E-2</v>
      </c>
      <c r="BZ27">
        <v>4.6877250000000002E-2</v>
      </c>
      <c r="CA27">
        <v>4.6877250000000002E-2</v>
      </c>
      <c r="CB27">
        <v>4.6877250000000002E-2</v>
      </c>
      <c r="CC27">
        <v>4.6877250000000002E-2</v>
      </c>
      <c r="CD27">
        <v>8.3014249999999998E-2</v>
      </c>
      <c r="CE27">
        <v>8.3014249999999998E-2</v>
      </c>
      <c r="CF27">
        <v>8.3014249999999998E-2</v>
      </c>
      <c r="CG27">
        <v>8.3014249999999998E-2</v>
      </c>
      <c r="CH27">
        <v>8.3014249999999998E-2</v>
      </c>
      <c r="CI27">
        <v>0.14132575</v>
      </c>
      <c r="CJ27">
        <v>0.14132575</v>
      </c>
      <c r="CK27">
        <v>0.14132575</v>
      </c>
      <c r="CL27">
        <v>0.14132575</v>
      </c>
      <c r="CM27">
        <v>0.14132575</v>
      </c>
      <c r="CN27">
        <v>0.22859225</v>
      </c>
      <c r="CO27">
        <v>0.22859225</v>
      </c>
      <c r="CP27">
        <v>0.22859225</v>
      </c>
      <c r="CQ27">
        <v>0.22859225</v>
      </c>
      <c r="CR27">
        <v>0.22859225</v>
      </c>
      <c r="CS27">
        <v>0.34928749999999997</v>
      </c>
      <c r="CT27">
        <v>0.34928749999999997</v>
      </c>
      <c r="CU27">
        <v>0.34928749999999997</v>
      </c>
      <c r="CV27">
        <v>0.34928749999999997</v>
      </c>
      <c r="CW27">
        <v>0.34928749999999997</v>
      </c>
      <c r="CX27">
        <v>1</v>
      </c>
    </row>
    <row r="28" spans="1:102" x14ac:dyDescent="0.25">
      <c r="A28" t="s">
        <v>119</v>
      </c>
      <c r="B28">
        <v>6.6841463000000004E-2</v>
      </c>
      <c r="C28">
        <v>1.0634390000000001E-2</v>
      </c>
      <c r="D28">
        <v>1.0634390000000001E-2</v>
      </c>
      <c r="E28">
        <v>1.0634390000000001E-2</v>
      </c>
      <c r="F28">
        <v>1.0634390000000001E-2</v>
      </c>
      <c r="G28">
        <v>2.2570730000000001E-3</v>
      </c>
      <c r="H28">
        <v>2.2570730000000001E-3</v>
      </c>
      <c r="I28">
        <v>2.2570730000000001E-3</v>
      </c>
      <c r="J28">
        <v>2.2570730000000001E-3</v>
      </c>
      <c r="K28">
        <v>2.2570730000000001E-3</v>
      </c>
      <c r="L28">
        <v>1.5885369999999999E-3</v>
      </c>
      <c r="M28">
        <v>1.5885369999999999E-3</v>
      </c>
      <c r="N28">
        <v>1.5885369999999999E-3</v>
      </c>
      <c r="O28">
        <v>1.5885369999999999E-3</v>
      </c>
      <c r="P28">
        <v>1.5885369999999999E-3</v>
      </c>
      <c r="Q28">
        <v>1.952683E-3</v>
      </c>
      <c r="R28">
        <v>1.952683E-3</v>
      </c>
      <c r="S28">
        <v>1.952683E-3</v>
      </c>
      <c r="T28">
        <v>1.952683E-3</v>
      </c>
      <c r="U28">
        <v>1.952683E-3</v>
      </c>
      <c r="V28">
        <v>3.7490240000000001E-3</v>
      </c>
      <c r="W28">
        <v>3.7490240000000001E-3</v>
      </c>
      <c r="X28">
        <v>3.7490240000000001E-3</v>
      </c>
      <c r="Y28">
        <v>3.7490240000000001E-3</v>
      </c>
      <c r="Z28">
        <v>3.7490240000000001E-3</v>
      </c>
      <c r="AA28">
        <v>6.1653660000000002E-3</v>
      </c>
      <c r="AB28">
        <v>6.1653660000000002E-3</v>
      </c>
      <c r="AC28">
        <v>6.1653660000000002E-3</v>
      </c>
      <c r="AD28">
        <v>6.1653660000000002E-3</v>
      </c>
      <c r="AE28">
        <v>6.1653660000000002E-3</v>
      </c>
      <c r="AF28">
        <v>8.7904880000000008E-3</v>
      </c>
      <c r="AG28">
        <v>8.7904880000000008E-3</v>
      </c>
      <c r="AH28">
        <v>8.7904880000000008E-3</v>
      </c>
      <c r="AI28">
        <v>8.7904880000000008E-3</v>
      </c>
      <c r="AJ28">
        <v>8.7904880000000008E-3</v>
      </c>
      <c r="AK28">
        <v>1.0272195E-2</v>
      </c>
      <c r="AL28">
        <v>1.0272195E-2</v>
      </c>
      <c r="AM28">
        <v>1.0272195E-2</v>
      </c>
      <c r="AN28">
        <v>1.0272195E-2</v>
      </c>
      <c r="AO28">
        <v>1.0272195E-2</v>
      </c>
      <c r="AP28">
        <v>1.0323659000000001E-2</v>
      </c>
      <c r="AQ28">
        <v>1.0323659000000001E-2</v>
      </c>
      <c r="AR28">
        <v>1.0323659000000001E-2</v>
      </c>
      <c r="AS28">
        <v>1.0323659000000001E-2</v>
      </c>
      <c r="AT28">
        <v>1.0323659000000001E-2</v>
      </c>
      <c r="AU28">
        <v>1.0378780000000001E-2</v>
      </c>
      <c r="AV28">
        <v>1.0378780000000001E-2</v>
      </c>
      <c r="AW28">
        <v>1.0378780000000001E-2</v>
      </c>
      <c r="AX28">
        <v>1.0378780000000001E-2</v>
      </c>
      <c r="AY28">
        <v>1.0378780000000001E-2</v>
      </c>
      <c r="AZ28">
        <v>1.2075122000000001E-2</v>
      </c>
      <c r="BA28">
        <v>1.2075122000000001E-2</v>
      </c>
      <c r="BB28">
        <v>1.2075122000000001E-2</v>
      </c>
      <c r="BC28">
        <v>1.2075122000000001E-2</v>
      </c>
      <c r="BD28">
        <v>1.2075122000000001E-2</v>
      </c>
      <c r="BE28">
        <v>1.6080000000000001E-2</v>
      </c>
      <c r="BF28">
        <v>1.6080000000000001E-2</v>
      </c>
      <c r="BG28">
        <v>1.6080000000000001E-2</v>
      </c>
      <c r="BH28">
        <v>1.6080000000000001E-2</v>
      </c>
      <c r="BI28">
        <v>1.6080000000000001E-2</v>
      </c>
      <c r="BJ28">
        <v>2.1788780000000001E-2</v>
      </c>
      <c r="BK28">
        <v>2.1788780000000001E-2</v>
      </c>
      <c r="BL28">
        <v>2.1788780000000001E-2</v>
      </c>
      <c r="BM28">
        <v>2.1788780000000001E-2</v>
      </c>
      <c r="BN28">
        <v>2.1788780000000001E-2</v>
      </c>
      <c r="BO28">
        <v>3.3969024E-2</v>
      </c>
      <c r="BP28">
        <v>3.3969024E-2</v>
      </c>
      <c r="BQ28">
        <v>3.3969024E-2</v>
      </c>
      <c r="BR28">
        <v>3.3969024E-2</v>
      </c>
      <c r="BS28">
        <v>3.3969024E-2</v>
      </c>
      <c r="BT28">
        <v>5.3909024E-2</v>
      </c>
      <c r="BU28">
        <v>5.3909024E-2</v>
      </c>
      <c r="BV28">
        <v>5.3909024E-2</v>
      </c>
      <c r="BW28">
        <v>5.3909024E-2</v>
      </c>
      <c r="BX28">
        <v>5.3909024E-2</v>
      </c>
      <c r="BY28">
        <v>8.5237561000000003E-2</v>
      </c>
      <c r="BZ28">
        <v>8.5237561000000003E-2</v>
      </c>
      <c r="CA28">
        <v>8.5237561000000003E-2</v>
      </c>
      <c r="CB28">
        <v>8.5237561000000003E-2</v>
      </c>
      <c r="CC28">
        <v>8.5237561000000003E-2</v>
      </c>
      <c r="CD28">
        <v>0.13244804900000001</v>
      </c>
      <c r="CE28">
        <v>0.13244804900000001</v>
      </c>
      <c r="CF28">
        <v>0.13244804900000001</v>
      </c>
      <c r="CG28">
        <v>0.13244804900000001</v>
      </c>
      <c r="CH28">
        <v>0.13244804900000001</v>
      </c>
      <c r="CI28">
        <v>0.19970122000000001</v>
      </c>
      <c r="CJ28">
        <v>0.19970122000000001</v>
      </c>
      <c r="CK28">
        <v>0.19970122000000001</v>
      </c>
      <c r="CL28">
        <v>0.19970122000000001</v>
      </c>
      <c r="CM28">
        <v>0.19970122000000001</v>
      </c>
      <c r="CN28">
        <v>0.29157146299999998</v>
      </c>
      <c r="CO28">
        <v>0.29157146299999998</v>
      </c>
      <c r="CP28">
        <v>0.29157146299999998</v>
      </c>
      <c r="CQ28">
        <v>0.29157146299999998</v>
      </c>
      <c r="CR28">
        <v>0.29157146299999998</v>
      </c>
      <c r="CS28">
        <v>0.41195365900000003</v>
      </c>
      <c r="CT28">
        <v>0.41195365900000003</v>
      </c>
      <c r="CU28">
        <v>0.41195365900000003</v>
      </c>
      <c r="CV28">
        <v>0.41195365900000003</v>
      </c>
      <c r="CW28">
        <v>0.41195365900000003</v>
      </c>
      <c r="CX28">
        <v>1</v>
      </c>
    </row>
    <row r="29" spans="1:102" x14ac:dyDescent="0.25">
      <c r="A29" t="s">
        <v>121</v>
      </c>
      <c r="B29">
        <v>6.6841463000000004E-2</v>
      </c>
      <c r="C29">
        <v>1.0634390000000001E-2</v>
      </c>
      <c r="D29">
        <v>1.0634390000000001E-2</v>
      </c>
      <c r="E29">
        <v>1.0634390000000001E-2</v>
      </c>
      <c r="F29">
        <v>1.0634390000000001E-2</v>
      </c>
      <c r="G29">
        <v>2.2570730000000001E-3</v>
      </c>
      <c r="H29">
        <v>2.2570730000000001E-3</v>
      </c>
      <c r="I29">
        <v>2.2570730000000001E-3</v>
      </c>
      <c r="J29">
        <v>2.2570730000000001E-3</v>
      </c>
      <c r="K29">
        <v>2.2570730000000001E-3</v>
      </c>
      <c r="L29">
        <v>1.5885369999999999E-3</v>
      </c>
      <c r="M29">
        <v>1.5885369999999999E-3</v>
      </c>
      <c r="N29">
        <v>1.5885369999999999E-3</v>
      </c>
      <c r="O29">
        <v>1.5885369999999999E-3</v>
      </c>
      <c r="P29">
        <v>1.5885369999999999E-3</v>
      </c>
      <c r="Q29">
        <v>1.952683E-3</v>
      </c>
      <c r="R29">
        <v>1.952683E-3</v>
      </c>
      <c r="S29">
        <v>1.952683E-3</v>
      </c>
      <c r="T29">
        <v>1.952683E-3</v>
      </c>
      <c r="U29">
        <v>1.952683E-3</v>
      </c>
      <c r="V29">
        <v>3.7490240000000001E-3</v>
      </c>
      <c r="W29">
        <v>3.7490240000000001E-3</v>
      </c>
      <c r="X29">
        <v>3.7490240000000001E-3</v>
      </c>
      <c r="Y29">
        <v>3.7490240000000001E-3</v>
      </c>
      <c r="Z29">
        <v>3.7490240000000001E-3</v>
      </c>
      <c r="AA29">
        <v>6.1653660000000002E-3</v>
      </c>
      <c r="AB29">
        <v>6.1653660000000002E-3</v>
      </c>
      <c r="AC29">
        <v>6.1653660000000002E-3</v>
      </c>
      <c r="AD29">
        <v>6.1653660000000002E-3</v>
      </c>
      <c r="AE29">
        <v>6.1653660000000002E-3</v>
      </c>
      <c r="AF29">
        <v>8.7904880000000008E-3</v>
      </c>
      <c r="AG29">
        <v>8.7904880000000008E-3</v>
      </c>
      <c r="AH29">
        <v>8.7904880000000008E-3</v>
      </c>
      <c r="AI29">
        <v>8.7904880000000008E-3</v>
      </c>
      <c r="AJ29">
        <v>8.7904880000000008E-3</v>
      </c>
      <c r="AK29">
        <v>1.0272195E-2</v>
      </c>
      <c r="AL29">
        <v>1.0272195E-2</v>
      </c>
      <c r="AM29">
        <v>1.0272195E-2</v>
      </c>
      <c r="AN29">
        <v>1.0272195E-2</v>
      </c>
      <c r="AO29">
        <v>1.0272195E-2</v>
      </c>
      <c r="AP29">
        <v>1.0323659000000001E-2</v>
      </c>
      <c r="AQ29">
        <v>1.0323659000000001E-2</v>
      </c>
      <c r="AR29">
        <v>1.0323659000000001E-2</v>
      </c>
      <c r="AS29">
        <v>1.0323659000000001E-2</v>
      </c>
      <c r="AT29">
        <v>1.0323659000000001E-2</v>
      </c>
      <c r="AU29">
        <v>1.0378780000000001E-2</v>
      </c>
      <c r="AV29">
        <v>1.0378780000000001E-2</v>
      </c>
      <c r="AW29">
        <v>1.0378780000000001E-2</v>
      </c>
      <c r="AX29">
        <v>1.0378780000000001E-2</v>
      </c>
      <c r="AY29">
        <v>1.0378780000000001E-2</v>
      </c>
      <c r="AZ29">
        <v>1.2075122000000001E-2</v>
      </c>
      <c r="BA29">
        <v>1.2075122000000001E-2</v>
      </c>
      <c r="BB29">
        <v>1.2075122000000001E-2</v>
      </c>
      <c r="BC29">
        <v>1.2075122000000001E-2</v>
      </c>
      <c r="BD29">
        <v>1.2075122000000001E-2</v>
      </c>
      <c r="BE29">
        <v>1.6080000000000001E-2</v>
      </c>
      <c r="BF29">
        <v>1.6080000000000001E-2</v>
      </c>
      <c r="BG29">
        <v>1.6080000000000001E-2</v>
      </c>
      <c r="BH29">
        <v>1.6080000000000001E-2</v>
      </c>
      <c r="BI29">
        <v>1.6080000000000001E-2</v>
      </c>
      <c r="BJ29">
        <v>2.1788780000000001E-2</v>
      </c>
      <c r="BK29">
        <v>2.1788780000000001E-2</v>
      </c>
      <c r="BL29">
        <v>2.1788780000000001E-2</v>
      </c>
      <c r="BM29">
        <v>2.1788780000000001E-2</v>
      </c>
      <c r="BN29">
        <v>2.1788780000000001E-2</v>
      </c>
      <c r="BO29">
        <v>3.3969024E-2</v>
      </c>
      <c r="BP29">
        <v>3.3969024E-2</v>
      </c>
      <c r="BQ29">
        <v>3.3969024E-2</v>
      </c>
      <c r="BR29">
        <v>3.3969024E-2</v>
      </c>
      <c r="BS29">
        <v>3.3969024E-2</v>
      </c>
      <c r="BT29">
        <v>5.3909024E-2</v>
      </c>
      <c r="BU29">
        <v>5.3909024E-2</v>
      </c>
      <c r="BV29">
        <v>5.3909024E-2</v>
      </c>
      <c r="BW29">
        <v>5.3909024E-2</v>
      </c>
      <c r="BX29">
        <v>5.3909024E-2</v>
      </c>
      <c r="BY29">
        <v>8.5237561000000003E-2</v>
      </c>
      <c r="BZ29">
        <v>8.5237561000000003E-2</v>
      </c>
      <c r="CA29">
        <v>8.5237561000000003E-2</v>
      </c>
      <c r="CB29">
        <v>8.5237561000000003E-2</v>
      </c>
      <c r="CC29">
        <v>8.5237561000000003E-2</v>
      </c>
      <c r="CD29">
        <v>0.13244804900000001</v>
      </c>
      <c r="CE29">
        <v>0.13244804900000001</v>
      </c>
      <c r="CF29">
        <v>0.13244804900000001</v>
      </c>
      <c r="CG29">
        <v>0.13244804900000001</v>
      </c>
      <c r="CH29">
        <v>0.13244804900000001</v>
      </c>
      <c r="CI29">
        <v>0.19970122000000001</v>
      </c>
      <c r="CJ29">
        <v>0.19970122000000001</v>
      </c>
      <c r="CK29">
        <v>0.19970122000000001</v>
      </c>
      <c r="CL29">
        <v>0.19970122000000001</v>
      </c>
      <c r="CM29">
        <v>0.19970122000000001</v>
      </c>
      <c r="CN29">
        <v>0.29157146299999998</v>
      </c>
      <c r="CO29">
        <v>0.29157146299999998</v>
      </c>
      <c r="CP29">
        <v>0.29157146299999998</v>
      </c>
      <c r="CQ29">
        <v>0.29157146299999998</v>
      </c>
      <c r="CR29">
        <v>0.29157146299999998</v>
      </c>
      <c r="CS29">
        <v>0.41195365900000003</v>
      </c>
      <c r="CT29">
        <v>0.41195365900000003</v>
      </c>
      <c r="CU29">
        <v>0.41195365900000003</v>
      </c>
      <c r="CV29">
        <v>0.41195365900000003</v>
      </c>
      <c r="CW29">
        <v>0.41195365900000003</v>
      </c>
      <c r="CX29">
        <v>1</v>
      </c>
    </row>
    <row r="30" spans="1:102" x14ac:dyDescent="0.25">
      <c r="A30" t="s">
        <v>123</v>
      </c>
      <c r="B30">
        <v>6.3560000000000005E-2</v>
      </c>
      <c r="C30">
        <v>5.1399999999999996E-3</v>
      </c>
      <c r="D30">
        <v>5.1399999999999996E-3</v>
      </c>
      <c r="E30">
        <v>5.1399999999999996E-3</v>
      </c>
      <c r="F30">
        <v>5.1399999999999996E-3</v>
      </c>
      <c r="G30">
        <v>1.3699999999999999E-3</v>
      </c>
      <c r="H30">
        <v>1.3699999999999999E-3</v>
      </c>
      <c r="I30">
        <v>1.3699999999999999E-3</v>
      </c>
      <c r="J30">
        <v>1.3699999999999999E-3</v>
      </c>
      <c r="K30">
        <v>1.3699999999999999E-3</v>
      </c>
      <c r="L30">
        <v>8.5999999999999998E-4</v>
      </c>
      <c r="M30">
        <v>8.5999999999999998E-4</v>
      </c>
      <c r="N30">
        <v>8.5999999999999998E-4</v>
      </c>
      <c r="O30">
        <v>8.5999999999999998E-4</v>
      </c>
      <c r="P30">
        <v>8.5999999999999998E-4</v>
      </c>
      <c r="Q30">
        <v>1.09E-3</v>
      </c>
      <c r="R30">
        <v>1.09E-3</v>
      </c>
      <c r="S30">
        <v>1.09E-3</v>
      </c>
      <c r="T30">
        <v>1.09E-3</v>
      </c>
      <c r="U30">
        <v>1.09E-3</v>
      </c>
      <c r="V30">
        <v>1.5399999999999999E-3</v>
      </c>
      <c r="W30">
        <v>1.5399999999999999E-3</v>
      </c>
      <c r="X30">
        <v>1.5399999999999999E-3</v>
      </c>
      <c r="Y30">
        <v>1.5399999999999999E-3</v>
      </c>
      <c r="Z30">
        <v>1.5399999999999999E-3</v>
      </c>
      <c r="AA30">
        <v>2.0200000000000001E-3</v>
      </c>
      <c r="AB30">
        <v>2.0200000000000001E-3</v>
      </c>
      <c r="AC30">
        <v>2.0200000000000001E-3</v>
      </c>
      <c r="AD30">
        <v>2.0200000000000001E-3</v>
      </c>
      <c r="AE30">
        <v>2.0200000000000001E-3</v>
      </c>
      <c r="AF30">
        <v>2.9399999999999999E-3</v>
      </c>
      <c r="AG30">
        <v>2.9399999999999999E-3</v>
      </c>
      <c r="AH30">
        <v>2.9399999999999999E-3</v>
      </c>
      <c r="AI30">
        <v>2.9399999999999999E-3</v>
      </c>
      <c r="AJ30">
        <v>2.9399999999999999E-3</v>
      </c>
      <c r="AK30">
        <v>3.6099999999999999E-3</v>
      </c>
      <c r="AL30">
        <v>3.6099999999999999E-3</v>
      </c>
      <c r="AM30">
        <v>3.6099999999999999E-3</v>
      </c>
      <c r="AN30">
        <v>3.6099999999999999E-3</v>
      </c>
      <c r="AO30">
        <v>3.6099999999999999E-3</v>
      </c>
      <c r="AP30">
        <v>4.3299999999999996E-3</v>
      </c>
      <c r="AQ30">
        <v>4.3299999999999996E-3</v>
      </c>
      <c r="AR30">
        <v>4.3299999999999996E-3</v>
      </c>
      <c r="AS30">
        <v>4.3299999999999996E-3</v>
      </c>
      <c r="AT30">
        <v>4.3299999999999996E-3</v>
      </c>
      <c r="AU30">
        <v>5.7800000000000004E-3</v>
      </c>
      <c r="AV30">
        <v>5.7800000000000004E-3</v>
      </c>
      <c r="AW30">
        <v>5.7800000000000004E-3</v>
      </c>
      <c r="AX30">
        <v>5.7800000000000004E-3</v>
      </c>
      <c r="AY30">
        <v>5.7800000000000004E-3</v>
      </c>
      <c r="AZ30">
        <v>8.2799999999999992E-3</v>
      </c>
      <c r="BA30">
        <v>8.2799999999999992E-3</v>
      </c>
      <c r="BB30">
        <v>8.2799999999999992E-3</v>
      </c>
      <c r="BC30">
        <v>8.2799999999999992E-3</v>
      </c>
      <c r="BD30">
        <v>8.2799999999999992E-3</v>
      </c>
      <c r="BE30">
        <v>1.2449999999999999E-2</v>
      </c>
      <c r="BF30">
        <v>1.2449999999999999E-2</v>
      </c>
      <c r="BG30">
        <v>1.2449999999999999E-2</v>
      </c>
      <c r="BH30">
        <v>1.2449999999999999E-2</v>
      </c>
      <c r="BI30">
        <v>1.2449999999999999E-2</v>
      </c>
      <c r="BJ30">
        <v>1.8200000000000001E-2</v>
      </c>
      <c r="BK30">
        <v>1.8200000000000001E-2</v>
      </c>
      <c r="BL30">
        <v>1.8200000000000001E-2</v>
      </c>
      <c r="BM30">
        <v>1.8200000000000001E-2</v>
      </c>
      <c r="BN30">
        <v>1.8200000000000001E-2</v>
      </c>
      <c r="BO30">
        <v>2.9960000000000001E-2</v>
      </c>
      <c r="BP30">
        <v>2.9960000000000001E-2</v>
      </c>
      <c r="BQ30">
        <v>2.9960000000000001E-2</v>
      </c>
      <c r="BR30">
        <v>2.9960000000000001E-2</v>
      </c>
      <c r="BS30">
        <v>2.9960000000000001E-2</v>
      </c>
      <c r="BT30">
        <v>5.033E-2</v>
      </c>
      <c r="BU30">
        <v>5.033E-2</v>
      </c>
      <c r="BV30">
        <v>5.033E-2</v>
      </c>
      <c r="BW30">
        <v>5.033E-2</v>
      </c>
      <c r="BX30">
        <v>5.033E-2</v>
      </c>
      <c r="BY30">
        <v>8.3269999999999997E-2</v>
      </c>
      <c r="BZ30">
        <v>8.3269999999999997E-2</v>
      </c>
      <c r="CA30">
        <v>8.3269999999999997E-2</v>
      </c>
      <c r="CB30">
        <v>8.3269999999999997E-2</v>
      </c>
      <c r="CC30">
        <v>8.3269999999999997E-2</v>
      </c>
      <c r="CD30">
        <v>0.13281000000000001</v>
      </c>
      <c r="CE30">
        <v>0.13281000000000001</v>
      </c>
      <c r="CF30">
        <v>0.13281000000000001</v>
      </c>
      <c r="CG30">
        <v>0.13281000000000001</v>
      </c>
      <c r="CH30">
        <v>0.13281000000000001</v>
      </c>
      <c r="CI30">
        <v>0.20333999999999999</v>
      </c>
      <c r="CJ30">
        <v>0.20333999999999999</v>
      </c>
      <c r="CK30">
        <v>0.20333999999999999</v>
      </c>
      <c r="CL30">
        <v>0.20333999999999999</v>
      </c>
      <c r="CM30">
        <v>0.20333999999999999</v>
      </c>
      <c r="CN30">
        <v>0.2989</v>
      </c>
      <c r="CO30">
        <v>0.2989</v>
      </c>
      <c r="CP30">
        <v>0.2989</v>
      </c>
      <c r="CQ30">
        <v>0.2989</v>
      </c>
      <c r="CR30">
        <v>0.2989</v>
      </c>
      <c r="CS30">
        <v>0.42181000000000002</v>
      </c>
      <c r="CT30">
        <v>0.42181000000000002</v>
      </c>
      <c r="CU30">
        <v>0.42181000000000002</v>
      </c>
      <c r="CV30">
        <v>0.42181000000000002</v>
      </c>
      <c r="CW30">
        <v>0.42181000000000002</v>
      </c>
      <c r="CX30">
        <v>1</v>
      </c>
    </row>
    <row r="31" spans="1:102" x14ac:dyDescent="0.25">
      <c r="A31" t="s">
        <v>125</v>
      </c>
      <c r="B31">
        <v>9.2100000000000001E-2</v>
      </c>
      <c r="C31">
        <v>1.729E-2</v>
      </c>
      <c r="D31">
        <v>1.729E-2</v>
      </c>
      <c r="E31">
        <v>1.729E-2</v>
      </c>
      <c r="F31">
        <v>1.729E-2</v>
      </c>
      <c r="G31">
        <v>3.48E-3</v>
      </c>
      <c r="H31">
        <v>3.48E-3</v>
      </c>
      <c r="I31">
        <v>3.48E-3</v>
      </c>
      <c r="J31">
        <v>3.48E-3</v>
      </c>
      <c r="K31">
        <v>3.48E-3</v>
      </c>
      <c r="L31">
        <v>2.33E-3</v>
      </c>
      <c r="M31">
        <v>2.33E-3</v>
      </c>
      <c r="N31">
        <v>2.33E-3</v>
      </c>
      <c r="O31">
        <v>2.33E-3</v>
      </c>
      <c r="P31">
        <v>2.33E-3</v>
      </c>
      <c r="Q31">
        <v>3.1800000000000001E-3</v>
      </c>
      <c r="R31">
        <v>3.1800000000000001E-3</v>
      </c>
      <c r="S31">
        <v>3.1800000000000001E-3</v>
      </c>
      <c r="T31">
        <v>3.1800000000000001E-3</v>
      </c>
      <c r="U31">
        <v>3.1800000000000001E-3</v>
      </c>
      <c r="V31">
        <v>5.7200000000000003E-3</v>
      </c>
      <c r="W31">
        <v>5.7200000000000003E-3</v>
      </c>
      <c r="X31">
        <v>5.7200000000000003E-3</v>
      </c>
      <c r="Y31">
        <v>5.7200000000000003E-3</v>
      </c>
      <c r="Z31">
        <v>5.7200000000000003E-3</v>
      </c>
      <c r="AA31">
        <v>8.4399999999999996E-3</v>
      </c>
      <c r="AB31">
        <v>8.4399999999999996E-3</v>
      </c>
      <c r="AC31">
        <v>8.4399999999999996E-3</v>
      </c>
      <c r="AD31">
        <v>8.4399999999999996E-3</v>
      </c>
      <c r="AE31">
        <v>8.4399999999999996E-3</v>
      </c>
      <c r="AF31">
        <v>1.179E-2</v>
      </c>
      <c r="AG31">
        <v>1.179E-2</v>
      </c>
      <c r="AH31">
        <v>1.179E-2</v>
      </c>
      <c r="AI31">
        <v>1.179E-2</v>
      </c>
      <c r="AJ31">
        <v>1.179E-2</v>
      </c>
      <c r="AK31">
        <v>1.307E-2</v>
      </c>
      <c r="AL31">
        <v>1.307E-2</v>
      </c>
      <c r="AM31">
        <v>1.307E-2</v>
      </c>
      <c r="AN31">
        <v>1.307E-2</v>
      </c>
      <c r="AO31">
        <v>1.307E-2</v>
      </c>
      <c r="AP31">
        <v>1.3100000000000001E-2</v>
      </c>
      <c r="AQ31">
        <v>1.3100000000000001E-2</v>
      </c>
      <c r="AR31">
        <v>1.3100000000000001E-2</v>
      </c>
      <c r="AS31">
        <v>1.3100000000000001E-2</v>
      </c>
      <c r="AT31">
        <v>1.3100000000000001E-2</v>
      </c>
      <c r="AU31">
        <v>1.3339999999999999E-2</v>
      </c>
      <c r="AV31">
        <v>1.3339999999999999E-2</v>
      </c>
      <c r="AW31">
        <v>1.3339999999999999E-2</v>
      </c>
      <c r="AX31">
        <v>1.3339999999999999E-2</v>
      </c>
      <c r="AY31">
        <v>1.3339999999999999E-2</v>
      </c>
      <c r="AZ31">
        <v>1.5630000000000002E-2</v>
      </c>
      <c r="BA31">
        <v>1.5630000000000002E-2</v>
      </c>
      <c r="BB31">
        <v>1.5630000000000002E-2</v>
      </c>
      <c r="BC31">
        <v>1.5630000000000002E-2</v>
      </c>
      <c r="BD31">
        <v>1.5630000000000002E-2</v>
      </c>
      <c r="BE31">
        <v>2.0809999999999999E-2</v>
      </c>
      <c r="BF31">
        <v>2.0809999999999999E-2</v>
      </c>
      <c r="BG31">
        <v>2.0809999999999999E-2</v>
      </c>
      <c r="BH31">
        <v>2.0809999999999999E-2</v>
      </c>
      <c r="BI31">
        <v>2.0809999999999999E-2</v>
      </c>
      <c r="BJ31">
        <v>2.7019999999999999E-2</v>
      </c>
      <c r="BK31">
        <v>2.7019999999999999E-2</v>
      </c>
      <c r="BL31">
        <v>2.7019999999999999E-2</v>
      </c>
      <c r="BM31">
        <v>2.7019999999999999E-2</v>
      </c>
      <c r="BN31">
        <v>2.7019999999999999E-2</v>
      </c>
      <c r="BO31">
        <v>4.1169999999999998E-2</v>
      </c>
      <c r="BP31">
        <v>4.1169999999999998E-2</v>
      </c>
      <c r="BQ31">
        <v>4.1169999999999998E-2</v>
      </c>
      <c r="BR31">
        <v>4.1169999999999998E-2</v>
      </c>
      <c r="BS31">
        <v>4.1169999999999998E-2</v>
      </c>
      <c r="BT31">
        <v>6.3780000000000003E-2</v>
      </c>
      <c r="BU31">
        <v>6.3780000000000003E-2</v>
      </c>
      <c r="BV31">
        <v>6.3780000000000003E-2</v>
      </c>
      <c r="BW31">
        <v>6.3780000000000003E-2</v>
      </c>
      <c r="BX31">
        <v>6.3780000000000003E-2</v>
      </c>
      <c r="BY31">
        <v>9.7070000000000004E-2</v>
      </c>
      <c r="BZ31">
        <v>9.7070000000000004E-2</v>
      </c>
      <c r="CA31">
        <v>9.7070000000000004E-2</v>
      </c>
      <c r="CB31">
        <v>9.7070000000000004E-2</v>
      </c>
      <c r="CC31">
        <v>9.7070000000000004E-2</v>
      </c>
      <c r="CD31">
        <v>0.14605000000000001</v>
      </c>
      <c r="CE31">
        <v>0.14605000000000001</v>
      </c>
      <c r="CF31">
        <v>0.14605000000000001</v>
      </c>
      <c r="CG31">
        <v>0.14605000000000001</v>
      </c>
      <c r="CH31">
        <v>0.14605000000000001</v>
      </c>
      <c r="CI31">
        <v>0.21403</v>
      </c>
      <c r="CJ31">
        <v>0.21403</v>
      </c>
      <c r="CK31">
        <v>0.21403</v>
      </c>
      <c r="CL31">
        <v>0.21403</v>
      </c>
      <c r="CM31">
        <v>0.21403</v>
      </c>
      <c r="CN31">
        <v>0.30549999999999999</v>
      </c>
      <c r="CO31">
        <v>0.30549999999999999</v>
      </c>
      <c r="CP31">
        <v>0.30549999999999999</v>
      </c>
      <c r="CQ31">
        <v>0.30549999999999999</v>
      </c>
      <c r="CR31">
        <v>0.30549999999999999</v>
      </c>
      <c r="CS31">
        <v>0.42458000000000001</v>
      </c>
      <c r="CT31">
        <v>0.42458000000000001</v>
      </c>
      <c r="CU31">
        <v>0.42458000000000001</v>
      </c>
      <c r="CV31">
        <v>0.42458000000000001</v>
      </c>
      <c r="CW31">
        <v>0.42458000000000001</v>
      </c>
      <c r="CX31">
        <v>1</v>
      </c>
    </row>
    <row r="32" spans="1:102" x14ac:dyDescent="0.25">
      <c r="A32" t="s">
        <v>127</v>
      </c>
      <c r="B32">
        <v>4.6499999999999996E-3</v>
      </c>
      <c r="C32">
        <v>1.7000000000000001E-4</v>
      </c>
      <c r="D32">
        <v>1.7000000000000001E-4</v>
      </c>
      <c r="E32">
        <v>1.7000000000000001E-4</v>
      </c>
      <c r="F32">
        <v>1.7000000000000001E-4</v>
      </c>
      <c r="G32">
        <v>1.2E-4</v>
      </c>
      <c r="H32">
        <v>1.2E-4</v>
      </c>
      <c r="I32">
        <v>1.2E-4</v>
      </c>
      <c r="J32">
        <v>1.2E-4</v>
      </c>
      <c r="K32">
        <v>1.2E-4</v>
      </c>
      <c r="L32">
        <v>1.1E-4</v>
      </c>
      <c r="M32">
        <v>1.1E-4</v>
      </c>
      <c r="N32">
        <v>1.1E-4</v>
      </c>
      <c r="O32">
        <v>1.1E-4</v>
      </c>
      <c r="P32">
        <v>1.1E-4</v>
      </c>
      <c r="Q32">
        <v>2.5000000000000001E-4</v>
      </c>
      <c r="R32">
        <v>2.5000000000000001E-4</v>
      </c>
      <c r="S32">
        <v>2.5000000000000001E-4</v>
      </c>
      <c r="T32">
        <v>2.5000000000000001E-4</v>
      </c>
      <c r="U32">
        <v>2.5000000000000001E-4</v>
      </c>
      <c r="V32">
        <v>2.9E-4</v>
      </c>
      <c r="W32">
        <v>2.9E-4</v>
      </c>
      <c r="X32">
        <v>2.9E-4</v>
      </c>
      <c r="Y32">
        <v>2.9E-4</v>
      </c>
      <c r="Z32">
        <v>2.9E-4</v>
      </c>
      <c r="AA32">
        <v>3.1E-4</v>
      </c>
      <c r="AB32">
        <v>3.1E-4</v>
      </c>
      <c r="AC32">
        <v>3.1E-4</v>
      </c>
      <c r="AD32">
        <v>3.1E-4</v>
      </c>
      <c r="AE32">
        <v>3.1E-4</v>
      </c>
      <c r="AF32">
        <v>4.0000000000000002E-4</v>
      </c>
      <c r="AG32">
        <v>4.0000000000000002E-4</v>
      </c>
      <c r="AH32">
        <v>4.0000000000000002E-4</v>
      </c>
      <c r="AI32">
        <v>4.0000000000000002E-4</v>
      </c>
      <c r="AJ32">
        <v>4.0000000000000002E-4</v>
      </c>
      <c r="AK32">
        <v>5.8E-4</v>
      </c>
      <c r="AL32">
        <v>5.8E-4</v>
      </c>
      <c r="AM32">
        <v>5.8E-4</v>
      </c>
      <c r="AN32">
        <v>5.8E-4</v>
      </c>
      <c r="AO32">
        <v>5.8E-4</v>
      </c>
      <c r="AP32">
        <v>9.6000000000000002E-4</v>
      </c>
      <c r="AQ32">
        <v>9.6000000000000002E-4</v>
      </c>
      <c r="AR32">
        <v>9.6000000000000002E-4</v>
      </c>
      <c r="AS32">
        <v>9.6000000000000002E-4</v>
      </c>
      <c r="AT32">
        <v>9.6000000000000002E-4</v>
      </c>
      <c r="AU32">
        <v>1.6900000000000001E-3</v>
      </c>
      <c r="AV32">
        <v>1.6900000000000001E-3</v>
      </c>
      <c r="AW32">
        <v>1.6900000000000001E-3</v>
      </c>
      <c r="AX32">
        <v>1.6900000000000001E-3</v>
      </c>
      <c r="AY32">
        <v>1.6900000000000001E-3</v>
      </c>
      <c r="AZ32">
        <v>2.5300000000000001E-3</v>
      </c>
      <c r="BA32">
        <v>2.5300000000000001E-3</v>
      </c>
      <c r="BB32">
        <v>2.5300000000000001E-3</v>
      </c>
      <c r="BC32">
        <v>2.5300000000000001E-3</v>
      </c>
      <c r="BD32">
        <v>2.5300000000000001E-3</v>
      </c>
      <c r="BE32">
        <v>3.9100000000000003E-3</v>
      </c>
      <c r="BF32">
        <v>3.9100000000000003E-3</v>
      </c>
      <c r="BG32">
        <v>3.9100000000000003E-3</v>
      </c>
      <c r="BH32">
        <v>3.9100000000000003E-3</v>
      </c>
      <c r="BI32">
        <v>3.9100000000000003E-3</v>
      </c>
      <c r="BJ32">
        <v>6.0400000000000002E-3</v>
      </c>
      <c r="BK32">
        <v>6.0400000000000002E-3</v>
      </c>
      <c r="BL32">
        <v>6.0400000000000002E-3</v>
      </c>
      <c r="BM32">
        <v>6.0400000000000002E-3</v>
      </c>
      <c r="BN32">
        <v>6.0400000000000002E-3</v>
      </c>
      <c r="BO32">
        <v>9.8700000000000003E-3</v>
      </c>
      <c r="BP32">
        <v>9.8700000000000003E-3</v>
      </c>
      <c r="BQ32">
        <v>9.8700000000000003E-3</v>
      </c>
      <c r="BR32">
        <v>9.8700000000000003E-3</v>
      </c>
      <c r="BS32">
        <v>9.8700000000000003E-3</v>
      </c>
      <c r="BT32">
        <v>1.6250000000000001E-2</v>
      </c>
      <c r="BU32">
        <v>1.6250000000000001E-2</v>
      </c>
      <c r="BV32">
        <v>1.6250000000000001E-2</v>
      </c>
      <c r="BW32">
        <v>1.6250000000000001E-2</v>
      </c>
      <c r="BX32">
        <v>1.6250000000000001E-2</v>
      </c>
      <c r="BY32">
        <v>2.682E-2</v>
      </c>
      <c r="BZ32">
        <v>2.682E-2</v>
      </c>
      <c r="CA32">
        <v>2.682E-2</v>
      </c>
      <c r="CB32">
        <v>2.682E-2</v>
      </c>
      <c r="CC32">
        <v>2.682E-2</v>
      </c>
      <c r="CD32">
        <v>4.7890000000000002E-2</v>
      </c>
      <c r="CE32">
        <v>4.7890000000000002E-2</v>
      </c>
      <c r="CF32">
        <v>4.7890000000000002E-2</v>
      </c>
      <c r="CG32">
        <v>4.7890000000000002E-2</v>
      </c>
      <c r="CH32">
        <v>4.7890000000000002E-2</v>
      </c>
      <c r="CI32">
        <v>8.4190000000000001E-2</v>
      </c>
      <c r="CJ32">
        <v>8.4190000000000001E-2</v>
      </c>
      <c r="CK32">
        <v>8.4190000000000001E-2</v>
      </c>
      <c r="CL32">
        <v>8.4190000000000001E-2</v>
      </c>
      <c r="CM32">
        <v>8.4190000000000001E-2</v>
      </c>
      <c r="CN32">
        <v>0.14568999999999999</v>
      </c>
      <c r="CO32">
        <v>0.14568999999999999</v>
      </c>
      <c r="CP32">
        <v>0.14568999999999999</v>
      </c>
      <c r="CQ32">
        <v>0.14568999999999999</v>
      </c>
      <c r="CR32">
        <v>0.14568999999999999</v>
      </c>
      <c r="CS32">
        <v>0.24817</v>
      </c>
      <c r="CT32">
        <v>0.24817</v>
      </c>
      <c r="CU32">
        <v>0.24817</v>
      </c>
      <c r="CV32">
        <v>0.24817</v>
      </c>
      <c r="CW32">
        <v>0.24817</v>
      </c>
      <c r="CX32">
        <v>1</v>
      </c>
    </row>
    <row r="33" spans="1:102" x14ac:dyDescent="0.25">
      <c r="A33" t="s">
        <v>130</v>
      </c>
      <c r="B33">
        <v>1.8759999999999999E-2</v>
      </c>
      <c r="C33">
        <v>1.07E-3</v>
      </c>
      <c r="D33">
        <v>1.07E-3</v>
      </c>
      <c r="E33">
        <v>1.07E-3</v>
      </c>
      <c r="F33">
        <v>1.07E-3</v>
      </c>
      <c r="G33">
        <v>2.5000000000000001E-4</v>
      </c>
      <c r="H33">
        <v>2.5000000000000001E-4</v>
      </c>
      <c r="I33">
        <v>2.5000000000000001E-4</v>
      </c>
      <c r="J33">
        <v>2.5000000000000001E-4</v>
      </c>
      <c r="K33">
        <v>2.5000000000000001E-4</v>
      </c>
      <c r="L33">
        <v>4.8000000000000001E-4</v>
      </c>
      <c r="M33">
        <v>4.8000000000000001E-4</v>
      </c>
      <c r="N33">
        <v>4.8000000000000001E-4</v>
      </c>
      <c r="O33">
        <v>4.8000000000000001E-4</v>
      </c>
      <c r="P33">
        <v>4.8000000000000001E-4</v>
      </c>
      <c r="Q33">
        <v>5.2999999999999998E-4</v>
      </c>
      <c r="R33">
        <v>5.2999999999999998E-4</v>
      </c>
      <c r="S33">
        <v>5.2999999999999998E-4</v>
      </c>
      <c r="T33">
        <v>5.2999999999999998E-4</v>
      </c>
      <c r="U33">
        <v>5.2999999999999998E-4</v>
      </c>
      <c r="V33">
        <v>7.5000000000000002E-4</v>
      </c>
      <c r="W33">
        <v>7.5000000000000002E-4</v>
      </c>
      <c r="X33">
        <v>7.5000000000000002E-4</v>
      </c>
      <c r="Y33">
        <v>7.5000000000000002E-4</v>
      </c>
      <c r="Z33">
        <v>7.5000000000000002E-4</v>
      </c>
      <c r="AA33">
        <v>7.6999999999999996E-4</v>
      </c>
      <c r="AB33">
        <v>7.6999999999999996E-4</v>
      </c>
      <c r="AC33">
        <v>7.6999999999999996E-4</v>
      </c>
      <c r="AD33">
        <v>7.6999999999999996E-4</v>
      </c>
      <c r="AE33">
        <v>7.6999999999999996E-4</v>
      </c>
      <c r="AF33">
        <v>1.3799999999999999E-3</v>
      </c>
      <c r="AG33">
        <v>1.3799999999999999E-3</v>
      </c>
      <c r="AH33">
        <v>1.3799999999999999E-3</v>
      </c>
      <c r="AI33">
        <v>1.3799999999999999E-3</v>
      </c>
      <c r="AJ33">
        <v>1.3799999999999999E-3</v>
      </c>
      <c r="AK33">
        <v>2.0799999999999998E-3</v>
      </c>
      <c r="AL33">
        <v>2.0799999999999998E-3</v>
      </c>
      <c r="AM33">
        <v>2.0799999999999998E-3</v>
      </c>
      <c r="AN33">
        <v>2.0799999999999998E-3</v>
      </c>
      <c r="AO33">
        <v>2.0799999999999998E-3</v>
      </c>
      <c r="AP33">
        <v>2.0500000000000002E-3</v>
      </c>
      <c r="AQ33">
        <v>2.0500000000000002E-3</v>
      </c>
      <c r="AR33">
        <v>2.0500000000000002E-3</v>
      </c>
      <c r="AS33">
        <v>2.0500000000000002E-3</v>
      </c>
      <c r="AT33">
        <v>2.0500000000000002E-3</v>
      </c>
      <c r="AU33">
        <v>3.7399999999999998E-3</v>
      </c>
      <c r="AV33">
        <v>3.7399999999999998E-3</v>
      </c>
      <c r="AW33">
        <v>3.7399999999999998E-3</v>
      </c>
      <c r="AX33">
        <v>3.7399999999999998E-3</v>
      </c>
      <c r="AY33">
        <v>3.7399999999999998E-3</v>
      </c>
      <c r="AZ33">
        <v>5.4999999999999997E-3</v>
      </c>
      <c r="BA33">
        <v>5.4999999999999997E-3</v>
      </c>
      <c r="BB33">
        <v>5.4999999999999997E-3</v>
      </c>
      <c r="BC33">
        <v>5.4999999999999997E-3</v>
      </c>
      <c r="BD33">
        <v>5.4999999999999997E-3</v>
      </c>
      <c r="BE33">
        <v>6.6899999999999998E-3</v>
      </c>
      <c r="BF33">
        <v>6.6899999999999998E-3</v>
      </c>
      <c r="BG33">
        <v>6.6899999999999998E-3</v>
      </c>
      <c r="BH33">
        <v>6.6899999999999998E-3</v>
      </c>
      <c r="BI33">
        <v>6.6899999999999998E-3</v>
      </c>
      <c r="BJ33">
        <v>1.107E-2</v>
      </c>
      <c r="BK33">
        <v>1.107E-2</v>
      </c>
      <c r="BL33">
        <v>1.107E-2</v>
      </c>
      <c r="BM33">
        <v>1.107E-2</v>
      </c>
      <c r="BN33">
        <v>1.107E-2</v>
      </c>
      <c r="BO33">
        <v>2.2669999999999999E-2</v>
      </c>
      <c r="BP33">
        <v>2.2669999999999999E-2</v>
      </c>
      <c r="BQ33">
        <v>2.2669999999999999E-2</v>
      </c>
      <c r="BR33">
        <v>2.2669999999999999E-2</v>
      </c>
      <c r="BS33">
        <v>2.2669999999999999E-2</v>
      </c>
      <c r="BT33">
        <v>3.7659999999999999E-2</v>
      </c>
      <c r="BU33">
        <v>3.7659999999999999E-2</v>
      </c>
      <c r="BV33">
        <v>3.7659999999999999E-2</v>
      </c>
      <c r="BW33">
        <v>3.7659999999999999E-2</v>
      </c>
      <c r="BX33">
        <v>3.7659999999999999E-2</v>
      </c>
      <c r="BY33">
        <v>5.688E-2</v>
      </c>
      <c r="BZ33">
        <v>5.688E-2</v>
      </c>
      <c r="CA33">
        <v>5.688E-2</v>
      </c>
      <c r="CB33">
        <v>5.688E-2</v>
      </c>
      <c r="CC33">
        <v>5.688E-2</v>
      </c>
      <c r="CD33">
        <v>9.357E-2</v>
      </c>
      <c r="CE33">
        <v>9.357E-2</v>
      </c>
      <c r="CF33">
        <v>9.357E-2</v>
      </c>
      <c r="CG33">
        <v>9.357E-2</v>
      </c>
      <c r="CH33">
        <v>9.357E-2</v>
      </c>
      <c r="CI33">
        <v>0.14935000000000001</v>
      </c>
      <c r="CJ33">
        <v>0.14935000000000001</v>
      </c>
      <c r="CK33">
        <v>0.14935000000000001</v>
      </c>
      <c r="CL33">
        <v>0.14935000000000001</v>
      </c>
      <c r="CM33">
        <v>0.14935000000000001</v>
      </c>
      <c r="CN33">
        <v>0.23130000000000001</v>
      </c>
      <c r="CO33">
        <v>0.23130000000000001</v>
      </c>
      <c r="CP33">
        <v>0.23130000000000001</v>
      </c>
      <c r="CQ33">
        <v>0.23130000000000001</v>
      </c>
      <c r="CR33">
        <v>0.23130000000000001</v>
      </c>
      <c r="CS33">
        <v>0.34756999999999999</v>
      </c>
      <c r="CT33">
        <v>0.34756999999999999</v>
      </c>
      <c r="CU33">
        <v>0.34756999999999999</v>
      </c>
      <c r="CV33">
        <v>0.34756999999999999</v>
      </c>
      <c r="CW33">
        <v>0.34756999999999999</v>
      </c>
      <c r="CX33">
        <v>1</v>
      </c>
    </row>
    <row r="34" spans="1:102" x14ac:dyDescent="0.25">
      <c r="A34" t="s">
        <v>132</v>
      </c>
      <c r="B34">
        <v>0.11719</v>
      </c>
      <c r="C34">
        <v>1.8440000000000002E-2</v>
      </c>
      <c r="D34">
        <v>1.8440000000000002E-2</v>
      </c>
      <c r="E34">
        <v>1.8440000000000002E-2</v>
      </c>
      <c r="F34">
        <v>1.8440000000000002E-2</v>
      </c>
      <c r="G34">
        <v>4.3499999999999997E-3</v>
      </c>
      <c r="H34">
        <v>4.3499999999999997E-3</v>
      </c>
      <c r="I34">
        <v>4.3499999999999997E-3</v>
      </c>
      <c r="J34">
        <v>4.3499999999999997E-3</v>
      </c>
      <c r="K34">
        <v>4.3499999999999997E-3</v>
      </c>
      <c r="L34">
        <v>3.1099999999999999E-3</v>
      </c>
      <c r="M34">
        <v>3.1099999999999999E-3</v>
      </c>
      <c r="N34">
        <v>3.1099999999999999E-3</v>
      </c>
      <c r="O34">
        <v>3.1099999999999999E-3</v>
      </c>
      <c r="P34">
        <v>3.1099999999999999E-3</v>
      </c>
      <c r="Q34">
        <v>3.7000000000000002E-3</v>
      </c>
      <c r="R34">
        <v>3.7000000000000002E-3</v>
      </c>
      <c r="S34">
        <v>3.7000000000000002E-3</v>
      </c>
      <c r="T34">
        <v>3.7000000000000002E-3</v>
      </c>
      <c r="U34">
        <v>3.7000000000000002E-3</v>
      </c>
      <c r="V34">
        <v>6.1500000000000001E-3</v>
      </c>
      <c r="W34">
        <v>6.1500000000000001E-3</v>
      </c>
      <c r="X34">
        <v>6.1500000000000001E-3</v>
      </c>
      <c r="Y34">
        <v>6.1500000000000001E-3</v>
      </c>
      <c r="Z34">
        <v>6.1500000000000001E-3</v>
      </c>
      <c r="AA34">
        <v>9.5399999999999999E-3</v>
      </c>
      <c r="AB34">
        <v>9.5399999999999999E-3</v>
      </c>
      <c r="AC34">
        <v>9.5399999999999999E-3</v>
      </c>
      <c r="AD34">
        <v>9.5399999999999999E-3</v>
      </c>
      <c r="AE34">
        <v>9.5399999999999999E-3</v>
      </c>
      <c r="AF34">
        <v>1.487E-2</v>
      </c>
      <c r="AG34">
        <v>1.487E-2</v>
      </c>
      <c r="AH34">
        <v>1.487E-2</v>
      </c>
      <c r="AI34">
        <v>1.487E-2</v>
      </c>
      <c r="AJ34">
        <v>1.487E-2</v>
      </c>
      <c r="AK34">
        <v>1.7760000000000001E-2</v>
      </c>
      <c r="AL34">
        <v>1.7760000000000001E-2</v>
      </c>
      <c r="AM34">
        <v>1.7760000000000001E-2</v>
      </c>
      <c r="AN34">
        <v>1.7760000000000001E-2</v>
      </c>
      <c r="AO34">
        <v>1.7760000000000001E-2</v>
      </c>
      <c r="AP34">
        <v>1.7260000000000001E-2</v>
      </c>
      <c r="AQ34">
        <v>1.7260000000000001E-2</v>
      </c>
      <c r="AR34">
        <v>1.7260000000000001E-2</v>
      </c>
      <c r="AS34">
        <v>1.7260000000000001E-2</v>
      </c>
      <c r="AT34">
        <v>1.7260000000000001E-2</v>
      </c>
      <c r="AU34">
        <v>1.6459999999999999E-2</v>
      </c>
      <c r="AV34">
        <v>1.6459999999999999E-2</v>
      </c>
      <c r="AW34">
        <v>1.6459999999999999E-2</v>
      </c>
      <c r="AX34">
        <v>1.6459999999999999E-2</v>
      </c>
      <c r="AY34">
        <v>1.6459999999999999E-2</v>
      </c>
      <c r="AZ34">
        <v>1.7989999999999999E-2</v>
      </c>
      <c r="BA34">
        <v>1.7989999999999999E-2</v>
      </c>
      <c r="BB34">
        <v>1.7989999999999999E-2</v>
      </c>
      <c r="BC34">
        <v>1.7989999999999999E-2</v>
      </c>
      <c r="BD34">
        <v>1.7989999999999999E-2</v>
      </c>
      <c r="BE34">
        <v>2.3189999999999999E-2</v>
      </c>
      <c r="BF34">
        <v>2.3189999999999999E-2</v>
      </c>
      <c r="BG34">
        <v>2.3189999999999999E-2</v>
      </c>
      <c r="BH34">
        <v>2.3189999999999999E-2</v>
      </c>
      <c r="BI34">
        <v>2.3189999999999999E-2</v>
      </c>
      <c r="BJ34">
        <v>2.895E-2</v>
      </c>
      <c r="BK34">
        <v>2.895E-2</v>
      </c>
      <c r="BL34">
        <v>2.895E-2</v>
      </c>
      <c r="BM34">
        <v>2.895E-2</v>
      </c>
      <c r="BN34">
        <v>2.895E-2</v>
      </c>
      <c r="BO34">
        <v>4.3409999999999997E-2</v>
      </c>
      <c r="BP34">
        <v>4.3409999999999997E-2</v>
      </c>
      <c r="BQ34">
        <v>4.3409999999999997E-2</v>
      </c>
      <c r="BR34">
        <v>4.3409999999999997E-2</v>
      </c>
      <c r="BS34">
        <v>4.3409999999999997E-2</v>
      </c>
      <c r="BT34">
        <v>6.6430000000000003E-2</v>
      </c>
      <c r="BU34">
        <v>6.6430000000000003E-2</v>
      </c>
      <c r="BV34">
        <v>6.6430000000000003E-2</v>
      </c>
      <c r="BW34">
        <v>6.6430000000000003E-2</v>
      </c>
      <c r="BX34">
        <v>6.6430000000000003E-2</v>
      </c>
      <c r="BY34">
        <v>9.9830000000000002E-2</v>
      </c>
      <c r="BZ34">
        <v>9.9830000000000002E-2</v>
      </c>
      <c r="CA34">
        <v>9.9830000000000002E-2</v>
      </c>
      <c r="CB34">
        <v>9.9830000000000002E-2</v>
      </c>
      <c r="CC34">
        <v>9.9830000000000002E-2</v>
      </c>
      <c r="CD34">
        <v>0.14871999999999999</v>
      </c>
      <c r="CE34">
        <v>0.14871999999999999</v>
      </c>
      <c r="CF34">
        <v>0.14871999999999999</v>
      </c>
      <c r="CG34">
        <v>0.14871999999999999</v>
      </c>
      <c r="CH34">
        <v>0.14871999999999999</v>
      </c>
      <c r="CI34">
        <v>0.21651000000000001</v>
      </c>
      <c r="CJ34">
        <v>0.21651000000000001</v>
      </c>
      <c r="CK34">
        <v>0.21651000000000001</v>
      </c>
      <c r="CL34">
        <v>0.21651000000000001</v>
      </c>
      <c r="CM34">
        <v>0.21651000000000001</v>
      </c>
      <c r="CN34">
        <v>0.30758999999999997</v>
      </c>
      <c r="CO34">
        <v>0.30758999999999997</v>
      </c>
      <c r="CP34">
        <v>0.30758999999999997</v>
      </c>
      <c r="CQ34">
        <v>0.30758999999999997</v>
      </c>
      <c r="CR34">
        <v>0.30758999999999997</v>
      </c>
      <c r="CS34">
        <v>0.42624000000000001</v>
      </c>
      <c r="CT34">
        <v>0.42624000000000001</v>
      </c>
      <c r="CU34">
        <v>0.42624000000000001</v>
      </c>
      <c r="CV34">
        <v>0.42624000000000001</v>
      </c>
      <c r="CW34">
        <v>0.42624000000000001</v>
      </c>
      <c r="CX34">
        <v>1</v>
      </c>
    </row>
    <row r="35" spans="1:102" x14ac:dyDescent="0.25">
      <c r="A35" t="s">
        <v>134</v>
      </c>
      <c r="B35">
        <v>0.12626000000000001</v>
      </c>
      <c r="C35">
        <v>2.656E-2</v>
      </c>
      <c r="D35">
        <v>2.656E-2</v>
      </c>
      <c r="E35">
        <v>2.656E-2</v>
      </c>
      <c r="F35">
        <v>2.656E-2</v>
      </c>
      <c r="G35">
        <v>4.7099999999999998E-3</v>
      </c>
      <c r="H35">
        <v>4.7099999999999998E-3</v>
      </c>
      <c r="I35">
        <v>4.7099999999999998E-3</v>
      </c>
      <c r="J35">
        <v>4.7099999999999998E-3</v>
      </c>
      <c r="K35">
        <v>4.7099999999999998E-3</v>
      </c>
      <c r="L35">
        <v>2.7399999999999998E-3</v>
      </c>
      <c r="M35">
        <v>2.7399999999999998E-3</v>
      </c>
      <c r="N35">
        <v>2.7399999999999998E-3</v>
      </c>
      <c r="O35">
        <v>2.7399999999999998E-3</v>
      </c>
      <c r="P35">
        <v>2.7399999999999998E-3</v>
      </c>
      <c r="Q35">
        <v>3.7599999999999999E-3</v>
      </c>
      <c r="R35">
        <v>3.7599999999999999E-3</v>
      </c>
      <c r="S35">
        <v>3.7599999999999999E-3</v>
      </c>
      <c r="T35">
        <v>3.7599999999999999E-3</v>
      </c>
      <c r="U35">
        <v>3.7599999999999999E-3</v>
      </c>
      <c r="V35">
        <v>6.3E-3</v>
      </c>
      <c r="W35">
        <v>6.3E-3</v>
      </c>
      <c r="X35">
        <v>6.3E-3</v>
      </c>
      <c r="Y35">
        <v>6.3E-3</v>
      </c>
      <c r="Z35">
        <v>6.3E-3</v>
      </c>
      <c r="AA35">
        <v>8.2400000000000008E-3</v>
      </c>
      <c r="AB35">
        <v>8.2400000000000008E-3</v>
      </c>
      <c r="AC35">
        <v>8.2400000000000008E-3</v>
      </c>
      <c r="AD35">
        <v>8.2400000000000008E-3</v>
      </c>
      <c r="AE35">
        <v>8.2400000000000008E-3</v>
      </c>
      <c r="AF35">
        <v>9.5600000000000008E-3</v>
      </c>
      <c r="AG35">
        <v>9.5600000000000008E-3</v>
      </c>
      <c r="AH35">
        <v>9.5600000000000008E-3</v>
      </c>
      <c r="AI35">
        <v>9.5600000000000008E-3</v>
      </c>
      <c r="AJ35">
        <v>9.5600000000000008E-3</v>
      </c>
      <c r="AK35">
        <v>1.0500000000000001E-2</v>
      </c>
      <c r="AL35">
        <v>1.0500000000000001E-2</v>
      </c>
      <c r="AM35">
        <v>1.0500000000000001E-2</v>
      </c>
      <c r="AN35">
        <v>1.0500000000000001E-2</v>
      </c>
      <c r="AO35">
        <v>1.0500000000000001E-2</v>
      </c>
      <c r="AP35">
        <v>1.0829999999999999E-2</v>
      </c>
      <c r="AQ35">
        <v>1.0829999999999999E-2</v>
      </c>
      <c r="AR35">
        <v>1.0829999999999999E-2</v>
      </c>
      <c r="AS35">
        <v>1.0829999999999999E-2</v>
      </c>
      <c r="AT35">
        <v>1.0829999999999999E-2</v>
      </c>
      <c r="AU35">
        <v>1.172E-2</v>
      </c>
      <c r="AV35">
        <v>1.172E-2</v>
      </c>
      <c r="AW35">
        <v>1.172E-2</v>
      </c>
      <c r="AX35">
        <v>1.172E-2</v>
      </c>
      <c r="AY35">
        <v>1.172E-2</v>
      </c>
      <c r="AZ35">
        <v>1.486E-2</v>
      </c>
      <c r="BA35">
        <v>1.486E-2</v>
      </c>
      <c r="BB35">
        <v>1.486E-2</v>
      </c>
      <c r="BC35">
        <v>1.486E-2</v>
      </c>
      <c r="BD35">
        <v>1.486E-2</v>
      </c>
      <c r="BE35">
        <v>2.1239999999999998E-2</v>
      </c>
      <c r="BF35">
        <v>2.1239999999999998E-2</v>
      </c>
      <c r="BG35">
        <v>2.1239999999999998E-2</v>
      </c>
      <c r="BH35">
        <v>2.1239999999999998E-2</v>
      </c>
      <c r="BI35">
        <v>2.1239999999999998E-2</v>
      </c>
      <c r="BJ35">
        <v>2.7740000000000001E-2</v>
      </c>
      <c r="BK35">
        <v>2.7740000000000001E-2</v>
      </c>
      <c r="BL35">
        <v>2.7740000000000001E-2</v>
      </c>
      <c r="BM35">
        <v>2.7740000000000001E-2</v>
      </c>
      <c r="BN35">
        <v>2.7740000000000001E-2</v>
      </c>
      <c r="BO35">
        <v>4.3470000000000002E-2</v>
      </c>
      <c r="BP35">
        <v>4.3470000000000002E-2</v>
      </c>
      <c r="BQ35">
        <v>4.3470000000000002E-2</v>
      </c>
      <c r="BR35">
        <v>4.3470000000000002E-2</v>
      </c>
      <c r="BS35">
        <v>4.3470000000000002E-2</v>
      </c>
      <c r="BT35">
        <v>6.7400000000000002E-2</v>
      </c>
      <c r="BU35">
        <v>6.7400000000000002E-2</v>
      </c>
      <c r="BV35">
        <v>6.7400000000000002E-2</v>
      </c>
      <c r="BW35">
        <v>6.7400000000000002E-2</v>
      </c>
      <c r="BX35">
        <v>6.7400000000000002E-2</v>
      </c>
      <c r="BY35">
        <v>0.10195</v>
      </c>
      <c r="BZ35">
        <v>0.10195</v>
      </c>
      <c r="CA35">
        <v>0.10195</v>
      </c>
      <c r="CB35">
        <v>0.10195</v>
      </c>
      <c r="CC35">
        <v>0.10195</v>
      </c>
      <c r="CD35">
        <v>0.15126999999999999</v>
      </c>
      <c r="CE35">
        <v>0.15126999999999999</v>
      </c>
      <c r="CF35">
        <v>0.15126999999999999</v>
      </c>
      <c r="CG35">
        <v>0.15126999999999999</v>
      </c>
      <c r="CH35">
        <v>0.15126999999999999</v>
      </c>
      <c r="CI35">
        <v>0.21919</v>
      </c>
      <c r="CJ35">
        <v>0.21919</v>
      </c>
      <c r="CK35">
        <v>0.21919</v>
      </c>
      <c r="CL35">
        <v>0.21919</v>
      </c>
      <c r="CM35">
        <v>0.21919</v>
      </c>
      <c r="CN35">
        <v>0.31019000000000002</v>
      </c>
      <c r="CO35">
        <v>0.31019000000000002</v>
      </c>
      <c r="CP35">
        <v>0.31019000000000002</v>
      </c>
      <c r="CQ35">
        <v>0.31019000000000002</v>
      </c>
      <c r="CR35">
        <v>0.31019000000000002</v>
      </c>
      <c r="CS35">
        <v>0.42862</v>
      </c>
      <c r="CT35">
        <v>0.42862</v>
      </c>
      <c r="CU35">
        <v>0.42862</v>
      </c>
      <c r="CV35">
        <v>0.42862</v>
      </c>
      <c r="CW35">
        <v>0.42862</v>
      </c>
      <c r="CX35">
        <v>1</v>
      </c>
    </row>
    <row r="36" spans="1:102" x14ac:dyDescent="0.25">
      <c r="A36" t="s">
        <v>137</v>
      </c>
      <c r="B36">
        <v>1.6713667000000001E-2</v>
      </c>
      <c r="C36">
        <v>9.1033300000000004E-4</v>
      </c>
      <c r="D36">
        <v>9.1033300000000004E-4</v>
      </c>
      <c r="E36">
        <v>9.1033300000000004E-4</v>
      </c>
      <c r="F36">
        <v>9.1033300000000004E-4</v>
      </c>
      <c r="G36">
        <v>3.0566700000000003E-4</v>
      </c>
      <c r="H36">
        <v>3.0566700000000003E-4</v>
      </c>
      <c r="I36">
        <v>3.0566700000000003E-4</v>
      </c>
      <c r="J36">
        <v>3.0566700000000003E-4</v>
      </c>
      <c r="K36">
        <v>3.0566700000000003E-4</v>
      </c>
      <c r="L36">
        <v>3.2699999999999998E-4</v>
      </c>
      <c r="M36">
        <v>3.2699999999999998E-4</v>
      </c>
      <c r="N36">
        <v>3.2699999999999998E-4</v>
      </c>
      <c r="O36">
        <v>3.2699999999999998E-4</v>
      </c>
      <c r="P36">
        <v>3.2699999999999998E-4</v>
      </c>
      <c r="Q36">
        <v>5.5366699999999998E-4</v>
      </c>
      <c r="R36">
        <v>5.5366699999999998E-4</v>
      </c>
      <c r="S36">
        <v>5.5366699999999998E-4</v>
      </c>
      <c r="T36">
        <v>5.5366699999999998E-4</v>
      </c>
      <c r="U36">
        <v>5.5366699999999998E-4</v>
      </c>
      <c r="V36">
        <v>7.8866699999999995E-4</v>
      </c>
      <c r="W36">
        <v>7.8866699999999995E-4</v>
      </c>
      <c r="X36">
        <v>7.8866699999999995E-4</v>
      </c>
      <c r="Y36">
        <v>7.8866699999999995E-4</v>
      </c>
      <c r="Z36">
        <v>7.8866699999999995E-4</v>
      </c>
      <c r="AA36">
        <v>1.018333E-3</v>
      </c>
      <c r="AB36">
        <v>1.018333E-3</v>
      </c>
      <c r="AC36">
        <v>1.018333E-3</v>
      </c>
      <c r="AD36">
        <v>1.018333E-3</v>
      </c>
      <c r="AE36">
        <v>1.018333E-3</v>
      </c>
      <c r="AF36">
        <v>1.351E-3</v>
      </c>
      <c r="AG36">
        <v>1.351E-3</v>
      </c>
      <c r="AH36">
        <v>1.351E-3</v>
      </c>
      <c r="AI36">
        <v>1.351E-3</v>
      </c>
      <c r="AJ36">
        <v>1.351E-3</v>
      </c>
      <c r="AK36">
        <v>1.8489999999999999E-3</v>
      </c>
      <c r="AL36">
        <v>1.8489999999999999E-3</v>
      </c>
      <c r="AM36">
        <v>1.8489999999999999E-3</v>
      </c>
      <c r="AN36">
        <v>1.8489999999999999E-3</v>
      </c>
      <c r="AO36">
        <v>1.8489999999999999E-3</v>
      </c>
      <c r="AP36">
        <v>2.4580000000000001E-3</v>
      </c>
      <c r="AQ36">
        <v>2.4580000000000001E-3</v>
      </c>
      <c r="AR36">
        <v>2.4580000000000001E-3</v>
      </c>
      <c r="AS36">
        <v>2.4580000000000001E-3</v>
      </c>
      <c r="AT36">
        <v>2.4580000000000001E-3</v>
      </c>
      <c r="AU36">
        <v>3.637333E-3</v>
      </c>
      <c r="AV36">
        <v>3.637333E-3</v>
      </c>
      <c r="AW36">
        <v>3.637333E-3</v>
      </c>
      <c r="AX36">
        <v>3.637333E-3</v>
      </c>
      <c r="AY36">
        <v>3.637333E-3</v>
      </c>
      <c r="AZ36">
        <v>5.4383330000000001E-3</v>
      </c>
      <c r="BA36">
        <v>5.4383330000000001E-3</v>
      </c>
      <c r="BB36">
        <v>5.4383330000000001E-3</v>
      </c>
      <c r="BC36">
        <v>5.4383330000000001E-3</v>
      </c>
      <c r="BD36">
        <v>5.4383330000000001E-3</v>
      </c>
      <c r="BE36">
        <v>7.6373329999999996E-3</v>
      </c>
      <c r="BF36">
        <v>7.6373329999999996E-3</v>
      </c>
      <c r="BG36">
        <v>7.6373329999999996E-3</v>
      </c>
      <c r="BH36">
        <v>7.6373329999999996E-3</v>
      </c>
      <c r="BI36">
        <v>7.6373329999999996E-3</v>
      </c>
      <c r="BJ36">
        <v>1.1368333E-2</v>
      </c>
      <c r="BK36">
        <v>1.1368333E-2</v>
      </c>
      <c r="BL36">
        <v>1.1368333E-2</v>
      </c>
      <c r="BM36">
        <v>1.1368333E-2</v>
      </c>
      <c r="BN36">
        <v>1.1368333E-2</v>
      </c>
      <c r="BO36">
        <v>1.6976333E-2</v>
      </c>
      <c r="BP36">
        <v>1.6976333E-2</v>
      </c>
      <c r="BQ36">
        <v>1.6976333E-2</v>
      </c>
      <c r="BR36">
        <v>1.6976333E-2</v>
      </c>
      <c r="BS36">
        <v>1.6976333E-2</v>
      </c>
      <c r="BT36">
        <v>2.7087666999999999E-2</v>
      </c>
      <c r="BU36">
        <v>2.7087666999999999E-2</v>
      </c>
      <c r="BV36">
        <v>2.7087666999999999E-2</v>
      </c>
      <c r="BW36">
        <v>2.7087666999999999E-2</v>
      </c>
      <c r="BX36">
        <v>2.7087666999999999E-2</v>
      </c>
      <c r="BY36">
        <v>4.3817666999999998E-2</v>
      </c>
      <c r="BZ36">
        <v>4.3817666999999998E-2</v>
      </c>
      <c r="CA36">
        <v>4.3817666999999998E-2</v>
      </c>
      <c r="CB36">
        <v>4.3817666999999998E-2</v>
      </c>
      <c r="CC36">
        <v>4.3817666999999998E-2</v>
      </c>
      <c r="CD36">
        <v>7.3869000000000004E-2</v>
      </c>
      <c r="CE36">
        <v>7.3869000000000004E-2</v>
      </c>
      <c r="CF36">
        <v>7.3869000000000004E-2</v>
      </c>
      <c r="CG36">
        <v>7.3869000000000004E-2</v>
      </c>
      <c r="CH36">
        <v>7.3869000000000004E-2</v>
      </c>
      <c r="CI36">
        <v>0.122025333</v>
      </c>
      <c r="CJ36">
        <v>0.122025333</v>
      </c>
      <c r="CK36">
        <v>0.122025333</v>
      </c>
      <c r="CL36">
        <v>0.122025333</v>
      </c>
      <c r="CM36">
        <v>0.122025333</v>
      </c>
      <c r="CN36">
        <v>0.19647200000000001</v>
      </c>
      <c r="CO36">
        <v>0.19647200000000001</v>
      </c>
      <c r="CP36">
        <v>0.19647200000000001</v>
      </c>
      <c r="CQ36">
        <v>0.19647200000000001</v>
      </c>
      <c r="CR36">
        <v>0.19647200000000001</v>
      </c>
      <c r="CS36">
        <v>0.30780433299999999</v>
      </c>
      <c r="CT36">
        <v>0.30780433299999999</v>
      </c>
      <c r="CU36">
        <v>0.30780433299999999</v>
      </c>
      <c r="CV36">
        <v>0.30780433299999999</v>
      </c>
      <c r="CW36">
        <v>0.30780433299999999</v>
      </c>
      <c r="CX36">
        <v>1</v>
      </c>
    </row>
    <row r="37" spans="1:102" x14ac:dyDescent="0.25">
      <c r="A37" t="s">
        <v>139</v>
      </c>
      <c r="B37">
        <v>2.0109999999999999E-2</v>
      </c>
      <c r="C37">
        <v>5.9000000000000003E-4</v>
      </c>
      <c r="D37">
        <v>5.9000000000000003E-4</v>
      </c>
      <c r="E37">
        <v>5.9000000000000003E-4</v>
      </c>
      <c r="F37">
        <v>5.9000000000000003E-4</v>
      </c>
      <c r="G37">
        <v>3.2000000000000003E-4</v>
      </c>
      <c r="H37">
        <v>3.2000000000000003E-4</v>
      </c>
      <c r="I37">
        <v>3.2000000000000003E-4</v>
      </c>
      <c r="J37">
        <v>3.2000000000000003E-4</v>
      </c>
      <c r="K37">
        <v>3.2000000000000003E-4</v>
      </c>
      <c r="L37">
        <v>2.5999999999999998E-4</v>
      </c>
      <c r="M37">
        <v>2.5999999999999998E-4</v>
      </c>
      <c r="N37">
        <v>2.5999999999999998E-4</v>
      </c>
      <c r="O37">
        <v>2.5999999999999998E-4</v>
      </c>
      <c r="P37">
        <v>2.5999999999999998E-4</v>
      </c>
      <c r="Q37">
        <v>4.0999999999999999E-4</v>
      </c>
      <c r="R37">
        <v>4.0999999999999999E-4</v>
      </c>
      <c r="S37">
        <v>4.0999999999999999E-4</v>
      </c>
      <c r="T37">
        <v>4.0999999999999999E-4</v>
      </c>
      <c r="U37">
        <v>4.0999999999999999E-4</v>
      </c>
      <c r="V37">
        <v>4.8999999999999998E-4</v>
      </c>
      <c r="W37">
        <v>4.8999999999999998E-4</v>
      </c>
      <c r="X37">
        <v>4.8999999999999998E-4</v>
      </c>
      <c r="Y37">
        <v>4.8999999999999998E-4</v>
      </c>
      <c r="Z37">
        <v>4.8999999999999998E-4</v>
      </c>
      <c r="AA37">
        <v>5.9000000000000003E-4</v>
      </c>
      <c r="AB37">
        <v>5.9000000000000003E-4</v>
      </c>
      <c r="AC37">
        <v>5.9000000000000003E-4</v>
      </c>
      <c r="AD37">
        <v>5.9000000000000003E-4</v>
      </c>
      <c r="AE37">
        <v>5.9000000000000003E-4</v>
      </c>
      <c r="AF37">
        <v>7.9000000000000001E-4</v>
      </c>
      <c r="AG37">
        <v>7.9000000000000001E-4</v>
      </c>
      <c r="AH37">
        <v>7.9000000000000001E-4</v>
      </c>
      <c r="AI37">
        <v>7.9000000000000001E-4</v>
      </c>
      <c r="AJ37">
        <v>7.9000000000000001E-4</v>
      </c>
      <c r="AK37">
        <v>1.1299999999999999E-3</v>
      </c>
      <c r="AL37">
        <v>1.1299999999999999E-3</v>
      </c>
      <c r="AM37">
        <v>1.1299999999999999E-3</v>
      </c>
      <c r="AN37">
        <v>1.1299999999999999E-3</v>
      </c>
      <c r="AO37">
        <v>1.1299999999999999E-3</v>
      </c>
      <c r="AP37">
        <v>1.7099999999999999E-3</v>
      </c>
      <c r="AQ37">
        <v>1.7099999999999999E-3</v>
      </c>
      <c r="AR37">
        <v>1.7099999999999999E-3</v>
      </c>
      <c r="AS37">
        <v>1.7099999999999999E-3</v>
      </c>
      <c r="AT37">
        <v>1.7099999999999999E-3</v>
      </c>
      <c r="AU37">
        <v>2.6700000000000001E-3</v>
      </c>
      <c r="AV37">
        <v>2.6700000000000001E-3</v>
      </c>
      <c r="AW37">
        <v>2.6700000000000001E-3</v>
      </c>
      <c r="AX37">
        <v>2.6700000000000001E-3</v>
      </c>
      <c r="AY37">
        <v>2.6700000000000001E-3</v>
      </c>
      <c r="AZ37">
        <v>4.1200000000000004E-3</v>
      </c>
      <c r="BA37">
        <v>4.1200000000000004E-3</v>
      </c>
      <c r="BB37">
        <v>4.1200000000000004E-3</v>
      </c>
      <c r="BC37">
        <v>4.1200000000000004E-3</v>
      </c>
      <c r="BD37">
        <v>4.1200000000000004E-3</v>
      </c>
      <c r="BE37">
        <v>6.3899999999999998E-3</v>
      </c>
      <c r="BF37">
        <v>6.3899999999999998E-3</v>
      </c>
      <c r="BG37">
        <v>6.3899999999999998E-3</v>
      </c>
      <c r="BH37">
        <v>6.3899999999999998E-3</v>
      </c>
      <c r="BI37">
        <v>6.3899999999999998E-3</v>
      </c>
      <c r="BJ37">
        <v>1.0410000000000001E-2</v>
      </c>
      <c r="BK37">
        <v>1.0410000000000001E-2</v>
      </c>
      <c r="BL37">
        <v>1.0410000000000001E-2</v>
      </c>
      <c r="BM37">
        <v>1.0410000000000001E-2</v>
      </c>
      <c r="BN37">
        <v>1.0410000000000001E-2</v>
      </c>
      <c r="BO37">
        <v>1.7749999999999998E-2</v>
      </c>
      <c r="BP37">
        <v>1.7749999999999998E-2</v>
      </c>
      <c r="BQ37">
        <v>1.7749999999999998E-2</v>
      </c>
      <c r="BR37">
        <v>1.7749999999999998E-2</v>
      </c>
      <c r="BS37">
        <v>1.7749999999999998E-2</v>
      </c>
      <c r="BT37">
        <v>3.1829999999999997E-2</v>
      </c>
      <c r="BU37">
        <v>3.1829999999999997E-2</v>
      </c>
      <c r="BV37">
        <v>3.1829999999999997E-2</v>
      </c>
      <c r="BW37">
        <v>3.1829999999999997E-2</v>
      </c>
      <c r="BX37">
        <v>3.1829999999999997E-2</v>
      </c>
      <c r="BY37">
        <v>5.7529999999999998E-2</v>
      </c>
      <c r="BZ37">
        <v>5.7529999999999998E-2</v>
      </c>
      <c r="CA37">
        <v>5.7529999999999998E-2</v>
      </c>
      <c r="CB37">
        <v>5.7529999999999998E-2</v>
      </c>
      <c r="CC37">
        <v>5.7529999999999998E-2</v>
      </c>
      <c r="CD37">
        <v>0.10249</v>
      </c>
      <c r="CE37">
        <v>0.10249</v>
      </c>
      <c r="CF37">
        <v>0.10249</v>
      </c>
      <c r="CG37">
        <v>0.10249</v>
      </c>
      <c r="CH37">
        <v>0.10249</v>
      </c>
      <c r="CI37">
        <v>0.17150000000000001</v>
      </c>
      <c r="CJ37">
        <v>0.17150000000000001</v>
      </c>
      <c r="CK37">
        <v>0.17150000000000001</v>
      </c>
      <c r="CL37">
        <v>0.17150000000000001</v>
      </c>
      <c r="CM37">
        <v>0.17150000000000001</v>
      </c>
      <c r="CN37">
        <v>0.26949000000000001</v>
      </c>
      <c r="CO37">
        <v>0.26949000000000001</v>
      </c>
      <c r="CP37">
        <v>0.26949000000000001</v>
      </c>
      <c r="CQ37">
        <v>0.26949000000000001</v>
      </c>
      <c r="CR37">
        <v>0.26949000000000001</v>
      </c>
      <c r="CS37">
        <v>0.39772000000000002</v>
      </c>
      <c r="CT37">
        <v>0.39772000000000002</v>
      </c>
      <c r="CU37">
        <v>0.39772000000000002</v>
      </c>
      <c r="CV37">
        <v>0.39772000000000002</v>
      </c>
      <c r="CW37">
        <v>0.39772000000000002</v>
      </c>
      <c r="CX37">
        <v>1</v>
      </c>
    </row>
    <row r="38" spans="1:102" x14ac:dyDescent="0.25">
      <c r="A38" t="s">
        <v>141</v>
      </c>
      <c r="B38">
        <v>1.6713667000000001E-2</v>
      </c>
      <c r="C38">
        <v>9.1033300000000004E-4</v>
      </c>
      <c r="D38">
        <v>9.1033300000000004E-4</v>
      </c>
      <c r="E38">
        <v>9.1033300000000004E-4</v>
      </c>
      <c r="F38">
        <v>9.1033300000000004E-4</v>
      </c>
      <c r="G38">
        <v>3.0566700000000003E-4</v>
      </c>
      <c r="H38">
        <v>3.0566700000000003E-4</v>
      </c>
      <c r="I38">
        <v>3.0566700000000003E-4</v>
      </c>
      <c r="J38">
        <v>3.0566700000000003E-4</v>
      </c>
      <c r="K38">
        <v>3.0566700000000003E-4</v>
      </c>
      <c r="L38">
        <v>3.2699999999999998E-4</v>
      </c>
      <c r="M38">
        <v>3.2699999999999998E-4</v>
      </c>
      <c r="N38">
        <v>3.2699999999999998E-4</v>
      </c>
      <c r="O38">
        <v>3.2699999999999998E-4</v>
      </c>
      <c r="P38">
        <v>3.2699999999999998E-4</v>
      </c>
      <c r="Q38">
        <v>5.5366699999999998E-4</v>
      </c>
      <c r="R38">
        <v>5.5366699999999998E-4</v>
      </c>
      <c r="S38">
        <v>5.5366699999999998E-4</v>
      </c>
      <c r="T38">
        <v>5.5366699999999998E-4</v>
      </c>
      <c r="U38">
        <v>5.5366699999999998E-4</v>
      </c>
      <c r="V38">
        <v>7.8866699999999995E-4</v>
      </c>
      <c r="W38">
        <v>7.8866699999999995E-4</v>
      </c>
      <c r="X38">
        <v>7.8866699999999995E-4</v>
      </c>
      <c r="Y38">
        <v>7.8866699999999995E-4</v>
      </c>
      <c r="Z38">
        <v>7.8866699999999995E-4</v>
      </c>
      <c r="AA38">
        <v>1.018333E-3</v>
      </c>
      <c r="AB38">
        <v>1.018333E-3</v>
      </c>
      <c r="AC38">
        <v>1.018333E-3</v>
      </c>
      <c r="AD38">
        <v>1.018333E-3</v>
      </c>
      <c r="AE38">
        <v>1.018333E-3</v>
      </c>
      <c r="AF38">
        <v>1.351E-3</v>
      </c>
      <c r="AG38">
        <v>1.351E-3</v>
      </c>
      <c r="AH38">
        <v>1.351E-3</v>
      </c>
      <c r="AI38">
        <v>1.351E-3</v>
      </c>
      <c r="AJ38">
        <v>1.351E-3</v>
      </c>
      <c r="AK38">
        <v>1.8489999999999999E-3</v>
      </c>
      <c r="AL38">
        <v>1.8489999999999999E-3</v>
      </c>
      <c r="AM38">
        <v>1.8489999999999999E-3</v>
      </c>
      <c r="AN38">
        <v>1.8489999999999999E-3</v>
      </c>
      <c r="AO38">
        <v>1.8489999999999999E-3</v>
      </c>
      <c r="AP38">
        <v>2.4580000000000001E-3</v>
      </c>
      <c r="AQ38">
        <v>2.4580000000000001E-3</v>
      </c>
      <c r="AR38">
        <v>2.4580000000000001E-3</v>
      </c>
      <c r="AS38">
        <v>2.4580000000000001E-3</v>
      </c>
      <c r="AT38">
        <v>2.4580000000000001E-3</v>
      </c>
      <c r="AU38">
        <v>3.637333E-3</v>
      </c>
      <c r="AV38">
        <v>3.637333E-3</v>
      </c>
      <c r="AW38">
        <v>3.637333E-3</v>
      </c>
      <c r="AX38">
        <v>3.637333E-3</v>
      </c>
      <c r="AY38">
        <v>3.637333E-3</v>
      </c>
      <c r="AZ38">
        <v>5.4383330000000001E-3</v>
      </c>
      <c r="BA38">
        <v>5.4383330000000001E-3</v>
      </c>
      <c r="BB38">
        <v>5.4383330000000001E-3</v>
      </c>
      <c r="BC38">
        <v>5.4383330000000001E-3</v>
      </c>
      <c r="BD38">
        <v>5.4383330000000001E-3</v>
      </c>
      <c r="BE38">
        <v>7.6373329999999996E-3</v>
      </c>
      <c r="BF38">
        <v>7.6373329999999996E-3</v>
      </c>
      <c r="BG38">
        <v>7.6373329999999996E-3</v>
      </c>
      <c r="BH38">
        <v>7.6373329999999996E-3</v>
      </c>
      <c r="BI38">
        <v>7.6373329999999996E-3</v>
      </c>
      <c r="BJ38">
        <v>1.1368333E-2</v>
      </c>
      <c r="BK38">
        <v>1.1368333E-2</v>
      </c>
      <c r="BL38">
        <v>1.1368333E-2</v>
      </c>
      <c r="BM38">
        <v>1.1368333E-2</v>
      </c>
      <c r="BN38">
        <v>1.1368333E-2</v>
      </c>
      <c r="BO38">
        <v>1.6976333E-2</v>
      </c>
      <c r="BP38">
        <v>1.6976333E-2</v>
      </c>
      <c r="BQ38">
        <v>1.6976333E-2</v>
      </c>
      <c r="BR38">
        <v>1.6976333E-2</v>
      </c>
      <c r="BS38">
        <v>1.6976333E-2</v>
      </c>
      <c r="BT38">
        <v>2.7087666999999999E-2</v>
      </c>
      <c r="BU38">
        <v>2.7087666999999999E-2</v>
      </c>
      <c r="BV38">
        <v>2.7087666999999999E-2</v>
      </c>
      <c r="BW38">
        <v>2.7087666999999999E-2</v>
      </c>
      <c r="BX38">
        <v>2.7087666999999999E-2</v>
      </c>
      <c r="BY38">
        <v>4.3817666999999998E-2</v>
      </c>
      <c r="BZ38">
        <v>4.3817666999999998E-2</v>
      </c>
      <c r="CA38">
        <v>4.3817666999999998E-2</v>
      </c>
      <c r="CB38">
        <v>4.3817666999999998E-2</v>
      </c>
      <c r="CC38">
        <v>4.3817666999999998E-2</v>
      </c>
      <c r="CD38">
        <v>7.3869000000000004E-2</v>
      </c>
      <c r="CE38">
        <v>7.3869000000000004E-2</v>
      </c>
      <c r="CF38">
        <v>7.3869000000000004E-2</v>
      </c>
      <c r="CG38">
        <v>7.3869000000000004E-2</v>
      </c>
      <c r="CH38">
        <v>7.3869000000000004E-2</v>
      </c>
      <c r="CI38">
        <v>0.122025333</v>
      </c>
      <c r="CJ38">
        <v>0.122025333</v>
      </c>
      <c r="CK38">
        <v>0.122025333</v>
      </c>
      <c r="CL38">
        <v>0.122025333</v>
      </c>
      <c r="CM38">
        <v>0.122025333</v>
      </c>
      <c r="CN38">
        <v>0.19647200000000001</v>
      </c>
      <c r="CO38">
        <v>0.19647200000000001</v>
      </c>
      <c r="CP38">
        <v>0.19647200000000001</v>
      </c>
      <c r="CQ38">
        <v>0.19647200000000001</v>
      </c>
      <c r="CR38">
        <v>0.19647200000000001</v>
      </c>
      <c r="CS38">
        <v>0.30780433299999999</v>
      </c>
      <c r="CT38">
        <v>0.30780433299999999</v>
      </c>
      <c r="CU38">
        <v>0.30780433299999999</v>
      </c>
      <c r="CV38">
        <v>0.30780433299999999</v>
      </c>
      <c r="CW38">
        <v>0.30780433299999999</v>
      </c>
      <c r="CX38">
        <v>1</v>
      </c>
    </row>
    <row r="39" spans="1:102" x14ac:dyDescent="0.25">
      <c r="A39" t="s">
        <v>143</v>
      </c>
      <c r="B39">
        <v>6.9970000000000004E-2</v>
      </c>
      <c r="C39">
        <v>7.7499999999999999E-3</v>
      </c>
      <c r="D39">
        <v>7.7499999999999999E-3</v>
      </c>
      <c r="E39">
        <v>7.7499999999999999E-3</v>
      </c>
      <c r="F39">
        <v>7.7499999999999999E-3</v>
      </c>
      <c r="G39">
        <v>1.8799999999999999E-3</v>
      </c>
      <c r="H39">
        <v>1.8799999999999999E-3</v>
      </c>
      <c r="I39">
        <v>1.8799999999999999E-3</v>
      </c>
      <c r="J39">
        <v>1.8799999999999999E-3</v>
      </c>
      <c r="K39">
        <v>1.8799999999999999E-3</v>
      </c>
      <c r="L39">
        <v>1.1800000000000001E-3</v>
      </c>
      <c r="M39">
        <v>1.1800000000000001E-3</v>
      </c>
      <c r="N39">
        <v>1.1800000000000001E-3</v>
      </c>
      <c r="O39">
        <v>1.1800000000000001E-3</v>
      </c>
      <c r="P39">
        <v>1.1800000000000001E-3</v>
      </c>
      <c r="Q39">
        <v>1.7600000000000001E-3</v>
      </c>
      <c r="R39">
        <v>1.7600000000000001E-3</v>
      </c>
      <c r="S39">
        <v>1.7600000000000001E-3</v>
      </c>
      <c r="T39">
        <v>1.7600000000000001E-3</v>
      </c>
      <c r="U39">
        <v>1.7600000000000001E-3</v>
      </c>
      <c r="V39">
        <v>2.4499999999999999E-3</v>
      </c>
      <c r="W39">
        <v>2.4499999999999999E-3</v>
      </c>
      <c r="X39">
        <v>2.4499999999999999E-3</v>
      </c>
      <c r="Y39">
        <v>2.4499999999999999E-3</v>
      </c>
      <c r="Z39">
        <v>2.4499999999999999E-3</v>
      </c>
      <c r="AA39">
        <v>2.8300000000000001E-3</v>
      </c>
      <c r="AB39">
        <v>2.8300000000000001E-3</v>
      </c>
      <c r="AC39">
        <v>2.8300000000000001E-3</v>
      </c>
      <c r="AD39">
        <v>2.8300000000000001E-3</v>
      </c>
      <c r="AE39">
        <v>2.8300000000000001E-3</v>
      </c>
      <c r="AF39">
        <v>3.32E-3</v>
      </c>
      <c r="AG39">
        <v>3.32E-3</v>
      </c>
      <c r="AH39">
        <v>3.32E-3</v>
      </c>
      <c r="AI39">
        <v>3.32E-3</v>
      </c>
      <c r="AJ39">
        <v>3.32E-3</v>
      </c>
      <c r="AK39">
        <v>4.15E-3</v>
      </c>
      <c r="AL39">
        <v>4.15E-3</v>
      </c>
      <c r="AM39">
        <v>4.15E-3</v>
      </c>
      <c r="AN39">
        <v>4.15E-3</v>
      </c>
      <c r="AO39">
        <v>4.15E-3</v>
      </c>
      <c r="AP39">
        <v>5.3E-3</v>
      </c>
      <c r="AQ39">
        <v>5.3E-3</v>
      </c>
      <c r="AR39">
        <v>5.3E-3</v>
      </c>
      <c r="AS39">
        <v>5.3E-3</v>
      </c>
      <c r="AT39">
        <v>5.3E-3</v>
      </c>
      <c r="AU39">
        <v>7.0899999999999999E-3</v>
      </c>
      <c r="AV39">
        <v>7.0899999999999999E-3</v>
      </c>
      <c r="AW39">
        <v>7.0899999999999999E-3</v>
      </c>
      <c r="AX39">
        <v>7.0899999999999999E-3</v>
      </c>
      <c r="AY39">
        <v>7.0899999999999999E-3</v>
      </c>
      <c r="AZ39">
        <v>1.01E-2</v>
      </c>
      <c r="BA39">
        <v>1.01E-2</v>
      </c>
      <c r="BB39">
        <v>1.01E-2</v>
      </c>
      <c r="BC39">
        <v>1.01E-2</v>
      </c>
      <c r="BD39">
        <v>1.01E-2</v>
      </c>
      <c r="BE39">
        <v>1.506E-2</v>
      </c>
      <c r="BF39">
        <v>1.506E-2</v>
      </c>
      <c r="BG39">
        <v>1.506E-2</v>
      </c>
      <c r="BH39">
        <v>1.506E-2</v>
      </c>
      <c r="BI39">
        <v>1.506E-2</v>
      </c>
      <c r="BJ39">
        <v>2.1510000000000001E-2</v>
      </c>
      <c r="BK39">
        <v>2.1510000000000001E-2</v>
      </c>
      <c r="BL39">
        <v>2.1510000000000001E-2</v>
      </c>
      <c r="BM39">
        <v>2.1510000000000001E-2</v>
      </c>
      <c r="BN39">
        <v>2.1510000000000001E-2</v>
      </c>
      <c r="BO39">
        <v>3.4529999999999998E-2</v>
      </c>
      <c r="BP39">
        <v>3.4529999999999998E-2</v>
      </c>
      <c r="BQ39">
        <v>3.4529999999999998E-2</v>
      </c>
      <c r="BR39">
        <v>3.4529999999999998E-2</v>
      </c>
      <c r="BS39">
        <v>3.4529999999999998E-2</v>
      </c>
      <c r="BT39">
        <v>5.6059999999999999E-2</v>
      </c>
      <c r="BU39">
        <v>5.6059999999999999E-2</v>
      </c>
      <c r="BV39">
        <v>5.6059999999999999E-2</v>
      </c>
      <c r="BW39">
        <v>5.6059999999999999E-2</v>
      </c>
      <c r="BX39">
        <v>5.6059999999999999E-2</v>
      </c>
      <c r="BY39">
        <v>8.9219999999999994E-2</v>
      </c>
      <c r="BZ39">
        <v>8.9219999999999994E-2</v>
      </c>
      <c r="CA39">
        <v>8.9219999999999994E-2</v>
      </c>
      <c r="CB39">
        <v>8.9219999999999994E-2</v>
      </c>
      <c r="CC39">
        <v>8.9219999999999994E-2</v>
      </c>
      <c r="CD39">
        <v>0.13838</v>
      </c>
      <c r="CE39">
        <v>0.13838</v>
      </c>
      <c r="CF39">
        <v>0.13838</v>
      </c>
      <c r="CG39">
        <v>0.13838</v>
      </c>
      <c r="CH39">
        <v>0.13838</v>
      </c>
      <c r="CI39">
        <v>0.20751</v>
      </c>
      <c r="CJ39">
        <v>0.20751</v>
      </c>
      <c r="CK39">
        <v>0.20751</v>
      </c>
      <c r="CL39">
        <v>0.20751</v>
      </c>
      <c r="CM39">
        <v>0.20751</v>
      </c>
      <c r="CN39">
        <v>0.30086000000000002</v>
      </c>
      <c r="CO39">
        <v>0.30086000000000002</v>
      </c>
      <c r="CP39">
        <v>0.30086000000000002</v>
      </c>
      <c r="CQ39">
        <v>0.30086000000000002</v>
      </c>
      <c r="CR39">
        <v>0.30086000000000002</v>
      </c>
      <c r="CS39">
        <v>0.42176999999999998</v>
      </c>
      <c r="CT39">
        <v>0.42176999999999998</v>
      </c>
      <c r="CU39">
        <v>0.42176999999999998</v>
      </c>
      <c r="CV39">
        <v>0.42176999999999998</v>
      </c>
      <c r="CW39">
        <v>0.42176999999999998</v>
      </c>
      <c r="CX39">
        <v>1</v>
      </c>
    </row>
    <row r="40" spans="1:102" x14ac:dyDescent="0.25">
      <c r="A40" t="s">
        <v>145</v>
      </c>
      <c r="B40">
        <v>8.2159999999999997E-2</v>
      </c>
      <c r="C40">
        <v>1.2449999999999999E-2</v>
      </c>
      <c r="D40">
        <v>1.2449999999999999E-2</v>
      </c>
      <c r="E40">
        <v>1.2449999999999999E-2</v>
      </c>
      <c r="F40">
        <v>1.2449999999999999E-2</v>
      </c>
      <c r="G40">
        <v>2.4499999999999999E-3</v>
      </c>
      <c r="H40">
        <v>2.4499999999999999E-3</v>
      </c>
      <c r="I40">
        <v>2.4499999999999999E-3</v>
      </c>
      <c r="J40">
        <v>2.4499999999999999E-3</v>
      </c>
      <c r="K40">
        <v>2.4499999999999999E-3</v>
      </c>
      <c r="L40">
        <v>1.64E-3</v>
      </c>
      <c r="M40">
        <v>1.64E-3</v>
      </c>
      <c r="N40">
        <v>1.64E-3</v>
      </c>
      <c r="O40">
        <v>1.64E-3</v>
      </c>
      <c r="P40">
        <v>1.64E-3</v>
      </c>
      <c r="Q40">
        <v>2.0100000000000001E-3</v>
      </c>
      <c r="R40">
        <v>2.0100000000000001E-3</v>
      </c>
      <c r="S40">
        <v>2.0100000000000001E-3</v>
      </c>
      <c r="T40">
        <v>2.0100000000000001E-3</v>
      </c>
      <c r="U40">
        <v>2.0100000000000001E-3</v>
      </c>
      <c r="V40">
        <v>3.7799999999999999E-3</v>
      </c>
      <c r="W40">
        <v>3.7799999999999999E-3</v>
      </c>
      <c r="X40">
        <v>3.7799999999999999E-3</v>
      </c>
      <c r="Y40">
        <v>3.7799999999999999E-3</v>
      </c>
      <c r="Z40">
        <v>3.7799999999999999E-3</v>
      </c>
      <c r="AA40">
        <v>5.6800000000000002E-3</v>
      </c>
      <c r="AB40">
        <v>5.6800000000000002E-3</v>
      </c>
      <c r="AC40">
        <v>5.6800000000000002E-3</v>
      </c>
      <c r="AD40">
        <v>5.6800000000000002E-3</v>
      </c>
      <c r="AE40">
        <v>5.6800000000000002E-3</v>
      </c>
      <c r="AF40">
        <v>7.11E-3</v>
      </c>
      <c r="AG40">
        <v>7.11E-3</v>
      </c>
      <c r="AH40">
        <v>7.11E-3</v>
      </c>
      <c r="AI40">
        <v>7.11E-3</v>
      </c>
      <c r="AJ40">
        <v>7.11E-3</v>
      </c>
      <c r="AK40">
        <v>8.7100000000000007E-3</v>
      </c>
      <c r="AL40">
        <v>8.7100000000000007E-3</v>
      </c>
      <c r="AM40">
        <v>8.7100000000000007E-3</v>
      </c>
      <c r="AN40">
        <v>8.7100000000000007E-3</v>
      </c>
      <c r="AO40">
        <v>8.7100000000000007E-3</v>
      </c>
      <c r="AP40">
        <v>9.7699999999999992E-3</v>
      </c>
      <c r="AQ40">
        <v>9.7699999999999992E-3</v>
      </c>
      <c r="AR40">
        <v>9.7699999999999992E-3</v>
      </c>
      <c r="AS40">
        <v>9.7699999999999992E-3</v>
      </c>
      <c r="AT40">
        <v>9.7699999999999992E-3</v>
      </c>
      <c r="AU40">
        <v>1.0529999999999999E-2</v>
      </c>
      <c r="AV40">
        <v>1.0529999999999999E-2</v>
      </c>
      <c r="AW40">
        <v>1.0529999999999999E-2</v>
      </c>
      <c r="AX40">
        <v>1.0529999999999999E-2</v>
      </c>
      <c r="AY40">
        <v>1.0529999999999999E-2</v>
      </c>
      <c r="AZ40">
        <v>1.257E-2</v>
      </c>
      <c r="BA40">
        <v>1.257E-2</v>
      </c>
      <c r="BB40">
        <v>1.257E-2</v>
      </c>
      <c r="BC40">
        <v>1.257E-2</v>
      </c>
      <c r="BD40">
        <v>1.257E-2</v>
      </c>
      <c r="BE40">
        <v>1.694E-2</v>
      </c>
      <c r="BF40">
        <v>1.694E-2</v>
      </c>
      <c r="BG40">
        <v>1.694E-2</v>
      </c>
      <c r="BH40">
        <v>1.694E-2</v>
      </c>
      <c r="BI40">
        <v>1.694E-2</v>
      </c>
      <c r="BJ40">
        <v>2.2960000000000001E-2</v>
      </c>
      <c r="BK40">
        <v>2.2960000000000001E-2</v>
      </c>
      <c r="BL40">
        <v>2.2960000000000001E-2</v>
      </c>
      <c r="BM40">
        <v>2.2960000000000001E-2</v>
      </c>
      <c r="BN40">
        <v>2.2960000000000001E-2</v>
      </c>
      <c r="BO40">
        <v>3.6330000000000001E-2</v>
      </c>
      <c r="BP40">
        <v>3.6330000000000001E-2</v>
      </c>
      <c r="BQ40">
        <v>3.6330000000000001E-2</v>
      </c>
      <c r="BR40">
        <v>3.6330000000000001E-2</v>
      </c>
      <c r="BS40">
        <v>3.6330000000000001E-2</v>
      </c>
      <c r="BT40">
        <v>5.8319999999999997E-2</v>
      </c>
      <c r="BU40">
        <v>5.8319999999999997E-2</v>
      </c>
      <c r="BV40">
        <v>5.8319999999999997E-2</v>
      </c>
      <c r="BW40">
        <v>5.8319999999999997E-2</v>
      </c>
      <c r="BX40">
        <v>5.8319999999999997E-2</v>
      </c>
      <c r="BY40">
        <v>9.2280000000000001E-2</v>
      </c>
      <c r="BZ40">
        <v>9.2280000000000001E-2</v>
      </c>
      <c r="CA40">
        <v>9.2280000000000001E-2</v>
      </c>
      <c r="CB40">
        <v>9.2280000000000001E-2</v>
      </c>
      <c r="CC40">
        <v>9.2280000000000001E-2</v>
      </c>
      <c r="CD40">
        <v>0.14171</v>
      </c>
      <c r="CE40">
        <v>0.14171</v>
      </c>
      <c r="CF40">
        <v>0.14171</v>
      </c>
      <c r="CG40">
        <v>0.14171</v>
      </c>
      <c r="CH40">
        <v>0.14171</v>
      </c>
      <c r="CI40">
        <v>0.21088000000000001</v>
      </c>
      <c r="CJ40">
        <v>0.21088000000000001</v>
      </c>
      <c r="CK40">
        <v>0.21088000000000001</v>
      </c>
      <c r="CL40">
        <v>0.21088000000000001</v>
      </c>
      <c r="CM40">
        <v>0.21088000000000001</v>
      </c>
      <c r="CN40">
        <v>0.30412</v>
      </c>
      <c r="CO40">
        <v>0.30412</v>
      </c>
      <c r="CP40">
        <v>0.30412</v>
      </c>
      <c r="CQ40">
        <v>0.30412</v>
      </c>
      <c r="CR40">
        <v>0.30412</v>
      </c>
      <c r="CS40">
        <v>0.42470000000000002</v>
      </c>
      <c r="CT40">
        <v>0.42470000000000002</v>
      </c>
      <c r="CU40">
        <v>0.42470000000000002</v>
      </c>
      <c r="CV40">
        <v>0.42470000000000002</v>
      </c>
      <c r="CW40">
        <v>0.42470000000000002</v>
      </c>
      <c r="CX40">
        <v>1</v>
      </c>
    </row>
    <row r="41" spans="1:102" x14ac:dyDescent="0.25">
      <c r="A41" t="s">
        <v>147</v>
      </c>
      <c r="B41">
        <v>0.13122</v>
      </c>
      <c r="C41">
        <v>2.078E-2</v>
      </c>
      <c r="D41">
        <v>2.078E-2</v>
      </c>
      <c r="E41">
        <v>2.078E-2</v>
      </c>
      <c r="F41">
        <v>2.078E-2</v>
      </c>
      <c r="G41">
        <v>4.0200000000000001E-3</v>
      </c>
      <c r="H41">
        <v>4.0200000000000001E-3</v>
      </c>
      <c r="I41">
        <v>4.0200000000000001E-3</v>
      </c>
      <c r="J41">
        <v>4.0200000000000001E-3</v>
      </c>
      <c r="K41">
        <v>4.0200000000000001E-3</v>
      </c>
      <c r="L41">
        <v>2.2399999999999998E-3</v>
      </c>
      <c r="M41">
        <v>2.2399999999999998E-3</v>
      </c>
      <c r="N41">
        <v>2.2399999999999998E-3</v>
      </c>
      <c r="O41">
        <v>2.2399999999999998E-3</v>
      </c>
      <c r="P41">
        <v>2.2399999999999998E-3</v>
      </c>
      <c r="Q41">
        <v>2.96E-3</v>
      </c>
      <c r="R41">
        <v>2.96E-3</v>
      </c>
      <c r="S41">
        <v>2.96E-3</v>
      </c>
      <c r="T41">
        <v>2.96E-3</v>
      </c>
      <c r="U41">
        <v>2.96E-3</v>
      </c>
      <c r="V41">
        <v>4.8799999999999998E-3</v>
      </c>
      <c r="W41">
        <v>4.8799999999999998E-3</v>
      </c>
      <c r="X41">
        <v>4.8799999999999998E-3</v>
      </c>
      <c r="Y41">
        <v>4.8799999999999998E-3</v>
      </c>
      <c r="Z41">
        <v>4.8799999999999998E-3</v>
      </c>
      <c r="AA41">
        <v>6.13E-3</v>
      </c>
      <c r="AB41">
        <v>6.13E-3</v>
      </c>
      <c r="AC41">
        <v>6.13E-3</v>
      </c>
      <c r="AD41">
        <v>6.13E-3</v>
      </c>
      <c r="AE41">
        <v>6.13E-3</v>
      </c>
      <c r="AF41">
        <v>7.0099999999999997E-3</v>
      </c>
      <c r="AG41">
        <v>7.0099999999999997E-3</v>
      </c>
      <c r="AH41">
        <v>7.0099999999999997E-3</v>
      </c>
      <c r="AI41">
        <v>7.0099999999999997E-3</v>
      </c>
      <c r="AJ41">
        <v>7.0099999999999997E-3</v>
      </c>
      <c r="AK41">
        <v>7.8600000000000007E-3</v>
      </c>
      <c r="AL41">
        <v>7.8600000000000007E-3</v>
      </c>
      <c r="AM41">
        <v>7.8600000000000007E-3</v>
      </c>
      <c r="AN41">
        <v>7.8600000000000007E-3</v>
      </c>
      <c r="AO41">
        <v>7.8600000000000007E-3</v>
      </c>
      <c r="AP41">
        <v>8.5900000000000004E-3</v>
      </c>
      <c r="AQ41">
        <v>8.5900000000000004E-3</v>
      </c>
      <c r="AR41">
        <v>8.5900000000000004E-3</v>
      </c>
      <c r="AS41">
        <v>8.5900000000000004E-3</v>
      </c>
      <c r="AT41">
        <v>8.5900000000000004E-3</v>
      </c>
      <c r="AU41">
        <v>9.9699999999999997E-3</v>
      </c>
      <c r="AV41">
        <v>9.9699999999999997E-3</v>
      </c>
      <c r="AW41">
        <v>9.9699999999999997E-3</v>
      </c>
      <c r="AX41">
        <v>9.9699999999999997E-3</v>
      </c>
      <c r="AY41">
        <v>9.9699999999999997E-3</v>
      </c>
      <c r="AZ41">
        <v>1.328E-2</v>
      </c>
      <c r="BA41">
        <v>1.328E-2</v>
      </c>
      <c r="BB41">
        <v>1.328E-2</v>
      </c>
      <c r="BC41">
        <v>1.328E-2</v>
      </c>
      <c r="BD41">
        <v>1.328E-2</v>
      </c>
      <c r="BE41">
        <v>1.9560000000000001E-2</v>
      </c>
      <c r="BF41">
        <v>1.9560000000000001E-2</v>
      </c>
      <c r="BG41">
        <v>1.9560000000000001E-2</v>
      </c>
      <c r="BH41">
        <v>1.9560000000000001E-2</v>
      </c>
      <c r="BI41">
        <v>1.9560000000000001E-2</v>
      </c>
      <c r="BJ41">
        <v>2.613E-2</v>
      </c>
      <c r="BK41">
        <v>2.613E-2</v>
      </c>
      <c r="BL41">
        <v>2.613E-2</v>
      </c>
      <c r="BM41">
        <v>2.613E-2</v>
      </c>
      <c r="BN41">
        <v>2.613E-2</v>
      </c>
      <c r="BO41">
        <v>4.1790000000000001E-2</v>
      </c>
      <c r="BP41">
        <v>4.1790000000000001E-2</v>
      </c>
      <c r="BQ41">
        <v>4.1790000000000001E-2</v>
      </c>
      <c r="BR41">
        <v>4.1790000000000001E-2</v>
      </c>
      <c r="BS41">
        <v>4.1790000000000001E-2</v>
      </c>
      <c r="BT41">
        <v>6.5790000000000001E-2</v>
      </c>
      <c r="BU41">
        <v>6.5790000000000001E-2</v>
      </c>
      <c r="BV41">
        <v>6.5790000000000001E-2</v>
      </c>
      <c r="BW41">
        <v>6.5790000000000001E-2</v>
      </c>
      <c r="BX41">
        <v>6.5790000000000001E-2</v>
      </c>
      <c r="BY41">
        <v>0.10094</v>
      </c>
      <c r="BZ41">
        <v>0.10094</v>
      </c>
      <c r="CA41">
        <v>0.10094</v>
      </c>
      <c r="CB41">
        <v>0.10094</v>
      </c>
      <c r="CC41">
        <v>0.10094</v>
      </c>
      <c r="CD41">
        <v>0.15082999999999999</v>
      </c>
      <c r="CE41">
        <v>0.15082999999999999</v>
      </c>
      <c r="CF41">
        <v>0.15082999999999999</v>
      </c>
      <c r="CG41">
        <v>0.15082999999999999</v>
      </c>
      <c r="CH41">
        <v>0.15082999999999999</v>
      </c>
      <c r="CI41">
        <v>0.22025</v>
      </c>
      <c r="CJ41">
        <v>0.22025</v>
      </c>
      <c r="CK41">
        <v>0.22025</v>
      </c>
      <c r="CL41">
        <v>0.22025</v>
      </c>
      <c r="CM41">
        <v>0.22025</v>
      </c>
      <c r="CN41">
        <v>0.30986999999999998</v>
      </c>
      <c r="CO41">
        <v>0.30986999999999998</v>
      </c>
      <c r="CP41">
        <v>0.30986999999999998</v>
      </c>
      <c r="CQ41">
        <v>0.30986999999999998</v>
      </c>
      <c r="CR41">
        <v>0.30986999999999998</v>
      </c>
      <c r="CS41">
        <v>0.42873</v>
      </c>
      <c r="CT41">
        <v>0.42873</v>
      </c>
      <c r="CU41">
        <v>0.42873</v>
      </c>
      <c r="CV41">
        <v>0.42873</v>
      </c>
      <c r="CW41">
        <v>0.42873</v>
      </c>
      <c r="CX41">
        <v>1</v>
      </c>
    </row>
    <row r="42" spans="1:102" x14ac:dyDescent="0.25">
      <c r="A42" t="s">
        <v>149</v>
      </c>
      <c r="B42">
        <v>2.0693684E-2</v>
      </c>
      <c r="C42">
        <v>1.3699999999999999E-3</v>
      </c>
      <c r="D42">
        <v>1.3699999999999999E-3</v>
      </c>
      <c r="E42">
        <v>1.3699999999999999E-3</v>
      </c>
      <c r="F42">
        <v>1.3699999999999999E-3</v>
      </c>
      <c r="G42">
        <v>5.1000000000000004E-4</v>
      </c>
      <c r="H42">
        <v>5.1000000000000004E-4</v>
      </c>
      <c r="I42">
        <v>5.1000000000000004E-4</v>
      </c>
      <c r="J42">
        <v>5.1000000000000004E-4</v>
      </c>
      <c r="K42">
        <v>5.1000000000000004E-4</v>
      </c>
      <c r="L42">
        <v>5.9315799999999999E-4</v>
      </c>
      <c r="M42">
        <v>5.9315799999999999E-4</v>
      </c>
      <c r="N42">
        <v>5.9315799999999999E-4</v>
      </c>
      <c r="O42">
        <v>5.9315799999999999E-4</v>
      </c>
      <c r="P42">
        <v>5.9315799999999999E-4</v>
      </c>
      <c r="Q42">
        <v>9.81579E-4</v>
      </c>
      <c r="R42">
        <v>9.81579E-4</v>
      </c>
      <c r="S42">
        <v>9.81579E-4</v>
      </c>
      <c r="T42">
        <v>9.81579E-4</v>
      </c>
      <c r="U42">
        <v>9.81579E-4</v>
      </c>
      <c r="V42">
        <v>8.9421100000000001E-4</v>
      </c>
      <c r="W42">
        <v>8.9421100000000001E-4</v>
      </c>
      <c r="X42">
        <v>8.9421100000000001E-4</v>
      </c>
      <c r="Y42">
        <v>8.9421100000000001E-4</v>
      </c>
      <c r="Z42">
        <v>8.9421100000000001E-4</v>
      </c>
      <c r="AA42">
        <v>1.1073680000000001E-3</v>
      </c>
      <c r="AB42">
        <v>1.1073680000000001E-3</v>
      </c>
      <c r="AC42">
        <v>1.1073680000000001E-3</v>
      </c>
      <c r="AD42">
        <v>1.1073680000000001E-3</v>
      </c>
      <c r="AE42">
        <v>1.1073680000000001E-3</v>
      </c>
      <c r="AF42">
        <v>1.6073680000000001E-3</v>
      </c>
      <c r="AG42">
        <v>1.6073680000000001E-3</v>
      </c>
      <c r="AH42">
        <v>1.6073680000000001E-3</v>
      </c>
      <c r="AI42">
        <v>1.6073680000000001E-3</v>
      </c>
      <c r="AJ42">
        <v>1.6073680000000001E-3</v>
      </c>
      <c r="AK42">
        <v>1.9905259999999998E-3</v>
      </c>
      <c r="AL42">
        <v>1.9905259999999998E-3</v>
      </c>
      <c r="AM42">
        <v>1.9905259999999998E-3</v>
      </c>
      <c r="AN42">
        <v>1.9905259999999998E-3</v>
      </c>
      <c r="AO42">
        <v>1.9905259999999998E-3</v>
      </c>
      <c r="AP42">
        <v>3.283158E-3</v>
      </c>
      <c r="AQ42">
        <v>3.283158E-3</v>
      </c>
      <c r="AR42">
        <v>3.283158E-3</v>
      </c>
      <c r="AS42">
        <v>3.283158E-3</v>
      </c>
      <c r="AT42">
        <v>3.283158E-3</v>
      </c>
      <c r="AU42">
        <v>4.5542109999999998E-3</v>
      </c>
      <c r="AV42">
        <v>4.5542109999999998E-3</v>
      </c>
      <c r="AW42">
        <v>4.5542109999999998E-3</v>
      </c>
      <c r="AX42">
        <v>4.5542109999999998E-3</v>
      </c>
      <c r="AY42">
        <v>4.5542109999999998E-3</v>
      </c>
      <c r="AZ42">
        <v>6.844737E-3</v>
      </c>
      <c r="BA42">
        <v>6.844737E-3</v>
      </c>
      <c r="BB42">
        <v>6.844737E-3</v>
      </c>
      <c r="BC42">
        <v>6.844737E-3</v>
      </c>
      <c r="BD42">
        <v>6.844737E-3</v>
      </c>
      <c r="BE42">
        <v>1.0072105E-2</v>
      </c>
      <c r="BF42">
        <v>1.0072105E-2</v>
      </c>
      <c r="BG42">
        <v>1.0072105E-2</v>
      </c>
      <c r="BH42">
        <v>1.0072105E-2</v>
      </c>
      <c r="BI42">
        <v>1.0072105E-2</v>
      </c>
      <c r="BJ42">
        <v>1.6034211E-2</v>
      </c>
      <c r="BK42">
        <v>1.6034211E-2</v>
      </c>
      <c r="BL42">
        <v>1.6034211E-2</v>
      </c>
      <c r="BM42">
        <v>1.6034211E-2</v>
      </c>
      <c r="BN42">
        <v>1.6034211E-2</v>
      </c>
      <c r="BO42">
        <v>2.4366315999999999E-2</v>
      </c>
      <c r="BP42">
        <v>2.4366315999999999E-2</v>
      </c>
      <c r="BQ42">
        <v>2.4366315999999999E-2</v>
      </c>
      <c r="BR42">
        <v>2.4366315999999999E-2</v>
      </c>
      <c r="BS42">
        <v>2.4366315999999999E-2</v>
      </c>
      <c r="BT42">
        <v>3.6406842000000002E-2</v>
      </c>
      <c r="BU42">
        <v>3.6406842000000002E-2</v>
      </c>
      <c r="BV42">
        <v>3.6406842000000002E-2</v>
      </c>
      <c r="BW42">
        <v>3.6406842000000002E-2</v>
      </c>
      <c r="BX42">
        <v>3.6406842000000002E-2</v>
      </c>
      <c r="BY42">
        <v>6.3028421000000001E-2</v>
      </c>
      <c r="BZ42">
        <v>6.3028421000000001E-2</v>
      </c>
      <c r="CA42">
        <v>6.3028421000000001E-2</v>
      </c>
      <c r="CB42">
        <v>6.3028421000000001E-2</v>
      </c>
      <c r="CC42">
        <v>6.3028421000000001E-2</v>
      </c>
      <c r="CD42">
        <v>9.6411578999999997E-2</v>
      </c>
      <c r="CE42">
        <v>9.6411578999999997E-2</v>
      </c>
      <c r="CF42">
        <v>9.6411578999999997E-2</v>
      </c>
      <c r="CG42">
        <v>9.6411578999999997E-2</v>
      </c>
      <c r="CH42">
        <v>9.6411578999999997E-2</v>
      </c>
      <c r="CI42">
        <v>0.148308947</v>
      </c>
      <c r="CJ42">
        <v>0.148308947</v>
      </c>
      <c r="CK42">
        <v>0.148308947</v>
      </c>
      <c r="CL42">
        <v>0.148308947</v>
      </c>
      <c r="CM42">
        <v>0.148308947</v>
      </c>
      <c r="CN42">
        <v>0.225275789</v>
      </c>
      <c r="CO42">
        <v>0.225275789</v>
      </c>
      <c r="CP42">
        <v>0.225275789</v>
      </c>
      <c r="CQ42">
        <v>0.225275789</v>
      </c>
      <c r="CR42">
        <v>0.225275789</v>
      </c>
      <c r="CS42">
        <v>0.33575105300000002</v>
      </c>
      <c r="CT42">
        <v>0.33575105300000002</v>
      </c>
      <c r="CU42">
        <v>0.33575105300000002</v>
      </c>
      <c r="CV42">
        <v>0.33575105300000002</v>
      </c>
      <c r="CW42">
        <v>0.33575105300000002</v>
      </c>
      <c r="CX42">
        <v>1</v>
      </c>
    </row>
    <row r="43" spans="1:102" x14ac:dyDescent="0.25">
      <c r="A43" t="s">
        <v>151</v>
      </c>
      <c r="B43">
        <v>8.8500000000000002E-3</v>
      </c>
      <c r="C43">
        <v>1.9000000000000001E-4</v>
      </c>
      <c r="D43">
        <v>1.9000000000000001E-4</v>
      </c>
      <c r="E43">
        <v>1.9000000000000001E-4</v>
      </c>
      <c r="F43">
        <v>1.9000000000000001E-4</v>
      </c>
      <c r="G43">
        <v>1.2E-4</v>
      </c>
      <c r="H43">
        <v>1.2E-4</v>
      </c>
      <c r="I43">
        <v>1.2E-4</v>
      </c>
      <c r="J43">
        <v>1.2E-4</v>
      </c>
      <c r="K43">
        <v>1.2E-4</v>
      </c>
      <c r="L43">
        <v>2.5000000000000001E-4</v>
      </c>
      <c r="M43">
        <v>2.5000000000000001E-4</v>
      </c>
      <c r="N43">
        <v>2.5000000000000001E-4</v>
      </c>
      <c r="O43">
        <v>2.5000000000000001E-4</v>
      </c>
      <c r="P43">
        <v>2.5000000000000001E-4</v>
      </c>
      <c r="Q43">
        <v>3.2000000000000003E-4</v>
      </c>
      <c r="R43">
        <v>3.2000000000000003E-4</v>
      </c>
      <c r="S43">
        <v>3.2000000000000003E-4</v>
      </c>
      <c r="T43">
        <v>3.2000000000000003E-4</v>
      </c>
      <c r="U43">
        <v>3.2000000000000003E-4</v>
      </c>
      <c r="V43">
        <v>4.4999999999999999E-4</v>
      </c>
      <c r="W43">
        <v>4.4999999999999999E-4</v>
      </c>
      <c r="X43">
        <v>4.4999999999999999E-4</v>
      </c>
      <c r="Y43">
        <v>4.4999999999999999E-4</v>
      </c>
      <c r="Z43">
        <v>4.4999999999999999E-4</v>
      </c>
      <c r="AA43">
        <v>4.8000000000000001E-4</v>
      </c>
      <c r="AB43">
        <v>4.8000000000000001E-4</v>
      </c>
      <c r="AC43">
        <v>4.8000000000000001E-4</v>
      </c>
      <c r="AD43">
        <v>4.8000000000000001E-4</v>
      </c>
      <c r="AE43">
        <v>4.8000000000000001E-4</v>
      </c>
      <c r="AF43">
        <v>5.8E-4</v>
      </c>
      <c r="AG43">
        <v>5.8E-4</v>
      </c>
      <c r="AH43">
        <v>5.8E-4</v>
      </c>
      <c r="AI43">
        <v>5.8E-4</v>
      </c>
      <c r="AJ43">
        <v>5.8E-4</v>
      </c>
      <c r="AK43">
        <v>9.3999999999999997E-4</v>
      </c>
      <c r="AL43">
        <v>9.3999999999999997E-4</v>
      </c>
      <c r="AM43">
        <v>9.3999999999999997E-4</v>
      </c>
      <c r="AN43">
        <v>9.3999999999999997E-4</v>
      </c>
      <c r="AO43">
        <v>9.3999999999999997E-4</v>
      </c>
      <c r="AP43">
        <v>1.4E-3</v>
      </c>
      <c r="AQ43">
        <v>1.4E-3</v>
      </c>
      <c r="AR43">
        <v>1.4E-3</v>
      </c>
      <c r="AS43">
        <v>1.4E-3</v>
      </c>
      <c r="AT43">
        <v>1.4E-3</v>
      </c>
      <c r="AU43">
        <v>2.0100000000000001E-3</v>
      </c>
      <c r="AV43">
        <v>2.0100000000000001E-3</v>
      </c>
      <c r="AW43">
        <v>2.0100000000000001E-3</v>
      </c>
      <c r="AX43">
        <v>2.0100000000000001E-3</v>
      </c>
      <c r="AY43">
        <v>2.0100000000000001E-3</v>
      </c>
      <c r="AZ43">
        <v>2.8999999999999998E-3</v>
      </c>
      <c r="BA43">
        <v>2.8999999999999998E-3</v>
      </c>
      <c r="BB43">
        <v>2.8999999999999998E-3</v>
      </c>
      <c r="BC43">
        <v>2.8999999999999998E-3</v>
      </c>
      <c r="BD43">
        <v>2.8999999999999998E-3</v>
      </c>
      <c r="BE43">
        <v>5.2700000000000004E-3</v>
      </c>
      <c r="BF43">
        <v>5.2700000000000004E-3</v>
      </c>
      <c r="BG43">
        <v>5.2700000000000004E-3</v>
      </c>
      <c r="BH43">
        <v>5.2700000000000004E-3</v>
      </c>
      <c r="BI43">
        <v>5.2700000000000004E-3</v>
      </c>
      <c r="BJ43">
        <v>7.11E-3</v>
      </c>
      <c r="BK43">
        <v>7.11E-3</v>
      </c>
      <c r="BL43">
        <v>7.11E-3</v>
      </c>
      <c r="BM43">
        <v>7.11E-3</v>
      </c>
      <c r="BN43">
        <v>7.11E-3</v>
      </c>
      <c r="BO43">
        <v>1.239E-2</v>
      </c>
      <c r="BP43">
        <v>1.239E-2</v>
      </c>
      <c r="BQ43">
        <v>1.239E-2</v>
      </c>
      <c r="BR43">
        <v>1.239E-2</v>
      </c>
      <c r="BS43">
        <v>1.239E-2</v>
      </c>
      <c r="BT43">
        <v>1.967E-2</v>
      </c>
      <c r="BU43">
        <v>1.967E-2</v>
      </c>
      <c r="BV43">
        <v>1.967E-2</v>
      </c>
      <c r="BW43">
        <v>1.967E-2</v>
      </c>
      <c r="BX43">
        <v>1.967E-2</v>
      </c>
      <c r="BY43">
        <v>3.1669999999999997E-2</v>
      </c>
      <c r="BZ43">
        <v>3.1669999999999997E-2</v>
      </c>
      <c r="CA43">
        <v>3.1669999999999997E-2</v>
      </c>
      <c r="CB43">
        <v>3.1669999999999997E-2</v>
      </c>
      <c r="CC43">
        <v>3.1669999999999997E-2</v>
      </c>
      <c r="CD43">
        <v>5.5780000000000003E-2</v>
      </c>
      <c r="CE43">
        <v>5.5780000000000003E-2</v>
      </c>
      <c r="CF43">
        <v>5.5780000000000003E-2</v>
      </c>
      <c r="CG43">
        <v>5.5780000000000003E-2</v>
      </c>
      <c r="CH43">
        <v>5.5780000000000003E-2</v>
      </c>
      <c r="CI43">
        <v>9.6199999999999994E-2</v>
      </c>
      <c r="CJ43">
        <v>9.6199999999999994E-2</v>
      </c>
      <c r="CK43">
        <v>9.6199999999999994E-2</v>
      </c>
      <c r="CL43">
        <v>9.6199999999999994E-2</v>
      </c>
      <c r="CM43">
        <v>9.6199999999999994E-2</v>
      </c>
      <c r="CN43">
        <v>0.16250999999999999</v>
      </c>
      <c r="CO43">
        <v>0.16250999999999999</v>
      </c>
      <c r="CP43">
        <v>0.16250999999999999</v>
      </c>
      <c r="CQ43">
        <v>0.16250999999999999</v>
      </c>
      <c r="CR43">
        <v>0.16250999999999999</v>
      </c>
      <c r="CS43">
        <v>0.26889000000000002</v>
      </c>
      <c r="CT43">
        <v>0.26889000000000002</v>
      </c>
      <c r="CU43">
        <v>0.26889000000000002</v>
      </c>
      <c r="CV43">
        <v>0.26889000000000002</v>
      </c>
      <c r="CW43">
        <v>0.26889000000000002</v>
      </c>
      <c r="CX43">
        <v>1</v>
      </c>
    </row>
    <row r="44" spans="1:102" x14ac:dyDescent="0.25">
      <c r="A44" t="s">
        <v>153</v>
      </c>
      <c r="B44">
        <v>6.6841463000000004E-2</v>
      </c>
      <c r="C44">
        <v>1.0634390000000001E-2</v>
      </c>
      <c r="D44">
        <v>1.0634390000000001E-2</v>
      </c>
      <c r="E44">
        <v>1.0634390000000001E-2</v>
      </c>
      <c r="F44">
        <v>1.0634390000000001E-2</v>
      </c>
      <c r="G44">
        <v>2.2570730000000001E-3</v>
      </c>
      <c r="H44">
        <v>2.2570730000000001E-3</v>
      </c>
      <c r="I44">
        <v>2.2570730000000001E-3</v>
      </c>
      <c r="J44">
        <v>2.2570730000000001E-3</v>
      </c>
      <c r="K44">
        <v>2.2570730000000001E-3</v>
      </c>
      <c r="L44">
        <v>1.5885369999999999E-3</v>
      </c>
      <c r="M44">
        <v>1.5885369999999999E-3</v>
      </c>
      <c r="N44">
        <v>1.5885369999999999E-3</v>
      </c>
      <c r="O44">
        <v>1.5885369999999999E-3</v>
      </c>
      <c r="P44">
        <v>1.5885369999999999E-3</v>
      </c>
      <c r="Q44">
        <v>1.952683E-3</v>
      </c>
      <c r="R44">
        <v>1.952683E-3</v>
      </c>
      <c r="S44">
        <v>1.952683E-3</v>
      </c>
      <c r="T44">
        <v>1.952683E-3</v>
      </c>
      <c r="U44">
        <v>1.952683E-3</v>
      </c>
      <c r="V44">
        <v>3.7490240000000001E-3</v>
      </c>
      <c r="W44">
        <v>3.7490240000000001E-3</v>
      </c>
      <c r="X44">
        <v>3.7490240000000001E-3</v>
      </c>
      <c r="Y44">
        <v>3.7490240000000001E-3</v>
      </c>
      <c r="Z44">
        <v>3.7490240000000001E-3</v>
      </c>
      <c r="AA44">
        <v>6.1653660000000002E-3</v>
      </c>
      <c r="AB44">
        <v>6.1653660000000002E-3</v>
      </c>
      <c r="AC44">
        <v>6.1653660000000002E-3</v>
      </c>
      <c r="AD44">
        <v>6.1653660000000002E-3</v>
      </c>
      <c r="AE44">
        <v>6.1653660000000002E-3</v>
      </c>
      <c r="AF44">
        <v>8.7904880000000008E-3</v>
      </c>
      <c r="AG44">
        <v>8.7904880000000008E-3</v>
      </c>
      <c r="AH44">
        <v>8.7904880000000008E-3</v>
      </c>
      <c r="AI44">
        <v>8.7904880000000008E-3</v>
      </c>
      <c r="AJ44">
        <v>8.7904880000000008E-3</v>
      </c>
      <c r="AK44">
        <v>1.0272195E-2</v>
      </c>
      <c r="AL44">
        <v>1.0272195E-2</v>
      </c>
      <c r="AM44">
        <v>1.0272195E-2</v>
      </c>
      <c r="AN44">
        <v>1.0272195E-2</v>
      </c>
      <c r="AO44">
        <v>1.0272195E-2</v>
      </c>
      <c r="AP44">
        <v>1.0323659000000001E-2</v>
      </c>
      <c r="AQ44">
        <v>1.0323659000000001E-2</v>
      </c>
      <c r="AR44">
        <v>1.0323659000000001E-2</v>
      </c>
      <c r="AS44">
        <v>1.0323659000000001E-2</v>
      </c>
      <c r="AT44">
        <v>1.0323659000000001E-2</v>
      </c>
      <c r="AU44">
        <v>1.0378780000000001E-2</v>
      </c>
      <c r="AV44">
        <v>1.0378780000000001E-2</v>
      </c>
      <c r="AW44">
        <v>1.0378780000000001E-2</v>
      </c>
      <c r="AX44">
        <v>1.0378780000000001E-2</v>
      </c>
      <c r="AY44">
        <v>1.0378780000000001E-2</v>
      </c>
      <c r="AZ44">
        <v>1.2075122000000001E-2</v>
      </c>
      <c r="BA44">
        <v>1.2075122000000001E-2</v>
      </c>
      <c r="BB44">
        <v>1.2075122000000001E-2</v>
      </c>
      <c r="BC44">
        <v>1.2075122000000001E-2</v>
      </c>
      <c r="BD44">
        <v>1.2075122000000001E-2</v>
      </c>
      <c r="BE44">
        <v>1.6080000000000001E-2</v>
      </c>
      <c r="BF44">
        <v>1.6080000000000001E-2</v>
      </c>
      <c r="BG44">
        <v>1.6080000000000001E-2</v>
      </c>
      <c r="BH44">
        <v>1.6080000000000001E-2</v>
      </c>
      <c r="BI44">
        <v>1.6080000000000001E-2</v>
      </c>
      <c r="BJ44">
        <v>2.1788780000000001E-2</v>
      </c>
      <c r="BK44">
        <v>2.1788780000000001E-2</v>
      </c>
      <c r="BL44">
        <v>2.1788780000000001E-2</v>
      </c>
      <c r="BM44">
        <v>2.1788780000000001E-2</v>
      </c>
      <c r="BN44">
        <v>2.1788780000000001E-2</v>
      </c>
      <c r="BO44">
        <v>3.3969024E-2</v>
      </c>
      <c r="BP44">
        <v>3.3969024E-2</v>
      </c>
      <c r="BQ44">
        <v>3.3969024E-2</v>
      </c>
      <c r="BR44">
        <v>3.3969024E-2</v>
      </c>
      <c r="BS44">
        <v>3.3969024E-2</v>
      </c>
      <c r="BT44">
        <v>5.3909024E-2</v>
      </c>
      <c r="BU44">
        <v>5.3909024E-2</v>
      </c>
      <c r="BV44">
        <v>5.3909024E-2</v>
      </c>
      <c r="BW44">
        <v>5.3909024E-2</v>
      </c>
      <c r="BX44">
        <v>5.3909024E-2</v>
      </c>
      <c r="BY44">
        <v>8.5237561000000003E-2</v>
      </c>
      <c r="BZ44">
        <v>8.5237561000000003E-2</v>
      </c>
      <c r="CA44">
        <v>8.5237561000000003E-2</v>
      </c>
      <c r="CB44">
        <v>8.5237561000000003E-2</v>
      </c>
      <c r="CC44">
        <v>8.5237561000000003E-2</v>
      </c>
      <c r="CD44">
        <v>0.13244804900000001</v>
      </c>
      <c r="CE44">
        <v>0.13244804900000001</v>
      </c>
      <c r="CF44">
        <v>0.13244804900000001</v>
      </c>
      <c r="CG44">
        <v>0.13244804900000001</v>
      </c>
      <c r="CH44">
        <v>0.13244804900000001</v>
      </c>
      <c r="CI44">
        <v>0.19970122000000001</v>
      </c>
      <c r="CJ44">
        <v>0.19970122000000001</v>
      </c>
      <c r="CK44">
        <v>0.19970122000000001</v>
      </c>
      <c r="CL44">
        <v>0.19970122000000001</v>
      </c>
      <c r="CM44">
        <v>0.19970122000000001</v>
      </c>
      <c r="CN44">
        <v>0.29157146299999998</v>
      </c>
      <c r="CO44">
        <v>0.29157146299999998</v>
      </c>
      <c r="CP44">
        <v>0.29157146299999998</v>
      </c>
      <c r="CQ44">
        <v>0.29157146299999998</v>
      </c>
      <c r="CR44">
        <v>0.29157146299999998</v>
      </c>
      <c r="CS44">
        <v>0.41195365900000003</v>
      </c>
      <c r="CT44">
        <v>0.41195365900000003</v>
      </c>
      <c r="CU44">
        <v>0.41195365900000003</v>
      </c>
      <c r="CV44">
        <v>0.41195365900000003</v>
      </c>
      <c r="CW44">
        <v>0.41195365900000003</v>
      </c>
      <c r="CX44">
        <v>1</v>
      </c>
    </row>
    <row r="45" spans="1:102" x14ac:dyDescent="0.25">
      <c r="A45" t="s">
        <v>155</v>
      </c>
      <c r="B45">
        <v>5.45E-3</v>
      </c>
      <c r="C45">
        <v>1.6000000000000001E-4</v>
      </c>
      <c r="D45">
        <v>1.6000000000000001E-4</v>
      </c>
      <c r="E45">
        <v>1.6000000000000001E-4</v>
      </c>
      <c r="F45">
        <v>1.6000000000000001E-4</v>
      </c>
      <c r="G45">
        <v>1.2E-4</v>
      </c>
      <c r="H45">
        <v>1.2E-4</v>
      </c>
      <c r="I45">
        <v>1.2E-4</v>
      </c>
      <c r="J45">
        <v>1.2E-4</v>
      </c>
      <c r="K45">
        <v>1.2E-4</v>
      </c>
      <c r="L45">
        <v>1.3999999999999999E-4</v>
      </c>
      <c r="M45">
        <v>1.3999999999999999E-4</v>
      </c>
      <c r="N45">
        <v>1.3999999999999999E-4</v>
      </c>
      <c r="O45">
        <v>1.3999999999999999E-4</v>
      </c>
      <c r="P45">
        <v>1.3999999999999999E-4</v>
      </c>
      <c r="Q45">
        <v>2.9E-4</v>
      </c>
      <c r="R45">
        <v>2.9E-4</v>
      </c>
      <c r="S45">
        <v>2.9E-4</v>
      </c>
      <c r="T45">
        <v>2.9E-4</v>
      </c>
      <c r="U45">
        <v>2.9E-4</v>
      </c>
      <c r="V45">
        <v>2.1000000000000001E-4</v>
      </c>
      <c r="W45">
        <v>2.1000000000000001E-4</v>
      </c>
      <c r="X45">
        <v>2.1000000000000001E-4</v>
      </c>
      <c r="Y45">
        <v>2.1000000000000001E-4</v>
      </c>
      <c r="Z45">
        <v>2.1000000000000001E-4</v>
      </c>
      <c r="AA45">
        <v>3.2000000000000003E-4</v>
      </c>
      <c r="AB45">
        <v>3.2000000000000003E-4</v>
      </c>
      <c r="AC45">
        <v>3.2000000000000003E-4</v>
      </c>
      <c r="AD45">
        <v>3.2000000000000003E-4</v>
      </c>
      <c r="AE45">
        <v>3.2000000000000003E-4</v>
      </c>
      <c r="AF45">
        <v>2.7999999999999998E-4</v>
      </c>
      <c r="AG45">
        <v>2.7999999999999998E-4</v>
      </c>
      <c r="AH45">
        <v>2.7999999999999998E-4</v>
      </c>
      <c r="AI45">
        <v>2.7999999999999998E-4</v>
      </c>
      <c r="AJ45">
        <v>2.7999999999999998E-4</v>
      </c>
      <c r="AK45">
        <v>6.4000000000000005E-4</v>
      </c>
      <c r="AL45">
        <v>6.4000000000000005E-4</v>
      </c>
      <c r="AM45">
        <v>6.4000000000000005E-4</v>
      </c>
      <c r="AN45">
        <v>6.4000000000000005E-4</v>
      </c>
      <c r="AO45">
        <v>6.4000000000000005E-4</v>
      </c>
      <c r="AP45">
        <v>1.08E-3</v>
      </c>
      <c r="AQ45">
        <v>1.08E-3</v>
      </c>
      <c r="AR45">
        <v>1.08E-3</v>
      </c>
      <c r="AS45">
        <v>1.08E-3</v>
      </c>
      <c r="AT45">
        <v>1.08E-3</v>
      </c>
      <c r="AU45">
        <v>1.8400000000000001E-3</v>
      </c>
      <c r="AV45">
        <v>1.8400000000000001E-3</v>
      </c>
      <c r="AW45">
        <v>1.8400000000000001E-3</v>
      </c>
      <c r="AX45">
        <v>1.8400000000000001E-3</v>
      </c>
      <c r="AY45">
        <v>1.8400000000000001E-3</v>
      </c>
      <c r="AZ45">
        <v>3.0899999999999999E-3</v>
      </c>
      <c r="BA45">
        <v>3.0899999999999999E-3</v>
      </c>
      <c r="BB45">
        <v>3.0899999999999999E-3</v>
      </c>
      <c r="BC45">
        <v>3.0899999999999999E-3</v>
      </c>
      <c r="BD45">
        <v>3.0899999999999999E-3</v>
      </c>
      <c r="BE45">
        <v>4.5300000000000002E-3</v>
      </c>
      <c r="BF45">
        <v>4.5300000000000002E-3</v>
      </c>
      <c r="BG45">
        <v>4.5300000000000002E-3</v>
      </c>
      <c r="BH45">
        <v>4.5300000000000002E-3</v>
      </c>
      <c r="BI45">
        <v>4.5300000000000002E-3</v>
      </c>
      <c r="BJ45">
        <v>7.3600000000000002E-3</v>
      </c>
      <c r="BK45">
        <v>7.3600000000000002E-3</v>
      </c>
      <c r="BL45">
        <v>7.3600000000000002E-3</v>
      </c>
      <c r="BM45">
        <v>7.3600000000000002E-3</v>
      </c>
      <c r="BN45">
        <v>7.3600000000000002E-3</v>
      </c>
      <c r="BO45">
        <v>1.3180000000000001E-2</v>
      </c>
      <c r="BP45">
        <v>1.3180000000000001E-2</v>
      </c>
      <c r="BQ45">
        <v>1.3180000000000001E-2</v>
      </c>
      <c r="BR45">
        <v>1.3180000000000001E-2</v>
      </c>
      <c r="BS45">
        <v>1.3180000000000001E-2</v>
      </c>
      <c r="BT45">
        <v>2.359E-2</v>
      </c>
      <c r="BU45">
        <v>2.359E-2</v>
      </c>
      <c r="BV45">
        <v>2.359E-2</v>
      </c>
      <c r="BW45">
        <v>2.359E-2</v>
      </c>
      <c r="BX45">
        <v>2.359E-2</v>
      </c>
      <c r="BY45">
        <v>4.6559999999999997E-2</v>
      </c>
      <c r="BZ45">
        <v>4.6559999999999997E-2</v>
      </c>
      <c r="CA45">
        <v>4.6559999999999997E-2</v>
      </c>
      <c r="CB45">
        <v>4.6559999999999997E-2</v>
      </c>
      <c r="CC45">
        <v>4.6559999999999997E-2</v>
      </c>
      <c r="CD45">
        <v>9.0730000000000005E-2</v>
      </c>
      <c r="CE45">
        <v>9.0730000000000005E-2</v>
      </c>
      <c r="CF45">
        <v>9.0730000000000005E-2</v>
      </c>
      <c r="CG45">
        <v>9.0730000000000005E-2</v>
      </c>
      <c r="CH45">
        <v>9.0730000000000005E-2</v>
      </c>
      <c r="CI45">
        <v>0.16231999999999999</v>
      </c>
      <c r="CJ45">
        <v>0.16231999999999999</v>
      </c>
      <c r="CK45">
        <v>0.16231999999999999</v>
      </c>
      <c r="CL45">
        <v>0.16231999999999999</v>
      </c>
      <c r="CM45">
        <v>0.16231999999999999</v>
      </c>
      <c r="CN45">
        <v>0.26656999999999997</v>
      </c>
      <c r="CO45">
        <v>0.26656999999999997</v>
      </c>
      <c r="CP45">
        <v>0.26656999999999997</v>
      </c>
      <c r="CQ45">
        <v>0.26656999999999997</v>
      </c>
      <c r="CR45">
        <v>0.26656999999999997</v>
      </c>
      <c r="CS45">
        <v>0.40188000000000001</v>
      </c>
      <c r="CT45">
        <v>0.40188000000000001</v>
      </c>
      <c r="CU45">
        <v>0.40188000000000001</v>
      </c>
      <c r="CV45">
        <v>0.40188000000000001</v>
      </c>
      <c r="CW45">
        <v>0.40188000000000001</v>
      </c>
      <c r="CX45">
        <v>1</v>
      </c>
    </row>
    <row r="46" spans="1:102" x14ac:dyDescent="0.25">
      <c r="A46" t="s">
        <v>157</v>
      </c>
      <c r="B46">
        <v>4.5500000000000002E-3</v>
      </c>
      <c r="C46">
        <v>3.1E-4</v>
      </c>
      <c r="D46">
        <v>3.1E-4</v>
      </c>
      <c r="E46">
        <v>3.1E-4</v>
      </c>
      <c r="F46">
        <v>3.1E-4</v>
      </c>
      <c r="G46">
        <v>1.2E-4</v>
      </c>
      <c r="H46">
        <v>1.2E-4</v>
      </c>
      <c r="I46">
        <v>1.2E-4</v>
      </c>
      <c r="J46">
        <v>1.2E-4</v>
      </c>
      <c r="K46">
        <v>1.2E-4</v>
      </c>
      <c r="L46">
        <v>1.3999999999999999E-4</v>
      </c>
      <c r="M46">
        <v>1.3999999999999999E-4</v>
      </c>
      <c r="N46">
        <v>1.3999999999999999E-4</v>
      </c>
      <c r="O46">
        <v>1.3999999999999999E-4</v>
      </c>
      <c r="P46">
        <v>1.3999999999999999E-4</v>
      </c>
      <c r="Q46">
        <v>2.7999999999999998E-4</v>
      </c>
      <c r="R46">
        <v>2.7999999999999998E-4</v>
      </c>
      <c r="S46">
        <v>2.7999999999999998E-4</v>
      </c>
      <c r="T46">
        <v>2.7999999999999998E-4</v>
      </c>
      <c r="U46">
        <v>2.7999999999999998E-4</v>
      </c>
      <c r="V46">
        <v>3.8000000000000002E-4</v>
      </c>
      <c r="W46">
        <v>3.8000000000000002E-4</v>
      </c>
      <c r="X46">
        <v>3.8000000000000002E-4</v>
      </c>
      <c r="Y46">
        <v>3.8000000000000002E-4</v>
      </c>
      <c r="Z46">
        <v>3.8000000000000002E-4</v>
      </c>
      <c r="AA46">
        <v>3.8999999999999999E-4</v>
      </c>
      <c r="AB46">
        <v>3.8999999999999999E-4</v>
      </c>
      <c r="AC46">
        <v>3.8999999999999999E-4</v>
      </c>
      <c r="AD46">
        <v>3.8999999999999999E-4</v>
      </c>
      <c r="AE46">
        <v>3.8999999999999999E-4</v>
      </c>
      <c r="AF46">
        <v>5.0000000000000001E-4</v>
      </c>
      <c r="AG46">
        <v>5.0000000000000001E-4</v>
      </c>
      <c r="AH46">
        <v>5.0000000000000001E-4</v>
      </c>
      <c r="AI46">
        <v>5.0000000000000001E-4</v>
      </c>
      <c r="AJ46">
        <v>5.0000000000000001E-4</v>
      </c>
      <c r="AK46">
        <v>8.4999999999999995E-4</v>
      </c>
      <c r="AL46">
        <v>8.4999999999999995E-4</v>
      </c>
      <c r="AM46">
        <v>8.4999999999999995E-4</v>
      </c>
      <c r="AN46">
        <v>8.4999999999999995E-4</v>
      </c>
      <c r="AO46">
        <v>8.4999999999999995E-4</v>
      </c>
      <c r="AP46">
        <v>1.2999999999999999E-3</v>
      </c>
      <c r="AQ46">
        <v>1.2999999999999999E-3</v>
      </c>
      <c r="AR46">
        <v>1.2999999999999999E-3</v>
      </c>
      <c r="AS46">
        <v>1.2999999999999999E-3</v>
      </c>
      <c r="AT46">
        <v>1.2999999999999999E-3</v>
      </c>
      <c r="AU46">
        <v>2.47E-3</v>
      </c>
      <c r="AV46">
        <v>2.47E-3</v>
      </c>
      <c r="AW46">
        <v>2.47E-3</v>
      </c>
      <c r="AX46">
        <v>2.47E-3</v>
      </c>
      <c r="AY46">
        <v>2.47E-3</v>
      </c>
      <c r="AZ46">
        <v>3.9300000000000003E-3</v>
      </c>
      <c r="BA46">
        <v>3.9300000000000003E-3</v>
      </c>
      <c r="BB46">
        <v>3.9300000000000003E-3</v>
      </c>
      <c r="BC46">
        <v>3.9300000000000003E-3</v>
      </c>
      <c r="BD46">
        <v>3.9300000000000003E-3</v>
      </c>
      <c r="BE46">
        <v>6.0499999999999998E-3</v>
      </c>
      <c r="BF46">
        <v>6.0499999999999998E-3</v>
      </c>
      <c r="BG46">
        <v>6.0499999999999998E-3</v>
      </c>
      <c r="BH46">
        <v>6.0499999999999998E-3</v>
      </c>
      <c r="BI46">
        <v>6.0499999999999998E-3</v>
      </c>
      <c r="BJ46">
        <v>9.4299999999999991E-3</v>
      </c>
      <c r="BK46">
        <v>9.4299999999999991E-3</v>
      </c>
      <c r="BL46">
        <v>9.4299999999999991E-3</v>
      </c>
      <c r="BM46">
        <v>9.4299999999999991E-3</v>
      </c>
      <c r="BN46">
        <v>9.4299999999999991E-3</v>
      </c>
      <c r="BO46">
        <v>1.383E-2</v>
      </c>
      <c r="BP46">
        <v>1.383E-2</v>
      </c>
      <c r="BQ46">
        <v>1.383E-2</v>
      </c>
      <c r="BR46">
        <v>1.383E-2</v>
      </c>
      <c r="BS46">
        <v>1.383E-2</v>
      </c>
      <c r="BT46">
        <v>2.486E-2</v>
      </c>
      <c r="BU46">
        <v>2.486E-2</v>
      </c>
      <c r="BV46">
        <v>2.486E-2</v>
      </c>
      <c r="BW46">
        <v>2.486E-2</v>
      </c>
      <c r="BX46">
        <v>2.486E-2</v>
      </c>
      <c r="BY46">
        <v>3.5770000000000003E-2</v>
      </c>
      <c r="BZ46">
        <v>3.5770000000000003E-2</v>
      </c>
      <c r="CA46">
        <v>3.5770000000000003E-2</v>
      </c>
      <c r="CB46">
        <v>3.5770000000000003E-2</v>
      </c>
      <c r="CC46">
        <v>3.5770000000000003E-2</v>
      </c>
      <c r="CD46">
        <v>7.1669999999999998E-2</v>
      </c>
      <c r="CE46">
        <v>7.1669999999999998E-2</v>
      </c>
      <c r="CF46">
        <v>7.1669999999999998E-2</v>
      </c>
      <c r="CG46">
        <v>7.1669999999999998E-2</v>
      </c>
      <c r="CH46">
        <v>7.1669999999999998E-2</v>
      </c>
      <c r="CI46">
        <v>0.13253999999999999</v>
      </c>
      <c r="CJ46">
        <v>0.13253999999999999</v>
      </c>
      <c r="CK46">
        <v>0.13253999999999999</v>
      </c>
      <c r="CL46">
        <v>0.13253999999999999</v>
      </c>
      <c r="CM46">
        <v>0.13253999999999999</v>
      </c>
      <c r="CN46">
        <v>0.22622999999999999</v>
      </c>
      <c r="CO46">
        <v>0.22622999999999999</v>
      </c>
      <c r="CP46">
        <v>0.22622999999999999</v>
      </c>
      <c r="CQ46">
        <v>0.22622999999999999</v>
      </c>
      <c r="CR46">
        <v>0.22622999999999999</v>
      </c>
      <c r="CS46">
        <v>0.35643000000000002</v>
      </c>
      <c r="CT46">
        <v>0.35643000000000002</v>
      </c>
      <c r="CU46">
        <v>0.35643000000000002</v>
      </c>
      <c r="CV46">
        <v>0.35643000000000002</v>
      </c>
      <c r="CW46">
        <v>0.35643000000000002</v>
      </c>
      <c r="CX46">
        <v>1</v>
      </c>
    </row>
    <row r="47" spans="1:102" x14ac:dyDescent="0.25">
      <c r="A47" t="s">
        <v>159</v>
      </c>
      <c r="B47">
        <v>1.8400000000000001E-3</v>
      </c>
      <c r="C47">
        <v>6.9999999999999994E-5</v>
      </c>
      <c r="D47">
        <v>6.9999999999999994E-5</v>
      </c>
      <c r="E47">
        <v>6.9999999999999994E-5</v>
      </c>
      <c r="F47">
        <v>6.9999999999999994E-5</v>
      </c>
      <c r="G47">
        <v>1E-4</v>
      </c>
      <c r="H47">
        <v>1E-4</v>
      </c>
      <c r="I47">
        <v>1E-4</v>
      </c>
      <c r="J47">
        <v>1E-4</v>
      </c>
      <c r="K47">
        <v>1E-4</v>
      </c>
      <c r="L47">
        <v>4.0000000000000003E-5</v>
      </c>
      <c r="M47">
        <v>4.0000000000000003E-5</v>
      </c>
      <c r="N47">
        <v>4.0000000000000003E-5</v>
      </c>
      <c r="O47">
        <v>4.0000000000000003E-5</v>
      </c>
      <c r="P47">
        <v>4.0000000000000003E-5</v>
      </c>
      <c r="Q47">
        <v>2.2000000000000001E-4</v>
      </c>
      <c r="R47">
        <v>2.2000000000000001E-4</v>
      </c>
      <c r="S47">
        <v>2.2000000000000001E-4</v>
      </c>
      <c r="T47">
        <v>2.2000000000000001E-4</v>
      </c>
      <c r="U47">
        <v>2.2000000000000001E-4</v>
      </c>
      <c r="V47">
        <v>9.0000000000000006E-5</v>
      </c>
      <c r="W47">
        <v>9.0000000000000006E-5</v>
      </c>
      <c r="X47">
        <v>9.0000000000000006E-5</v>
      </c>
      <c r="Y47">
        <v>9.0000000000000006E-5</v>
      </c>
      <c r="Z47">
        <v>9.0000000000000006E-5</v>
      </c>
      <c r="AA47">
        <v>2.3000000000000001E-4</v>
      </c>
      <c r="AB47">
        <v>2.3000000000000001E-4</v>
      </c>
      <c r="AC47">
        <v>2.3000000000000001E-4</v>
      </c>
      <c r="AD47">
        <v>2.3000000000000001E-4</v>
      </c>
      <c r="AE47">
        <v>2.3000000000000001E-4</v>
      </c>
      <c r="AF47">
        <v>4.0000000000000002E-4</v>
      </c>
      <c r="AG47">
        <v>4.0000000000000002E-4</v>
      </c>
      <c r="AH47">
        <v>4.0000000000000002E-4</v>
      </c>
      <c r="AI47">
        <v>4.0000000000000002E-4</v>
      </c>
      <c r="AJ47">
        <v>4.0000000000000002E-4</v>
      </c>
      <c r="AK47">
        <v>4.8999999999999998E-4</v>
      </c>
      <c r="AL47">
        <v>4.8999999999999998E-4</v>
      </c>
      <c r="AM47">
        <v>4.8999999999999998E-4</v>
      </c>
      <c r="AN47">
        <v>4.8999999999999998E-4</v>
      </c>
      <c r="AO47">
        <v>4.8999999999999998E-4</v>
      </c>
      <c r="AP47">
        <v>8.7000000000000001E-4</v>
      </c>
      <c r="AQ47">
        <v>8.7000000000000001E-4</v>
      </c>
      <c r="AR47">
        <v>8.7000000000000001E-4</v>
      </c>
      <c r="AS47">
        <v>8.7000000000000001E-4</v>
      </c>
      <c r="AT47">
        <v>8.7000000000000001E-4</v>
      </c>
      <c r="AU47">
        <v>1.15E-3</v>
      </c>
      <c r="AV47">
        <v>1.15E-3</v>
      </c>
      <c r="AW47">
        <v>1.15E-3</v>
      </c>
      <c r="AX47">
        <v>1.15E-3</v>
      </c>
      <c r="AY47">
        <v>1.15E-3</v>
      </c>
      <c r="AZ47">
        <v>1.7799999999999999E-3</v>
      </c>
      <c r="BA47">
        <v>1.7799999999999999E-3</v>
      </c>
      <c r="BB47">
        <v>1.7799999999999999E-3</v>
      </c>
      <c r="BC47">
        <v>1.7799999999999999E-3</v>
      </c>
      <c r="BD47">
        <v>1.7799999999999999E-3</v>
      </c>
      <c r="BE47">
        <v>3.1800000000000001E-3</v>
      </c>
      <c r="BF47">
        <v>3.1800000000000001E-3</v>
      </c>
      <c r="BG47">
        <v>3.1800000000000001E-3</v>
      </c>
      <c r="BH47">
        <v>3.1800000000000001E-3</v>
      </c>
      <c r="BI47">
        <v>3.1800000000000001E-3</v>
      </c>
      <c r="BJ47">
        <v>4.7800000000000004E-3</v>
      </c>
      <c r="BK47">
        <v>4.7800000000000004E-3</v>
      </c>
      <c r="BL47">
        <v>4.7800000000000004E-3</v>
      </c>
      <c r="BM47">
        <v>4.7800000000000004E-3</v>
      </c>
      <c r="BN47">
        <v>4.7800000000000004E-3</v>
      </c>
      <c r="BO47">
        <v>7.3699999999999998E-3</v>
      </c>
      <c r="BP47">
        <v>7.3699999999999998E-3</v>
      </c>
      <c r="BQ47">
        <v>7.3699999999999998E-3</v>
      </c>
      <c r="BR47">
        <v>7.3699999999999998E-3</v>
      </c>
      <c r="BS47">
        <v>7.3699999999999998E-3</v>
      </c>
      <c r="BT47">
        <v>1.452E-2</v>
      </c>
      <c r="BU47">
        <v>1.452E-2</v>
      </c>
      <c r="BV47">
        <v>1.452E-2</v>
      </c>
      <c r="BW47">
        <v>1.452E-2</v>
      </c>
      <c r="BX47">
        <v>1.452E-2</v>
      </c>
      <c r="BY47">
        <v>3.2039999999999999E-2</v>
      </c>
      <c r="BZ47">
        <v>3.2039999999999999E-2</v>
      </c>
      <c r="CA47">
        <v>3.2039999999999999E-2</v>
      </c>
      <c r="CB47">
        <v>3.2039999999999999E-2</v>
      </c>
      <c r="CC47">
        <v>3.2039999999999999E-2</v>
      </c>
      <c r="CD47">
        <v>6.5240000000000006E-2</v>
      </c>
      <c r="CE47">
        <v>6.5240000000000006E-2</v>
      </c>
      <c r="CF47">
        <v>6.5240000000000006E-2</v>
      </c>
      <c r="CG47">
        <v>6.5240000000000006E-2</v>
      </c>
      <c r="CH47">
        <v>6.5240000000000006E-2</v>
      </c>
      <c r="CI47">
        <v>0.12268999999999999</v>
      </c>
      <c r="CJ47">
        <v>0.12268999999999999</v>
      </c>
      <c r="CK47">
        <v>0.12268999999999999</v>
      </c>
      <c r="CL47">
        <v>0.12268999999999999</v>
      </c>
      <c r="CM47">
        <v>0.12268999999999999</v>
      </c>
      <c r="CN47">
        <v>0.21306</v>
      </c>
      <c r="CO47">
        <v>0.21306</v>
      </c>
      <c r="CP47">
        <v>0.21306</v>
      </c>
      <c r="CQ47">
        <v>0.21306</v>
      </c>
      <c r="CR47">
        <v>0.21306</v>
      </c>
      <c r="CS47">
        <v>0.34166999999999997</v>
      </c>
      <c r="CT47">
        <v>0.34166999999999997</v>
      </c>
      <c r="CU47">
        <v>0.34166999999999997</v>
      </c>
      <c r="CV47">
        <v>0.34166999999999997</v>
      </c>
      <c r="CW47">
        <v>0.34166999999999997</v>
      </c>
      <c r="CX47">
        <v>1</v>
      </c>
    </row>
    <row r="48" spans="1:102" x14ac:dyDescent="0.25">
      <c r="A48" t="s">
        <v>161</v>
      </c>
      <c r="B48">
        <v>2.6800000000000001E-3</v>
      </c>
      <c r="C48">
        <v>1.7000000000000001E-4</v>
      </c>
      <c r="D48">
        <v>1.7000000000000001E-4</v>
      </c>
      <c r="E48">
        <v>1.7000000000000001E-4</v>
      </c>
      <c r="F48">
        <v>1.7000000000000001E-4</v>
      </c>
      <c r="G48">
        <v>1.1E-4</v>
      </c>
      <c r="H48">
        <v>1.1E-4</v>
      </c>
      <c r="I48">
        <v>1.1E-4</v>
      </c>
      <c r="J48">
        <v>1.1E-4</v>
      </c>
      <c r="K48">
        <v>1.1E-4</v>
      </c>
      <c r="L48">
        <v>1.1E-4</v>
      </c>
      <c r="M48">
        <v>1.1E-4</v>
      </c>
      <c r="N48">
        <v>1.1E-4</v>
      </c>
      <c r="O48">
        <v>1.1E-4</v>
      </c>
      <c r="P48">
        <v>1.1E-4</v>
      </c>
      <c r="Q48">
        <v>2.0000000000000001E-4</v>
      </c>
      <c r="R48">
        <v>2.0000000000000001E-4</v>
      </c>
      <c r="S48">
        <v>2.0000000000000001E-4</v>
      </c>
      <c r="T48">
        <v>2.0000000000000001E-4</v>
      </c>
      <c r="U48">
        <v>2.0000000000000001E-4</v>
      </c>
      <c r="V48">
        <v>3.2000000000000003E-4</v>
      </c>
      <c r="W48">
        <v>3.2000000000000003E-4</v>
      </c>
      <c r="X48">
        <v>3.2000000000000003E-4</v>
      </c>
      <c r="Y48">
        <v>3.2000000000000003E-4</v>
      </c>
      <c r="Z48">
        <v>3.2000000000000003E-4</v>
      </c>
      <c r="AA48">
        <v>2.4000000000000001E-4</v>
      </c>
      <c r="AB48">
        <v>2.4000000000000001E-4</v>
      </c>
      <c r="AC48">
        <v>2.4000000000000001E-4</v>
      </c>
      <c r="AD48">
        <v>2.4000000000000001E-4</v>
      </c>
      <c r="AE48">
        <v>2.4000000000000001E-4</v>
      </c>
      <c r="AF48">
        <v>4.2999999999999999E-4</v>
      </c>
      <c r="AG48">
        <v>4.2999999999999999E-4</v>
      </c>
      <c r="AH48">
        <v>4.2999999999999999E-4</v>
      </c>
      <c r="AI48">
        <v>4.2999999999999999E-4</v>
      </c>
      <c r="AJ48">
        <v>4.2999999999999999E-4</v>
      </c>
      <c r="AK48">
        <v>6.4000000000000005E-4</v>
      </c>
      <c r="AL48">
        <v>6.4000000000000005E-4</v>
      </c>
      <c r="AM48">
        <v>6.4000000000000005E-4</v>
      </c>
      <c r="AN48">
        <v>6.4000000000000005E-4</v>
      </c>
      <c r="AO48">
        <v>6.4000000000000005E-4</v>
      </c>
      <c r="AP48">
        <v>1.1100000000000001E-3</v>
      </c>
      <c r="AQ48">
        <v>1.1100000000000001E-3</v>
      </c>
      <c r="AR48">
        <v>1.1100000000000001E-3</v>
      </c>
      <c r="AS48">
        <v>1.1100000000000001E-3</v>
      </c>
      <c r="AT48">
        <v>1.1100000000000001E-3</v>
      </c>
      <c r="AU48">
        <v>1.9E-3</v>
      </c>
      <c r="AV48">
        <v>1.9E-3</v>
      </c>
      <c r="AW48">
        <v>1.9E-3</v>
      </c>
      <c r="AX48">
        <v>1.9E-3</v>
      </c>
      <c r="AY48">
        <v>1.9E-3</v>
      </c>
      <c r="AZ48">
        <v>3.1099999999999999E-3</v>
      </c>
      <c r="BA48">
        <v>3.1099999999999999E-3</v>
      </c>
      <c r="BB48">
        <v>3.1099999999999999E-3</v>
      </c>
      <c r="BC48">
        <v>3.1099999999999999E-3</v>
      </c>
      <c r="BD48">
        <v>3.1099999999999999E-3</v>
      </c>
      <c r="BE48">
        <v>4.9800000000000001E-3</v>
      </c>
      <c r="BF48">
        <v>4.9800000000000001E-3</v>
      </c>
      <c r="BG48">
        <v>4.9800000000000001E-3</v>
      </c>
      <c r="BH48">
        <v>4.9800000000000001E-3</v>
      </c>
      <c r="BI48">
        <v>4.9800000000000001E-3</v>
      </c>
      <c r="BJ48">
        <v>7.9699999999999997E-3</v>
      </c>
      <c r="BK48">
        <v>7.9699999999999997E-3</v>
      </c>
      <c r="BL48">
        <v>7.9699999999999997E-3</v>
      </c>
      <c r="BM48">
        <v>7.9699999999999997E-3</v>
      </c>
      <c r="BN48">
        <v>7.9699999999999997E-3</v>
      </c>
      <c r="BO48">
        <v>1.274E-2</v>
      </c>
      <c r="BP48">
        <v>1.274E-2</v>
      </c>
      <c r="BQ48">
        <v>1.274E-2</v>
      </c>
      <c r="BR48">
        <v>1.274E-2</v>
      </c>
      <c r="BS48">
        <v>1.274E-2</v>
      </c>
      <c r="BT48">
        <v>2.129E-2</v>
      </c>
      <c r="BU48">
        <v>2.129E-2</v>
      </c>
      <c r="BV48">
        <v>2.129E-2</v>
      </c>
      <c r="BW48">
        <v>2.129E-2</v>
      </c>
      <c r="BX48">
        <v>2.129E-2</v>
      </c>
      <c r="BY48">
        <v>4.0710000000000003E-2</v>
      </c>
      <c r="BZ48">
        <v>4.0710000000000003E-2</v>
      </c>
      <c r="CA48">
        <v>4.0710000000000003E-2</v>
      </c>
      <c r="CB48">
        <v>4.0710000000000003E-2</v>
      </c>
      <c r="CC48">
        <v>4.0710000000000003E-2</v>
      </c>
      <c r="CD48">
        <v>7.7829999999999996E-2</v>
      </c>
      <c r="CE48">
        <v>7.7829999999999996E-2</v>
      </c>
      <c r="CF48">
        <v>7.7829999999999996E-2</v>
      </c>
      <c r="CG48">
        <v>7.7829999999999996E-2</v>
      </c>
      <c r="CH48">
        <v>7.7829999999999996E-2</v>
      </c>
      <c r="CI48">
        <v>0.13879</v>
      </c>
      <c r="CJ48">
        <v>0.13879</v>
      </c>
      <c r="CK48">
        <v>0.13879</v>
      </c>
      <c r="CL48">
        <v>0.13879</v>
      </c>
      <c r="CM48">
        <v>0.13879</v>
      </c>
      <c r="CN48">
        <v>0.23089000000000001</v>
      </c>
      <c r="CO48">
        <v>0.23089000000000001</v>
      </c>
      <c r="CP48">
        <v>0.23089000000000001</v>
      </c>
      <c r="CQ48">
        <v>0.23089000000000001</v>
      </c>
      <c r="CR48">
        <v>0.23089000000000001</v>
      </c>
      <c r="CS48">
        <v>0.35833999999999999</v>
      </c>
      <c r="CT48">
        <v>0.35833999999999999</v>
      </c>
      <c r="CU48">
        <v>0.35833999999999999</v>
      </c>
      <c r="CV48">
        <v>0.35833999999999999</v>
      </c>
      <c r="CW48">
        <v>0.35833999999999999</v>
      </c>
      <c r="CX48">
        <v>1</v>
      </c>
    </row>
    <row r="49" spans="1:102" x14ac:dyDescent="0.25">
      <c r="A49" t="s">
        <v>163</v>
      </c>
      <c r="B49">
        <v>2.8700000000000002E-3</v>
      </c>
      <c r="C49">
        <v>2.2000000000000001E-4</v>
      </c>
      <c r="D49">
        <v>2.2000000000000001E-4</v>
      </c>
      <c r="E49">
        <v>2.2000000000000001E-4</v>
      </c>
      <c r="F49">
        <v>2.2000000000000001E-4</v>
      </c>
      <c r="G49">
        <v>9.0000000000000006E-5</v>
      </c>
      <c r="H49">
        <v>9.0000000000000006E-5</v>
      </c>
      <c r="I49">
        <v>9.0000000000000006E-5</v>
      </c>
      <c r="J49">
        <v>9.0000000000000006E-5</v>
      </c>
      <c r="K49">
        <v>9.0000000000000006E-5</v>
      </c>
      <c r="L49">
        <v>6.9999999999999994E-5</v>
      </c>
      <c r="M49">
        <v>6.9999999999999994E-5</v>
      </c>
      <c r="N49">
        <v>6.9999999999999994E-5</v>
      </c>
      <c r="O49">
        <v>6.9999999999999994E-5</v>
      </c>
      <c r="P49">
        <v>6.9999999999999994E-5</v>
      </c>
      <c r="Q49">
        <v>2.0000000000000001E-4</v>
      </c>
      <c r="R49">
        <v>2.0000000000000001E-4</v>
      </c>
      <c r="S49">
        <v>2.0000000000000001E-4</v>
      </c>
      <c r="T49">
        <v>2.0000000000000001E-4</v>
      </c>
      <c r="U49">
        <v>2.0000000000000001E-4</v>
      </c>
      <c r="V49">
        <v>2.2000000000000001E-4</v>
      </c>
      <c r="W49">
        <v>2.2000000000000001E-4</v>
      </c>
      <c r="X49">
        <v>2.2000000000000001E-4</v>
      </c>
      <c r="Y49">
        <v>2.2000000000000001E-4</v>
      </c>
      <c r="Z49">
        <v>2.2000000000000001E-4</v>
      </c>
      <c r="AA49">
        <v>3.3E-4</v>
      </c>
      <c r="AB49">
        <v>3.3E-4</v>
      </c>
      <c r="AC49">
        <v>3.3E-4</v>
      </c>
      <c r="AD49">
        <v>3.3E-4</v>
      </c>
      <c r="AE49">
        <v>3.3E-4</v>
      </c>
      <c r="AF49">
        <v>4.0000000000000002E-4</v>
      </c>
      <c r="AG49">
        <v>4.0000000000000002E-4</v>
      </c>
      <c r="AH49">
        <v>4.0000000000000002E-4</v>
      </c>
      <c r="AI49">
        <v>4.0000000000000002E-4</v>
      </c>
      <c r="AJ49">
        <v>4.0000000000000002E-4</v>
      </c>
      <c r="AK49">
        <v>5.9999999999999995E-4</v>
      </c>
      <c r="AL49">
        <v>5.9999999999999995E-4</v>
      </c>
      <c r="AM49">
        <v>5.9999999999999995E-4</v>
      </c>
      <c r="AN49">
        <v>5.9999999999999995E-4</v>
      </c>
      <c r="AO49">
        <v>5.9999999999999995E-4</v>
      </c>
      <c r="AP49">
        <v>1.0399999999999999E-3</v>
      </c>
      <c r="AQ49">
        <v>1.0399999999999999E-3</v>
      </c>
      <c r="AR49">
        <v>1.0399999999999999E-3</v>
      </c>
      <c r="AS49">
        <v>1.0399999999999999E-3</v>
      </c>
      <c r="AT49">
        <v>1.0399999999999999E-3</v>
      </c>
      <c r="AU49">
        <v>1.97E-3</v>
      </c>
      <c r="AV49">
        <v>1.97E-3</v>
      </c>
      <c r="AW49">
        <v>1.97E-3</v>
      </c>
      <c r="AX49">
        <v>1.97E-3</v>
      </c>
      <c r="AY49">
        <v>1.97E-3</v>
      </c>
      <c r="AZ49">
        <v>3.3400000000000001E-3</v>
      </c>
      <c r="BA49">
        <v>3.3400000000000001E-3</v>
      </c>
      <c r="BB49">
        <v>3.3400000000000001E-3</v>
      </c>
      <c r="BC49">
        <v>3.3400000000000001E-3</v>
      </c>
      <c r="BD49">
        <v>3.3400000000000001E-3</v>
      </c>
      <c r="BE49">
        <v>5.3200000000000001E-3</v>
      </c>
      <c r="BF49">
        <v>5.3200000000000001E-3</v>
      </c>
      <c r="BG49">
        <v>5.3200000000000001E-3</v>
      </c>
      <c r="BH49">
        <v>5.3200000000000001E-3</v>
      </c>
      <c r="BI49">
        <v>5.3200000000000001E-3</v>
      </c>
      <c r="BJ49">
        <v>8.0700000000000008E-3</v>
      </c>
      <c r="BK49">
        <v>8.0700000000000008E-3</v>
      </c>
      <c r="BL49">
        <v>8.0700000000000008E-3</v>
      </c>
      <c r="BM49">
        <v>8.0700000000000008E-3</v>
      </c>
      <c r="BN49">
        <v>8.0700000000000008E-3</v>
      </c>
      <c r="BO49">
        <v>1.2840000000000001E-2</v>
      </c>
      <c r="BP49">
        <v>1.2840000000000001E-2</v>
      </c>
      <c r="BQ49">
        <v>1.2840000000000001E-2</v>
      </c>
      <c r="BR49">
        <v>1.2840000000000001E-2</v>
      </c>
      <c r="BS49">
        <v>1.2840000000000001E-2</v>
      </c>
      <c r="BT49">
        <v>2.0590000000000001E-2</v>
      </c>
      <c r="BU49">
        <v>2.0590000000000001E-2</v>
      </c>
      <c r="BV49">
        <v>2.0590000000000001E-2</v>
      </c>
      <c r="BW49">
        <v>2.0590000000000001E-2</v>
      </c>
      <c r="BX49">
        <v>2.0590000000000001E-2</v>
      </c>
      <c r="BY49">
        <v>3.8289999999999998E-2</v>
      </c>
      <c r="BZ49">
        <v>3.8289999999999998E-2</v>
      </c>
      <c r="CA49">
        <v>3.8289999999999998E-2</v>
      </c>
      <c r="CB49">
        <v>3.8289999999999998E-2</v>
      </c>
      <c r="CC49">
        <v>3.8289999999999998E-2</v>
      </c>
      <c r="CD49">
        <v>6.3630000000000006E-2</v>
      </c>
      <c r="CE49">
        <v>6.3630000000000006E-2</v>
      </c>
      <c r="CF49">
        <v>6.3630000000000006E-2</v>
      </c>
      <c r="CG49">
        <v>6.3630000000000006E-2</v>
      </c>
      <c r="CH49">
        <v>6.3630000000000006E-2</v>
      </c>
      <c r="CI49">
        <v>0.10475</v>
      </c>
      <c r="CJ49">
        <v>0.10475</v>
      </c>
      <c r="CK49">
        <v>0.10475</v>
      </c>
      <c r="CL49">
        <v>0.10475</v>
      </c>
      <c r="CM49">
        <v>0.10475</v>
      </c>
      <c r="CN49">
        <v>0.17076</v>
      </c>
      <c r="CO49">
        <v>0.17076</v>
      </c>
      <c r="CP49">
        <v>0.17076</v>
      </c>
      <c r="CQ49">
        <v>0.17076</v>
      </c>
      <c r="CR49">
        <v>0.17076</v>
      </c>
      <c r="CS49">
        <v>0.27571000000000001</v>
      </c>
      <c r="CT49">
        <v>0.27571000000000001</v>
      </c>
      <c r="CU49">
        <v>0.27571000000000001</v>
      </c>
      <c r="CV49">
        <v>0.27571000000000001</v>
      </c>
      <c r="CW49">
        <v>0.27571000000000001</v>
      </c>
      <c r="CX49">
        <v>1</v>
      </c>
    </row>
    <row r="50" spans="1:102" x14ac:dyDescent="0.25">
      <c r="A50" t="s">
        <v>165</v>
      </c>
      <c r="B50">
        <v>6.7799999999999999E-2</v>
      </c>
      <c r="C50">
        <v>4.7400000000000003E-3</v>
      </c>
      <c r="D50">
        <v>4.7400000000000003E-3</v>
      </c>
      <c r="E50">
        <v>4.7400000000000003E-3</v>
      </c>
      <c r="F50">
        <v>4.7400000000000003E-3</v>
      </c>
      <c r="G50">
        <v>1.66E-3</v>
      </c>
      <c r="H50">
        <v>1.66E-3</v>
      </c>
      <c r="I50">
        <v>1.66E-3</v>
      </c>
      <c r="J50">
        <v>1.66E-3</v>
      </c>
      <c r="K50">
        <v>1.66E-3</v>
      </c>
      <c r="L50">
        <v>1.16E-3</v>
      </c>
      <c r="M50">
        <v>1.16E-3</v>
      </c>
      <c r="N50">
        <v>1.16E-3</v>
      </c>
      <c r="O50">
        <v>1.16E-3</v>
      </c>
      <c r="P50">
        <v>1.16E-3</v>
      </c>
      <c r="Q50">
        <v>1.5399999999999999E-3</v>
      </c>
      <c r="R50">
        <v>1.5399999999999999E-3</v>
      </c>
      <c r="S50">
        <v>1.5399999999999999E-3</v>
      </c>
      <c r="T50">
        <v>1.5399999999999999E-3</v>
      </c>
      <c r="U50">
        <v>1.5399999999999999E-3</v>
      </c>
      <c r="V50">
        <v>2.7899999999999999E-3</v>
      </c>
      <c r="W50">
        <v>2.7899999999999999E-3</v>
      </c>
      <c r="X50">
        <v>2.7899999999999999E-3</v>
      </c>
      <c r="Y50">
        <v>2.7899999999999999E-3</v>
      </c>
      <c r="Z50">
        <v>2.7899999999999999E-3</v>
      </c>
      <c r="AA50">
        <v>4.6100000000000004E-3</v>
      </c>
      <c r="AB50">
        <v>4.6100000000000004E-3</v>
      </c>
      <c r="AC50">
        <v>4.6100000000000004E-3</v>
      </c>
      <c r="AD50">
        <v>4.6100000000000004E-3</v>
      </c>
      <c r="AE50">
        <v>4.6100000000000004E-3</v>
      </c>
      <c r="AF50">
        <v>6.4000000000000003E-3</v>
      </c>
      <c r="AG50">
        <v>6.4000000000000003E-3</v>
      </c>
      <c r="AH50">
        <v>6.4000000000000003E-3</v>
      </c>
      <c r="AI50">
        <v>6.4000000000000003E-3</v>
      </c>
      <c r="AJ50">
        <v>6.4000000000000003E-3</v>
      </c>
      <c r="AK50">
        <v>7.11E-3</v>
      </c>
      <c r="AL50">
        <v>7.11E-3</v>
      </c>
      <c r="AM50">
        <v>7.11E-3</v>
      </c>
      <c r="AN50">
        <v>7.11E-3</v>
      </c>
      <c r="AO50">
        <v>7.11E-3</v>
      </c>
      <c r="AP50">
        <v>7.4099999999999999E-3</v>
      </c>
      <c r="AQ50">
        <v>7.4099999999999999E-3</v>
      </c>
      <c r="AR50">
        <v>7.4099999999999999E-3</v>
      </c>
      <c r="AS50">
        <v>7.4099999999999999E-3</v>
      </c>
      <c r="AT50">
        <v>7.4099999999999999E-3</v>
      </c>
      <c r="AU50">
        <v>8.3099999999999997E-3</v>
      </c>
      <c r="AV50">
        <v>8.3099999999999997E-3</v>
      </c>
      <c r="AW50">
        <v>8.3099999999999997E-3</v>
      </c>
      <c r="AX50">
        <v>8.3099999999999997E-3</v>
      </c>
      <c r="AY50">
        <v>8.3099999999999997E-3</v>
      </c>
      <c r="AZ50">
        <v>1.048E-2</v>
      </c>
      <c r="BA50">
        <v>1.048E-2</v>
      </c>
      <c r="BB50">
        <v>1.048E-2</v>
      </c>
      <c r="BC50">
        <v>1.048E-2</v>
      </c>
      <c r="BD50">
        <v>1.048E-2</v>
      </c>
      <c r="BE50">
        <v>1.4500000000000001E-2</v>
      </c>
      <c r="BF50">
        <v>1.4500000000000001E-2</v>
      </c>
      <c r="BG50">
        <v>1.4500000000000001E-2</v>
      </c>
      <c r="BH50">
        <v>1.4500000000000001E-2</v>
      </c>
      <c r="BI50">
        <v>1.4500000000000001E-2</v>
      </c>
      <c r="BJ50">
        <v>2.0400000000000001E-2</v>
      </c>
      <c r="BK50">
        <v>2.0400000000000001E-2</v>
      </c>
      <c r="BL50">
        <v>2.0400000000000001E-2</v>
      </c>
      <c r="BM50">
        <v>2.0400000000000001E-2</v>
      </c>
      <c r="BN50">
        <v>2.0400000000000001E-2</v>
      </c>
      <c r="BO50">
        <v>3.2289999999999999E-2</v>
      </c>
      <c r="BP50">
        <v>3.2289999999999999E-2</v>
      </c>
      <c r="BQ50">
        <v>3.2289999999999999E-2</v>
      </c>
      <c r="BR50">
        <v>3.2289999999999999E-2</v>
      </c>
      <c r="BS50">
        <v>3.2289999999999999E-2</v>
      </c>
      <c r="BT50">
        <v>5.2740000000000002E-2</v>
      </c>
      <c r="BU50">
        <v>5.2740000000000002E-2</v>
      </c>
      <c r="BV50">
        <v>5.2740000000000002E-2</v>
      </c>
      <c r="BW50">
        <v>5.2740000000000002E-2</v>
      </c>
      <c r="BX50">
        <v>5.2740000000000002E-2</v>
      </c>
      <c r="BY50">
        <v>8.5190000000000002E-2</v>
      </c>
      <c r="BZ50">
        <v>8.5190000000000002E-2</v>
      </c>
      <c r="CA50">
        <v>8.5190000000000002E-2</v>
      </c>
      <c r="CB50">
        <v>8.5190000000000002E-2</v>
      </c>
      <c r="CC50">
        <v>8.5190000000000002E-2</v>
      </c>
      <c r="CD50">
        <v>0.13421</v>
      </c>
      <c r="CE50">
        <v>0.13421</v>
      </c>
      <c r="CF50">
        <v>0.13421</v>
      </c>
      <c r="CG50">
        <v>0.13421</v>
      </c>
      <c r="CH50">
        <v>0.13421</v>
      </c>
      <c r="CI50">
        <v>0.20374999999999999</v>
      </c>
      <c r="CJ50">
        <v>0.20374999999999999</v>
      </c>
      <c r="CK50">
        <v>0.20374999999999999</v>
      </c>
      <c r="CL50">
        <v>0.20374999999999999</v>
      </c>
      <c r="CM50">
        <v>0.20374999999999999</v>
      </c>
      <c r="CN50">
        <v>0.29804999999999998</v>
      </c>
      <c r="CO50">
        <v>0.29804999999999998</v>
      </c>
      <c r="CP50">
        <v>0.29804999999999998</v>
      </c>
      <c r="CQ50">
        <v>0.29804999999999998</v>
      </c>
      <c r="CR50">
        <v>0.29804999999999998</v>
      </c>
      <c r="CS50">
        <v>0.41996</v>
      </c>
      <c r="CT50">
        <v>0.41996</v>
      </c>
      <c r="CU50">
        <v>0.41996</v>
      </c>
      <c r="CV50">
        <v>0.41996</v>
      </c>
      <c r="CW50">
        <v>0.41996</v>
      </c>
      <c r="CX50">
        <v>1</v>
      </c>
    </row>
    <row r="51" spans="1:102" x14ac:dyDescent="0.25">
      <c r="A51" t="s">
        <v>167</v>
      </c>
      <c r="B51">
        <v>7.7299999999999999E-3</v>
      </c>
      <c r="C51">
        <v>3.5E-4</v>
      </c>
      <c r="D51">
        <v>3.5E-4</v>
      </c>
      <c r="E51">
        <v>3.5E-4</v>
      </c>
      <c r="F51">
        <v>3.5E-4</v>
      </c>
      <c r="G51">
        <v>1.1E-4</v>
      </c>
      <c r="H51">
        <v>1.1E-4</v>
      </c>
      <c r="I51">
        <v>1.1E-4</v>
      </c>
      <c r="J51">
        <v>1.1E-4</v>
      </c>
      <c r="K51">
        <v>1.1E-4</v>
      </c>
      <c r="L51">
        <v>1.4999999999999999E-4</v>
      </c>
      <c r="M51">
        <v>1.4999999999999999E-4</v>
      </c>
      <c r="N51">
        <v>1.4999999999999999E-4</v>
      </c>
      <c r="O51">
        <v>1.4999999999999999E-4</v>
      </c>
      <c r="P51">
        <v>1.4999999999999999E-4</v>
      </c>
      <c r="Q51">
        <v>1.2999999999999999E-4</v>
      </c>
      <c r="R51">
        <v>1.2999999999999999E-4</v>
      </c>
      <c r="S51">
        <v>1.2999999999999999E-4</v>
      </c>
      <c r="T51">
        <v>1.2999999999999999E-4</v>
      </c>
      <c r="U51">
        <v>1.2999999999999999E-4</v>
      </c>
      <c r="V51">
        <v>7.3999999999999999E-4</v>
      </c>
      <c r="W51">
        <v>7.3999999999999999E-4</v>
      </c>
      <c r="X51">
        <v>7.3999999999999999E-4</v>
      </c>
      <c r="Y51">
        <v>7.3999999999999999E-4</v>
      </c>
      <c r="Z51">
        <v>7.3999999999999999E-4</v>
      </c>
      <c r="AA51">
        <v>5.6999999999999998E-4</v>
      </c>
      <c r="AB51">
        <v>5.6999999999999998E-4</v>
      </c>
      <c r="AC51">
        <v>5.6999999999999998E-4</v>
      </c>
      <c r="AD51">
        <v>5.6999999999999998E-4</v>
      </c>
      <c r="AE51">
        <v>5.6999999999999998E-4</v>
      </c>
      <c r="AF51">
        <v>7.2000000000000005E-4</v>
      </c>
      <c r="AG51">
        <v>7.2000000000000005E-4</v>
      </c>
      <c r="AH51">
        <v>7.2000000000000005E-4</v>
      </c>
      <c r="AI51">
        <v>7.2000000000000005E-4</v>
      </c>
      <c r="AJ51">
        <v>7.2000000000000005E-4</v>
      </c>
      <c r="AK51">
        <v>1.6800000000000001E-3</v>
      </c>
      <c r="AL51">
        <v>1.6800000000000001E-3</v>
      </c>
      <c r="AM51">
        <v>1.6800000000000001E-3</v>
      </c>
      <c r="AN51">
        <v>1.6800000000000001E-3</v>
      </c>
      <c r="AO51">
        <v>1.6800000000000001E-3</v>
      </c>
      <c r="AP51">
        <v>2.4099999999999998E-3</v>
      </c>
      <c r="AQ51">
        <v>2.4099999999999998E-3</v>
      </c>
      <c r="AR51">
        <v>2.4099999999999998E-3</v>
      </c>
      <c r="AS51">
        <v>2.4099999999999998E-3</v>
      </c>
      <c r="AT51">
        <v>2.4099999999999998E-3</v>
      </c>
      <c r="AU51">
        <v>4.3E-3</v>
      </c>
      <c r="AV51">
        <v>4.3E-3</v>
      </c>
      <c r="AW51">
        <v>4.3E-3</v>
      </c>
      <c r="AX51">
        <v>4.3E-3</v>
      </c>
      <c r="AY51">
        <v>4.3E-3</v>
      </c>
      <c r="AZ51">
        <v>4.5999999999999999E-3</v>
      </c>
      <c r="BA51">
        <v>4.5999999999999999E-3</v>
      </c>
      <c r="BB51">
        <v>4.5999999999999999E-3</v>
      </c>
      <c r="BC51">
        <v>4.5999999999999999E-3</v>
      </c>
      <c r="BD51">
        <v>4.5999999999999999E-3</v>
      </c>
      <c r="BE51">
        <v>6.5399999999999998E-3</v>
      </c>
      <c r="BF51">
        <v>6.5399999999999998E-3</v>
      </c>
      <c r="BG51">
        <v>6.5399999999999998E-3</v>
      </c>
      <c r="BH51">
        <v>6.5399999999999998E-3</v>
      </c>
      <c r="BI51">
        <v>6.5399999999999998E-3</v>
      </c>
      <c r="BJ51">
        <v>8.8699999999999994E-3</v>
      </c>
      <c r="BK51">
        <v>8.8699999999999994E-3</v>
      </c>
      <c r="BL51">
        <v>8.8699999999999994E-3</v>
      </c>
      <c r="BM51">
        <v>8.8699999999999994E-3</v>
      </c>
      <c r="BN51">
        <v>8.8699999999999994E-3</v>
      </c>
      <c r="BO51">
        <v>1.6480000000000002E-2</v>
      </c>
      <c r="BP51">
        <v>1.6480000000000002E-2</v>
      </c>
      <c r="BQ51">
        <v>1.6480000000000002E-2</v>
      </c>
      <c r="BR51">
        <v>1.6480000000000002E-2</v>
      </c>
      <c r="BS51">
        <v>1.6480000000000002E-2</v>
      </c>
      <c r="BT51">
        <v>3.7409999999999999E-2</v>
      </c>
      <c r="BU51">
        <v>3.7409999999999999E-2</v>
      </c>
      <c r="BV51">
        <v>3.7409999999999999E-2</v>
      </c>
      <c r="BW51">
        <v>3.7409999999999999E-2</v>
      </c>
      <c r="BX51">
        <v>3.7409999999999999E-2</v>
      </c>
      <c r="BY51">
        <v>5.8939999999999999E-2</v>
      </c>
      <c r="BZ51">
        <v>5.8939999999999999E-2</v>
      </c>
      <c r="CA51">
        <v>5.8939999999999999E-2</v>
      </c>
      <c r="CB51">
        <v>5.8939999999999999E-2</v>
      </c>
      <c r="CC51">
        <v>5.8939999999999999E-2</v>
      </c>
      <c r="CD51">
        <v>9.6839999999999996E-2</v>
      </c>
      <c r="CE51">
        <v>9.6839999999999996E-2</v>
      </c>
      <c r="CF51">
        <v>9.6839999999999996E-2</v>
      </c>
      <c r="CG51">
        <v>9.6839999999999996E-2</v>
      </c>
      <c r="CH51">
        <v>9.6839999999999996E-2</v>
      </c>
      <c r="CI51">
        <v>0.15412999999999999</v>
      </c>
      <c r="CJ51">
        <v>0.15412999999999999</v>
      </c>
      <c r="CK51">
        <v>0.15412999999999999</v>
      </c>
      <c r="CL51">
        <v>0.15412999999999999</v>
      </c>
      <c r="CM51">
        <v>0.15412999999999999</v>
      </c>
      <c r="CN51">
        <v>0.23762</v>
      </c>
      <c r="CO51">
        <v>0.23762</v>
      </c>
      <c r="CP51">
        <v>0.23762</v>
      </c>
      <c r="CQ51">
        <v>0.23762</v>
      </c>
      <c r="CR51">
        <v>0.23762</v>
      </c>
      <c r="CS51">
        <v>0.35482000000000002</v>
      </c>
      <c r="CT51">
        <v>0.35482000000000002</v>
      </c>
      <c r="CU51">
        <v>0.35482000000000002</v>
      </c>
      <c r="CV51">
        <v>0.35482000000000002</v>
      </c>
      <c r="CW51">
        <v>0.35482000000000002</v>
      </c>
      <c r="CX51">
        <v>1</v>
      </c>
    </row>
    <row r="52" spans="1:102" x14ac:dyDescent="0.25">
      <c r="A52" t="s">
        <v>169</v>
      </c>
      <c r="B52">
        <v>2.554E-2</v>
      </c>
      <c r="C52">
        <v>1.1100000000000001E-3</v>
      </c>
      <c r="D52">
        <v>1.1100000000000001E-3</v>
      </c>
      <c r="E52">
        <v>1.1100000000000001E-3</v>
      </c>
      <c r="F52">
        <v>1.1100000000000001E-3</v>
      </c>
      <c r="G52">
        <v>2.9999999999999997E-4</v>
      </c>
      <c r="H52">
        <v>2.9999999999999997E-4</v>
      </c>
      <c r="I52">
        <v>2.9999999999999997E-4</v>
      </c>
      <c r="J52">
        <v>2.9999999999999997E-4</v>
      </c>
      <c r="K52">
        <v>2.9999999999999997E-4</v>
      </c>
      <c r="L52">
        <v>3.3E-4</v>
      </c>
      <c r="M52">
        <v>3.3E-4</v>
      </c>
      <c r="N52">
        <v>3.3E-4</v>
      </c>
      <c r="O52">
        <v>3.3E-4</v>
      </c>
      <c r="P52">
        <v>3.3E-4</v>
      </c>
      <c r="Q52">
        <v>6.8000000000000005E-4</v>
      </c>
      <c r="R52">
        <v>6.8000000000000005E-4</v>
      </c>
      <c r="S52">
        <v>6.8000000000000005E-4</v>
      </c>
      <c r="T52">
        <v>6.8000000000000005E-4</v>
      </c>
      <c r="U52">
        <v>6.8000000000000005E-4</v>
      </c>
      <c r="V52">
        <v>1.0399999999999999E-3</v>
      </c>
      <c r="W52">
        <v>1.0399999999999999E-3</v>
      </c>
      <c r="X52">
        <v>1.0399999999999999E-3</v>
      </c>
      <c r="Y52">
        <v>1.0399999999999999E-3</v>
      </c>
      <c r="Z52">
        <v>1.0399999999999999E-3</v>
      </c>
      <c r="AA52">
        <v>1.66E-3</v>
      </c>
      <c r="AB52">
        <v>1.66E-3</v>
      </c>
      <c r="AC52">
        <v>1.66E-3</v>
      </c>
      <c r="AD52">
        <v>1.66E-3</v>
      </c>
      <c r="AE52">
        <v>1.66E-3</v>
      </c>
      <c r="AF52">
        <v>1.83E-3</v>
      </c>
      <c r="AG52">
        <v>1.83E-3</v>
      </c>
      <c r="AH52">
        <v>1.83E-3</v>
      </c>
      <c r="AI52">
        <v>1.83E-3</v>
      </c>
      <c r="AJ52">
        <v>1.83E-3</v>
      </c>
      <c r="AK52">
        <v>2.6800000000000001E-3</v>
      </c>
      <c r="AL52">
        <v>2.6800000000000001E-3</v>
      </c>
      <c r="AM52">
        <v>2.6800000000000001E-3</v>
      </c>
      <c r="AN52">
        <v>2.6800000000000001E-3</v>
      </c>
      <c r="AO52">
        <v>2.6800000000000001E-3</v>
      </c>
      <c r="AP52">
        <v>3.3500000000000001E-3</v>
      </c>
      <c r="AQ52">
        <v>3.3500000000000001E-3</v>
      </c>
      <c r="AR52">
        <v>3.3500000000000001E-3</v>
      </c>
      <c r="AS52">
        <v>3.3500000000000001E-3</v>
      </c>
      <c r="AT52">
        <v>3.3500000000000001E-3</v>
      </c>
      <c r="AU52">
        <v>4.6299999999999996E-3</v>
      </c>
      <c r="AV52">
        <v>4.6299999999999996E-3</v>
      </c>
      <c r="AW52">
        <v>4.6299999999999996E-3</v>
      </c>
      <c r="AX52">
        <v>4.6299999999999996E-3</v>
      </c>
      <c r="AY52">
        <v>4.6299999999999996E-3</v>
      </c>
      <c r="AZ52">
        <v>6.62E-3</v>
      </c>
      <c r="BA52">
        <v>6.62E-3</v>
      </c>
      <c r="BB52">
        <v>6.62E-3</v>
      </c>
      <c r="BC52">
        <v>6.62E-3</v>
      </c>
      <c r="BD52">
        <v>6.62E-3</v>
      </c>
      <c r="BE52">
        <v>9.7199999999999995E-3</v>
      </c>
      <c r="BF52">
        <v>9.7199999999999995E-3</v>
      </c>
      <c r="BG52">
        <v>9.7199999999999995E-3</v>
      </c>
      <c r="BH52">
        <v>9.7199999999999995E-3</v>
      </c>
      <c r="BI52">
        <v>9.7199999999999995E-3</v>
      </c>
      <c r="BJ52">
        <v>1.602E-2</v>
      </c>
      <c r="BK52">
        <v>1.602E-2</v>
      </c>
      <c r="BL52">
        <v>1.602E-2</v>
      </c>
      <c r="BM52">
        <v>1.602E-2</v>
      </c>
      <c r="BN52">
        <v>1.602E-2</v>
      </c>
      <c r="BO52">
        <v>2.2290000000000001E-2</v>
      </c>
      <c r="BP52">
        <v>2.2290000000000001E-2</v>
      </c>
      <c r="BQ52">
        <v>2.2290000000000001E-2</v>
      </c>
      <c r="BR52">
        <v>2.2290000000000001E-2</v>
      </c>
      <c r="BS52">
        <v>2.2290000000000001E-2</v>
      </c>
      <c r="BT52">
        <v>3.891E-2</v>
      </c>
      <c r="BU52">
        <v>3.891E-2</v>
      </c>
      <c r="BV52">
        <v>3.891E-2</v>
      </c>
      <c r="BW52">
        <v>3.891E-2</v>
      </c>
      <c r="BX52">
        <v>3.891E-2</v>
      </c>
      <c r="BY52">
        <v>5.1049999999999998E-2</v>
      </c>
      <c r="BZ52">
        <v>5.1049999999999998E-2</v>
      </c>
      <c r="CA52">
        <v>5.1049999999999998E-2</v>
      </c>
      <c r="CB52">
        <v>5.1049999999999998E-2</v>
      </c>
      <c r="CC52">
        <v>5.1049999999999998E-2</v>
      </c>
      <c r="CD52">
        <v>9.4509999999999997E-2</v>
      </c>
      <c r="CE52">
        <v>9.4509999999999997E-2</v>
      </c>
      <c r="CF52">
        <v>9.4509999999999997E-2</v>
      </c>
      <c r="CG52">
        <v>9.4509999999999997E-2</v>
      </c>
      <c r="CH52">
        <v>9.4509999999999997E-2</v>
      </c>
      <c r="CI52">
        <v>0.16300000000000001</v>
      </c>
      <c r="CJ52">
        <v>0.16300000000000001</v>
      </c>
      <c r="CK52">
        <v>0.16300000000000001</v>
      </c>
      <c r="CL52">
        <v>0.16300000000000001</v>
      </c>
      <c r="CM52">
        <v>0.16300000000000001</v>
      </c>
      <c r="CN52">
        <v>0.26193</v>
      </c>
      <c r="CO52">
        <v>0.26193</v>
      </c>
      <c r="CP52">
        <v>0.26193</v>
      </c>
      <c r="CQ52">
        <v>0.26193</v>
      </c>
      <c r="CR52">
        <v>0.26193</v>
      </c>
      <c r="CS52">
        <v>0.39217000000000002</v>
      </c>
      <c r="CT52">
        <v>0.39217000000000002</v>
      </c>
      <c r="CU52">
        <v>0.39217000000000002</v>
      </c>
      <c r="CV52">
        <v>0.39217000000000002</v>
      </c>
      <c r="CW52">
        <v>0.39217000000000002</v>
      </c>
      <c r="CX52">
        <v>1</v>
      </c>
    </row>
    <row r="53" spans="1:102" x14ac:dyDescent="0.25">
      <c r="A53" t="s">
        <v>171</v>
      </c>
      <c r="B53">
        <v>1.7489999999999999E-2</v>
      </c>
      <c r="C53">
        <v>1.2099999999999999E-3</v>
      </c>
      <c r="D53">
        <v>1.2099999999999999E-3</v>
      </c>
      <c r="E53">
        <v>1.2099999999999999E-3</v>
      </c>
      <c r="F53">
        <v>1.2099999999999999E-3</v>
      </c>
      <c r="G53">
        <v>5.0000000000000001E-4</v>
      </c>
      <c r="H53">
        <v>5.0000000000000001E-4</v>
      </c>
      <c r="I53">
        <v>5.0000000000000001E-4</v>
      </c>
      <c r="J53">
        <v>5.0000000000000001E-4</v>
      </c>
      <c r="K53">
        <v>5.0000000000000001E-4</v>
      </c>
      <c r="L53">
        <v>4.4000000000000002E-4</v>
      </c>
      <c r="M53">
        <v>4.4000000000000002E-4</v>
      </c>
      <c r="N53">
        <v>4.4000000000000002E-4</v>
      </c>
      <c r="O53">
        <v>4.4000000000000002E-4</v>
      </c>
      <c r="P53">
        <v>4.4000000000000002E-4</v>
      </c>
      <c r="Q53">
        <v>6.8000000000000005E-4</v>
      </c>
      <c r="R53">
        <v>6.8000000000000005E-4</v>
      </c>
      <c r="S53">
        <v>6.8000000000000005E-4</v>
      </c>
      <c r="T53">
        <v>6.8000000000000005E-4</v>
      </c>
      <c r="U53">
        <v>6.8000000000000005E-4</v>
      </c>
      <c r="V53">
        <v>9.3999999999999997E-4</v>
      </c>
      <c r="W53">
        <v>9.3999999999999997E-4</v>
      </c>
      <c r="X53">
        <v>9.3999999999999997E-4</v>
      </c>
      <c r="Y53">
        <v>9.3999999999999997E-4</v>
      </c>
      <c r="Z53">
        <v>9.3999999999999997E-4</v>
      </c>
      <c r="AA53">
        <v>1.08E-3</v>
      </c>
      <c r="AB53">
        <v>1.08E-3</v>
      </c>
      <c r="AC53">
        <v>1.08E-3</v>
      </c>
      <c r="AD53">
        <v>1.08E-3</v>
      </c>
      <c r="AE53">
        <v>1.08E-3</v>
      </c>
      <c r="AF53">
        <v>1.15E-3</v>
      </c>
      <c r="AG53">
        <v>1.15E-3</v>
      </c>
      <c r="AH53">
        <v>1.15E-3</v>
      </c>
      <c r="AI53">
        <v>1.15E-3</v>
      </c>
      <c r="AJ53">
        <v>1.15E-3</v>
      </c>
      <c r="AK53">
        <v>1.4599999999999999E-3</v>
      </c>
      <c r="AL53">
        <v>1.4599999999999999E-3</v>
      </c>
      <c r="AM53">
        <v>1.4599999999999999E-3</v>
      </c>
      <c r="AN53">
        <v>1.4599999999999999E-3</v>
      </c>
      <c r="AO53">
        <v>1.4599999999999999E-3</v>
      </c>
      <c r="AP53">
        <v>1.92E-3</v>
      </c>
      <c r="AQ53">
        <v>1.92E-3</v>
      </c>
      <c r="AR53">
        <v>1.92E-3</v>
      </c>
      <c r="AS53">
        <v>1.92E-3</v>
      </c>
      <c r="AT53">
        <v>1.92E-3</v>
      </c>
      <c r="AU53">
        <v>2.9199999999999999E-3</v>
      </c>
      <c r="AV53">
        <v>2.9199999999999999E-3</v>
      </c>
      <c r="AW53">
        <v>2.9199999999999999E-3</v>
      </c>
      <c r="AX53">
        <v>2.9199999999999999E-3</v>
      </c>
      <c r="AY53">
        <v>2.9199999999999999E-3</v>
      </c>
      <c r="AZ53">
        <v>4.2300000000000003E-3</v>
      </c>
      <c r="BA53">
        <v>4.2300000000000003E-3</v>
      </c>
      <c r="BB53">
        <v>4.2300000000000003E-3</v>
      </c>
      <c r="BC53">
        <v>4.2300000000000003E-3</v>
      </c>
      <c r="BD53">
        <v>4.2300000000000003E-3</v>
      </c>
      <c r="BE53">
        <v>5.8900000000000003E-3</v>
      </c>
      <c r="BF53">
        <v>5.8900000000000003E-3</v>
      </c>
      <c r="BG53">
        <v>5.8900000000000003E-3</v>
      </c>
      <c r="BH53">
        <v>5.8900000000000003E-3</v>
      </c>
      <c r="BI53">
        <v>5.8900000000000003E-3</v>
      </c>
      <c r="BJ53">
        <v>9.7800000000000005E-3</v>
      </c>
      <c r="BK53">
        <v>9.7800000000000005E-3</v>
      </c>
      <c r="BL53">
        <v>9.7800000000000005E-3</v>
      </c>
      <c r="BM53">
        <v>9.7800000000000005E-3</v>
      </c>
      <c r="BN53">
        <v>9.7800000000000005E-3</v>
      </c>
      <c r="BO53">
        <v>1.3299999999999999E-2</v>
      </c>
      <c r="BP53">
        <v>1.3299999999999999E-2</v>
      </c>
      <c r="BQ53">
        <v>1.3299999999999999E-2</v>
      </c>
      <c r="BR53">
        <v>1.3299999999999999E-2</v>
      </c>
      <c r="BS53">
        <v>1.3299999999999999E-2</v>
      </c>
      <c r="BT53">
        <v>1.942E-2</v>
      </c>
      <c r="BU53">
        <v>1.942E-2</v>
      </c>
      <c r="BV53">
        <v>1.942E-2</v>
      </c>
      <c r="BW53">
        <v>1.942E-2</v>
      </c>
      <c r="BX53">
        <v>1.942E-2</v>
      </c>
      <c r="BY53">
        <v>3.193E-2</v>
      </c>
      <c r="BZ53">
        <v>3.193E-2</v>
      </c>
      <c r="CA53">
        <v>3.193E-2</v>
      </c>
      <c r="CB53">
        <v>3.193E-2</v>
      </c>
      <c r="CC53">
        <v>3.193E-2</v>
      </c>
      <c r="CD53">
        <v>5.5919999999999997E-2</v>
      </c>
      <c r="CE53">
        <v>5.5919999999999997E-2</v>
      </c>
      <c r="CF53">
        <v>5.5919999999999997E-2</v>
      </c>
      <c r="CG53">
        <v>5.5919999999999997E-2</v>
      </c>
      <c r="CH53">
        <v>5.5919999999999997E-2</v>
      </c>
      <c r="CI53">
        <v>9.6060000000000006E-2</v>
      </c>
      <c r="CJ53">
        <v>9.6060000000000006E-2</v>
      </c>
      <c r="CK53">
        <v>9.6060000000000006E-2</v>
      </c>
      <c r="CL53">
        <v>9.6060000000000006E-2</v>
      </c>
      <c r="CM53">
        <v>9.6060000000000006E-2</v>
      </c>
      <c r="CN53">
        <v>0.16192000000000001</v>
      </c>
      <c r="CO53">
        <v>0.16192000000000001</v>
      </c>
      <c r="CP53">
        <v>0.16192000000000001</v>
      </c>
      <c r="CQ53">
        <v>0.16192000000000001</v>
      </c>
      <c r="CR53">
        <v>0.16192000000000001</v>
      </c>
      <c r="CS53">
        <v>0.26779999999999998</v>
      </c>
      <c r="CT53">
        <v>0.26779999999999998</v>
      </c>
      <c r="CU53">
        <v>0.26779999999999998</v>
      </c>
      <c r="CV53">
        <v>0.26779999999999998</v>
      </c>
      <c r="CW53">
        <v>0.26779999999999998</v>
      </c>
      <c r="CX53">
        <v>1</v>
      </c>
    </row>
    <row r="54" spans="1:102" x14ac:dyDescent="0.25">
      <c r="A54" t="s">
        <v>173</v>
      </c>
      <c r="B54">
        <v>1.5089999999999999E-2</v>
      </c>
      <c r="C54">
        <v>6.9999999999999999E-4</v>
      </c>
      <c r="D54">
        <v>6.9999999999999999E-4</v>
      </c>
      <c r="E54">
        <v>6.9999999999999999E-4</v>
      </c>
      <c r="F54">
        <v>6.9999999999999999E-4</v>
      </c>
      <c r="G54">
        <v>4.0999999999999999E-4</v>
      </c>
      <c r="H54">
        <v>4.0999999999999999E-4</v>
      </c>
      <c r="I54">
        <v>4.0999999999999999E-4</v>
      </c>
      <c r="J54">
        <v>4.0999999999999999E-4</v>
      </c>
      <c r="K54">
        <v>4.0999999999999999E-4</v>
      </c>
      <c r="L54">
        <v>3.6999999999999999E-4</v>
      </c>
      <c r="M54">
        <v>3.6999999999999999E-4</v>
      </c>
      <c r="N54">
        <v>3.6999999999999999E-4</v>
      </c>
      <c r="O54">
        <v>3.6999999999999999E-4</v>
      </c>
      <c r="P54">
        <v>3.6999999999999999E-4</v>
      </c>
      <c r="Q54">
        <v>4.2000000000000002E-4</v>
      </c>
      <c r="R54">
        <v>4.2000000000000002E-4</v>
      </c>
      <c r="S54">
        <v>4.2000000000000002E-4</v>
      </c>
      <c r="T54">
        <v>4.2000000000000002E-4</v>
      </c>
      <c r="U54">
        <v>4.2000000000000002E-4</v>
      </c>
      <c r="V54">
        <v>5.5000000000000003E-4</v>
      </c>
      <c r="W54">
        <v>5.5000000000000003E-4</v>
      </c>
      <c r="X54">
        <v>5.5000000000000003E-4</v>
      </c>
      <c r="Y54">
        <v>5.5000000000000003E-4</v>
      </c>
      <c r="Z54">
        <v>5.5000000000000003E-4</v>
      </c>
      <c r="AA54">
        <v>6.6E-4</v>
      </c>
      <c r="AB54">
        <v>6.6E-4</v>
      </c>
      <c r="AC54">
        <v>6.6E-4</v>
      </c>
      <c r="AD54">
        <v>6.6E-4</v>
      </c>
      <c r="AE54">
        <v>6.6E-4</v>
      </c>
      <c r="AF54">
        <v>8.4000000000000003E-4</v>
      </c>
      <c r="AG54">
        <v>8.4000000000000003E-4</v>
      </c>
      <c r="AH54">
        <v>8.4000000000000003E-4</v>
      </c>
      <c r="AI54">
        <v>8.4000000000000003E-4</v>
      </c>
      <c r="AJ54">
        <v>8.4000000000000003E-4</v>
      </c>
      <c r="AK54">
        <v>1.2099999999999999E-3</v>
      </c>
      <c r="AL54">
        <v>1.2099999999999999E-3</v>
      </c>
      <c r="AM54">
        <v>1.2099999999999999E-3</v>
      </c>
      <c r="AN54">
        <v>1.2099999999999999E-3</v>
      </c>
      <c r="AO54">
        <v>1.2099999999999999E-3</v>
      </c>
      <c r="AP54">
        <v>1.8799999999999999E-3</v>
      </c>
      <c r="AQ54">
        <v>1.8799999999999999E-3</v>
      </c>
      <c r="AR54">
        <v>1.8799999999999999E-3</v>
      </c>
      <c r="AS54">
        <v>1.8799999999999999E-3</v>
      </c>
      <c r="AT54">
        <v>1.8799999999999999E-3</v>
      </c>
      <c r="AU54">
        <v>3.48E-3</v>
      </c>
      <c r="AV54">
        <v>3.48E-3</v>
      </c>
      <c r="AW54">
        <v>3.48E-3</v>
      </c>
      <c r="AX54">
        <v>3.48E-3</v>
      </c>
      <c r="AY54">
        <v>3.48E-3</v>
      </c>
      <c r="AZ54">
        <v>6.79E-3</v>
      </c>
      <c r="BA54">
        <v>6.79E-3</v>
      </c>
      <c r="BB54">
        <v>6.79E-3</v>
      </c>
      <c r="BC54">
        <v>6.79E-3</v>
      </c>
      <c r="BD54">
        <v>6.79E-3</v>
      </c>
      <c r="BE54">
        <v>1.2019999999999999E-2</v>
      </c>
      <c r="BF54">
        <v>1.2019999999999999E-2</v>
      </c>
      <c r="BG54">
        <v>1.2019999999999999E-2</v>
      </c>
      <c r="BH54">
        <v>1.2019999999999999E-2</v>
      </c>
      <c r="BI54">
        <v>1.2019999999999999E-2</v>
      </c>
      <c r="BJ54">
        <v>1.719E-2</v>
      </c>
      <c r="BK54">
        <v>1.719E-2</v>
      </c>
      <c r="BL54">
        <v>1.719E-2</v>
      </c>
      <c r="BM54">
        <v>1.719E-2</v>
      </c>
      <c r="BN54">
        <v>1.719E-2</v>
      </c>
      <c r="BO54">
        <v>2.758E-2</v>
      </c>
      <c r="BP54">
        <v>2.758E-2</v>
      </c>
      <c r="BQ54">
        <v>2.758E-2</v>
      </c>
      <c r="BR54">
        <v>2.758E-2</v>
      </c>
      <c r="BS54">
        <v>2.758E-2</v>
      </c>
      <c r="BT54">
        <v>4.1860000000000001E-2</v>
      </c>
      <c r="BU54">
        <v>4.1860000000000001E-2</v>
      </c>
      <c r="BV54">
        <v>4.1860000000000001E-2</v>
      </c>
      <c r="BW54">
        <v>4.1860000000000001E-2</v>
      </c>
      <c r="BX54">
        <v>4.1860000000000001E-2</v>
      </c>
      <c r="BY54">
        <v>7.1660000000000001E-2</v>
      </c>
      <c r="BZ54">
        <v>7.1660000000000001E-2</v>
      </c>
      <c r="CA54">
        <v>7.1660000000000001E-2</v>
      </c>
      <c r="CB54">
        <v>7.1660000000000001E-2</v>
      </c>
      <c r="CC54">
        <v>7.1660000000000001E-2</v>
      </c>
      <c r="CD54">
        <v>0.11808</v>
      </c>
      <c r="CE54">
        <v>0.11808</v>
      </c>
      <c r="CF54">
        <v>0.11808</v>
      </c>
      <c r="CG54">
        <v>0.11808</v>
      </c>
      <c r="CH54">
        <v>0.11808</v>
      </c>
      <c r="CI54">
        <v>0.18604000000000001</v>
      </c>
      <c r="CJ54">
        <v>0.18604000000000001</v>
      </c>
      <c r="CK54">
        <v>0.18604000000000001</v>
      </c>
      <c r="CL54">
        <v>0.18604000000000001</v>
      </c>
      <c r="CM54">
        <v>0.18604000000000001</v>
      </c>
      <c r="CN54">
        <v>0.28022999999999998</v>
      </c>
      <c r="CO54">
        <v>0.28022999999999998</v>
      </c>
      <c r="CP54">
        <v>0.28022999999999998</v>
      </c>
      <c r="CQ54">
        <v>0.28022999999999998</v>
      </c>
      <c r="CR54">
        <v>0.28022999999999998</v>
      </c>
      <c r="CS54">
        <v>0.40359</v>
      </c>
      <c r="CT54">
        <v>0.40359</v>
      </c>
      <c r="CU54">
        <v>0.40359</v>
      </c>
      <c r="CV54">
        <v>0.40359</v>
      </c>
      <c r="CW54">
        <v>0.40359</v>
      </c>
      <c r="CX54">
        <v>1</v>
      </c>
    </row>
    <row r="55" spans="1:102" x14ac:dyDescent="0.25">
      <c r="A55" t="s">
        <v>175</v>
      </c>
      <c r="B55">
        <v>1.349E-2</v>
      </c>
      <c r="C55">
        <v>4.0000000000000002E-4</v>
      </c>
      <c r="D55">
        <v>4.0000000000000002E-4</v>
      </c>
      <c r="E55">
        <v>4.0000000000000002E-4</v>
      </c>
      <c r="F55">
        <v>4.0000000000000002E-4</v>
      </c>
      <c r="G55">
        <v>3.4000000000000002E-4</v>
      </c>
      <c r="H55">
        <v>3.4000000000000002E-4</v>
      </c>
      <c r="I55">
        <v>3.4000000000000002E-4</v>
      </c>
      <c r="J55">
        <v>3.4000000000000002E-4</v>
      </c>
      <c r="K55">
        <v>3.4000000000000002E-4</v>
      </c>
      <c r="L55">
        <v>3.6999999999999999E-4</v>
      </c>
      <c r="M55">
        <v>3.6999999999999999E-4</v>
      </c>
      <c r="N55">
        <v>3.6999999999999999E-4</v>
      </c>
      <c r="O55">
        <v>3.6999999999999999E-4</v>
      </c>
      <c r="P55">
        <v>3.6999999999999999E-4</v>
      </c>
      <c r="Q55">
        <v>8.4999999999999995E-4</v>
      </c>
      <c r="R55">
        <v>8.4999999999999995E-4</v>
      </c>
      <c r="S55">
        <v>8.4999999999999995E-4</v>
      </c>
      <c r="T55">
        <v>8.4999999999999995E-4</v>
      </c>
      <c r="U55">
        <v>8.4999999999999995E-4</v>
      </c>
      <c r="V55">
        <v>9.2000000000000003E-4</v>
      </c>
      <c r="W55">
        <v>9.2000000000000003E-4</v>
      </c>
      <c r="X55">
        <v>9.2000000000000003E-4</v>
      </c>
      <c r="Y55">
        <v>9.2000000000000003E-4</v>
      </c>
      <c r="Z55">
        <v>9.2000000000000003E-4</v>
      </c>
      <c r="AA55">
        <v>1.33E-3</v>
      </c>
      <c r="AB55">
        <v>1.33E-3</v>
      </c>
      <c r="AC55">
        <v>1.33E-3</v>
      </c>
      <c r="AD55">
        <v>1.33E-3</v>
      </c>
      <c r="AE55">
        <v>1.33E-3</v>
      </c>
      <c r="AF55">
        <v>1.4599999999999999E-3</v>
      </c>
      <c r="AG55">
        <v>1.4599999999999999E-3</v>
      </c>
      <c r="AH55">
        <v>1.4599999999999999E-3</v>
      </c>
      <c r="AI55">
        <v>1.4599999999999999E-3</v>
      </c>
      <c r="AJ55">
        <v>1.4599999999999999E-3</v>
      </c>
      <c r="AK55">
        <v>1.97E-3</v>
      </c>
      <c r="AL55">
        <v>1.97E-3</v>
      </c>
      <c r="AM55">
        <v>1.97E-3</v>
      </c>
      <c r="AN55">
        <v>1.97E-3</v>
      </c>
      <c r="AO55">
        <v>1.97E-3</v>
      </c>
      <c r="AP55">
        <v>2.9499999999999999E-3</v>
      </c>
      <c r="AQ55">
        <v>2.9499999999999999E-3</v>
      </c>
      <c r="AR55">
        <v>2.9499999999999999E-3</v>
      </c>
      <c r="AS55">
        <v>2.9499999999999999E-3</v>
      </c>
      <c r="AT55">
        <v>2.9499999999999999E-3</v>
      </c>
      <c r="AU55">
        <v>4.0600000000000002E-3</v>
      </c>
      <c r="AV55">
        <v>4.0600000000000002E-3</v>
      </c>
      <c r="AW55">
        <v>4.0600000000000002E-3</v>
      </c>
      <c r="AX55">
        <v>4.0600000000000002E-3</v>
      </c>
      <c r="AY55">
        <v>4.0600000000000002E-3</v>
      </c>
      <c r="AZ55">
        <v>5.6299999999999996E-3</v>
      </c>
      <c r="BA55">
        <v>5.6299999999999996E-3</v>
      </c>
      <c r="BB55">
        <v>5.6299999999999996E-3</v>
      </c>
      <c r="BC55">
        <v>5.6299999999999996E-3</v>
      </c>
      <c r="BD55">
        <v>5.6299999999999996E-3</v>
      </c>
      <c r="BE55">
        <v>8.2000000000000007E-3</v>
      </c>
      <c r="BF55">
        <v>8.2000000000000007E-3</v>
      </c>
      <c r="BG55">
        <v>8.2000000000000007E-3</v>
      </c>
      <c r="BH55">
        <v>8.2000000000000007E-3</v>
      </c>
      <c r="BI55">
        <v>8.2000000000000007E-3</v>
      </c>
      <c r="BJ55">
        <v>1.264E-2</v>
      </c>
      <c r="BK55">
        <v>1.264E-2</v>
      </c>
      <c r="BL55">
        <v>1.264E-2</v>
      </c>
      <c r="BM55">
        <v>1.264E-2</v>
      </c>
      <c r="BN55">
        <v>1.264E-2</v>
      </c>
      <c r="BO55">
        <v>1.8069999999999999E-2</v>
      </c>
      <c r="BP55">
        <v>1.8069999999999999E-2</v>
      </c>
      <c r="BQ55">
        <v>1.8069999999999999E-2</v>
      </c>
      <c r="BR55">
        <v>1.8069999999999999E-2</v>
      </c>
      <c r="BS55">
        <v>1.8069999999999999E-2</v>
      </c>
      <c r="BT55">
        <v>2.7359999999999999E-2</v>
      </c>
      <c r="BU55">
        <v>2.7359999999999999E-2</v>
      </c>
      <c r="BV55">
        <v>2.7359999999999999E-2</v>
      </c>
      <c r="BW55">
        <v>2.7359999999999999E-2</v>
      </c>
      <c r="BX55">
        <v>2.7359999999999999E-2</v>
      </c>
      <c r="BY55">
        <v>4.6929999999999999E-2</v>
      </c>
      <c r="BZ55">
        <v>4.6929999999999999E-2</v>
      </c>
      <c r="CA55">
        <v>4.6929999999999999E-2</v>
      </c>
      <c r="CB55">
        <v>4.6929999999999999E-2</v>
      </c>
      <c r="CC55">
        <v>4.6929999999999999E-2</v>
      </c>
      <c r="CD55">
        <v>7.868E-2</v>
      </c>
      <c r="CE55">
        <v>7.868E-2</v>
      </c>
      <c r="CF55">
        <v>7.868E-2</v>
      </c>
      <c r="CG55">
        <v>7.868E-2</v>
      </c>
      <c r="CH55">
        <v>7.868E-2</v>
      </c>
      <c r="CI55">
        <v>0.12853999999999999</v>
      </c>
      <c r="CJ55">
        <v>0.12853999999999999</v>
      </c>
      <c r="CK55">
        <v>0.12853999999999999</v>
      </c>
      <c r="CL55">
        <v>0.12853999999999999</v>
      </c>
      <c r="CM55">
        <v>0.12853999999999999</v>
      </c>
      <c r="CN55">
        <v>0.20463000000000001</v>
      </c>
      <c r="CO55">
        <v>0.20463000000000001</v>
      </c>
      <c r="CP55">
        <v>0.20463000000000001</v>
      </c>
      <c r="CQ55">
        <v>0.20463000000000001</v>
      </c>
      <c r="CR55">
        <v>0.20463000000000001</v>
      </c>
      <c r="CS55">
        <v>0.31744</v>
      </c>
      <c r="CT55">
        <v>0.31744</v>
      </c>
      <c r="CU55">
        <v>0.31744</v>
      </c>
      <c r="CV55">
        <v>0.31744</v>
      </c>
      <c r="CW55">
        <v>0.31744</v>
      </c>
      <c r="CX55">
        <v>1</v>
      </c>
    </row>
    <row r="56" spans="1:102" x14ac:dyDescent="0.25">
      <c r="A56" t="s">
        <v>177</v>
      </c>
      <c r="B56">
        <v>8.7040000000000006E-2</v>
      </c>
      <c r="C56">
        <v>1.6310000000000002E-2</v>
      </c>
      <c r="D56">
        <v>1.6310000000000002E-2</v>
      </c>
      <c r="E56">
        <v>1.6310000000000002E-2</v>
      </c>
      <c r="F56">
        <v>1.6310000000000002E-2</v>
      </c>
      <c r="G56">
        <v>3.0999999999999999E-3</v>
      </c>
      <c r="H56">
        <v>3.0999999999999999E-3</v>
      </c>
      <c r="I56">
        <v>3.0999999999999999E-3</v>
      </c>
      <c r="J56">
        <v>3.0999999999999999E-3</v>
      </c>
      <c r="K56">
        <v>3.0999999999999999E-3</v>
      </c>
      <c r="L56">
        <v>1.8699999999999999E-3</v>
      </c>
      <c r="M56">
        <v>1.8699999999999999E-3</v>
      </c>
      <c r="N56">
        <v>1.8699999999999999E-3</v>
      </c>
      <c r="O56">
        <v>1.8699999999999999E-3</v>
      </c>
      <c r="P56">
        <v>1.8699999999999999E-3</v>
      </c>
      <c r="Q56">
        <v>2.9099999999999998E-3</v>
      </c>
      <c r="R56">
        <v>2.9099999999999998E-3</v>
      </c>
      <c r="S56">
        <v>2.9099999999999998E-3</v>
      </c>
      <c r="T56">
        <v>2.9099999999999998E-3</v>
      </c>
      <c r="U56">
        <v>2.9099999999999998E-3</v>
      </c>
      <c r="V56">
        <v>5.8300000000000001E-3</v>
      </c>
      <c r="W56">
        <v>5.8300000000000001E-3</v>
      </c>
      <c r="X56">
        <v>5.8300000000000001E-3</v>
      </c>
      <c r="Y56">
        <v>5.8300000000000001E-3</v>
      </c>
      <c r="Z56">
        <v>5.8300000000000001E-3</v>
      </c>
      <c r="AA56">
        <v>8.8100000000000001E-3</v>
      </c>
      <c r="AB56">
        <v>8.8100000000000001E-3</v>
      </c>
      <c r="AC56">
        <v>8.8100000000000001E-3</v>
      </c>
      <c r="AD56">
        <v>8.8100000000000001E-3</v>
      </c>
      <c r="AE56">
        <v>8.8100000000000001E-3</v>
      </c>
      <c r="AF56">
        <v>1.017E-2</v>
      </c>
      <c r="AG56">
        <v>1.017E-2</v>
      </c>
      <c r="AH56">
        <v>1.017E-2</v>
      </c>
      <c r="AI56">
        <v>1.017E-2</v>
      </c>
      <c r="AJ56">
        <v>1.017E-2</v>
      </c>
      <c r="AK56">
        <v>8.9899999999999997E-3</v>
      </c>
      <c r="AL56">
        <v>8.9899999999999997E-3</v>
      </c>
      <c r="AM56">
        <v>8.9899999999999997E-3</v>
      </c>
      <c r="AN56">
        <v>8.9899999999999997E-3</v>
      </c>
      <c r="AO56">
        <v>8.9899999999999997E-3</v>
      </c>
      <c r="AP56">
        <v>8.7799999999999996E-3</v>
      </c>
      <c r="AQ56">
        <v>8.7799999999999996E-3</v>
      </c>
      <c r="AR56">
        <v>8.7799999999999996E-3</v>
      </c>
      <c r="AS56">
        <v>8.7799999999999996E-3</v>
      </c>
      <c r="AT56">
        <v>8.7799999999999996E-3</v>
      </c>
      <c r="AU56">
        <v>1.004E-2</v>
      </c>
      <c r="AV56">
        <v>1.004E-2</v>
      </c>
      <c r="AW56">
        <v>1.004E-2</v>
      </c>
      <c r="AX56">
        <v>1.004E-2</v>
      </c>
      <c r="AY56">
        <v>1.004E-2</v>
      </c>
      <c r="AZ56">
        <v>1.324E-2</v>
      </c>
      <c r="BA56">
        <v>1.324E-2</v>
      </c>
      <c r="BB56">
        <v>1.324E-2</v>
      </c>
      <c r="BC56">
        <v>1.324E-2</v>
      </c>
      <c r="BD56">
        <v>1.324E-2</v>
      </c>
      <c r="BE56">
        <v>1.899E-2</v>
      </c>
      <c r="BF56">
        <v>1.899E-2</v>
      </c>
      <c r="BG56">
        <v>1.899E-2</v>
      </c>
      <c r="BH56">
        <v>1.899E-2</v>
      </c>
      <c r="BI56">
        <v>1.899E-2</v>
      </c>
      <c r="BJ56">
        <v>2.5870000000000001E-2</v>
      </c>
      <c r="BK56">
        <v>2.5870000000000001E-2</v>
      </c>
      <c r="BL56">
        <v>2.5870000000000001E-2</v>
      </c>
      <c r="BM56">
        <v>2.5870000000000001E-2</v>
      </c>
      <c r="BN56">
        <v>2.5870000000000001E-2</v>
      </c>
      <c r="BO56">
        <v>3.9600000000000003E-2</v>
      </c>
      <c r="BP56">
        <v>3.9600000000000003E-2</v>
      </c>
      <c r="BQ56">
        <v>3.9600000000000003E-2</v>
      </c>
      <c r="BR56">
        <v>3.9600000000000003E-2</v>
      </c>
      <c r="BS56">
        <v>3.9600000000000003E-2</v>
      </c>
      <c r="BT56">
        <v>6.2120000000000002E-2</v>
      </c>
      <c r="BU56">
        <v>6.2120000000000002E-2</v>
      </c>
      <c r="BV56">
        <v>6.2120000000000002E-2</v>
      </c>
      <c r="BW56">
        <v>6.2120000000000002E-2</v>
      </c>
      <c r="BX56">
        <v>6.2120000000000002E-2</v>
      </c>
      <c r="BY56">
        <v>9.5680000000000001E-2</v>
      </c>
      <c r="BZ56">
        <v>9.5680000000000001E-2</v>
      </c>
      <c r="CA56">
        <v>9.5680000000000001E-2</v>
      </c>
      <c r="CB56">
        <v>9.5680000000000001E-2</v>
      </c>
      <c r="CC56">
        <v>9.5680000000000001E-2</v>
      </c>
      <c r="CD56">
        <v>0.14476</v>
      </c>
      <c r="CE56">
        <v>0.14476</v>
      </c>
      <c r="CF56">
        <v>0.14476</v>
      </c>
      <c r="CG56">
        <v>0.14476</v>
      </c>
      <c r="CH56">
        <v>0.14476</v>
      </c>
      <c r="CI56">
        <v>0.21295</v>
      </c>
      <c r="CJ56">
        <v>0.21295</v>
      </c>
      <c r="CK56">
        <v>0.21295</v>
      </c>
      <c r="CL56">
        <v>0.21295</v>
      </c>
      <c r="CM56">
        <v>0.21295</v>
      </c>
      <c r="CN56">
        <v>0.30473</v>
      </c>
      <c r="CO56">
        <v>0.30473</v>
      </c>
      <c r="CP56">
        <v>0.30473</v>
      </c>
      <c r="CQ56">
        <v>0.30473</v>
      </c>
      <c r="CR56">
        <v>0.30473</v>
      </c>
      <c r="CS56">
        <v>0.42410999999999999</v>
      </c>
      <c r="CT56">
        <v>0.42410999999999999</v>
      </c>
      <c r="CU56">
        <v>0.42410999999999999</v>
      </c>
      <c r="CV56">
        <v>0.42410999999999999</v>
      </c>
      <c r="CW56">
        <v>0.42410999999999999</v>
      </c>
      <c r="CX56">
        <v>1</v>
      </c>
    </row>
    <row r="57" spans="1:102" x14ac:dyDescent="0.25">
      <c r="A57" t="s">
        <v>179</v>
      </c>
      <c r="B57">
        <v>3.5029999999999999E-2</v>
      </c>
      <c r="C57">
        <v>4.2599999999999999E-3</v>
      </c>
      <c r="D57">
        <v>4.2599999999999999E-3</v>
      </c>
      <c r="E57">
        <v>4.2599999999999999E-3</v>
      </c>
      <c r="F57">
        <v>4.2599999999999999E-3</v>
      </c>
      <c r="G57">
        <v>9.5E-4</v>
      </c>
      <c r="H57">
        <v>9.5E-4</v>
      </c>
      <c r="I57">
        <v>9.5E-4</v>
      </c>
      <c r="J57">
        <v>9.5E-4</v>
      </c>
      <c r="K57">
        <v>9.5E-4</v>
      </c>
      <c r="L57">
        <v>7.2000000000000005E-4</v>
      </c>
      <c r="M57">
        <v>7.2000000000000005E-4</v>
      </c>
      <c r="N57">
        <v>7.2000000000000005E-4</v>
      </c>
      <c r="O57">
        <v>7.2000000000000005E-4</v>
      </c>
      <c r="P57">
        <v>7.2000000000000005E-4</v>
      </c>
      <c r="Q57">
        <v>9.7000000000000005E-4</v>
      </c>
      <c r="R57">
        <v>9.7000000000000005E-4</v>
      </c>
      <c r="S57">
        <v>9.7000000000000005E-4</v>
      </c>
      <c r="T57">
        <v>9.7000000000000005E-4</v>
      </c>
      <c r="U57">
        <v>9.7000000000000005E-4</v>
      </c>
      <c r="V57">
        <v>1.39E-3</v>
      </c>
      <c r="W57">
        <v>1.39E-3</v>
      </c>
      <c r="X57">
        <v>1.39E-3</v>
      </c>
      <c r="Y57">
        <v>1.39E-3</v>
      </c>
      <c r="Z57">
        <v>1.39E-3</v>
      </c>
      <c r="AA57">
        <v>1.9599999999999999E-3</v>
      </c>
      <c r="AB57">
        <v>1.9599999999999999E-3</v>
      </c>
      <c r="AC57">
        <v>1.9599999999999999E-3</v>
      </c>
      <c r="AD57">
        <v>1.9599999999999999E-3</v>
      </c>
      <c r="AE57">
        <v>1.9599999999999999E-3</v>
      </c>
      <c r="AF57">
        <v>2.6700000000000001E-3</v>
      </c>
      <c r="AG57">
        <v>2.6700000000000001E-3</v>
      </c>
      <c r="AH57">
        <v>2.6700000000000001E-3</v>
      </c>
      <c r="AI57">
        <v>2.6700000000000001E-3</v>
      </c>
      <c r="AJ57">
        <v>2.6700000000000001E-3</v>
      </c>
      <c r="AK57">
        <v>3.5200000000000001E-3</v>
      </c>
      <c r="AL57">
        <v>3.5200000000000001E-3</v>
      </c>
      <c r="AM57">
        <v>3.5200000000000001E-3</v>
      </c>
      <c r="AN57">
        <v>3.5200000000000001E-3</v>
      </c>
      <c r="AO57">
        <v>3.5200000000000001E-3</v>
      </c>
      <c r="AP57">
        <v>4.5500000000000002E-3</v>
      </c>
      <c r="AQ57">
        <v>4.5500000000000002E-3</v>
      </c>
      <c r="AR57">
        <v>4.5500000000000002E-3</v>
      </c>
      <c r="AS57">
        <v>4.5500000000000002E-3</v>
      </c>
      <c r="AT57">
        <v>4.5500000000000002E-3</v>
      </c>
      <c r="AU57">
        <v>5.7499999999999999E-3</v>
      </c>
      <c r="AV57">
        <v>5.7499999999999999E-3</v>
      </c>
      <c r="AW57">
        <v>5.7499999999999999E-3</v>
      </c>
      <c r="AX57">
        <v>5.7499999999999999E-3</v>
      </c>
      <c r="AY57">
        <v>5.7499999999999999E-3</v>
      </c>
      <c r="AZ57">
        <v>7.6499999999999997E-3</v>
      </c>
      <c r="BA57">
        <v>7.6499999999999997E-3</v>
      </c>
      <c r="BB57">
        <v>7.6499999999999997E-3</v>
      </c>
      <c r="BC57">
        <v>7.6499999999999997E-3</v>
      </c>
      <c r="BD57">
        <v>7.6499999999999997E-3</v>
      </c>
      <c r="BE57">
        <v>1.108E-2</v>
      </c>
      <c r="BF57">
        <v>1.108E-2</v>
      </c>
      <c r="BG57">
        <v>1.108E-2</v>
      </c>
      <c r="BH57">
        <v>1.108E-2</v>
      </c>
      <c r="BI57">
        <v>1.108E-2</v>
      </c>
      <c r="BJ57">
        <v>1.651E-2</v>
      </c>
      <c r="BK57">
        <v>1.651E-2</v>
      </c>
      <c r="BL57">
        <v>1.651E-2</v>
      </c>
      <c r="BM57">
        <v>1.651E-2</v>
      </c>
      <c r="BN57">
        <v>1.651E-2</v>
      </c>
      <c r="BO57">
        <v>2.6859999999999998E-2</v>
      </c>
      <c r="BP57">
        <v>2.6859999999999998E-2</v>
      </c>
      <c r="BQ57">
        <v>2.6859999999999998E-2</v>
      </c>
      <c r="BR57">
        <v>2.6859999999999998E-2</v>
      </c>
      <c r="BS57">
        <v>2.6859999999999998E-2</v>
      </c>
      <c r="BT57">
        <v>4.5319999999999999E-2</v>
      </c>
      <c r="BU57">
        <v>4.5319999999999999E-2</v>
      </c>
      <c r="BV57">
        <v>4.5319999999999999E-2</v>
      </c>
      <c r="BW57">
        <v>4.5319999999999999E-2</v>
      </c>
      <c r="BX57">
        <v>4.5319999999999999E-2</v>
      </c>
      <c r="BY57">
        <v>7.5889999999999999E-2</v>
      </c>
      <c r="BZ57">
        <v>7.5889999999999999E-2</v>
      </c>
      <c r="CA57">
        <v>7.5889999999999999E-2</v>
      </c>
      <c r="CB57">
        <v>7.5889999999999999E-2</v>
      </c>
      <c r="CC57">
        <v>7.5889999999999999E-2</v>
      </c>
      <c r="CD57">
        <v>0.12418999999999999</v>
      </c>
      <c r="CE57">
        <v>0.12418999999999999</v>
      </c>
      <c r="CF57">
        <v>0.12418999999999999</v>
      </c>
      <c r="CG57">
        <v>0.12418999999999999</v>
      </c>
      <c r="CH57">
        <v>0.12418999999999999</v>
      </c>
      <c r="CI57">
        <v>0.19422</v>
      </c>
      <c r="CJ57">
        <v>0.19422</v>
      </c>
      <c r="CK57">
        <v>0.19422</v>
      </c>
      <c r="CL57">
        <v>0.19422</v>
      </c>
      <c r="CM57">
        <v>0.19422</v>
      </c>
      <c r="CN57">
        <v>0.29017999999999999</v>
      </c>
      <c r="CO57">
        <v>0.29017999999999999</v>
      </c>
      <c r="CP57">
        <v>0.29017999999999999</v>
      </c>
      <c r="CQ57">
        <v>0.29017999999999999</v>
      </c>
      <c r="CR57">
        <v>0.29017999999999999</v>
      </c>
      <c r="CS57">
        <v>0.41421000000000002</v>
      </c>
      <c r="CT57">
        <v>0.41421000000000002</v>
      </c>
      <c r="CU57">
        <v>0.41421000000000002</v>
      </c>
      <c r="CV57">
        <v>0.41421000000000002</v>
      </c>
      <c r="CW57">
        <v>0.41421000000000002</v>
      </c>
      <c r="CX57">
        <v>1</v>
      </c>
    </row>
    <row r="58" spans="1:102" x14ac:dyDescent="0.25">
      <c r="A58" t="s">
        <v>181</v>
      </c>
      <c r="B58">
        <v>2.98E-3</v>
      </c>
      <c r="C58">
        <v>2.4000000000000001E-4</v>
      </c>
      <c r="D58">
        <v>2.4000000000000001E-4</v>
      </c>
      <c r="E58">
        <v>2.4000000000000001E-4</v>
      </c>
      <c r="F58">
        <v>2.4000000000000001E-4</v>
      </c>
      <c r="G58">
        <v>2.5999999999999998E-4</v>
      </c>
      <c r="H58">
        <v>2.5999999999999998E-4</v>
      </c>
      <c r="I58">
        <v>2.5999999999999998E-4</v>
      </c>
      <c r="J58">
        <v>2.5999999999999998E-4</v>
      </c>
      <c r="K58">
        <v>2.5999999999999998E-4</v>
      </c>
      <c r="L58">
        <v>3.0000000000000001E-5</v>
      </c>
      <c r="M58">
        <v>3.0000000000000001E-5</v>
      </c>
      <c r="N58">
        <v>3.0000000000000001E-5</v>
      </c>
      <c r="O58">
        <v>3.0000000000000001E-5</v>
      </c>
      <c r="P58">
        <v>3.0000000000000001E-5</v>
      </c>
      <c r="Q58">
        <v>1.7000000000000001E-4</v>
      </c>
      <c r="R58">
        <v>1.7000000000000001E-4</v>
      </c>
      <c r="S58">
        <v>1.7000000000000001E-4</v>
      </c>
      <c r="T58">
        <v>1.7000000000000001E-4</v>
      </c>
      <c r="U58">
        <v>1.7000000000000001E-4</v>
      </c>
      <c r="V58">
        <v>5.5000000000000003E-4</v>
      </c>
      <c r="W58">
        <v>5.5000000000000003E-4</v>
      </c>
      <c r="X58">
        <v>5.5000000000000003E-4</v>
      </c>
      <c r="Y58">
        <v>5.5000000000000003E-4</v>
      </c>
      <c r="Z58">
        <v>5.5000000000000003E-4</v>
      </c>
      <c r="AA58">
        <v>5.0000000000000001E-4</v>
      </c>
      <c r="AB58">
        <v>5.0000000000000001E-4</v>
      </c>
      <c r="AC58">
        <v>5.0000000000000001E-4</v>
      </c>
      <c r="AD58">
        <v>5.0000000000000001E-4</v>
      </c>
      <c r="AE58">
        <v>5.0000000000000001E-4</v>
      </c>
      <c r="AF58">
        <v>4.2999999999999999E-4</v>
      </c>
      <c r="AG58">
        <v>4.2999999999999999E-4</v>
      </c>
      <c r="AH58">
        <v>4.2999999999999999E-4</v>
      </c>
      <c r="AI58">
        <v>4.2999999999999999E-4</v>
      </c>
      <c r="AJ58">
        <v>4.2999999999999999E-4</v>
      </c>
      <c r="AK58">
        <v>1.1299999999999999E-3</v>
      </c>
      <c r="AL58">
        <v>1.1299999999999999E-3</v>
      </c>
      <c r="AM58">
        <v>1.1299999999999999E-3</v>
      </c>
      <c r="AN58">
        <v>1.1299999999999999E-3</v>
      </c>
      <c r="AO58">
        <v>1.1299999999999999E-3</v>
      </c>
      <c r="AP58">
        <v>1.3799999999999999E-3</v>
      </c>
      <c r="AQ58">
        <v>1.3799999999999999E-3</v>
      </c>
      <c r="AR58">
        <v>1.3799999999999999E-3</v>
      </c>
      <c r="AS58">
        <v>1.3799999999999999E-3</v>
      </c>
      <c r="AT58">
        <v>1.3799999999999999E-3</v>
      </c>
      <c r="AU58">
        <v>2.4499999999999999E-3</v>
      </c>
      <c r="AV58">
        <v>2.4499999999999999E-3</v>
      </c>
      <c r="AW58">
        <v>2.4499999999999999E-3</v>
      </c>
      <c r="AX58">
        <v>2.4499999999999999E-3</v>
      </c>
      <c r="AY58">
        <v>2.4499999999999999E-3</v>
      </c>
      <c r="AZ58">
        <v>3.6700000000000001E-3</v>
      </c>
      <c r="BA58">
        <v>3.6700000000000001E-3</v>
      </c>
      <c r="BB58">
        <v>3.6700000000000001E-3</v>
      </c>
      <c r="BC58">
        <v>3.6700000000000001E-3</v>
      </c>
      <c r="BD58">
        <v>3.6700000000000001E-3</v>
      </c>
      <c r="BE58">
        <v>5.6600000000000001E-3</v>
      </c>
      <c r="BF58">
        <v>5.6600000000000001E-3</v>
      </c>
      <c r="BG58">
        <v>5.6600000000000001E-3</v>
      </c>
      <c r="BH58">
        <v>5.6600000000000001E-3</v>
      </c>
      <c r="BI58">
        <v>5.6600000000000001E-3</v>
      </c>
      <c r="BJ58">
        <v>8.5699999999999995E-3</v>
      </c>
      <c r="BK58">
        <v>8.5699999999999995E-3</v>
      </c>
      <c r="BL58">
        <v>8.5699999999999995E-3</v>
      </c>
      <c r="BM58">
        <v>8.5699999999999995E-3</v>
      </c>
      <c r="BN58">
        <v>8.5699999999999995E-3</v>
      </c>
      <c r="BO58">
        <v>1.238E-2</v>
      </c>
      <c r="BP58">
        <v>1.238E-2</v>
      </c>
      <c r="BQ58">
        <v>1.238E-2</v>
      </c>
      <c r="BR58">
        <v>1.238E-2</v>
      </c>
      <c r="BS58">
        <v>1.238E-2</v>
      </c>
      <c r="BT58">
        <v>2.1049999999999999E-2</v>
      </c>
      <c r="BU58">
        <v>2.1049999999999999E-2</v>
      </c>
      <c r="BV58">
        <v>2.1049999999999999E-2</v>
      </c>
      <c r="BW58">
        <v>2.1049999999999999E-2</v>
      </c>
      <c r="BX58">
        <v>2.1049999999999999E-2</v>
      </c>
      <c r="BY58">
        <v>3.823E-2</v>
      </c>
      <c r="BZ58">
        <v>3.823E-2</v>
      </c>
      <c r="CA58">
        <v>3.823E-2</v>
      </c>
      <c r="CB58">
        <v>3.823E-2</v>
      </c>
      <c r="CC58">
        <v>3.823E-2</v>
      </c>
      <c r="CD58">
        <v>7.0940000000000003E-2</v>
      </c>
      <c r="CE58">
        <v>7.0940000000000003E-2</v>
      </c>
      <c r="CF58">
        <v>7.0940000000000003E-2</v>
      </c>
      <c r="CG58">
        <v>7.0940000000000003E-2</v>
      </c>
      <c r="CH58">
        <v>7.0940000000000003E-2</v>
      </c>
      <c r="CI58">
        <v>0.12476</v>
      </c>
      <c r="CJ58">
        <v>0.12476</v>
      </c>
      <c r="CK58">
        <v>0.12476</v>
      </c>
      <c r="CL58">
        <v>0.12476</v>
      </c>
      <c r="CM58">
        <v>0.12476</v>
      </c>
      <c r="CN58">
        <v>0.20796000000000001</v>
      </c>
      <c r="CO58">
        <v>0.20796000000000001</v>
      </c>
      <c r="CP58">
        <v>0.20796000000000001</v>
      </c>
      <c r="CQ58">
        <v>0.20796000000000001</v>
      </c>
      <c r="CR58">
        <v>0.20796000000000001</v>
      </c>
      <c r="CS58">
        <v>0.32856000000000002</v>
      </c>
      <c r="CT58">
        <v>0.32856000000000002</v>
      </c>
      <c r="CU58">
        <v>0.32856000000000002</v>
      </c>
      <c r="CV58">
        <v>0.32856000000000002</v>
      </c>
      <c r="CW58">
        <v>0.32856000000000002</v>
      </c>
      <c r="CX58">
        <v>1</v>
      </c>
    </row>
    <row r="59" spans="1:102" x14ac:dyDescent="0.25">
      <c r="A59" t="s">
        <v>183</v>
      </c>
      <c r="B59">
        <v>6.062E-2</v>
      </c>
      <c r="C59">
        <v>1.042E-2</v>
      </c>
      <c r="D59">
        <v>1.042E-2</v>
      </c>
      <c r="E59">
        <v>1.042E-2</v>
      </c>
      <c r="F59">
        <v>1.042E-2</v>
      </c>
      <c r="G59">
        <v>2.7499999999999998E-3</v>
      </c>
      <c r="H59">
        <v>2.7499999999999998E-3</v>
      </c>
      <c r="I59">
        <v>2.7499999999999998E-3</v>
      </c>
      <c r="J59">
        <v>2.7499999999999998E-3</v>
      </c>
      <c r="K59">
        <v>2.7499999999999998E-3</v>
      </c>
      <c r="L59">
        <v>2.1700000000000001E-3</v>
      </c>
      <c r="M59">
        <v>2.1700000000000001E-3</v>
      </c>
      <c r="N59">
        <v>2.1700000000000001E-3</v>
      </c>
      <c r="O59">
        <v>2.1700000000000001E-3</v>
      </c>
      <c r="P59">
        <v>2.1700000000000001E-3</v>
      </c>
      <c r="Q59">
        <v>3.46E-3</v>
      </c>
      <c r="R59">
        <v>3.46E-3</v>
      </c>
      <c r="S59">
        <v>3.46E-3</v>
      </c>
      <c r="T59">
        <v>3.46E-3</v>
      </c>
      <c r="U59">
        <v>3.46E-3</v>
      </c>
      <c r="V59">
        <v>4.7699999999999999E-3</v>
      </c>
      <c r="W59">
        <v>4.7699999999999999E-3</v>
      </c>
      <c r="X59">
        <v>4.7699999999999999E-3</v>
      </c>
      <c r="Y59">
        <v>4.7699999999999999E-3</v>
      </c>
      <c r="Z59">
        <v>4.7699999999999999E-3</v>
      </c>
      <c r="AA59">
        <v>5.8100000000000001E-3</v>
      </c>
      <c r="AB59">
        <v>5.8100000000000001E-3</v>
      </c>
      <c r="AC59">
        <v>5.8100000000000001E-3</v>
      </c>
      <c r="AD59">
        <v>5.8100000000000001E-3</v>
      </c>
      <c r="AE59">
        <v>5.8100000000000001E-3</v>
      </c>
      <c r="AF59">
        <v>7.5700000000000003E-3</v>
      </c>
      <c r="AG59">
        <v>7.5700000000000003E-3</v>
      </c>
      <c r="AH59">
        <v>7.5700000000000003E-3</v>
      </c>
      <c r="AI59">
        <v>7.5700000000000003E-3</v>
      </c>
      <c r="AJ59">
        <v>7.5700000000000003E-3</v>
      </c>
      <c r="AK59">
        <v>9.4199999999999996E-3</v>
      </c>
      <c r="AL59">
        <v>9.4199999999999996E-3</v>
      </c>
      <c r="AM59">
        <v>9.4199999999999996E-3</v>
      </c>
      <c r="AN59">
        <v>9.4199999999999996E-3</v>
      </c>
      <c r="AO59">
        <v>9.4199999999999996E-3</v>
      </c>
      <c r="AP59">
        <v>1.1259999999999999E-2</v>
      </c>
      <c r="AQ59">
        <v>1.1259999999999999E-2</v>
      </c>
      <c r="AR59">
        <v>1.1259999999999999E-2</v>
      </c>
      <c r="AS59">
        <v>1.1259999999999999E-2</v>
      </c>
      <c r="AT59">
        <v>1.1259999999999999E-2</v>
      </c>
      <c r="AU59">
        <v>1.341E-2</v>
      </c>
      <c r="AV59">
        <v>1.341E-2</v>
      </c>
      <c r="AW59">
        <v>1.341E-2</v>
      </c>
      <c r="AX59">
        <v>1.341E-2</v>
      </c>
      <c r="AY59">
        <v>1.341E-2</v>
      </c>
      <c r="AZ59">
        <v>1.6979999999999999E-2</v>
      </c>
      <c r="BA59">
        <v>1.6979999999999999E-2</v>
      </c>
      <c r="BB59">
        <v>1.6979999999999999E-2</v>
      </c>
      <c r="BC59">
        <v>1.6979999999999999E-2</v>
      </c>
      <c r="BD59">
        <v>1.6979999999999999E-2</v>
      </c>
      <c r="BE59">
        <v>2.249E-2</v>
      </c>
      <c r="BF59">
        <v>2.249E-2</v>
      </c>
      <c r="BG59">
        <v>2.249E-2</v>
      </c>
      <c r="BH59">
        <v>2.249E-2</v>
      </c>
      <c r="BI59">
        <v>2.249E-2</v>
      </c>
      <c r="BJ59">
        <v>2.9149999999999999E-2</v>
      </c>
      <c r="BK59">
        <v>2.9149999999999999E-2</v>
      </c>
      <c r="BL59">
        <v>2.9149999999999999E-2</v>
      </c>
      <c r="BM59">
        <v>2.9149999999999999E-2</v>
      </c>
      <c r="BN59">
        <v>2.9149999999999999E-2</v>
      </c>
      <c r="BO59">
        <v>4.2000000000000003E-2</v>
      </c>
      <c r="BP59">
        <v>4.2000000000000003E-2</v>
      </c>
      <c r="BQ59">
        <v>4.2000000000000003E-2</v>
      </c>
      <c r="BR59">
        <v>4.2000000000000003E-2</v>
      </c>
      <c r="BS59">
        <v>4.2000000000000003E-2</v>
      </c>
      <c r="BT59">
        <v>6.293E-2</v>
      </c>
      <c r="BU59">
        <v>6.293E-2</v>
      </c>
      <c r="BV59">
        <v>6.293E-2</v>
      </c>
      <c r="BW59">
        <v>6.293E-2</v>
      </c>
      <c r="BX59">
        <v>6.293E-2</v>
      </c>
      <c r="BY59">
        <v>9.3659999999999993E-2</v>
      </c>
      <c r="BZ59">
        <v>9.3659999999999993E-2</v>
      </c>
      <c r="CA59">
        <v>9.3659999999999993E-2</v>
      </c>
      <c r="CB59">
        <v>9.3659999999999993E-2</v>
      </c>
      <c r="CC59">
        <v>9.3659999999999993E-2</v>
      </c>
      <c r="CD59">
        <v>0.14158000000000001</v>
      </c>
      <c r="CE59">
        <v>0.14158000000000001</v>
      </c>
      <c r="CF59">
        <v>0.14158000000000001</v>
      </c>
      <c r="CG59">
        <v>0.14158000000000001</v>
      </c>
      <c r="CH59">
        <v>0.14158000000000001</v>
      </c>
      <c r="CI59">
        <v>0.20849999999999999</v>
      </c>
      <c r="CJ59">
        <v>0.20849999999999999</v>
      </c>
      <c r="CK59">
        <v>0.20849999999999999</v>
      </c>
      <c r="CL59">
        <v>0.20849999999999999</v>
      </c>
      <c r="CM59">
        <v>0.20849999999999999</v>
      </c>
      <c r="CN59">
        <v>0.29909999999999998</v>
      </c>
      <c r="CO59">
        <v>0.29909999999999998</v>
      </c>
      <c r="CP59">
        <v>0.29909999999999998</v>
      </c>
      <c r="CQ59">
        <v>0.29909999999999998</v>
      </c>
      <c r="CR59">
        <v>0.29909999999999998</v>
      </c>
      <c r="CS59">
        <v>0.41787999999999997</v>
      </c>
      <c r="CT59">
        <v>0.41787999999999997</v>
      </c>
      <c r="CU59">
        <v>0.41787999999999997</v>
      </c>
      <c r="CV59">
        <v>0.41787999999999997</v>
      </c>
      <c r="CW59">
        <v>0.41787999999999997</v>
      </c>
      <c r="CX59">
        <v>1</v>
      </c>
    </row>
    <row r="60" spans="1:102" x14ac:dyDescent="0.25">
      <c r="A60" t="s">
        <v>185</v>
      </c>
      <c r="B60">
        <v>1.387E-2</v>
      </c>
      <c r="C60">
        <v>3.6999999999999999E-4</v>
      </c>
      <c r="D60">
        <v>3.6999999999999999E-4</v>
      </c>
      <c r="E60">
        <v>3.6999999999999999E-4</v>
      </c>
      <c r="F60">
        <v>3.6999999999999999E-4</v>
      </c>
      <c r="G60">
        <v>4.0000000000000002E-4</v>
      </c>
      <c r="H60">
        <v>4.0000000000000002E-4</v>
      </c>
      <c r="I60">
        <v>4.0000000000000002E-4</v>
      </c>
      <c r="J60">
        <v>4.0000000000000002E-4</v>
      </c>
      <c r="K60">
        <v>4.0000000000000002E-4</v>
      </c>
      <c r="L60">
        <v>3.8999999999999999E-4</v>
      </c>
      <c r="M60">
        <v>3.8999999999999999E-4</v>
      </c>
      <c r="N60">
        <v>3.8999999999999999E-4</v>
      </c>
      <c r="O60">
        <v>3.8999999999999999E-4</v>
      </c>
      <c r="P60">
        <v>3.8999999999999999E-4</v>
      </c>
      <c r="Q60">
        <v>7.6999999999999996E-4</v>
      </c>
      <c r="R60">
        <v>7.6999999999999996E-4</v>
      </c>
      <c r="S60">
        <v>7.6999999999999996E-4</v>
      </c>
      <c r="T60">
        <v>7.6999999999999996E-4</v>
      </c>
      <c r="U60">
        <v>7.6999999999999996E-4</v>
      </c>
      <c r="V60">
        <v>9.7000000000000005E-4</v>
      </c>
      <c r="W60">
        <v>9.7000000000000005E-4</v>
      </c>
      <c r="X60">
        <v>9.7000000000000005E-4</v>
      </c>
      <c r="Y60">
        <v>9.7000000000000005E-4</v>
      </c>
      <c r="Z60">
        <v>9.7000000000000005E-4</v>
      </c>
      <c r="AA60">
        <v>1.1199999999999999E-3</v>
      </c>
      <c r="AB60">
        <v>1.1199999999999999E-3</v>
      </c>
      <c r="AC60">
        <v>1.1199999999999999E-3</v>
      </c>
      <c r="AD60">
        <v>1.1199999999999999E-3</v>
      </c>
      <c r="AE60">
        <v>1.1199999999999999E-3</v>
      </c>
      <c r="AF60">
        <v>1.5E-3</v>
      </c>
      <c r="AG60">
        <v>1.5E-3</v>
      </c>
      <c r="AH60">
        <v>1.5E-3</v>
      </c>
      <c r="AI60">
        <v>1.5E-3</v>
      </c>
      <c r="AJ60">
        <v>1.5E-3</v>
      </c>
      <c r="AK60">
        <v>2.2200000000000002E-3</v>
      </c>
      <c r="AL60">
        <v>2.2200000000000002E-3</v>
      </c>
      <c r="AM60">
        <v>2.2200000000000002E-3</v>
      </c>
      <c r="AN60">
        <v>2.2200000000000002E-3</v>
      </c>
      <c r="AO60">
        <v>2.2200000000000002E-3</v>
      </c>
      <c r="AP60">
        <v>3.4299999999999999E-3</v>
      </c>
      <c r="AQ60">
        <v>3.4299999999999999E-3</v>
      </c>
      <c r="AR60">
        <v>3.4299999999999999E-3</v>
      </c>
      <c r="AS60">
        <v>3.4299999999999999E-3</v>
      </c>
      <c r="AT60">
        <v>3.4299999999999999E-3</v>
      </c>
      <c r="AU60">
        <v>5.2100000000000002E-3</v>
      </c>
      <c r="AV60">
        <v>5.2100000000000002E-3</v>
      </c>
      <c r="AW60">
        <v>5.2100000000000002E-3</v>
      </c>
      <c r="AX60">
        <v>5.2100000000000002E-3</v>
      </c>
      <c r="AY60">
        <v>5.2100000000000002E-3</v>
      </c>
      <c r="AZ60">
        <v>7.79E-3</v>
      </c>
      <c r="BA60">
        <v>7.79E-3</v>
      </c>
      <c r="BB60">
        <v>7.79E-3</v>
      </c>
      <c r="BC60">
        <v>7.79E-3</v>
      </c>
      <c r="BD60">
        <v>7.79E-3</v>
      </c>
      <c r="BE60">
        <v>1.123E-2</v>
      </c>
      <c r="BF60">
        <v>1.123E-2</v>
      </c>
      <c r="BG60">
        <v>1.123E-2</v>
      </c>
      <c r="BH60">
        <v>1.123E-2</v>
      </c>
      <c r="BI60">
        <v>1.123E-2</v>
      </c>
      <c r="BJ60">
        <v>1.7080000000000001E-2</v>
      </c>
      <c r="BK60">
        <v>1.7080000000000001E-2</v>
      </c>
      <c r="BL60">
        <v>1.7080000000000001E-2</v>
      </c>
      <c r="BM60">
        <v>1.7080000000000001E-2</v>
      </c>
      <c r="BN60">
        <v>1.7080000000000001E-2</v>
      </c>
      <c r="BO60">
        <v>2.554E-2</v>
      </c>
      <c r="BP60">
        <v>2.554E-2</v>
      </c>
      <c r="BQ60">
        <v>2.554E-2</v>
      </c>
      <c r="BR60">
        <v>2.554E-2</v>
      </c>
      <c r="BS60">
        <v>2.554E-2</v>
      </c>
      <c r="BT60">
        <v>4.0739999999999998E-2</v>
      </c>
      <c r="BU60">
        <v>4.0739999999999998E-2</v>
      </c>
      <c r="BV60">
        <v>4.0739999999999998E-2</v>
      </c>
      <c r="BW60">
        <v>4.0739999999999998E-2</v>
      </c>
      <c r="BX60">
        <v>4.0739999999999998E-2</v>
      </c>
      <c r="BY60">
        <v>6.5449999999999994E-2</v>
      </c>
      <c r="BZ60">
        <v>6.5449999999999994E-2</v>
      </c>
      <c r="CA60">
        <v>6.5449999999999994E-2</v>
      </c>
      <c r="CB60">
        <v>6.5449999999999994E-2</v>
      </c>
      <c r="CC60">
        <v>6.5449999999999994E-2</v>
      </c>
      <c r="CD60">
        <v>0.10928</v>
      </c>
      <c r="CE60">
        <v>0.10928</v>
      </c>
      <c r="CF60">
        <v>0.10928</v>
      </c>
      <c r="CG60">
        <v>0.10928</v>
      </c>
      <c r="CH60">
        <v>0.10928</v>
      </c>
      <c r="CI60">
        <v>0.17449999999999999</v>
      </c>
      <c r="CJ60">
        <v>0.17449999999999999</v>
      </c>
      <c r="CK60">
        <v>0.17449999999999999</v>
      </c>
      <c r="CL60">
        <v>0.17449999999999999</v>
      </c>
      <c r="CM60">
        <v>0.17449999999999999</v>
      </c>
      <c r="CN60">
        <v>0.26645999999999997</v>
      </c>
      <c r="CO60">
        <v>0.26645999999999997</v>
      </c>
      <c r="CP60">
        <v>0.26645999999999997</v>
      </c>
      <c r="CQ60">
        <v>0.26645999999999997</v>
      </c>
      <c r="CR60">
        <v>0.26645999999999997</v>
      </c>
      <c r="CS60">
        <v>0.38907999999999998</v>
      </c>
      <c r="CT60">
        <v>0.38907999999999998</v>
      </c>
      <c r="CU60">
        <v>0.38907999999999998</v>
      </c>
      <c r="CV60">
        <v>0.38907999999999998</v>
      </c>
      <c r="CW60">
        <v>0.38907999999999998</v>
      </c>
      <c r="CX60">
        <v>1</v>
      </c>
    </row>
    <row r="61" spans="1:102" x14ac:dyDescent="0.25">
      <c r="A61" t="s">
        <v>187</v>
      </c>
      <c r="B61">
        <v>2.7899999999999999E-3</v>
      </c>
      <c r="C61">
        <v>1.1E-4</v>
      </c>
      <c r="D61">
        <v>1.1E-4</v>
      </c>
      <c r="E61">
        <v>1.1E-4</v>
      </c>
      <c r="F61">
        <v>1.1E-4</v>
      </c>
      <c r="G61">
        <v>6.0000000000000002E-5</v>
      </c>
      <c r="H61">
        <v>6.0000000000000002E-5</v>
      </c>
      <c r="I61">
        <v>6.0000000000000002E-5</v>
      </c>
      <c r="J61">
        <v>6.0000000000000002E-5</v>
      </c>
      <c r="K61">
        <v>6.0000000000000002E-5</v>
      </c>
      <c r="L61">
        <v>1.2E-4</v>
      </c>
      <c r="M61">
        <v>1.2E-4</v>
      </c>
      <c r="N61">
        <v>1.2E-4</v>
      </c>
      <c r="O61">
        <v>1.2E-4</v>
      </c>
      <c r="P61">
        <v>1.2E-4</v>
      </c>
      <c r="Q61">
        <v>2.4000000000000001E-4</v>
      </c>
      <c r="R61">
        <v>2.4000000000000001E-4</v>
      </c>
      <c r="S61">
        <v>2.4000000000000001E-4</v>
      </c>
      <c r="T61">
        <v>2.4000000000000001E-4</v>
      </c>
      <c r="U61">
        <v>2.4000000000000001E-4</v>
      </c>
      <c r="V61">
        <v>3.3E-4</v>
      </c>
      <c r="W61">
        <v>3.3E-4</v>
      </c>
      <c r="X61">
        <v>3.3E-4</v>
      </c>
      <c r="Y61">
        <v>3.3E-4</v>
      </c>
      <c r="Z61">
        <v>3.3E-4</v>
      </c>
      <c r="AA61">
        <v>3.6999999999999999E-4</v>
      </c>
      <c r="AB61">
        <v>3.6999999999999999E-4</v>
      </c>
      <c r="AC61">
        <v>3.6999999999999999E-4</v>
      </c>
      <c r="AD61">
        <v>3.6999999999999999E-4</v>
      </c>
      <c r="AE61">
        <v>3.6999999999999999E-4</v>
      </c>
      <c r="AF61">
        <v>4.4000000000000002E-4</v>
      </c>
      <c r="AG61">
        <v>4.4000000000000002E-4</v>
      </c>
      <c r="AH61">
        <v>4.4000000000000002E-4</v>
      </c>
      <c r="AI61">
        <v>4.4000000000000002E-4</v>
      </c>
      <c r="AJ61">
        <v>4.4000000000000002E-4</v>
      </c>
      <c r="AK61">
        <v>5.9000000000000003E-4</v>
      </c>
      <c r="AL61">
        <v>5.9000000000000003E-4</v>
      </c>
      <c r="AM61">
        <v>5.9000000000000003E-4</v>
      </c>
      <c r="AN61">
        <v>5.9000000000000003E-4</v>
      </c>
      <c r="AO61">
        <v>5.9000000000000003E-4</v>
      </c>
      <c r="AP61">
        <v>1.1000000000000001E-3</v>
      </c>
      <c r="AQ61">
        <v>1.1000000000000001E-3</v>
      </c>
      <c r="AR61">
        <v>1.1000000000000001E-3</v>
      </c>
      <c r="AS61">
        <v>1.1000000000000001E-3</v>
      </c>
      <c r="AT61">
        <v>1.1000000000000001E-3</v>
      </c>
      <c r="AU61">
        <v>1.75E-3</v>
      </c>
      <c r="AV61">
        <v>1.75E-3</v>
      </c>
      <c r="AW61">
        <v>1.75E-3</v>
      </c>
      <c r="AX61">
        <v>1.75E-3</v>
      </c>
      <c r="AY61">
        <v>1.75E-3</v>
      </c>
      <c r="AZ61">
        <v>2.5799999999999998E-3</v>
      </c>
      <c r="BA61">
        <v>2.5799999999999998E-3</v>
      </c>
      <c r="BB61">
        <v>2.5799999999999998E-3</v>
      </c>
      <c r="BC61">
        <v>2.5799999999999998E-3</v>
      </c>
      <c r="BD61">
        <v>2.5799999999999998E-3</v>
      </c>
      <c r="BE61">
        <v>4.0699999999999998E-3</v>
      </c>
      <c r="BF61">
        <v>4.0699999999999998E-3</v>
      </c>
      <c r="BG61">
        <v>4.0699999999999998E-3</v>
      </c>
      <c r="BH61">
        <v>4.0699999999999998E-3</v>
      </c>
      <c r="BI61">
        <v>4.0699999999999998E-3</v>
      </c>
      <c r="BJ61">
        <v>5.7499999999999999E-3</v>
      </c>
      <c r="BK61">
        <v>5.7499999999999999E-3</v>
      </c>
      <c r="BL61">
        <v>5.7499999999999999E-3</v>
      </c>
      <c r="BM61">
        <v>5.7499999999999999E-3</v>
      </c>
      <c r="BN61">
        <v>5.7499999999999999E-3</v>
      </c>
      <c r="BO61">
        <v>8.5299999999999994E-3</v>
      </c>
      <c r="BP61">
        <v>8.5299999999999994E-3</v>
      </c>
      <c r="BQ61">
        <v>8.5299999999999994E-3</v>
      </c>
      <c r="BR61">
        <v>8.5299999999999994E-3</v>
      </c>
      <c r="BS61">
        <v>8.5299999999999994E-3</v>
      </c>
      <c r="BT61">
        <v>1.3820000000000001E-2</v>
      </c>
      <c r="BU61">
        <v>1.3820000000000001E-2</v>
      </c>
      <c r="BV61">
        <v>1.3820000000000001E-2</v>
      </c>
      <c r="BW61">
        <v>1.3820000000000001E-2</v>
      </c>
      <c r="BX61">
        <v>1.3820000000000001E-2</v>
      </c>
      <c r="BY61">
        <v>2.5579999999999999E-2</v>
      </c>
      <c r="BZ61">
        <v>2.5579999999999999E-2</v>
      </c>
      <c r="CA61">
        <v>2.5579999999999999E-2</v>
      </c>
      <c r="CB61">
        <v>2.5579999999999999E-2</v>
      </c>
      <c r="CC61">
        <v>2.5579999999999999E-2</v>
      </c>
      <c r="CD61">
        <v>5.2600000000000001E-2</v>
      </c>
      <c r="CE61">
        <v>5.2600000000000001E-2</v>
      </c>
      <c r="CF61">
        <v>5.2600000000000001E-2</v>
      </c>
      <c r="CG61">
        <v>5.2600000000000001E-2</v>
      </c>
      <c r="CH61">
        <v>5.2600000000000001E-2</v>
      </c>
      <c r="CI61">
        <v>0.10095</v>
      </c>
      <c r="CJ61">
        <v>0.10095</v>
      </c>
      <c r="CK61">
        <v>0.10095</v>
      </c>
      <c r="CL61">
        <v>0.10095</v>
      </c>
      <c r="CM61">
        <v>0.10095</v>
      </c>
      <c r="CN61">
        <v>0.18079000000000001</v>
      </c>
      <c r="CO61">
        <v>0.18079000000000001</v>
      </c>
      <c r="CP61">
        <v>0.18079000000000001</v>
      </c>
      <c r="CQ61">
        <v>0.18079000000000001</v>
      </c>
      <c r="CR61">
        <v>0.18079000000000001</v>
      </c>
      <c r="CS61">
        <v>0.30212</v>
      </c>
      <c r="CT61">
        <v>0.30212</v>
      </c>
      <c r="CU61">
        <v>0.30212</v>
      </c>
      <c r="CV61">
        <v>0.30212</v>
      </c>
      <c r="CW61">
        <v>0.30212</v>
      </c>
      <c r="CX61">
        <v>1</v>
      </c>
    </row>
    <row r="62" spans="1:102" x14ac:dyDescent="0.25">
      <c r="A62" t="s">
        <v>189</v>
      </c>
      <c r="B62">
        <v>3.0500000000000002E-3</v>
      </c>
      <c r="C62">
        <v>1.7000000000000001E-4</v>
      </c>
      <c r="D62">
        <v>1.7000000000000001E-4</v>
      </c>
      <c r="E62">
        <v>1.7000000000000001E-4</v>
      </c>
      <c r="F62">
        <v>1.7000000000000001E-4</v>
      </c>
      <c r="G62">
        <v>8.0000000000000007E-5</v>
      </c>
      <c r="H62">
        <v>8.0000000000000007E-5</v>
      </c>
      <c r="I62">
        <v>8.0000000000000007E-5</v>
      </c>
      <c r="J62">
        <v>8.0000000000000007E-5</v>
      </c>
      <c r="K62">
        <v>8.0000000000000007E-5</v>
      </c>
      <c r="L62">
        <v>8.0000000000000007E-5</v>
      </c>
      <c r="M62">
        <v>8.0000000000000007E-5</v>
      </c>
      <c r="N62">
        <v>8.0000000000000007E-5</v>
      </c>
      <c r="O62">
        <v>8.0000000000000007E-5</v>
      </c>
      <c r="P62">
        <v>8.0000000000000007E-5</v>
      </c>
      <c r="Q62">
        <v>1.7000000000000001E-4</v>
      </c>
      <c r="R62">
        <v>1.7000000000000001E-4</v>
      </c>
      <c r="S62">
        <v>1.7000000000000001E-4</v>
      </c>
      <c r="T62">
        <v>1.7000000000000001E-4</v>
      </c>
      <c r="U62">
        <v>1.7000000000000001E-4</v>
      </c>
      <c r="V62">
        <v>2.2000000000000001E-4</v>
      </c>
      <c r="W62">
        <v>2.2000000000000001E-4</v>
      </c>
      <c r="X62">
        <v>2.2000000000000001E-4</v>
      </c>
      <c r="Y62">
        <v>2.2000000000000001E-4</v>
      </c>
      <c r="Z62">
        <v>2.2000000000000001E-4</v>
      </c>
      <c r="AA62">
        <v>2.7E-4</v>
      </c>
      <c r="AB62">
        <v>2.7E-4</v>
      </c>
      <c r="AC62">
        <v>2.7E-4</v>
      </c>
      <c r="AD62">
        <v>2.7E-4</v>
      </c>
      <c r="AE62">
        <v>2.7E-4</v>
      </c>
      <c r="AF62">
        <v>4.2000000000000002E-4</v>
      </c>
      <c r="AG62">
        <v>4.2000000000000002E-4</v>
      </c>
      <c r="AH62">
        <v>4.2000000000000002E-4</v>
      </c>
      <c r="AI62">
        <v>4.2000000000000002E-4</v>
      </c>
      <c r="AJ62">
        <v>4.2000000000000002E-4</v>
      </c>
      <c r="AK62">
        <v>6.8000000000000005E-4</v>
      </c>
      <c r="AL62">
        <v>6.8000000000000005E-4</v>
      </c>
      <c r="AM62">
        <v>6.8000000000000005E-4</v>
      </c>
      <c r="AN62">
        <v>6.8000000000000005E-4</v>
      </c>
      <c r="AO62">
        <v>6.8000000000000005E-4</v>
      </c>
      <c r="AP62">
        <v>1.1299999999999999E-3</v>
      </c>
      <c r="AQ62">
        <v>1.1299999999999999E-3</v>
      </c>
      <c r="AR62">
        <v>1.1299999999999999E-3</v>
      </c>
      <c r="AS62">
        <v>1.1299999999999999E-3</v>
      </c>
      <c r="AT62">
        <v>1.1299999999999999E-3</v>
      </c>
      <c r="AU62">
        <v>1.83E-3</v>
      </c>
      <c r="AV62">
        <v>1.83E-3</v>
      </c>
      <c r="AW62">
        <v>1.83E-3</v>
      </c>
      <c r="AX62">
        <v>1.83E-3</v>
      </c>
      <c r="AY62">
        <v>1.83E-3</v>
      </c>
      <c r="AZ62">
        <v>2.7299999999999998E-3</v>
      </c>
      <c r="BA62">
        <v>2.7299999999999998E-3</v>
      </c>
      <c r="BB62">
        <v>2.7299999999999998E-3</v>
      </c>
      <c r="BC62">
        <v>2.7299999999999998E-3</v>
      </c>
      <c r="BD62">
        <v>2.7299999999999998E-3</v>
      </c>
      <c r="BE62">
        <v>3.6700000000000001E-3</v>
      </c>
      <c r="BF62">
        <v>3.6700000000000001E-3</v>
      </c>
      <c r="BG62">
        <v>3.6700000000000001E-3</v>
      </c>
      <c r="BH62">
        <v>3.6700000000000001E-3</v>
      </c>
      <c r="BI62">
        <v>3.6700000000000001E-3</v>
      </c>
      <c r="BJ62">
        <v>5.0000000000000001E-3</v>
      </c>
      <c r="BK62">
        <v>5.0000000000000001E-3</v>
      </c>
      <c r="BL62">
        <v>5.0000000000000001E-3</v>
      </c>
      <c r="BM62">
        <v>5.0000000000000001E-3</v>
      </c>
      <c r="BN62">
        <v>5.0000000000000001E-3</v>
      </c>
      <c r="BO62">
        <v>7.26E-3</v>
      </c>
      <c r="BP62">
        <v>7.26E-3</v>
      </c>
      <c r="BQ62">
        <v>7.26E-3</v>
      </c>
      <c r="BR62">
        <v>7.26E-3</v>
      </c>
      <c r="BS62">
        <v>7.26E-3</v>
      </c>
      <c r="BT62">
        <v>1.15E-2</v>
      </c>
      <c r="BU62">
        <v>1.15E-2</v>
      </c>
      <c r="BV62">
        <v>1.15E-2</v>
      </c>
      <c r="BW62">
        <v>1.15E-2</v>
      </c>
      <c r="BX62">
        <v>1.15E-2</v>
      </c>
      <c r="BY62">
        <v>2.0889999999999999E-2</v>
      </c>
      <c r="BZ62">
        <v>2.0889999999999999E-2</v>
      </c>
      <c r="CA62">
        <v>2.0889999999999999E-2</v>
      </c>
      <c r="CB62">
        <v>2.0889999999999999E-2</v>
      </c>
      <c r="CC62">
        <v>2.0889999999999999E-2</v>
      </c>
      <c r="CD62">
        <v>4.0529999999999997E-2</v>
      </c>
      <c r="CE62">
        <v>4.0529999999999997E-2</v>
      </c>
      <c r="CF62">
        <v>4.0529999999999997E-2</v>
      </c>
      <c r="CG62">
        <v>4.0529999999999997E-2</v>
      </c>
      <c r="CH62">
        <v>4.0529999999999997E-2</v>
      </c>
      <c r="CI62">
        <v>7.6100000000000001E-2</v>
      </c>
      <c r="CJ62">
        <v>7.6100000000000001E-2</v>
      </c>
      <c r="CK62">
        <v>7.6100000000000001E-2</v>
      </c>
      <c r="CL62">
        <v>7.6100000000000001E-2</v>
      </c>
      <c r="CM62">
        <v>7.6100000000000001E-2</v>
      </c>
      <c r="CN62">
        <v>0.13825000000000001</v>
      </c>
      <c r="CO62">
        <v>0.13825000000000001</v>
      </c>
      <c r="CP62">
        <v>0.13825000000000001</v>
      </c>
      <c r="CQ62">
        <v>0.13825000000000001</v>
      </c>
      <c r="CR62">
        <v>0.13825000000000001</v>
      </c>
      <c r="CS62">
        <v>0.24307000000000001</v>
      </c>
      <c r="CT62">
        <v>0.24307000000000001</v>
      </c>
      <c r="CU62">
        <v>0.24307000000000001</v>
      </c>
      <c r="CV62">
        <v>0.24307000000000001</v>
      </c>
      <c r="CW62">
        <v>0.24307000000000001</v>
      </c>
      <c r="CX62">
        <v>1</v>
      </c>
    </row>
    <row r="63" spans="1:102" x14ac:dyDescent="0.25">
      <c r="A63" t="s">
        <v>191</v>
      </c>
      <c r="B63">
        <v>4.2189999999999998E-2</v>
      </c>
      <c r="C63">
        <v>5.1000000000000004E-3</v>
      </c>
      <c r="D63">
        <v>5.1000000000000004E-3</v>
      </c>
      <c r="E63">
        <v>5.1000000000000004E-3</v>
      </c>
      <c r="F63">
        <v>5.1000000000000004E-3</v>
      </c>
      <c r="G63">
        <v>1.25E-3</v>
      </c>
      <c r="H63">
        <v>1.25E-3</v>
      </c>
      <c r="I63">
        <v>1.25E-3</v>
      </c>
      <c r="J63">
        <v>1.25E-3</v>
      </c>
      <c r="K63">
        <v>1.25E-3</v>
      </c>
      <c r="L63">
        <v>9.5E-4</v>
      </c>
      <c r="M63">
        <v>9.5E-4</v>
      </c>
      <c r="N63">
        <v>9.5E-4</v>
      </c>
      <c r="O63">
        <v>9.5E-4</v>
      </c>
      <c r="P63">
        <v>9.5E-4</v>
      </c>
      <c r="Q63">
        <v>1.15E-3</v>
      </c>
      <c r="R63">
        <v>1.15E-3</v>
      </c>
      <c r="S63">
        <v>1.15E-3</v>
      </c>
      <c r="T63">
        <v>1.15E-3</v>
      </c>
      <c r="U63">
        <v>1.15E-3</v>
      </c>
      <c r="V63">
        <v>2.5999999999999999E-3</v>
      </c>
      <c r="W63">
        <v>2.5999999999999999E-3</v>
      </c>
      <c r="X63">
        <v>2.5999999999999999E-3</v>
      </c>
      <c r="Y63">
        <v>2.5999999999999999E-3</v>
      </c>
      <c r="Z63">
        <v>2.5999999999999999E-3</v>
      </c>
      <c r="AA63">
        <v>5.1700000000000001E-3</v>
      </c>
      <c r="AB63">
        <v>5.1700000000000001E-3</v>
      </c>
      <c r="AC63">
        <v>5.1700000000000001E-3</v>
      </c>
      <c r="AD63">
        <v>5.1700000000000001E-3</v>
      </c>
      <c r="AE63">
        <v>5.1700000000000001E-3</v>
      </c>
      <c r="AF63">
        <v>7.28E-3</v>
      </c>
      <c r="AG63">
        <v>7.28E-3</v>
      </c>
      <c r="AH63">
        <v>7.28E-3</v>
      </c>
      <c r="AI63">
        <v>7.28E-3</v>
      </c>
      <c r="AJ63">
        <v>7.28E-3</v>
      </c>
      <c r="AK63">
        <v>7.6499999999999997E-3</v>
      </c>
      <c r="AL63">
        <v>7.6499999999999997E-3</v>
      </c>
      <c r="AM63">
        <v>7.6499999999999997E-3</v>
      </c>
      <c r="AN63">
        <v>7.6499999999999997E-3</v>
      </c>
      <c r="AO63">
        <v>7.6499999999999997E-3</v>
      </c>
      <c r="AP63">
        <v>7.4700000000000001E-3</v>
      </c>
      <c r="AQ63">
        <v>7.4700000000000001E-3</v>
      </c>
      <c r="AR63">
        <v>7.4700000000000001E-3</v>
      </c>
      <c r="AS63">
        <v>7.4700000000000001E-3</v>
      </c>
      <c r="AT63">
        <v>7.4700000000000001E-3</v>
      </c>
      <c r="AU63">
        <v>7.7000000000000002E-3</v>
      </c>
      <c r="AV63">
        <v>7.7000000000000002E-3</v>
      </c>
      <c r="AW63">
        <v>7.7000000000000002E-3</v>
      </c>
      <c r="AX63">
        <v>7.7000000000000002E-3</v>
      </c>
      <c r="AY63">
        <v>7.7000000000000002E-3</v>
      </c>
      <c r="AZ63">
        <v>9.2300000000000004E-3</v>
      </c>
      <c r="BA63">
        <v>9.2300000000000004E-3</v>
      </c>
      <c r="BB63">
        <v>9.2300000000000004E-3</v>
      </c>
      <c r="BC63">
        <v>9.2300000000000004E-3</v>
      </c>
      <c r="BD63">
        <v>9.2300000000000004E-3</v>
      </c>
      <c r="BE63">
        <v>1.2449999999999999E-2</v>
      </c>
      <c r="BF63">
        <v>1.2449999999999999E-2</v>
      </c>
      <c r="BG63">
        <v>1.2449999999999999E-2</v>
      </c>
      <c r="BH63">
        <v>1.2449999999999999E-2</v>
      </c>
      <c r="BI63">
        <v>1.2449999999999999E-2</v>
      </c>
      <c r="BJ63">
        <v>1.779E-2</v>
      </c>
      <c r="BK63">
        <v>1.779E-2</v>
      </c>
      <c r="BL63">
        <v>1.779E-2</v>
      </c>
      <c r="BM63">
        <v>1.779E-2</v>
      </c>
      <c r="BN63">
        <v>1.779E-2</v>
      </c>
      <c r="BO63">
        <v>2.8320000000000001E-2</v>
      </c>
      <c r="BP63">
        <v>2.8320000000000001E-2</v>
      </c>
      <c r="BQ63">
        <v>2.8320000000000001E-2</v>
      </c>
      <c r="BR63">
        <v>2.8320000000000001E-2</v>
      </c>
      <c r="BS63">
        <v>2.8320000000000001E-2</v>
      </c>
      <c r="BT63">
        <v>4.6879999999999998E-2</v>
      </c>
      <c r="BU63">
        <v>4.6879999999999998E-2</v>
      </c>
      <c r="BV63">
        <v>4.6879999999999998E-2</v>
      </c>
      <c r="BW63">
        <v>4.6879999999999998E-2</v>
      </c>
      <c r="BX63">
        <v>4.6879999999999998E-2</v>
      </c>
      <c r="BY63">
        <v>7.7679999999999999E-2</v>
      </c>
      <c r="BZ63">
        <v>7.7679999999999999E-2</v>
      </c>
      <c r="CA63">
        <v>7.7679999999999999E-2</v>
      </c>
      <c r="CB63">
        <v>7.7679999999999999E-2</v>
      </c>
      <c r="CC63">
        <v>7.7679999999999999E-2</v>
      </c>
      <c r="CD63">
        <v>0.12617999999999999</v>
      </c>
      <c r="CE63">
        <v>0.12617999999999999</v>
      </c>
      <c r="CF63">
        <v>0.12617999999999999</v>
      </c>
      <c r="CG63">
        <v>0.12617999999999999</v>
      </c>
      <c r="CH63">
        <v>0.12617999999999999</v>
      </c>
      <c r="CI63">
        <v>0.19617000000000001</v>
      </c>
      <c r="CJ63">
        <v>0.19617000000000001</v>
      </c>
      <c r="CK63">
        <v>0.19617000000000001</v>
      </c>
      <c r="CL63">
        <v>0.19617000000000001</v>
      </c>
      <c r="CM63">
        <v>0.19617000000000001</v>
      </c>
      <c r="CN63">
        <v>0.29187999999999997</v>
      </c>
      <c r="CO63">
        <v>0.29187999999999997</v>
      </c>
      <c r="CP63">
        <v>0.29187999999999997</v>
      </c>
      <c r="CQ63">
        <v>0.29187999999999997</v>
      </c>
      <c r="CR63">
        <v>0.29187999999999997</v>
      </c>
      <c r="CS63">
        <v>0.41552</v>
      </c>
      <c r="CT63">
        <v>0.41552</v>
      </c>
      <c r="CU63">
        <v>0.41552</v>
      </c>
      <c r="CV63">
        <v>0.41552</v>
      </c>
      <c r="CW63">
        <v>0.41552</v>
      </c>
      <c r="CX63">
        <v>1</v>
      </c>
    </row>
    <row r="64" spans="1:102" x14ac:dyDescent="0.25">
      <c r="A64" t="s">
        <v>193</v>
      </c>
      <c r="B64">
        <v>7.6730000000000007E-2</v>
      </c>
      <c r="C64">
        <v>6.2500000000000003E-3</v>
      </c>
      <c r="D64">
        <v>6.2500000000000003E-3</v>
      </c>
      <c r="E64">
        <v>6.2500000000000003E-3</v>
      </c>
      <c r="F64">
        <v>6.2500000000000003E-3</v>
      </c>
      <c r="G64">
        <v>1.8699999999999999E-3</v>
      </c>
      <c r="H64">
        <v>1.8699999999999999E-3</v>
      </c>
      <c r="I64">
        <v>1.8699999999999999E-3</v>
      </c>
      <c r="J64">
        <v>1.8699999999999999E-3</v>
      </c>
      <c r="K64">
        <v>1.8699999999999999E-3</v>
      </c>
      <c r="L64">
        <v>1.1800000000000001E-3</v>
      </c>
      <c r="M64">
        <v>1.1800000000000001E-3</v>
      </c>
      <c r="N64">
        <v>1.1800000000000001E-3</v>
      </c>
      <c r="O64">
        <v>1.1800000000000001E-3</v>
      </c>
      <c r="P64">
        <v>1.1800000000000001E-3</v>
      </c>
      <c r="Q64">
        <v>1.82E-3</v>
      </c>
      <c r="R64">
        <v>1.82E-3</v>
      </c>
      <c r="S64">
        <v>1.82E-3</v>
      </c>
      <c r="T64">
        <v>1.82E-3</v>
      </c>
      <c r="U64">
        <v>1.82E-3</v>
      </c>
      <c r="V64">
        <v>3.0500000000000002E-3</v>
      </c>
      <c r="W64">
        <v>3.0500000000000002E-3</v>
      </c>
      <c r="X64">
        <v>3.0500000000000002E-3</v>
      </c>
      <c r="Y64">
        <v>3.0500000000000002E-3</v>
      </c>
      <c r="Z64">
        <v>3.0500000000000002E-3</v>
      </c>
      <c r="AA64">
        <v>3.8400000000000001E-3</v>
      </c>
      <c r="AB64">
        <v>3.8400000000000001E-3</v>
      </c>
      <c r="AC64">
        <v>3.8400000000000001E-3</v>
      </c>
      <c r="AD64">
        <v>3.8400000000000001E-3</v>
      </c>
      <c r="AE64">
        <v>3.8400000000000001E-3</v>
      </c>
      <c r="AF64">
        <v>4.3200000000000001E-3</v>
      </c>
      <c r="AG64">
        <v>4.3200000000000001E-3</v>
      </c>
      <c r="AH64">
        <v>4.3200000000000001E-3</v>
      </c>
      <c r="AI64">
        <v>4.3200000000000001E-3</v>
      </c>
      <c r="AJ64">
        <v>4.3200000000000001E-3</v>
      </c>
      <c r="AK64">
        <v>4.9399999999999999E-3</v>
      </c>
      <c r="AL64">
        <v>4.9399999999999999E-3</v>
      </c>
      <c r="AM64">
        <v>4.9399999999999999E-3</v>
      </c>
      <c r="AN64">
        <v>4.9399999999999999E-3</v>
      </c>
      <c r="AO64">
        <v>4.9399999999999999E-3</v>
      </c>
      <c r="AP64">
        <v>5.7999999999999996E-3</v>
      </c>
      <c r="AQ64">
        <v>5.7999999999999996E-3</v>
      </c>
      <c r="AR64">
        <v>5.7999999999999996E-3</v>
      </c>
      <c r="AS64">
        <v>5.7999999999999996E-3</v>
      </c>
      <c r="AT64">
        <v>5.7999999999999996E-3</v>
      </c>
      <c r="AU64">
        <v>7.4200000000000004E-3</v>
      </c>
      <c r="AV64">
        <v>7.4200000000000004E-3</v>
      </c>
      <c r="AW64">
        <v>7.4200000000000004E-3</v>
      </c>
      <c r="AX64">
        <v>7.4200000000000004E-3</v>
      </c>
      <c r="AY64">
        <v>7.4200000000000004E-3</v>
      </c>
      <c r="AZ64">
        <v>1.026E-2</v>
      </c>
      <c r="BA64">
        <v>1.026E-2</v>
      </c>
      <c r="BB64">
        <v>1.026E-2</v>
      </c>
      <c r="BC64">
        <v>1.026E-2</v>
      </c>
      <c r="BD64">
        <v>1.026E-2</v>
      </c>
      <c r="BE64">
        <v>1.507E-2</v>
      </c>
      <c r="BF64">
        <v>1.507E-2</v>
      </c>
      <c r="BG64">
        <v>1.507E-2</v>
      </c>
      <c r="BH64">
        <v>1.507E-2</v>
      </c>
      <c r="BI64">
        <v>1.507E-2</v>
      </c>
      <c r="BJ64">
        <v>2.1430000000000001E-2</v>
      </c>
      <c r="BK64">
        <v>2.1430000000000001E-2</v>
      </c>
      <c r="BL64">
        <v>2.1430000000000001E-2</v>
      </c>
      <c r="BM64">
        <v>2.1430000000000001E-2</v>
      </c>
      <c r="BN64">
        <v>2.1430000000000001E-2</v>
      </c>
      <c r="BO64">
        <v>3.4270000000000002E-2</v>
      </c>
      <c r="BP64">
        <v>3.4270000000000002E-2</v>
      </c>
      <c r="BQ64">
        <v>3.4270000000000002E-2</v>
      </c>
      <c r="BR64">
        <v>3.4270000000000002E-2</v>
      </c>
      <c r="BS64">
        <v>3.4270000000000002E-2</v>
      </c>
      <c r="BT64">
        <v>5.5660000000000001E-2</v>
      </c>
      <c r="BU64">
        <v>5.5660000000000001E-2</v>
      </c>
      <c r="BV64">
        <v>5.5660000000000001E-2</v>
      </c>
      <c r="BW64">
        <v>5.5660000000000001E-2</v>
      </c>
      <c r="BX64">
        <v>5.5660000000000001E-2</v>
      </c>
      <c r="BY64">
        <v>8.8739999999999999E-2</v>
      </c>
      <c r="BZ64">
        <v>8.8739999999999999E-2</v>
      </c>
      <c r="CA64">
        <v>8.8739999999999999E-2</v>
      </c>
      <c r="CB64">
        <v>8.8739999999999999E-2</v>
      </c>
      <c r="CC64">
        <v>8.8739999999999999E-2</v>
      </c>
      <c r="CD64">
        <v>0.13789999999999999</v>
      </c>
      <c r="CE64">
        <v>0.13789999999999999</v>
      </c>
      <c r="CF64">
        <v>0.13789999999999999</v>
      </c>
      <c r="CG64">
        <v>0.13789999999999999</v>
      </c>
      <c r="CH64">
        <v>0.13789999999999999</v>
      </c>
      <c r="CI64">
        <v>0.20707</v>
      </c>
      <c r="CJ64">
        <v>0.20707</v>
      </c>
      <c r="CK64">
        <v>0.20707</v>
      </c>
      <c r="CL64">
        <v>0.20707</v>
      </c>
      <c r="CM64">
        <v>0.20707</v>
      </c>
      <c r="CN64">
        <v>0.30053999999999997</v>
      </c>
      <c r="CO64">
        <v>0.30053999999999997</v>
      </c>
      <c r="CP64">
        <v>0.30053999999999997</v>
      </c>
      <c r="CQ64">
        <v>0.30053999999999997</v>
      </c>
      <c r="CR64">
        <v>0.30053999999999997</v>
      </c>
      <c r="CS64">
        <v>0.42157</v>
      </c>
      <c r="CT64">
        <v>0.42157</v>
      </c>
      <c r="CU64">
        <v>0.42157</v>
      </c>
      <c r="CV64">
        <v>0.42157</v>
      </c>
      <c r="CW64">
        <v>0.42157</v>
      </c>
      <c r="CX64">
        <v>1</v>
      </c>
    </row>
    <row r="65" spans="1:102" x14ac:dyDescent="0.25">
      <c r="A65" t="s">
        <v>195</v>
      </c>
      <c r="B65">
        <v>2.3869999999999999E-2</v>
      </c>
      <c r="C65">
        <v>7.1000000000000002E-4</v>
      </c>
      <c r="D65">
        <v>7.1000000000000002E-4</v>
      </c>
      <c r="E65">
        <v>7.1000000000000002E-4</v>
      </c>
      <c r="F65">
        <v>7.1000000000000002E-4</v>
      </c>
      <c r="G65">
        <v>3.8999999999999999E-4</v>
      </c>
      <c r="H65">
        <v>3.8999999999999999E-4</v>
      </c>
      <c r="I65">
        <v>3.8999999999999999E-4</v>
      </c>
      <c r="J65">
        <v>3.8999999999999999E-4</v>
      </c>
      <c r="K65">
        <v>3.8999999999999999E-4</v>
      </c>
      <c r="L65">
        <v>3.5E-4</v>
      </c>
      <c r="M65">
        <v>3.5E-4</v>
      </c>
      <c r="N65">
        <v>3.5E-4</v>
      </c>
      <c r="O65">
        <v>3.5E-4</v>
      </c>
      <c r="P65">
        <v>3.5E-4</v>
      </c>
      <c r="Q65">
        <v>4.6000000000000001E-4</v>
      </c>
      <c r="R65">
        <v>4.6000000000000001E-4</v>
      </c>
      <c r="S65">
        <v>4.6000000000000001E-4</v>
      </c>
      <c r="T65">
        <v>4.6000000000000001E-4</v>
      </c>
      <c r="U65">
        <v>4.6000000000000001E-4</v>
      </c>
      <c r="V65">
        <v>8.0000000000000004E-4</v>
      </c>
      <c r="W65">
        <v>8.0000000000000004E-4</v>
      </c>
      <c r="X65">
        <v>8.0000000000000004E-4</v>
      </c>
      <c r="Y65">
        <v>8.0000000000000004E-4</v>
      </c>
      <c r="Z65">
        <v>8.0000000000000004E-4</v>
      </c>
      <c r="AA65">
        <v>7.9000000000000001E-4</v>
      </c>
      <c r="AB65">
        <v>7.9000000000000001E-4</v>
      </c>
      <c r="AC65">
        <v>7.9000000000000001E-4</v>
      </c>
      <c r="AD65">
        <v>7.9000000000000001E-4</v>
      </c>
      <c r="AE65">
        <v>7.9000000000000001E-4</v>
      </c>
      <c r="AF65">
        <v>1.07E-3</v>
      </c>
      <c r="AG65">
        <v>1.07E-3</v>
      </c>
      <c r="AH65">
        <v>1.07E-3</v>
      </c>
      <c r="AI65">
        <v>1.07E-3</v>
      </c>
      <c r="AJ65">
        <v>1.07E-3</v>
      </c>
      <c r="AK65">
        <v>1.47E-3</v>
      </c>
      <c r="AL65">
        <v>1.47E-3</v>
      </c>
      <c r="AM65">
        <v>1.47E-3</v>
      </c>
      <c r="AN65">
        <v>1.47E-3</v>
      </c>
      <c r="AO65">
        <v>1.47E-3</v>
      </c>
      <c r="AP65">
        <v>2.3700000000000001E-3</v>
      </c>
      <c r="AQ65">
        <v>2.3700000000000001E-3</v>
      </c>
      <c r="AR65">
        <v>2.3700000000000001E-3</v>
      </c>
      <c r="AS65">
        <v>2.3700000000000001E-3</v>
      </c>
      <c r="AT65">
        <v>2.3700000000000001E-3</v>
      </c>
      <c r="AU65">
        <v>2.82E-3</v>
      </c>
      <c r="AV65">
        <v>2.82E-3</v>
      </c>
      <c r="AW65">
        <v>2.82E-3</v>
      </c>
      <c r="AX65">
        <v>2.82E-3</v>
      </c>
      <c r="AY65">
        <v>2.82E-3</v>
      </c>
      <c r="AZ65">
        <v>4.1900000000000001E-3</v>
      </c>
      <c r="BA65">
        <v>4.1900000000000001E-3</v>
      </c>
      <c r="BB65">
        <v>4.1900000000000001E-3</v>
      </c>
      <c r="BC65">
        <v>4.1900000000000001E-3</v>
      </c>
      <c r="BD65">
        <v>4.1900000000000001E-3</v>
      </c>
      <c r="BE65">
        <v>6.5399999999999998E-3</v>
      </c>
      <c r="BF65">
        <v>6.5399999999999998E-3</v>
      </c>
      <c r="BG65">
        <v>6.5399999999999998E-3</v>
      </c>
      <c r="BH65">
        <v>6.5399999999999998E-3</v>
      </c>
      <c r="BI65">
        <v>6.5399999999999998E-3</v>
      </c>
      <c r="BJ65">
        <v>1.1440000000000001E-2</v>
      </c>
      <c r="BK65">
        <v>1.1440000000000001E-2</v>
      </c>
      <c r="BL65">
        <v>1.1440000000000001E-2</v>
      </c>
      <c r="BM65">
        <v>1.1440000000000001E-2</v>
      </c>
      <c r="BN65">
        <v>1.1440000000000001E-2</v>
      </c>
      <c r="BO65">
        <v>2.971E-2</v>
      </c>
      <c r="BP65">
        <v>2.971E-2</v>
      </c>
      <c r="BQ65">
        <v>2.971E-2</v>
      </c>
      <c r="BR65">
        <v>2.971E-2</v>
      </c>
      <c r="BS65">
        <v>2.971E-2</v>
      </c>
      <c r="BT65">
        <v>3.2390000000000002E-2</v>
      </c>
      <c r="BU65">
        <v>3.2390000000000002E-2</v>
      </c>
      <c r="BV65">
        <v>3.2390000000000002E-2</v>
      </c>
      <c r="BW65">
        <v>3.2390000000000002E-2</v>
      </c>
      <c r="BX65">
        <v>3.2390000000000002E-2</v>
      </c>
      <c r="BY65">
        <v>6.5199999999999994E-2</v>
      </c>
      <c r="BZ65">
        <v>6.5199999999999994E-2</v>
      </c>
      <c r="CA65">
        <v>6.5199999999999994E-2</v>
      </c>
      <c r="CB65">
        <v>6.5199999999999994E-2</v>
      </c>
      <c r="CC65">
        <v>6.5199999999999994E-2</v>
      </c>
      <c r="CD65">
        <v>8.5510000000000003E-2</v>
      </c>
      <c r="CE65">
        <v>8.5510000000000003E-2</v>
      </c>
      <c r="CF65">
        <v>8.5510000000000003E-2</v>
      </c>
      <c r="CG65">
        <v>8.5510000000000003E-2</v>
      </c>
      <c r="CH65">
        <v>8.5510000000000003E-2</v>
      </c>
      <c r="CI65">
        <v>0.11814</v>
      </c>
      <c r="CJ65">
        <v>0.11814</v>
      </c>
      <c r="CK65">
        <v>0.11814</v>
      </c>
      <c r="CL65">
        <v>0.11814</v>
      </c>
      <c r="CM65">
        <v>0.11814</v>
      </c>
      <c r="CN65">
        <v>0.17197000000000001</v>
      </c>
      <c r="CO65">
        <v>0.17197000000000001</v>
      </c>
      <c r="CP65">
        <v>0.17197000000000001</v>
      </c>
      <c r="CQ65">
        <v>0.17197000000000001</v>
      </c>
      <c r="CR65">
        <v>0.17197000000000001</v>
      </c>
      <c r="CS65">
        <v>0.26372000000000001</v>
      </c>
      <c r="CT65">
        <v>0.26372000000000001</v>
      </c>
      <c r="CU65">
        <v>0.26372000000000001</v>
      </c>
      <c r="CV65">
        <v>0.26372000000000001</v>
      </c>
      <c r="CW65">
        <v>0.26372000000000001</v>
      </c>
      <c r="CX65">
        <v>1</v>
      </c>
    </row>
    <row r="66" spans="1:102" x14ac:dyDescent="0.25">
      <c r="A66" t="s">
        <v>197</v>
      </c>
      <c r="B66">
        <v>9.7912499999999996E-3</v>
      </c>
      <c r="C66">
        <v>3.5649999999999999E-4</v>
      </c>
      <c r="D66">
        <v>3.5649999999999999E-4</v>
      </c>
      <c r="E66">
        <v>3.5649999999999999E-4</v>
      </c>
      <c r="F66">
        <v>3.5649999999999999E-4</v>
      </c>
      <c r="G66">
        <v>1.7899999999999999E-4</v>
      </c>
      <c r="H66">
        <v>1.7899999999999999E-4</v>
      </c>
      <c r="I66">
        <v>1.7899999999999999E-4</v>
      </c>
      <c r="J66">
        <v>1.7899999999999999E-4</v>
      </c>
      <c r="K66">
        <v>1.7899999999999999E-4</v>
      </c>
      <c r="L66">
        <v>1.8075E-4</v>
      </c>
      <c r="M66">
        <v>1.8075E-4</v>
      </c>
      <c r="N66">
        <v>1.8075E-4</v>
      </c>
      <c r="O66">
        <v>1.8075E-4</v>
      </c>
      <c r="P66">
        <v>1.8075E-4</v>
      </c>
      <c r="Q66">
        <v>3.0775000000000003E-4</v>
      </c>
      <c r="R66">
        <v>3.0775000000000003E-4</v>
      </c>
      <c r="S66">
        <v>3.0775000000000003E-4</v>
      </c>
      <c r="T66">
        <v>3.0775000000000003E-4</v>
      </c>
      <c r="U66">
        <v>3.0775000000000003E-4</v>
      </c>
      <c r="V66">
        <v>4.2025E-4</v>
      </c>
      <c r="W66">
        <v>4.2025E-4</v>
      </c>
      <c r="X66">
        <v>4.2025E-4</v>
      </c>
      <c r="Y66">
        <v>4.2025E-4</v>
      </c>
      <c r="Z66">
        <v>4.2025E-4</v>
      </c>
      <c r="AA66">
        <v>5.2674999999999998E-4</v>
      </c>
      <c r="AB66">
        <v>5.2674999999999998E-4</v>
      </c>
      <c r="AC66">
        <v>5.2674999999999998E-4</v>
      </c>
      <c r="AD66">
        <v>5.2674999999999998E-4</v>
      </c>
      <c r="AE66">
        <v>5.2674999999999998E-4</v>
      </c>
      <c r="AF66">
        <v>7.3850000000000001E-4</v>
      </c>
      <c r="AG66">
        <v>7.3850000000000001E-4</v>
      </c>
      <c r="AH66">
        <v>7.3850000000000001E-4</v>
      </c>
      <c r="AI66">
        <v>7.3850000000000001E-4</v>
      </c>
      <c r="AJ66">
        <v>7.3850000000000001E-4</v>
      </c>
      <c r="AK66">
        <v>1.0690000000000001E-3</v>
      </c>
      <c r="AL66">
        <v>1.0690000000000001E-3</v>
      </c>
      <c r="AM66">
        <v>1.0690000000000001E-3</v>
      </c>
      <c r="AN66">
        <v>1.0690000000000001E-3</v>
      </c>
      <c r="AO66">
        <v>1.0690000000000001E-3</v>
      </c>
      <c r="AP66">
        <v>1.622E-3</v>
      </c>
      <c r="AQ66">
        <v>1.622E-3</v>
      </c>
      <c r="AR66">
        <v>1.622E-3</v>
      </c>
      <c r="AS66">
        <v>1.622E-3</v>
      </c>
      <c r="AT66">
        <v>1.622E-3</v>
      </c>
      <c r="AU66">
        <v>2.5685E-3</v>
      </c>
      <c r="AV66">
        <v>2.5685E-3</v>
      </c>
      <c r="AW66">
        <v>2.5685E-3</v>
      </c>
      <c r="AX66">
        <v>2.5685E-3</v>
      </c>
      <c r="AY66">
        <v>2.5685E-3</v>
      </c>
      <c r="AZ66">
        <v>4.117E-3</v>
      </c>
      <c r="BA66">
        <v>4.117E-3</v>
      </c>
      <c r="BB66">
        <v>4.117E-3</v>
      </c>
      <c r="BC66">
        <v>4.117E-3</v>
      </c>
      <c r="BD66">
        <v>4.117E-3</v>
      </c>
      <c r="BE66">
        <v>6.4475000000000001E-3</v>
      </c>
      <c r="BF66">
        <v>6.4475000000000001E-3</v>
      </c>
      <c r="BG66">
        <v>6.4475000000000001E-3</v>
      </c>
      <c r="BH66">
        <v>6.4475000000000001E-3</v>
      </c>
      <c r="BI66">
        <v>6.4475000000000001E-3</v>
      </c>
      <c r="BJ66">
        <v>9.7327500000000001E-3</v>
      </c>
      <c r="BK66">
        <v>9.7327500000000001E-3</v>
      </c>
      <c r="BL66">
        <v>9.7327500000000001E-3</v>
      </c>
      <c r="BM66">
        <v>9.7327500000000001E-3</v>
      </c>
      <c r="BN66">
        <v>9.7327500000000001E-3</v>
      </c>
      <c r="BO66">
        <v>1.5950249999999999E-2</v>
      </c>
      <c r="BP66">
        <v>1.5950249999999999E-2</v>
      </c>
      <c r="BQ66">
        <v>1.5950249999999999E-2</v>
      </c>
      <c r="BR66">
        <v>1.5950249999999999E-2</v>
      </c>
      <c r="BS66">
        <v>1.5950249999999999E-2</v>
      </c>
      <c r="BT66">
        <v>2.6643500000000001E-2</v>
      </c>
      <c r="BU66">
        <v>2.6643500000000001E-2</v>
      </c>
      <c r="BV66">
        <v>2.6643500000000001E-2</v>
      </c>
      <c r="BW66">
        <v>2.6643500000000001E-2</v>
      </c>
      <c r="BX66">
        <v>2.6643500000000001E-2</v>
      </c>
      <c r="BY66">
        <v>4.6877250000000002E-2</v>
      </c>
      <c r="BZ66">
        <v>4.6877250000000002E-2</v>
      </c>
      <c r="CA66">
        <v>4.6877250000000002E-2</v>
      </c>
      <c r="CB66">
        <v>4.6877250000000002E-2</v>
      </c>
      <c r="CC66">
        <v>4.6877250000000002E-2</v>
      </c>
      <c r="CD66">
        <v>8.3014249999999998E-2</v>
      </c>
      <c r="CE66">
        <v>8.3014249999999998E-2</v>
      </c>
      <c r="CF66">
        <v>8.3014249999999998E-2</v>
      </c>
      <c r="CG66">
        <v>8.3014249999999998E-2</v>
      </c>
      <c r="CH66">
        <v>8.3014249999999998E-2</v>
      </c>
      <c r="CI66">
        <v>0.14132575</v>
      </c>
      <c r="CJ66">
        <v>0.14132575</v>
      </c>
      <c r="CK66">
        <v>0.14132575</v>
      </c>
      <c r="CL66">
        <v>0.14132575</v>
      </c>
      <c r="CM66">
        <v>0.14132575</v>
      </c>
      <c r="CN66">
        <v>0.22859225</v>
      </c>
      <c r="CO66">
        <v>0.22859225</v>
      </c>
      <c r="CP66">
        <v>0.22859225</v>
      </c>
      <c r="CQ66">
        <v>0.22859225</v>
      </c>
      <c r="CR66">
        <v>0.22859225</v>
      </c>
      <c r="CS66">
        <v>0.34928749999999997</v>
      </c>
      <c r="CT66">
        <v>0.34928749999999997</v>
      </c>
      <c r="CU66">
        <v>0.34928749999999997</v>
      </c>
      <c r="CV66">
        <v>0.34928749999999997</v>
      </c>
      <c r="CW66">
        <v>0.34928749999999997</v>
      </c>
      <c r="CX66">
        <v>1</v>
      </c>
    </row>
    <row r="67" spans="1:102" x14ac:dyDescent="0.25">
      <c r="A67" t="s">
        <v>199</v>
      </c>
      <c r="B67">
        <v>4.4060000000000002E-2</v>
      </c>
      <c r="C67">
        <v>4.8599999999999997E-3</v>
      </c>
      <c r="D67">
        <v>4.8599999999999997E-3</v>
      </c>
      <c r="E67">
        <v>4.8599999999999997E-3</v>
      </c>
      <c r="F67">
        <v>4.8599999999999997E-3</v>
      </c>
      <c r="G67">
        <v>1.3799999999999999E-3</v>
      </c>
      <c r="H67">
        <v>1.3799999999999999E-3</v>
      </c>
      <c r="I67">
        <v>1.3799999999999999E-3</v>
      </c>
      <c r="J67">
        <v>1.3799999999999999E-3</v>
      </c>
      <c r="K67">
        <v>1.3799999999999999E-3</v>
      </c>
      <c r="L67">
        <v>1.07E-3</v>
      </c>
      <c r="M67">
        <v>1.07E-3</v>
      </c>
      <c r="N67">
        <v>1.07E-3</v>
      </c>
      <c r="O67">
        <v>1.07E-3</v>
      </c>
      <c r="P67">
        <v>1.07E-3</v>
      </c>
      <c r="Q67">
        <v>1.5399999999999999E-3</v>
      </c>
      <c r="R67">
        <v>1.5399999999999999E-3</v>
      </c>
      <c r="S67">
        <v>1.5399999999999999E-3</v>
      </c>
      <c r="T67">
        <v>1.5399999999999999E-3</v>
      </c>
      <c r="U67">
        <v>1.5399999999999999E-3</v>
      </c>
      <c r="V67">
        <v>2.4199999999999998E-3</v>
      </c>
      <c r="W67">
        <v>2.4199999999999998E-3</v>
      </c>
      <c r="X67">
        <v>2.4199999999999998E-3</v>
      </c>
      <c r="Y67">
        <v>2.4199999999999998E-3</v>
      </c>
      <c r="Z67">
        <v>2.4199999999999998E-3</v>
      </c>
      <c r="AA67">
        <v>3.62E-3</v>
      </c>
      <c r="AB67">
        <v>3.62E-3</v>
      </c>
      <c r="AC67">
        <v>3.62E-3</v>
      </c>
      <c r="AD67">
        <v>3.62E-3</v>
      </c>
      <c r="AE67">
        <v>3.62E-3</v>
      </c>
      <c r="AF67">
        <v>5.1599999999999997E-3</v>
      </c>
      <c r="AG67">
        <v>5.1599999999999997E-3</v>
      </c>
      <c r="AH67">
        <v>5.1599999999999997E-3</v>
      </c>
      <c r="AI67">
        <v>5.1599999999999997E-3</v>
      </c>
      <c r="AJ67">
        <v>5.1599999999999997E-3</v>
      </c>
      <c r="AK67">
        <v>5.94E-3</v>
      </c>
      <c r="AL67">
        <v>5.94E-3</v>
      </c>
      <c r="AM67">
        <v>5.94E-3</v>
      </c>
      <c r="AN67">
        <v>5.94E-3</v>
      </c>
      <c r="AO67">
        <v>5.94E-3</v>
      </c>
      <c r="AP67">
        <v>6.7299999999999999E-3</v>
      </c>
      <c r="AQ67">
        <v>6.7299999999999999E-3</v>
      </c>
      <c r="AR67">
        <v>6.7299999999999999E-3</v>
      </c>
      <c r="AS67">
        <v>6.7299999999999999E-3</v>
      </c>
      <c r="AT67">
        <v>6.7299999999999999E-3</v>
      </c>
      <c r="AU67">
        <v>8.0199999999999994E-3</v>
      </c>
      <c r="AV67">
        <v>8.0199999999999994E-3</v>
      </c>
      <c r="AW67">
        <v>8.0199999999999994E-3</v>
      </c>
      <c r="AX67">
        <v>8.0199999999999994E-3</v>
      </c>
      <c r="AY67">
        <v>8.0199999999999994E-3</v>
      </c>
      <c r="AZ67">
        <v>1.048E-2</v>
      </c>
      <c r="BA67">
        <v>1.048E-2</v>
      </c>
      <c r="BB67">
        <v>1.048E-2</v>
      </c>
      <c r="BC67">
        <v>1.048E-2</v>
      </c>
      <c r="BD67">
        <v>1.048E-2</v>
      </c>
      <c r="BE67">
        <v>1.455E-2</v>
      </c>
      <c r="BF67">
        <v>1.455E-2</v>
      </c>
      <c r="BG67">
        <v>1.455E-2</v>
      </c>
      <c r="BH67">
        <v>1.455E-2</v>
      </c>
      <c r="BI67">
        <v>1.455E-2</v>
      </c>
      <c r="BJ67">
        <v>2.0549999999999999E-2</v>
      </c>
      <c r="BK67">
        <v>2.0549999999999999E-2</v>
      </c>
      <c r="BL67">
        <v>2.0549999999999999E-2</v>
      </c>
      <c r="BM67">
        <v>2.0549999999999999E-2</v>
      </c>
      <c r="BN67">
        <v>2.0549999999999999E-2</v>
      </c>
      <c r="BO67">
        <v>3.193E-2</v>
      </c>
      <c r="BP67">
        <v>3.193E-2</v>
      </c>
      <c r="BQ67">
        <v>3.193E-2</v>
      </c>
      <c r="BR67">
        <v>3.193E-2</v>
      </c>
      <c r="BS67">
        <v>3.193E-2</v>
      </c>
      <c r="BT67">
        <v>5.151E-2</v>
      </c>
      <c r="BU67">
        <v>5.151E-2</v>
      </c>
      <c r="BV67">
        <v>5.151E-2</v>
      </c>
      <c r="BW67">
        <v>5.151E-2</v>
      </c>
      <c r="BX67">
        <v>5.151E-2</v>
      </c>
      <c r="BY67">
        <v>8.2379999999999995E-2</v>
      </c>
      <c r="BZ67">
        <v>8.2379999999999995E-2</v>
      </c>
      <c r="CA67">
        <v>8.2379999999999995E-2</v>
      </c>
      <c r="CB67">
        <v>8.2379999999999995E-2</v>
      </c>
      <c r="CC67">
        <v>8.2379999999999995E-2</v>
      </c>
      <c r="CD67">
        <v>0.13055</v>
      </c>
      <c r="CE67">
        <v>0.13055</v>
      </c>
      <c r="CF67">
        <v>0.13055</v>
      </c>
      <c r="CG67">
        <v>0.13055</v>
      </c>
      <c r="CH67">
        <v>0.13055</v>
      </c>
      <c r="CI67">
        <v>0.19928000000000001</v>
      </c>
      <c r="CJ67">
        <v>0.19928000000000001</v>
      </c>
      <c r="CK67">
        <v>0.19928000000000001</v>
      </c>
      <c r="CL67">
        <v>0.19928000000000001</v>
      </c>
      <c r="CM67">
        <v>0.19928000000000001</v>
      </c>
      <c r="CN67">
        <v>0.29297000000000001</v>
      </c>
      <c r="CO67">
        <v>0.29297000000000001</v>
      </c>
      <c r="CP67">
        <v>0.29297000000000001</v>
      </c>
      <c r="CQ67">
        <v>0.29297000000000001</v>
      </c>
      <c r="CR67">
        <v>0.29297000000000001</v>
      </c>
      <c r="CS67">
        <v>0.41477000000000003</v>
      </c>
      <c r="CT67">
        <v>0.41477000000000003</v>
      </c>
      <c r="CU67">
        <v>0.41477000000000003</v>
      </c>
      <c r="CV67">
        <v>0.41477000000000003</v>
      </c>
      <c r="CW67">
        <v>0.41477000000000003</v>
      </c>
      <c r="CX67">
        <v>1</v>
      </c>
    </row>
    <row r="68" spans="1:102" x14ac:dyDescent="0.25">
      <c r="A68" t="s">
        <v>201</v>
      </c>
      <c r="B68">
        <v>2.9299999999999999E-3</v>
      </c>
      <c r="C68">
        <v>1.7000000000000001E-4</v>
      </c>
      <c r="D68">
        <v>1.7000000000000001E-4</v>
      </c>
      <c r="E68">
        <v>1.7000000000000001E-4</v>
      </c>
      <c r="F68">
        <v>1.7000000000000001E-4</v>
      </c>
      <c r="G68">
        <v>1.2E-4</v>
      </c>
      <c r="H68">
        <v>1.2E-4</v>
      </c>
      <c r="I68">
        <v>1.2E-4</v>
      </c>
      <c r="J68">
        <v>1.2E-4</v>
      </c>
      <c r="K68">
        <v>1.2E-4</v>
      </c>
      <c r="L68">
        <v>1E-4</v>
      </c>
      <c r="M68">
        <v>1E-4</v>
      </c>
      <c r="N68">
        <v>1E-4</v>
      </c>
      <c r="O68">
        <v>1E-4</v>
      </c>
      <c r="P68">
        <v>1E-4</v>
      </c>
      <c r="Q68">
        <v>1.9000000000000001E-4</v>
      </c>
      <c r="R68">
        <v>1.9000000000000001E-4</v>
      </c>
      <c r="S68">
        <v>1.9000000000000001E-4</v>
      </c>
      <c r="T68">
        <v>1.9000000000000001E-4</v>
      </c>
      <c r="U68">
        <v>1.9000000000000001E-4</v>
      </c>
      <c r="V68">
        <v>2.7E-4</v>
      </c>
      <c r="W68">
        <v>2.7E-4</v>
      </c>
      <c r="X68">
        <v>2.7E-4</v>
      </c>
      <c r="Y68">
        <v>2.7E-4</v>
      </c>
      <c r="Z68">
        <v>2.7E-4</v>
      </c>
      <c r="AA68">
        <v>3.4000000000000002E-4</v>
      </c>
      <c r="AB68">
        <v>3.4000000000000002E-4</v>
      </c>
      <c r="AC68">
        <v>3.4000000000000002E-4</v>
      </c>
      <c r="AD68">
        <v>3.4000000000000002E-4</v>
      </c>
      <c r="AE68">
        <v>3.4000000000000002E-4</v>
      </c>
      <c r="AF68">
        <v>4.0999999999999999E-4</v>
      </c>
      <c r="AG68">
        <v>4.0999999999999999E-4</v>
      </c>
      <c r="AH68">
        <v>4.0999999999999999E-4</v>
      </c>
      <c r="AI68">
        <v>4.0999999999999999E-4</v>
      </c>
      <c r="AJ68">
        <v>4.0999999999999999E-4</v>
      </c>
      <c r="AK68">
        <v>5.6999999999999998E-4</v>
      </c>
      <c r="AL68">
        <v>5.6999999999999998E-4</v>
      </c>
      <c r="AM68">
        <v>5.6999999999999998E-4</v>
      </c>
      <c r="AN68">
        <v>5.6999999999999998E-4</v>
      </c>
      <c r="AO68">
        <v>5.6999999999999998E-4</v>
      </c>
      <c r="AP68">
        <v>7.6000000000000004E-4</v>
      </c>
      <c r="AQ68">
        <v>7.6000000000000004E-4</v>
      </c>
      <c r="AR68">
        <v>7.6000000000000004E-4</v>
      </c>
      <c r="AS68">
        <v>7.6000000000000004E-4</v>
      </c>
      <c r="AT68">
        <v>7.6000000000000004E-4</v>
      </c>
      <c r="AU68">
        <v>1.3799999999999999E-3</v>
      </c>
      <c r="AV68">
        <v>1.3799999999999999E-3</v>
      </c>
      <c r="AW68">
        <v>1.3799999999999999E-3</v>
      </c>
      <c r="AX68">
        <v>1.3799999999999999E-3</v>
      </c>
      <c r="AY68">
        <v>1.3799999999999999E-3</v>
      </c>
      <c r="AZ68">
        <v>2.0799999999999998E-3</v>
      </c>
      <c r="BA68">
        <v>2.0799999999999998E-3</v>
      </c>
      <c r="BB68">
        <v>2.0799999999999998E-3</v>
      </c>
      <c r="BC68">
        <v>2.0799999999999998E-3</v>
      </c>
      <c r="BD68">
        <v>2.0799999999999998E-3</v>
      </c>
      <c r="BE68">
        <v>3.0400000000000002E-3</v>
      </c>
      <c r="BF68">
        <v>3.0400000000000002E-3</v>
      </c>
      <c r="BG68">
        <v>3.0400000000000002E-3</v>
      </c>
      <c r="BH68">
        <v>3.0400000000000002E-3</v>
      </c>
      <c r="BI68">
        <v>3.0400000000000002E-3</v>
      </c>
      <c r="BJ68">
        <v>4.4000000000000003E-3</v>
      </c>
      <c r="BK68">
        <v>4.4000000000000003E-3</v>
      </c>
      <c r="BL68">
        <v>4.4000000000000003E-3</v>
      </c>
      <c r="BM68">
        <v>4.4000000000000003E-3</v>
      </c>
      <c r="BN68">
        <v>4.4000000000000003E-3</v>
      </c>
      <c r="BO68">
        <v>7.1599999999999997E-3</v>
      </c>
      <c r="BP68">
        <v>7.1599999999999997E-3</v>
      </c>
      <c r="BQ68">
        <v>7.1599999999999997E-3</v>
      </c>
      <c r="BR68">
        <v>7.1599999999999997E-3</v>
      </c>
      <c r="BS68">
        <v>7.1599999999999997E-3</v>
      </c>
      <c r="BT68">
        <v>1.328E-2</v>
      </c>
      <c r="BU68">
        <v>1.328E-2</v>
      </c>
      <c r="BV68">
        <v>1.328E-2</v>
      </c>
      <c r="BW68">
        <v>1.328E-2</v>
      </c>
      <c r="BX68">
        <v>1.328E-2</v>
      </c>
      <c r="BY68">
        <v>2.6950000000000002E-2</v>
      </c>
      <c r="BZ68">
        <v>2.6950000000000002E-2</v>
      </c>
      <c r="CA68">
        <v>2.6950000000000002E-2</v>
      </c>
      <c r="CB68">
        <v>2.6950000000000002E-2</v>
      </c>
      <c r="CC68">
        <v>2.6950000000000002E-2</v>
      </c>
      <c r="CD68">
        <v>6.4159999999999995E-2</v>
      </c>
      <c r="CE68">
        <v>6.4159999999999995E-2</v>
      </c>
      <c r="CF68">
        <v>6.4159999999999995E-2</v>
      </c>
      <c r="CG68">
        <v>6.4159999999999995E-2</v>
      </c>
      <c r="CH68">
        <v>6.4159999999999995E-2</v>
      </c>
      <c r="CI68">
        <v>0.13396</v>
      </c>
      <c r="CJ68">
        <v>0.13396</v>
      </c>
      <c r="CK68">
        <v>0.13396</v>
      </c>
      <c r="CL68">
        <v>0.13396</v>
      </c>
      <c r="CM68">
        <v>0.13396</v>
      </c>
      <c r="CN68">
        <v>0.24537</v>
      </c>
      <c r="CO68">
        <v>0.24537</v>
      </c>
      <c r="CP68">
        <v>0.24537</v>
      </c>
      <c r="CQ68">
        <v>0.24537</v>
      </c>
      <c r="CR68">
        <v>0.24537</v>
      </c>
      <c r="CS68">
        <v>0.39423999999999998</v>
      </c>
      <c r="CT68">
        <v>0.39423999999999998</v>
      </c>
      <c r="CU68">
        <v>0.39423999999999998</v>
      </c>
      <c r="CV68">
        <v>0.39423999999999998</v>
      </c>
      <c r="CW68">
        <v>0.39423999999999998</v>
      </c>
      <c r="CX68">
        <v>1</v>
      </c>
    </row>
    <row r="69" spans="1:102" x14ac:dyDescent="0.25">
      <c r="A69" t="s">
        <v>203</v>
      </c>
      <c r="B69">
        <v>1.095E-2</v>
      </c>
      <c r="C69">
        <v>4.4000000000000002E-4</v>
      </c>
      <c r="D69">
        <v>4.4000000000000002E-4</v>
      </c>
      <c r="E69">
        <v>4.4000000000000002E-4</v>
      </c>
      <c r="F69">
        <v>4.4000000000000002E-4</v>
      </c>
      <c r="G69">
        <v>2.7E-4</v>
      </c>
      <c r="H69">
        <v>2.7E-4</v>
      </c>
      <c r="I69">
        <v>2.7E-4</v>
      </c>
      <c r="J69">
        <v>2.7E-4</v>
      </c>
      <c r="K69">
        <v>2.7E-4</v>
      </c>
      <c r="L69">
        <v>1.9000000000000001E-4</v>
      </c>
      <c r="M69">
        <v>1.9000000000000001E-4</v>
      </c>
      <c r="N69">
        <v>1.9000000000000001E-4</v>
      </c>
      <c r="O69">
        <v>1.9000000000000001E-4</v>
      </c>
      <c r="P69">
        <v>1.9000000000000001E-4</v>
      </c>
      <c r="Q69">
        <v>3.2000000000000003E-4</v>
      </c>
      <c r="R69">
        <v>3.2000000000000003E-4</v>
      </c>
      <c r="S69">
        <v>3.2000000000000003E-4</v>
      </c>
      <c r="T69">
        <v>3.2000000000000003E-4</v>
      </c>
      <c r="U69">
        <v>3.2000000000000003E-4</v>
      </c>
      <c r="V69">
        <v>7.6999999999999996E-4</v>
      </c>
      <c r="W69">
        <v>7.6999999999999996E-4</v>
      </c>
      <c r="X69">
        <v>7.6999999999999996E-4</v>
      </c>
      <c r="Y69">
        <v>7.6999999999999996E-4</v>
      </c>
      <c r="Z69">
        <v>7.6999999999999996E-4</v>
      </c>
      <c r="AA69">
        <v>1.0300000000000001E-3</v>
      </c>
      <c r="AB69">
        <v>1.0300000000000001E-3</v>
      </c>
      <c r="AC69">
        <v>1.0300000000000001E-3</v>
      </c>
      <c r="AD69">
        <v>1.0300000000000001E-3</v>
      </c>
      <c r="AE69">
        <v>1.0300000000000001E-3</v>
      </c>
      <c r="AF69">
        <v>1.4599999999999999E-3</v>
      </c>
      <c r="AG69">
        <v>1.4599999999999999E-3</v>
      </c>
      <c r="AH69">
        <v>1.4599999999999999E-3</v>
      </c>
      <c r="AI69">
        <v>1.4599999999999999E-3</v>
      </c>
      <c r="AJ69">
        <v>1.4599999999999999E-3</v>
      </c>
      <c r="AK69">
        <v>1.75E-3</v>
      </c>
      <c r="AL69">
        <v>1.75E-3</v>
      </c>
      <c r="AM69">
        <v>1.75E-3</v>
      </c>
      <c r="AN69">
        <v>1.75E-3</v>
      </c>
      <c r="AO69">
        <v>1.75E-3</v>
      </c>
      <c r="AP69">
        <v>2.6199999999999999E-3</v>
      </c>
      <c r="AQ69">
        <v>2.6199999999999999E-3</v>
      </c>
      <c r="AR69">
        <v>2.6199999999999999E-3</v>
      </c>
      <c r="AS69">
        <v>2.6199999999999999E-3</v>
      </c>
      <c r="AT69">
        <v>2.6199999999999999E-3</v>
      </c>
      <c r="AU69">
        <v>3.5599999999999998E-3</v>
      </c>
      <c r="AV69">
        <v>3.5599999999999998E-3</v>
      </c>
      <c r="AW69">
        <v>3.5599999999999998E-3</v>
      </c>
      <c r="AX69">
        <v>3.5599999999999998E-3</v>
      </c>
      <c r="AY69">
        <v>3.5599999999999998E-3</v>
      </c>
      <c r="AZ69">
        <v>8.2299999999999995E-3</v>
      </c>
      <c r="BA69">
        <v>8.2299999999999995E-3</v>
      </c>
      <c r="BB69">
        <v>8.2299999999999995E-3</v>
      </c>
      <c r="BC69">
        <v>8.2299999999999995E-3</v>
      </c>
      <c r="BD69">
        <v>8.2299999999999995E-3</v>
      </c>
      <c r="BE69">
        <v>1.115E-2</v>
      </c>
      <c r="BF69">
        <v>1.115E-2</v>
      </c>
      <c r="BG69">
        <v>1.115E-2</v>
      </c>
      <c r="BH69">
        <v>1.115E-2</v>
      </c>
      <c r="BI69">
        <v>1.115E-2</v>
      </c>
      <c r="BJ69">
        <v>8.3099999999999997E-3</v>
      </c>
      <c r="BK69">
        <v>8.3099999999999997E-3</v>
      </c>
      <c r="BL69">
        <v>8.3099999999999997E-3</v>
      </c>
      <c r="BM69">
        <v>8.3099999999999997E-3</v>
      </c>
      <c r="BN69">
        <v>8.3099999999999997E-3</v>
      </c>
      <c r="BO69">
        <v>1.626E-2</v>
      </c>
      <c r="BP69">
        <v>1.626E-2</v>
      </c>
      <c r="BQ69">
        <v>1.626E-2</v>
      </c>
      <c r="BR69">
        <v>1.626E-2</v>
      </c>
      <c r="BS69">
        <v>1.626E-2</v>
      </c>
      <c r="BT69">
        <v>2.589E-2</v>
      </c>
      <c r="BU69">
        <v>2.589E-2</v>
      </c>
      <c r="BV69">
        <v>2.589E-2</v>
      </c>
      <c r="BW69">
        <v>2.589E-2</v>
      </c>
      <c r="BX69">
        <v>2.589E-2</v>
      </c>
      <c r="BY69">
        <v>3.2489999999999998E-2</v>
      </c>
      <c r="BZ69">
        <v>3.2489999999999998E-2</v>
      </c>
      <c r="CA69">
        <v>3.2489999999999998E-2</v>
      </c>
      <c r="CB69">
        <v>3.2489999999999998E-2</v>
      </c>
      <c r="CC69">
        <v>3.2489999999999998E-2</v>
      </c>
      <c r="CD69">
        <v>6.3769999999999993E-2</v>
      </c>
      <c r="CE69">
        <v>6.3769999999999993E-2</v>
      </c>
      <c r="CF69">
        <v>6.3769999999999993E-2</v>
      </c>
      <c r="CG69">
        <v>6.3769999999999993E-2</v>
      </c>
      <c r="CH69">
        <v>6.3769999999999993E-2</v>
      </c>
      <c r="CI69">
        <v>0.11719</v>
      </c>
      <c r="CJ69">
        <v>0.11719</v>
      </c>
      <c r="CK69">
        <v>0.11719</v>
      </c>
      <c r="CL69">
        <v>0.11719</v>
      </c>
      <c r="CM69">
        <v>0.11719</v>
      </c>
      <c r="CN69">
        <v>0.20166000000000001</v>
      </c>
      <c r="CO69">
        <v>0.20166000000000001</v>
      </c>
      <c r="CP69">
        <v>0.20166000000000001</v>
      </c>
      <c r="CQ69">
        <v>0.20166000000000001</v>
      </c>
      <c r="CR69">
        <v>0.20166000000000001</v>
      </c>
      <c r="CS69">
        <v>0.32493</v>
      </c>
      <c r="CT69">
        <v>0.32493</v>
      </c>
      <c r="CU69">
        <v>0.32493</v>
      </c>
      <c r="CV69">
        <v>0.32493</v>
      </c>
      <c r="CW69">
        <v>0.32493</v>
      </c>
      <c r="CX69">
        <v>1</v>
      </c>
    </row>
    <row r="70" spans="1:102" x14ac:dyDescent="0.25">
      <c r="A70" t="s">
        <v>205</v>
      </c>
      <c r="B70">
        <v>3.2899999999999999E-2</v>
      </c>
      <c r="C70">
        <v>2.1299999999999999E-3</v>
      </c>
      <c r="D70">
        <v>2.1299999999999999E-3</v>
      </c>
      <c r="E70">
        <v>2.1299999999999999E-3</v>
      </c>
      <c r="F70">
        <v>2.1299999999999999E-3</v>
      </c>
      <c r="G70">
        <v>4.6999999999999999E-4</v>
      </c>
      <c r="H70">
        <v>4.6999999999999999E-4</v>
      </c>
      <c r="I70">
        <v>4.6999999999999999E-4</v>
      </c>
      <c r="J70">
        <v>4.6999999999999999E-4</v>
      </c>
      <c r="K70">
        <v>4.6999999999999999E-4</v>
      </c>
      <c r="L70">
        <v>4.4999999999999999E-4</v>
      </c>
      <c r="M70">
        <v>4.4999999999999999E-4</v>
      </c>
      <c r="N70">
        <v>4.4999999999999999E-4</v>
      </c>
      <c r="O70">
        <v>4.4999999999999999E-4</v>
      </c>
      <c r="P70">
        <v>4.4999999999999999E-4</v>
      </c>
      <c r="Q70">
        <v>9.5E-4</v>
      </c>
      <c r="R70">
        <v>9.5E-4</v>
      </c>
      <c r="S70">
        <v>9.5E-4</v>
      </c>
      <c r="T70">
        <v>9.5E-4</v>
      </c>
      <c r="U70">
        <v>9.5E-4</v>
      </c>
      <c r="V70">
        <v>1.24E-3</v>
      </c>
      <c r="W70">
        <v>1.24E-3</v>
      </c>
      <c r="X70">
        <v>1.24E-3</v>
      </c>
      <c r="Y70">
        <v>1.24E-3</v>
      </c>
      <c r="Z70">
        <v>1.24E-3</v>
      </c>
      <c r="AA70">
        <v>1.3600000000000001E-3</v>
      </c>
      <c r="AB70">
        <v>1.3600000000000001E-3</v>
      </c>
      <c r="AC70">
        <v>1.3600000000000001E-3</v>
      </c>
      <c r="AD70">
        <v>1.3600000000000001E-3</v>
      </c>
      <c r="AE70">
        <v>1.3600000000000001E-3</v>
      </c>
      <c r="AF70">
        <v>1.8E-3</v>
      </c>
      <c r="AG70">
        <v>1.8E-3</v>
      </c>
      <c r="AH70">
        <v>1.8E-3</v>
      </c>
      <c r="AI70">
        <v>1.8E-3</v>
      </c>
      <c r="AJ70">
        <v>1.8E-3</v>
      </c>
      <c r="AK70">
        <v>2.3E-3</v>
      </c>
      <c r="AL70">
        <v>2.3E-3</v>
      </c>
      <c r="AM70">
        <v>2.3E-3</v>
      </c>
      <c r="AN70">
        <v>2.3E-3</v>
      </c>
      <c r="AO70">
        <v>2.3E-3</v>
      </c>
      <c r="AP70">
        <v>3.2499999999999999E-3</v>
      </c>
      <c r="AQ70">
        <v>3.2499999999999999E-3</v>
      </c>
      <c r="AR70">
        <v>3.2499999999999999E-3</v>
      </c>
      <c r="AS70">
        <v>3.2499999999999999E-3</v>
      </c>
      <c r="AT70">
        <v>3.2499999999999999E-3</v>
      </c>
      <c r="AU70">
        <v>4.8999999999999998E-3</v>
      </c>
      <c r="AV70">
        <v>4.8999999999999998E-3</v>
      </c>
      <c r="AW70">
        <v>4.8999999999999998E-3</v>
      </c>
      <c r="AX70">
        <v>4.8999999999999998E-3</v>
      </c>
      <c r="AY70">
        <v>4.8999999999999998E-3</v>
      </c>
      <c r="AZ70">
        <v>7.45E-3</v>
      </c>
      <c r="BA70">
        <v>7.45E-3</v>
      </c>
      <c r="BB70">
        <v>7.45E-3</v>
      </c>
      <c r="BC70">
        <v>7.45E-3</v>
      </c>
      <c r="BD70">
        <v>7.45E-3</v>
      </c>
      <c r="BE70">
        <v>9.5499999999999995E-3</v>
      </c>
      <c r="BF70">
        <v>9.5499999999999995E-3</v>
      </c>
      <c r="BG70">
        <v>9.5499999999999995E-3</v>
      </c>
      <c r="BH70">
        <v>9.5499999999999995E-3</v>
      </c>
      <c r="BI70">
        <v>9.5499999999999995E-3</v>
      </c>
      <c r="BJ70">
        <v>1.328E-2</v>
      </c>
      <c r="BK70">
        <v>1.328E-2</v>
      </c>
      <c r="BL70">
        <v>1.328E-2</v>
      </c>
      <c r="BM70">
        <v>1.328E-2</v>
      </c>
      <c r="BN70">
        <v>1.328E-2</v>
      </c>
      <c r="BO70">
        <v>2.0279999999999999E-2</v>
      </c>
      <c r="BP70">
        <v>2.0279999999999999E-2</v>
      </c>
      <c r="BQ70">
        <v>2.0279999999999999E-2</v>
      </c>
      <c r="BR70">
        <v>2.0279999999999999E-2</v>
      </c>
      <c r="BS70">
        <v>2.0279999999999999E-2</v>
      </c>
      <c r="BT70">
        <v>2.836E-2</v>
      </c>
      <c r="BU70">
        <v>2.836E-2</v>
      </c>
      <c r="BV70">
        <v>2.836E-2</v>
      </c>
      <c r="BW70">
        <v>2.836E-2</v>
      </c>
      <c r="BX70">
        <v>2.836E-2</v>
      </c>
      <c r="BY70">
        <v>4.5539999999999997E-2</v>
      </c>
      <c r="BZ70">
        <v>4.5539999999999997E-2</v>
      </c>
      <c r="CA70">
        <v>4.5539999999999997E-2</v>
      </c>
      <c r="CB70">
        <v>4.5539999999999997E-2</v>
      </c>
      <c r="CC70">
        <v>4.5539999999999997E-2</v>
      </c>
      <c r="CD70">
        <v>8.0060000000000006E-2</v>
      </c>
      <c r="CE70">
        <v>8.0060000000000006E-2</v>
      </c>
      <c r="CF70">
        <v>8.0060000000000006E-2</v>
      </c>
      <c r="CG70">
        <v>8.0060000000000006E-2</v>
      </c>
      <c r="CH70">
        <v>8.0060000000000006E-2</v>
      </c>
      <c r="CI70">
        <v>0.13482</v>
      </c>
      <c r="CJ70">
        <v>0.13482</v>
      </c>
      <c r="CK70">
        <v>0.13482</v>
      </c>
      <c r="CL70">
        <v>0.13482</v>
      </c>
      <c r="CM70">
        <v>0.13482</v>
      </c>
      <c r="CN70">
        <v>0.21748999999999999</v>
      </c>
      <c r="CO70">
        <v>0.21748999999999999</v>
      </c>
      <c r="CP70">
        <v>0.21748999999999999</v>
      </c>
      <c r="CQ70">
        <v>0.21748999999999999</v>
      </c>
      <c r="CR70">
        <v>0.21748999999999999</v>
      </c>
      <c r="CS70">
        <v>0.33610000000000001</v>
      </c>
      <c r="CT70">
        <v>0.33610000000000001</v>
      </c>
      <c r="CU70">
        <v>0.33610000000000001</v>
      </c>
      <c r="CV70">
        <v>0.33610000000000001</v>
      </c>
      <c r="CW70">
        <v>0.33610000000000001</v>
      </c>
      <c r="CX70">
        <v>1</v>
      </c>
    </row>
    <row r="71" spans="1:102" x14ac:dyDescent="0.25">
      <c r="A71" t="s">
        <v>207</v>
      </c>
      <c r="B71">
        <v>8.2040000000000002E-2</v>
      </c>
      <c r="C71">
        <v>1.512E-2</v>
      </c>
      <c r="D71">
        <v>1.512E-2</v>
      </c>
      <c r="E71">
        <v>1.512E-2</v>
      </c>
      <c r="F71">
        <v>1.512E-2</v>
      </c>
      <c r="G71">
        <v>3.0999999999999999E-3</v>
      </c>
      <c r="H71">
        <v>3.0999999999999999E-3</v>
      </c>
      <c r="I71">
        <v>3.0999999999999999E-3</v>
      </c>
      <c r="J71">
        <v>3.0999999999999999E-3</v>
      </c>
      <c r="K71">
        <v>3.0999999999999999E-3</v>
      </c>
      <c r="L71">
        <v>2.0699999999999998E-3</v>
      </c>
      <c r="M71">
        <v>2.0699999999999998E-3</v>
      </c>
      <c r="N71">
        <v>2.0699999999999998E-3</v>
      </c>
      <c r="O71">
        <v>2.0699999999999998E-3</v>
      </c>
      <c r="P71">
        <v>2.0699999999999998E-3</v>
      </c>
      <c r="Q71">
        <v>3.0699999999999998E-3</v>
      </c>
      <c r="R71">
        <v>3.0699999999999998E-3</v>
      </c>
      <c r="S71">
        <v>3.0699999999999998E-3</v>
      </c>
      <c r="T71">
        <v>3.0699999999999998E-3</v>
      </c>
      <c r="U71">
        <v>3.0699999999999998E-3</v>
      </c>
      <c r="V71">
        <v>4.5399999999999998E-3</v>
      </c>
      <c r="W71">
        <v>4.5399999999999998E-3</v>
      </c>
      <c r="X71">
        <v>4.5399999999999998E-3</v>
      </c>
      <c r="Y71">
        <v>4.5399999999999998E-3</v>
      </c>
      <c r="Z71">
        <v>4.5399999999999998E-3</v>
      </c>
      <c r="AA71">
        <v>5.5599999999999998E-3</v>
      </c>
      <c r="AB71">
        <v>5.5599999999999998E-3</v>
      </c>
      <c r="AC71">
        <v>5.5599999999999998E-3</v>
      </c>
      <c r="AD71">
        <v>5.5599999999999998E-3</v>
      </c>
      <c r="AE71">
        <v>5.5599999999999998E-3</v>
      </c>
      <c r="AF71">
        <v>6.7600000000000004E-3</v>
      </c>
      <c r="AG71">
        <v>6.7600000000000004E-3</v>
      </c>
      <c r="AH71">
        <v>6.7600000000000004E-3</v>
      </c>
      <c r="AI71">
        <v>6.7600000000000004E-3</v>
      </c>
      <c r="AJ71">
        <v>6.7600000000000004E-3</v>
      </c>
      <c r="AK71">
        <v>8.1499999999999993E-3</v>
      </c>
      <c r="AL71">
        <v>8.1499999999999993E-3</v>
      </c>
      <c r="AM71">
        <v>8.1499999999999993E-3</v>
      </c>
      <c r="AN71">
        <v>8.1499999999999993E-3</v>
      </c>
      <c r="AO71">
        <v>8.1499999999999993E-3</v>
      </c>
      <c r="AP71">
        <v>9.2999999999999992E-3</v>
      </c>
      <c r="AQ71">
        <v>9.2999999999999992E-3</v>
      </c>
      <c r="AR71">
        <v>9.2999999999999992E-3</v>
      </c>
      <c r="AS71">
        <v>9.2999999999999992E-3</v>
      </c>
      <c r="AT71">
        <v>9.2999999999999992E-3</v>
      </c>
      <c r="AU71">
        <v>1.091E-2</v>
      </c>
      <c r="AV71">
        <v>1.091E-2</v>
      </c>
      <c r="AW71">
        <v>1.091E-2</v>
      </c>
      <c r="AX71">
        <v>1.091E-2</v>
      </c>
      <c r="AY71">
        <v>1.091E-2</v>
      </c>
      <c r="AZ71">
        <v>1.413E-2</v>
      </c>
      <c r="BA71">
        <v>1.413E-2</v>
      </c>
      <c r="BB71">
        <v>1.413E-2</v>
      </c>
      <c r="BC71">
        <v>1.413E-2</v>
      </c>
      <c r="BD71">
        <v>1.413E-2</v>
      </c>
      <c r="BE71">
        <v>1.9800000000000002E-2</v>
      </c>
      <c r="BF71">
        <v>1.9800000000000002E-2</v>
      </c>
      <c r="BG71">
        <v>1.9800000000000002E-2</v>
      </c>
      <c r="BH71">
        <v>1.9800000000000002E-2</v>
      </c>
      <c r="BI71">
        <v>1.9800000000000002E-2</v>
      </c>
      <c r="BJ71">
        <v>2.6409999999999999E-2</v>
      </c>
      <c r="BK71">
        <v>2.6409999999999999E-2</v>
      </c>
      <c r="BL71">
        <v>2.6409999999999999E-2</v>
      </c>
      <c r="BM71">
        <v>2.6409999999999999E-2</v>
      </c>
      <c r="BN71">
        <v>2.6409999999999999E-2</v>
      </c>
      <c r="BO71">
        <v>4.0529999999999997E-2</v>
      </c>
      <c r="BP71">
        <v>4.0529999999999997E-2</v>
      </c>
      <c r="BQ71">
        <v>4.0529999999999997E-2</v>
      </c>
      <c r="BR71">
        <v>4.0529999999999997E-2</v>
      </c>
      <c r="BS71">
        <v>4.0529999999999997E-2</v>
      </c>
      <c r="BT71">
        <v>6.3030000000000003E-2</v>
      </c>
      <c r="BU71">
        <v>6.3030000000000003E-2</v>
      </c>
      <c r="BV71">
        <v>6.3030000000000003E-2</v>
      </c>
      <c r="BW71">
        <v>6.3030000000000003E-2</v>
      </c>
      <c r="BX71">
        <v>6.3030000000000003E-2</v>
      </c>
      <c r="BY71">
        <v>9.6149999999999999E-2</v>
      </c>
      <c r="BZ71">
        <v>9.6149999999999999E-2</v>
      </c>
      <c r="CA71">
        <v>9.6149999999999999E-2</v>
      </c>
      <c r="CB71">
        <v>9.6149999999999999E-2</v>
      </c>
      <c r="CC71">
        <v>9.6149999999999999E-2</v>
      </c>
      <c r="CD71">
        <v>0.14498</v>
      </c>
      <c r="CE71">
        <v>0.14498</v>
      </c>
      <c r="CF71">
        <v>0.14498</v>
      </c>
      <c r="CG71">
        <v>0.14498</v>
      </c>
      <c r="CH71">
        <v>0.14498</v>
      </c>
      <c r="CI71">
        <v>0.21287</v>
      </c>
      <c r="CJ71">
        <v>0.21287</v>
      </c>
      <c r="CK71">
        <v>0.21287</v>
      </c>
      <c r="CL71">
        <v>0.21287</v>
      </c>
      <c r="CM71">
        <v>0.21287</v>
      </c>
      <c r="CN71">
        <v>0.30427999999999999</v>
      </c>
      <c r="CO71">
        <v>0.30427999999999999</v>
      </c>
      <c r="CP71">
        <v>0.30427999999999999</v>
      </c>
      <c r="CQ71">
        <v>0.30427999999999999</v>
      </c>
      <c r="CR71">
        <v>0.30427999999999999</v>
      </c>
      <c r="CS71">
        <v>0.42338999999999999</v>
      </c>
      <c r="CT71">
        <v>0.42338999999999999</v>
      </c>
      <c r="CU71">
        <v>0.42338999999999999</v>
      </c>
      <c r="CV71">
        <v>0.42338999999999999</v>
      </c>
      <c r="CW71">
        <v>0.42338999999999999</v>
      </c>
      <c r="CX71">
        <v>1</v>
      </c>
    </row>
    <row r="72" spans="1:102" x14ac:dyDescent="0.25">
      <c r="A72" t="s">
        <v>209</v>
      </c>
      <c r="B72">
        <v>0.11083999999999999</v>
      </c>
      <c r="C72">
        <v>2.0449999999999999E-2</v>
      </c>
      <c r="D72">
        <v>2.0449999999999999E-2</v>
      </c>
      <c r="E72">
        <v>2.0449999999999999E-2</v>
      </c>
      <c r="F72">
        <v>2.0449999999999999E-2</v>
      </c>
      <c r="G72">
        <v>4.0600000000000002E-3</v>
      </c>
      <c r="H72">
        <v>4.0600000000000002E-3</v>
      </c>
      <c r="I72">
        <v>4.0600000000000002E-3</v>
      </c>
      <c r="J72">
        <v>4.0600000000000002E-3</v>
      </c>
      <c r="K72">
        <v>4.0600000000000002E-3</v>
      </c>
      <c r="L72">
        <v>2.4499999999999999E-3</v>
      </c>
      <c r="M72">
        <v>2.4499999999999999E-3</v>
      </c>
      <c r="N72">
        <v>2.4499999999999999E-3</v>
      </c>
      <c r="O72">
        <v>2.4499999999999999E-3</v>
      </c>
      <c r="P72">
        <v>2.4499999999999999E-3</v>
      </c>
      <c r="Q72">
        <v>3.63E-3</v>
      </c>
      <c r="R72">
        <v>3.63E-3</v>
      </c>
      <c r="S72">
        <v>3.63E-3</v>
      </c>
      <c r="T72">
        <v>3.63E-3</v>
      </c>
      <c r="U72">
        <v>3.63E-3</v>
      </c>
      <c r="V72">
        <v>5.8799999999999998E-3</v>
      </c>
      <c r="W72">
        <v>5.8799999999999998E-3</v>
      </c>
      <c r="X72">
        <v>5.8799999999999998E-3</v>
      </c>
      <c r="Y72">
        <v>5.8799999999999998E-3</v>
      </c>
      <c r="Z72">
        <v>5.8799999999999998E-3</v>
      </c>
      <c r="AA72">
        <v>7.6E-3</v>
      </c>
      <c r="AB72">
        <v>7.6E-3</v>
      </c>
      <c r="AC72">
        <v>7.6E-3</v>
      </c>
      <c r="AD72">
        <v>7.6E-3</v>
      </c>
      <c r="AE72">
        <v>7.6E-3</v>
      </c>
      <c r="AF72">
        <v>8.3800000000000003E-3</v>
      </c>
      <c r="AG72">
        <v>8.3800000000000003E-3</v>
      </c>
      <c r="AH72">
        <v>8.3800000000000003E-3</v>
      </c>
      <c r="AI72">
        <v>8.3800000000000003E-3</v>
      </c>
      <c r="AJ72">
        <v>8.3800000000000003E-3</v>
      </c>
      <c r="AK72">
        <v>9.0799999999999995E-3</v>
      </c>
      <c r="AL72">
        <v>9.0799999999999995E-3</v>
      </c>
      <c r="AM72">
        <v>9.0799999999999995E-3</v>
      </c>
      <c r="AN72">
        <v>9.0799999999999995E-3</v>
      </c>
      <c r="AO72">
        <v>9.0799999999999995E-3</v>
      </c>
      <c r="AP72">
        <v>1.0460000000000001E-2</v>
      </c>
      <c r="AQ72">
        <v>1.0460000000000001E-2</v>
      </c>
      <c r="AR72">
        <v>1.0460000000000001E-2</v>
      </c>
      <c r="AS72">
        <v>1.0460000000000001E-2</v>
      </c>
      <c r="AT72">
        <v>1.0460000000000001E-2</v>
      </c>
      <c r="AU72">
        <v>1.142E-2</v>
      </c>
      <c r="AV72">
        <v>1.142E-2</v>
      </c>
      <c r="AW72">
        <v>1.142E-2</v>
      </c>
      <c r="AX72">
        <v>1.142E-2</v>
      </c>
      <c r="AY72">
        <v>1.142E-2</v>
      </c>
      <c r="AZ72">
        <v>1.469E-2</v>
      </c>
      <c r="BA72">
        <v>1.469E-2</v>
      </c>
      <c r="BB72">
        <v>1.469E-2</v>
      </c>
      <c r="BC72">
        <v>1.469E-2</v>
      </c>
      <c r="BD72">
        <v>1.469E-2</v>
      </c>
      <c r="BE72">
        <v>2.0799999999999999E-2</v>
      </c>
      <c r="BF72">
        <v>2.0799999999999999E-2</v>
      </c>
      <c r="BG72">
        <v>2.0799999999999999E-2</v>
      </c>
      <c r="BH72">
        <v>2.0799999999999999E-2</v>
      </c>
      <c r="BI72">
        <v>2.0799999999999999E-2</v>
      </c>
      <c r="BJ72">
        <v>2.75E-2</v>
      </c>
      <c r="BK72">
        <v>2.75E-2</v>
      </c>
      <c r="BL72">
        <v>2.75E-2</v>
      </c>
      <c r="BM72">
        <v>2.75E-2</v>
      </c>
      <c r="BN72">
        <v>2.75E-2</v>
      </c>
      <c r="BO72">
        <v>4.2610000000000002E-2</v>
      </c>
      <c r="BP72">
        <v>4.2610000000000002E-2</v>
      </c>
      <c r="BQ72">
        <v>4.2610000000000002E-2</v>
      </c>
      <c r="BR72">
        <v>4.2610000000000002E-2</v>
      </c>
      <c r="BS72">
        <v>4.2610000000000002E-2</v>
      </c>
      <c r="BT72">
        <v>6.5939999999999999E-2</v>
      </c>
      <c r="BU72">
        <v>6.5939999999999999E-2</v>
      </c>
      <c r="BV72">
        <v>6.5939999999999999E-2</v>
      </c>
      <c r="BW72">
        <v>6.5939999999999999E-2</v>
      </c>
      <c r="BX72">
        <v>6.5939999999999999E-2</v>
      </c>
      <c r="BY72">
        <v>9.9839999999999998E-2</v>
      </c>
      <c r="BZ72">
        <v>9.9839999999999998E-2</v>
      </c>
      <c r="CA72">
        <v>9.9839999999999998E-2</v>
      </c>
      <c r="CB72">
        <v>9.9839999999999998E-2</v>
      </c>
      <c r="CC72">
        <v>9.9839999999999998E-2</v>
      </c>
      <c r="CD72">
        <v>0.14896000000000001</v>
      </c>
      <c r="CE72">
        <v>0.14896000000000001</v>
      </c>
      <c r="CF72">
        <v>0.14896000000000001</v>
      </c>
      <c r="CG72">
        <v>0.14896000000000001</v>
      </c>
      <c r="CH72">
        <v>0.14896000000000001</v>
      </c>
      <c r="CI72">
        <v>0.21679999999999999</v>
      </c>
      <c r="CJ72">
        <v>0.21679999999999999</v>
      </c>
      <c r="CK72">
        <v>0.21679999999999999</v>
      </c>
      <c r="CL72">
        <v>0.21679999999999999</v>
      </c>
      <c r="CM72">
        <v>0.21679999999999999</v>
      </c>
      <c r="CN72">
        <v>0.30786000000000002</v>
      </c>
      <c r="CO72">
        <v>0.30786000000000002</v>
      </c>
      <c r="CP72">
        <v>0.30786000000000002</v>
      </c>
      <c r="CQ72">
        <v>0.30786000000000002</v>
      </c>
      <c r="CR72">
        <v>0.30786000000000002</v>
      </c>
      <c r="CS72">
        <v>0.42648000000000003</v>
      </c>
      <c r="CT72">
        <v>0.42648000000000003</v>
      </c>
      <c r="CU72">
        <v>0.42648000000000003</v>
      </c>
      <c r="CV72">
        <v>0.42648000000000003</v>
      </c>
      <c r="CW72">
        <v>0.42648000000000003</v>
      </c>
      <c r="CX72">
        <v>1</v>
      </c>
    </row>
    <row r="73" spans="1:102" x14ac:dyDescent="0.25">
      <c r="A73" t="s">
        <v>211</v>
      </c>
      <c r="B73">
        <v>2.1010000000000001E-2</v>
      </c>
      <c r="C73">
        <v>7.7999999999999999E-4</v>
      </c>
      <c r="D73">
        <v>7.7999999999999999E-4</v>
      </c>
      <c r="E73">
        <v>7.7999999999999999E-4</v>
      </c>
      <c r="F73">
        <v>7.7999999999999999E-4</v>
      </c>
      <c r="G73">
        <v>5.0000000000000001E-4</v>
      </c>
      <c r="H73">
        <v>5.0000000000000001E-4</v>
      </c>
      <c r="I73">
        <v>5.0000000000000001E-4</v>
      </c>
      <c r="J73">
        <v>5.0000000000000001E-4</v>
      </c>
      <c r="K73">
        <v>5.0000000000000001E-4</v>
      </c>
      <c r="L73">
        <v>6.4999999999999997E-4</v>
      </c>
      <c r="M73">
        <v>6.4999999999999997E-4</v>
      </c>
      <c r="N73">
        <v>6.4999999999999997E-4</v>
      </c>
      <c r="O73">
        <v>6.4999999999999997E-4</v>
      </c>
      <c r="P73">
        <v>6.4999999999999997E-4</v>
      </c>
      <c r="Q73">
        <v>1.1100000000000001E-3</v>
      </c>
      <c r="R73">
        <v>1.1100000000000001E-3</v>
      </c>
      <c r="S73">
        <v>1.1100000000000001E-3</v>
      </c>
      <c r="T73">
        <v>1.1100000000000001E-3</v>
      </c>
      <c r="U73">
        <v>1.1100000000000001E-3</v>
      </c>
      <c r="V73">
        <v>1.66E-3</v>
      </c>
      <c r="W73">
        <v>1.66E-3</v>
      </c>
      <c r="X73">
        <v>1.66E-3</v>
      </c>
      <c r="Y73">
        <v>1.66E-3</v>
      </c>
      <c r="Z73">
        <v>1.66E-3</v>
      </c>
      <c r="AA73">
        <v>2.7799999999999999E-3</v>
      </c>
      <c r="AB73">
        <v>2.7799999999999999E-3</v>
      </c>
      <c r="AC73">
        <v>2.7799999999999999E-3</v>
      </c>
      <c r="AD73">
        <v>2.7799999999999999E-3</v>
      </c>
      <c r="AE73">
        <v>2.7799999999999999E-3</v>
      </c>
      <c r="AF73">
        <v>3.2499999999999999E-3</v>
      </c>
      <c r="AG73">
        <v>3.2499999999999999E-3</v>
      </c>
      <c r="AH73">
        <v>3.2499999999999999E-3</v>
      </c>
      <c r="AI73">
        <v>3.2499999999999999E-3</v>
      </c>
      <c r="AJ73">
        <v>3.2499999999999999E-3</v>
      </c>
      <c r="AK73">
        <v>4.4000000000000003E-3</v>
      </c>
      <c r="AL73">
        <v>4.4000000000000003E-3</v>
      </c>
      <c r="AM73">
        <v>4.4000000000000003E-3</v>
      </c>
      <c r="AN73">
        <v>4.4000000000000003E-3</v>
      </c>
      <c r="AO73">
        <v>4.4000000000000003E-3</v>
      </c>
      <c r="AP73">
        <v>5.0800000000000003E-3</v>
      </c>
      <c r="AQ73">
        <v>5.0800000000000003E-3</v>
      </c>
      <c r="AR73">
        <v>5.0800000000000003E-3</v>
      </c>
      <c r="AS73">
        <v>5.0800000000000003E-3</v>
      </c>
      <c r="AT73">
        <v>5.0800000000000003E-3</v>
      </c>
      <c r="AU73">
        <v>7.1199999999999996E-3</v>
      </c>
      <c r="AV73">
        <v>7.1199999999999996E-3</v>
      </c>
      <c r="AW73">
        <v>7.1199999999999996E-3</v>
      </c>
      <c r="AX73">
        <v>7.1199999999999996E-3</v>
      </c>
      <c r="AY73">
        <v>7.1199999999999996E-3</v>
      </c>
      <c r="AZ73">
        <v>9.1599999999999997E-3</v>
      </c>
      <c r="BA73">
        <v>9.1599999999999997E-3</v>
      </c>
      <c r="BB73">
        <v>9.1599999999999997E-3</v>
      </c>
      <c r="BC73">
        <v>9.1599999999999997E-3</v>
      </c>
      <c r="BD73">
        <v>9.1599999999999997E-3</v>
      </c>
      <c r="BE73">
        <v>1.6230000000000001E-2</v>
      </c>
      <c r="BF73">
        <v>1.6230000000000001E-2</v>
      </c>
      <c r="BG73">
        <v>1.6230000000000001E-2</v>
      </c>
      <c r="BH73">
        <v>1.6230000000000001E-2</v>
      </c>
      <c r="BI73">
        <v>1.6230000000000001E-2</v>
      </c>
      <c r="BJ73">
        <v>2.0449999999999999E-2</v>
      </c>
      <c r="BK73">
        <v>2.0449999999999999E-2</v>
      </c>
      <c r="BL73">
        <v>2.0449999999999999E-2</v>
      </c>
      <c r="BM73">
        <v>2.0449999999999999E-2</v>
      </c>
      <c r="BN73">
        <v>2.0449999999999999E-2</v>
      </c>
      <c r="BO73">
        <v>2.8170000000000001E-2</v>
      </c>
      <c r="BP73">
        <v>2.8170000000000001E-2</v>
      </c>
      <c r="BQ73">
        <v>2.8170000000000001E-2</v>
      </c>
      <c r="BR73">
        <v>2.8170000000000001E-2</v>
      </c>
      <c r="BS73">
        <v>2.8170000000000001E-2</v>
      </c>
      <c r="BT73">
        <v>3.8370000000000001E-2</v>
      </c>
      <c r="BU73">
        <v>3.8370000000000001E-2</v>
      </c>
      <c r="BV73">
        <v>3.8370000000000001E-2</v>
      </c>
      <c r="BW73">
        <v>3.8370000000000001E-2</v>
      </c>
      <c r="BX73">
        <v>3.8370000000000001E-2</v>
      </c>
      <c r="BY73">
        <v>4.8860000000000001E-2</v>
      </c>
      <c r="BZ73">
        <v>4.8860000000000001E-2</v>
      </c>
      <c r="CA73">
        <v>4.8860000000000001E-2</v>
      </c>
      <c r="CB73">
        <v>4.8860000000000001E-2</v>
      </c>
      <c r="CC73">
        <v>4.8860000000000001E-2</v>
      </c>
      <c r="CD73">
        <v>7.7200000000000005E-2</v>
      </c>
      <c r="CE73">
        <v>7.7200000000000005E-2</v>
      </c>
      <c r="CF73">
        <v>7.7200000000000005E-2</v>
      </c>
      <c r="CG73">
        <v>7.7200000000000005E-2</v>
      </c>
      <c r="CH73">
        <v>7.7200000000000005E-2</v>
      </c>
      <c r="CI73">
        <v>0.12139999999999999</v>
      </c>
      <c r="CJ73">
        <v>0.12139999999999999</v>
      </c>
      <c r="CK73">
        <v>0.12139999999999999</v>
      </c>
      <c r="CL73">
        <v>0.12139999999999999</v>
      </c>
      <c r="CM73">
        <v>0.12139999999999999</v>
      </c>
      <c r="CN73">
        <v>0.19003</v>
      </c>
      <c r="CO73">
        <v>0.19003</v>
      </c>
      <c r="CP73">
        <v>0.19003</v>
      </c>
      <c r="CQ73">
        <v>0.19003</v>
      </c>
      <c r="CR73">
        <v>0.19003</v>
      </c>
      <c r="CS73">
        <v>0.29609000000000002</v>
      </c>
      <c r="CT73">
        <v>0.29609000000000002</v>
      </c>
      <c r="CU73">
        <v>0.29609000000000002</v>
      </c>
      <c r="CV73">
        <v>0.29609000000000002</v>
      </c>
      <c r="CW73">
        <v>0.29609000000000002</v>
      </c>
      <c r="CX73">
        <v>1</v>
      </c>
    </row>
    <row r="74" spans="1:102" x14ac:dyDescent="0.25">
      <c r="A74" t="s">
        <v>213</v>
      </c>
      <c r="B74">
        <v>6.1219999999999997E-2</v>
      </c>
      <c r="C74">
        <v>6.6499999999999997E-3</v>
      </c>
      <c r="D74">
        <v>6.6499999999999997E-3</v>
      </c>
      <c r="E74">
        <v>6.6499999999999997E-3</v>
      </c>
      <c r="F74">
        <v>6.6499999999999997E-3</v>
      </c>
      <c r="G74">
        <v>1.5299999999999999E-3</v>
      </c>
      <c r="H74">
        <v>1.5299999999999999E-3</v>
      </c>
      <c r="I74">
        <v>1.5299999999999999E-3</v>
      </c>
      <c r="J74">
        <v>1.5299999999999999E-3</v>
      </c>
      <c r="K74">
        <v>1.5299999999999999E-3</v>
      </c>
      <c r="L74">
        <v>1.09E-3</v>
      </c>
      <c r="M74">
        <v>1.09E-3</v>
      </c>
      <c r="N74">
        <v>1.09E-3</v>
      </c>
      <c r="O74">
        <v>1.09E-3</v>
      </c>
      <c r="P74">
        <v>1.09E-3</v>
      </c>
      <c r="Q74">
        <v>1.2199999999999999E-3</v>
      </c>
      <c r="R74">
        <v>1.2199999999999999E-3</v>
      </c>
      <c r="S74">
        <v>1.2199999999999999E-3</v>
      </c>
      <c r="T74">
        <v>1.2199999999999999E-3</v>
      </c>
      <c r="U74">
        <v>1.2199999999999999E-3</v>
      </c>
      <c r="V74">
        <v>2.0300000000000001E-3</v>
      </c>
      <c r="W74">
        <v>2.0300000000000001E-3</v>
      </c>
      <c r="X74">
        <v>2.0300000000000001E-3</v>
      </c>
      <c r="Y74">
        <v>2.0300000000000001E-3</v>
      </c>
      <c r="Z74">
        <v>2.0300000000000001E-3</v>
      </c>
      <c r="AA74">
        <v>2.8600000000000001E-3</v>
      </c>
      <c r="AB74">
        <v>2.8600000000000001E-3</v>
      </c>
      <c r="AC74">
        <v>2.8600000000000001E-3</v>
      </c>
      <c r="AD74">
        <v>2.8600000000000001E-3</v>
      </c>
      <c r="AE74">
        <v>2.8600000000000001E-3</v>
      </c>
      <c r="AF74">
        <v>4.45E-3</v>
      </c>
      <c r="AG74">
        <v>4.45E-3</v>
      </c>
      <c r="AH74">
        <v>4.45E-3</v>
      </c>
      <c r="AI74">
        <v>4.45E-3</v>
      </c>
      <c r="AJ74">
        <v>4.45E-3</v>
      </c>
      <c r="AK74">
        <v>5.6600000000000001E-3</v>
      </c>
      <c r="AL74">
        <v>5.6600000000000001E-3</v>
      </c>
      <c r="AM74">
        <v>5.6600000000000001E-3</v>
      </c>
      <c r="AN74">
        <v>5.6600000000000001E-3</v>
      </c>
      <c r="AO74">
        <v>5.6600000000000001E-3</v>
      </c>
      <c r="AP74">
        <v>6.0200000000000002E-3</v>
      </c>
      <c r="AQ74">
        <v>6.0200000000000002E-3</v>
      </c>
      <c r="AR74">
        <v>6.0200000000000002E-3</v>
      </c>
      <c r="AS74">
        <v>6.0200000000000002E-3</v>
      </c>
      <c r="AT74">
        <v>6.0200000000000002E-3</v>
      </c>
      <c r="AU74">
        <v>6.9800000000000001E-3</v>
      </c>
      <c r="AV74">
        <v>6.9800000000000001E-3</v>
      </c>
      <c r="AW74">
        <v>6.9800000000000001E-3</v>
      </c>
      <c r="AX74">
        <v>6.9800000000000001E-3</v>
      </c>
      <c r="AY74">
        <v>6.9800000000000001E-3</v>
      </c>
      <c r="AZ74">
        <v>9.0799999999999995E-3</v>
      </c>
      <c r="BA74">
        <v>9.0799999999999995E-3</v>
      </c>
      <c r="BB74">
        <v>9.0799999999999995E-3</v>
      </c>
      <c r="BC74">
        <v>9.0799999999999995E-3</v>
      </c>
      <c r="BD74">
        <v>9.0799999999999995E-3</v>
      </c>
      <c r="BE74">
        <v>1.306E-2</v>
      </c>
      <c r="BF74">
        <v>1.306E-2</v>
      </c>
      <c r="BG74">
        <v>1.306E-2</v>
      </c>
      <c r="BH74">
        <v>1.306E-2</v>
      </c>
      <c r="BI74">
        <v>1.306E-2</v>
      </c>
      <c r="BJ74">
        <v>1.8839999999999999E-2</v>
      </c>
      <c r="BK74">
        <v>1.8839999999999999E-2</v>
      </c>
      <c r="BL74">
        <v>1.8839999999999999E-2</v>
      </c>
      <c r="BM74">
        <v>1.8839999999999999E-2</v>
      </c>
      <c r="BN74">
        <v>1.8839999999999999E-2</v>
      </c>
      <c r="BO74">
        <v>3.066E-2</v>
      </c>
      <c r="BP74">
        <v>3.066E-2</v>
      </c>
      <c r="BQ74">
        <v>3.066E-2</v>
      </c>
      <c r="BR74">
        <v>3.066E-2</v>
      </c>
      <c r="BS74">
        <v>3.066E-2</v>
      </c>
      <c r="BT74">
        <v>5.1209999999999999E-2</v>
      </c>
      <c r="BU74">
        <v>5.1209999999999999E-2</v>
      </c>
      <c r="BV74">
        <v>5.1209999999999999E-2</v>
      </c>
      <c r="BW74">
        <v>5.1209999999999999E-2</v>
      </c>
      <c r="BX74">
        <v>5.1209999999999999E-2</v>
      </c>
      <c r="BY74">
        <v>8.4129999999999996E-2</v>
      </c>
      <c r="BZ74">
        <v>8.4129999999999996E-2</v>
      </c>
      <c r="CA74">
        <v>8.4129999999999996E-2</v>
      </c>
      <c r="CB74">
        <v>8.4129999999999996E-2</v>
      </c>
      <c r="CC74">
        <v>8.4129999999999996E-2</v>
      </c>
      <c r="CD74">
        <v>0.13356000000000001</v>
      </c>
      <c r="CE74">
        <v>0.13356000000000001</v>
      </c>
      <c r="CF74">
        <v>0.13356000000000001</v>
      </c>
      <c r="CG74">
        <v>0.13356000000000001</v>
      </c>
      <c r="CH74">
        <v>0.13356000000000001</v>
      </c>
      <c r="CI74">
        <v>0.2039</v>
      </c>
      <c r="CJ74">
        <v>0.2039</v>
      </c>
      <c r="CK74">
        <v>0.2039</v>
      </c>
      <c r="CL74">
        <v>0.2039</v>
      </c>
      <c r="CM74">
        <v>0.2039</v>
      </c>
      <c r="CN74">
        <v>0.29918</v>
      </c>
      <c r="CO74">
        <v>0.29918</v>
      </c>
      <c r="CP74">
        <v>0.29918</v>
      </c>
      <c r="CQ74">
        <v>0.29918</v>
      </c>
      <c r="CR74">
        <v>0.29918</v>
      </c>
      <c r="CS74">
        <v>0.42181999999999997</v>
      </c>
      <c r="CT74">
        <v>0.42181999999999997</v>
      </c>
      <c r="CU74">
        <v>0.42181999999999997</v>
      </c>
      <c r="CV74">
        <v>0.42181999999999997</v>
      </c>
      <c r="CW74">
        <v>0.42181999999999997</v>
      </c>
      <c r="CX74">
        <v>1</v>
      </c>
    </row>
    <row r="75" spans="1:102" x14ac:dyDescent="0.25">
      <c r="A75" t="s">
        <v>215</v>
      </c>
      <c r="B75">
        <v>2.3099999999999999E-2</v>
      </c>
      <c r="C75">
        <v>1.41E-3</v>
      </c>
      <c r="D75">
        <v>1.41E-3</v>
      </c>
      <c r="E75">
        <v>1.41E-3</v>
      </c>
      <c r="F75">
        <v>1.41E-3</v>
      </c>
      <c r="G75">
        <v>5.1000000000000004E-4</v>
      </c>
      <c r="H75">
        <v>5.1000000000000004E-4</v>
      </c>
      <c r="I75">
        <v>5.1000000000000004E-4</v>
      </c>
      <c r="J75">
        <v>5.1000000000000004E-4</v>
      </c>
      <c r="K75">
        <v>5.1000000000000004E-4</v>
      </c>
      <c r="L75">
        <v>4.2000000000000002E-4</v>
      </c>
      <c r="M75">
        <v>4.2000000000000002E-4</v>
      </c>
      <c r="N75">
        <v>4.2000000000000002E-4</v>
      </c>
      <c r="O75">
        <v>4.2000000000000002E-4</v>
      </c>
      <c r="P75">
        <v>4.2000000000000002E-4</v>
      </c>
      <c r="Q75">
        <v>6.6E-4</v>
      </c>
      <c r="R75">
        <v>6.6E-4</v>
      </c>
      <c r="S75">
        <v>6.6E-4</v>
      </c>
      <c r="T75">
        <v>6.6E-4</v>
      </c>
      <c r="U75">
        <v>6.6E-4</v>
      </c>
      <c r="V75">
        <v>8.8999999999999995E-4</v>
      </c>
      <c r="W75">
        <v>8.8999999999999995E-4</v>
      </c>
      <c r="X75">
        <v>8.8999999999999995E-4</v>
      </c>
      <c r="Y75">
        <v>8.8999999999999995E-4</v>
      </c>
      <c r="Z75">
        <v>8.8999999999999995E-4</v>
      </c>
      <c r="AA75">
        <v>1.1800000000000001E-3</v>
      </c>
      <c r="AB75">
        <v>1.1800000000000001E-3</v>
      </c>
      <c r="AC75">
        <v>1.1800000000000001E-3</v>
      </c>
      <c r="AD75">
        <v>1.1800000000000001E-3</v>
      </c>
      <c r="AE75">
        <v>1.1800000000000001E-3</v>
      </c>
      <c r="AF75">
        <v>1.65E-3</v>
      </c>
      <c r="AG75">
        <v>1.65E-3</v>
      </c>
      <c r="AH75">
        <v>1.65E-3</v>
      </c>
      <c r="AI75">
        <v>1.65E-3</v>
      </c>
      <c r="AJ75">
        <v>1.65E-3</v>
      </c>
      <c r="AK75">
        <v>2.2499999999999998E-3</v>
      </c>
      <c r="AL75">
        <v>2.2499999999999998E-3</v>
      </c>
      <c r="AM75">
        <v>2.2499999999999998E-3</v>
      </c>
      <c r="AN75">
        <v>2.2499999999999998E-3</v>
      </c>
      <c r="AO75">
        <v>2.2499999999999998E-3</v>
      </c>
      <c r="AP75">
        <v>3.0000000000000001E-3</v>
      </c>
      <c r="AQ75">
        <v>3.0000000000000001E-3</v>
      </c>
      <c r="AR75">
        <v>3.0000000000000001E-3</v>
      </c>
      <c r="AS75">
        <v>3.0000000000000001E-3</v>
      </c>
      <c r="AT75">
        <v>3.0000000000000001E-3</v>
      </c>
      <c r="AU75">
        <v>4.2199999999999998E-3</v>
      </c>
      <c r="AV75">
        <v>4.2199999999999998E-3</v>
      </c>
      <c r="AW75">
        <v>4.2199999999999998E-3</v>
      </c>
      <c r="AX75">
        <v>4.2199999999999998E-3</v>
      </c>
      <c r="AY75">
        <v>4.2199999999999998E-3</v>
      </c>
      <c r="AZ75">
        <v>6.0699999999999999E-3</v>
      </c>
      <c r="BA75">
        <v>6.0699999999999999E-3</v>
      </c>
      <c r="BB75">
        <v>6.0699999999999999E-3</v>
      </c>
      <c r="BC75">
        <v>6.0699999999999999E-3</v>
      </c>
      <c r="BD75">
        <v>6.0699999999999999E-3</v>
      </c>
      <c r="BE75">
        <v>8.8599999999999998E-3</v>
      </c>
      <c r="BF75">
        <v>8.8599999999999998E-3</v>
      </c>
      <c r="BG75">
        <v>8.8599999999999998E-3</v>
      </c>
      <c r="BH75">
        <v>8.8599999999999998E-3</v>
      </c>
      <c r="BI75">
        <v>8.8599999999999998E-3</v>
      </c>
      <c r="BJ75">
        <v>1.357E-2</v>
      </c>
      <c r="BK75">
        <v>1.357E-2</v>
      </c>
      <c r="BL75">
        <v>1.357E-2</v>
      </c>
      <c r="BM75">
        <v>1.357E-2</v>
      </c>
      <c r="BN75">
        <v>1.357E-2</v>
      </c>
      <c r="BO75">
        <v>2.2009999999999998E-2</v>
      </c>
      <c r="BP75">
        <v>2.2009999999999998E-2</v>
      </c>
      <c r="BQ75">
        <v>2.2009999999999998E-2</v>
      </c>
      <c r="BR75">
        <v>2.2009999999999998E-2</v>
      </c>
      <c r="BS75">
        <v>2.2009999999999998E-2</v>
      </c>
      <c r="BT75">
        <v>3.7780000000000001E-2</v>
      </c>
      <c r="BU75">
        <v>3.7780000000000001E-2</v>
      </c>
      <c r="BV75">
        <v>3.7780000000000001E-2</v>
      </c>
      <c r="BW75">
        <v>3.7780000000000001E-2</v>
      </c>
      <c r="BX75">
        <v>3.7780000000000001E-2</v>
      </c>
      <c r="BY75">
        <v>6.5259999999999999E-2</v>
      </c>
      <c r="BZ75">
        <v>6.5259999999999999E-2</v>
      </c>
      <c r="CA75">
        <v>6.5259999999999999E-2</v>
      </c>
      <c r="CB75">
        <v>6.5259999999999999E-2</v>
      </c>
      <c r="CC75">
        <v>6.5259999999999999E-2</v>
      </c>
      <c r="CD75">
        <v>0.11156000000000001</v>
      </c>
      <c r="CE75">
        <v>0.11156000000000001</v>
      </c>
      <c r="CF75">
        <v>0.11156000000000001</v>
      </c>
      <c r="CG75">
        <v>0.11156000000000001</v>
      </c>
      <c r="CH75">
        <v>0.11156000000000001</v>
      </c>
      <c r="CI75">
        <v>0.18073</v>
      </c>
      <c r="CJ75">
        <v>0.18073</v>
      </c>
      <c r="CK75">
        <v>0.18073</v>
      </c>
      <c r="CL75">
        <v>0.18073</v>
      </c>
      <c r="CM75">
        <v>0.18073</v>
      </c>
      <c r="CN75">
        <v>0.27738000000000002</v>
      </c>
      <c r="CO75">
        <v>0.27738000000000002</v>
      </c>
      <c r="CP75">
        <v>0.27738000000000002</v>
      </c>
      <c r="CQ75">
        <v>0.27738000000000002</v>
      </c>
      <c r="CR75">
        <v>0.27738000000000002</v>
      </c>
      <c r="CS75">
        <v>0.40333999999999998</v>
      </c>
      <c r="CT75">
        <v>0.40333999999999998</v>
      </c>
      <c r="CU75">
        <v>0.40333999999999998</v>
      </c>
      <c r="CV75">
        <v>0.40333999999999998</v>
      </c>
      <c r="CW75">
        <v>0.40333999999999998</v>
      </c>
      <c r="CX75">
        <v>1</v>
      </c>
    </row>
    <row r="76" spans="1:102" x14ac:dyDescent="0.25">
      <c r="A76" t="s">
        <v>217</v>
      </c>
      <c r="B76">
        <v>4.96E-3</v>
      </c>
      <c r="C76">
        <v>2.1000000000000001E-4</v>
      </c>
      <c r="D76">
        <v>2.1000000000000001E-4</v>
      </c>
      <c r="E76">
        <v>2.1000000000000001E-4</v>
      </c>
      <c r="F76">
        <v>2.1000000000000001E-4</v>
      </c>
      <c r="G76">
        <v>1.1E-4</v>
      </c>
      <c r="H76">
        <v>1.1E-4</v>
      </c>
      <c r="I76">
        <v>1.1E-4</v>
      </c>
      <c r="J76">
        <v>1.1E-4</v>
      </c>
      <c r="K76">
        <v>1.1E-4</v>
      </c>
      <c r="L76">
        <v>1.3999999999999999E-4</v>
      </c>
      <c r="M76">
        <v>1.3999999999999999E-4</v>
      </c>
      <c r="N76">
        <v>1.3999999999999999E-4</v>
      </c>
      <c r="O76">
        <v>1.3999999999999999E-4</v>
      </c>
      <c r="P76">
        <v>1.3999999999999999E-4</v>
      </c>
      <c r="Q76">
        <v>2.4000000000000001E-4</v>
      </c>
      <c r="R76">
        <v>2.4000000000000001E-4</v>
      </c>
      <c r="S76">
        <v>2.4000000000000001E-4</v>
      </c>
      <c r="T76">
        <v>2.4000000000000001E-4</v>
      </c>
      <c r="U76">
        <v>2.4000000000000001E-4</v>
      </c>
      <c r="V76">
        <v>2.5000000000000001E-4</v>
      </c>
      <c r="W76">
        <v>2.5000000000000001E-4</v>
      </c>
      <c r="X76">
        <v>2.5000000000000001E-4</v>
      </c>
      <c r="Y76">
        <v>2.5000000000000001E-4</v>
      </c>
      <c r="Z76">
        <v>2.5000000000000001E-4</v>
      </c>
      <c r="AA76">
        <v>2.7E-4</v>
      </c>
      <c r="AB76">
        <v>2.7E-4</v>
      </c>
      <c r="AC76">
        <v>2.7E-4</v>
      </c>
      <c r="AD76">
        <v>2.7E-4</v>
      </c>
      <c r="AE76">
        <v>2.7E-4</v>
      </c>
      <c r="AF76">
        <v>4.6999999999999999E-4</v>
      </c>
      <c r="AG76">
        <v>4.6999999999999999E-4</v>
      </c>
      <c r="AH76">
        <v>4.6999999999999999E-4</v>
      </c>
      <c r="AI76">
        <v>4.6999999999999999E-4</v>
      </c>
      <c r="AJ76">
        <v>4.6999999999999999E-4</v>
      </c>
      <c r="AK76">
        <v>9.6000000000000002E-4</v>
      </c>
      <c r="AL76">
        <v>9.6000000000000002E-4</v>
      </c>
      <c r="AM76">
        <v>9.6000000000000002E-4</v>
      </c>
      <c r="AN76">
        <v>9.6000000000000002E-4</v>
      </c>
      <c r="AO76">
        <v>9.6000000000000002E-4</v>
      </c>
      <c r="AP76">
        <v>1.73E-3</v>
      </c>
      <c r="AQ76">
        <v>1.73E-3</v>
      </c>
      <c r="AR76">
        <v>1.73E-3</v>
      </c>
      <c r="AS76">
        <v>1.73E-3</v>
      </c>
      <c r="AT76">
        <v>1.73E-3</v>
      </c>
      <c r="AU76">
        <v>3.4199999999999999E-3</v>
      </c>
      <c r="AV76">
        <v>3.4199999999999999E-3</v>
      </c>
      <c r="AW76">
        <v>3.4199999999999999E-3</v>
      </c>
      <c r="AX76">
        <v>3.4199999999999999E-3</v>
      </c>
      <c r="AY76">
        <v>3.4199999999999999E-3</v>
      </c>
      <c r="AZ76">
        <v>5.7800000000000004E-3</v>
      </c>
      <c r="BA76">
        <v>5.7800000000000004E-3</v>
      </c>
      <c r="BB76">
        <v>5.7800000000000004E-3</v>
      </c>
      <c r="BC76">
        <v>5.7800000000000004E-3</v>
      </c>
      <c r="BD76">
        <v>5.7800000000000004E-3</v>
      </c>
      <c r="BE76">
        <v>7.7499999999999999E-3</v>
      </c>
      <c r="BF76">
        <v>7.7499999999999999E-3</v>
      </c>
      <c r="BG76">
        <v>7.7499999999999999E-3</v>
      </c>
      <c r="BH76">
        <v>7.7499999999999999E-3</v>
      </c>
      <c r="BI76">
        <v>7.7499999999999999E-3</v>
      </c>
      <c r="BJ76">
        <v>1.124E-2</v>
      </c>
      <c r="BK76">
        <v>1.124E-2</v>
      </c>
      <c r="BL76">
        <v>1.124E-2</v>
      </c>
      <c r="BM76">
        <v>1.124E-2</v>
      </c>
      <c r="BN76">
        <v>1.124E-2</v>
      </c>
      <c r="BO76">
        <v>1.5970000000000002E-2</v>
      </c>
      <c r="BP76">
        <v>1.5970000000000002E-2</v>
      </c>
      <c r="BQ76">
        <v>1.5970000000000002E-2</v>
      </c>
      <c r="BR76">
        <v>1.5970000000000002E-2</v>
      </c>
      <c r="BS76">
        <v>1.5970000000000002E-2</v>
      </c>
      <c r="BT76">
        <v>2.58E-2</v>
      </c>
      <c r="BU76">
        <v>2.58E-2</v>
      </c>
      <c r="BV76">
        <v>2.58E-2</v>
      </c>
      <c r="BW76">
        <v>2.58E-2</v>
      </c>
      <c r="BX76">
        <v>2.58E-2</v>
      </c>
      <c r="BY76">
        <v>4.48E-2</v>
      </c>
      <c r="BZ76">
        <v>4.48E-2</v>
      </c>
      <c r="CA76">
        <v>4.48E-2</v>
      </c>
      <c r="CB76">
        <v>4.48E-2</v>
      </c>
      <c r="CC76">
        <v>4.48E-2</v>
      </c>
      <c r="CD76">
        <v>8.133E-2</v>
      </c>
      <c r="CE76">
        <v>8.133E-2</v>
      </c>
      <c r="CF76">
        <v>8.133E-2</v>
      </c>
      <c r="CG76">
        <v>8.133E-2</v>
      </c>
      <c r="CH76">
        <v>8.133E-2</v>
      </c>
      <c r="CI76">
        <v>0.13977999999999999</v>
      </c>
      <c r="CJ76">
        <v>0.13977999999999999</v>
      </c>
      <c r="CK76">
        <v>0.13977999999999999</v>
      </c>
      <c r="CL76">
        <v>0.13977999999999999</v>
      </c>
      <c r="CM76">
        <v>0.13977999999999999</v>
      </c>
      <c r="CN76">
        <v>0.22739999999999999</v>
      </c>
      <c r="CO76">
        <v>0.22739999999999999</v>
      </c>
      <c r="CP76">
        <v>0.22739999999999999</v>
      </c>
      <c r="CQ76">
        <v>0.22739999999999999</v>
      </c>
      <c r="CR76">
        <v>0.22739999999999999</v>
      </c>
      <c r="CS76">
        <v>0.35022999999999999</v>
      </c>
      <c r="CT76">
        <v>0.35022999999999999</v>
      </c>
      <c r="CU76">
        <v>0.35022999999999999</v>
      </c>
      <c r="CV76">
        <v>0.35022999999999999</v>
      </c>
      <c r="CW76">
        <v>0.35022999999999999</v>
      </c>
      <c r="CX76">
        <v>1</v>
      </c>
    </row>
    <row r="77" spans="1:102" x14ac:dyDescent="0.25">
      <c r="A77" t="s">
        <v>219</v>
      </c>
      <c r="B77">
        <v>9.7912499999999996E-3</v>
      </c>
      <c r="C77">
        <v>3.5649999999999999E-4</v>
      </c>
      <c r="D77">
        <v>3.5649999999999999E-4</v>
      </c>
      <c r="E77">
        <v>3.5649999999999999E-4</v>
      </c>
      <c r="F77">
        <v>3.5649999999999999E-4</v>
      </c>
      <c r="G77">
        <v>1.7899999999999999E-4</v>
      </c>
      <c r="H77">
        <v>1.7899999999999999E-4</v>
      </c>
      <c r="I77">
        <v>1.7899999999999999E-4</v>
      </c>
      <c r="J77">
        <v>1.7899999999999999E-4</v>
      </c>
      <c r="K77">
        <v>1.7899999999999999E-4</v>
      </c>
      <c r="L77">
        <v>1.8075E-4</v>
      </c>
      <c r="M77">
        <v>1.8075E-4</v>
      </c>
      <c r="N77">
        <v>1.8075E-4</v>
      </c>
      <c r="O77">
        <v>1.8075E-4</v>
      </c>
      <c r="P77">
        <v>1.8075E-4</v>
      </c>
      <c r="Q77">
        <v>3.0775000000000003E-4</v>
      </c>
      <c r="R77">
        <v>3.0775000000000003E-4</v>
      </c>
      <c r="S77">
        <v>3.0775000000000003E-4</v>
      </c>
      <c r="T77">
        <v>3.0775000000000003E-4</v>
      </c>
      <c r="U77">
        <v>3.0775000000000003E-4</v>
      </c>
      <c r="V77">
        <v>4.2025E-4</v>
      </c>
      <c r="W77">
        <v>4.2025E-4</v>
      </c>
      <c r="X77">
        <v>4.2025E-4</v>
      </c>
      <c r="Y77">
        <v>4.2025E-4</v>
      </c>
      <c r="Z77">
        <v>4.2025E-4</v>
      </c>
      <c r="AA77">
        <v>5.2674999999999998E-4</v>
      </c>
      <c r="AB77">
        <v>5.2674999999999998E-4</v>
      </c>
      <c r="AC77">
        <v>5.2674999999999998E-4</v>
      </c>
      <c r="AD77">
        <v>5.2674999999999998E-4</v>
      </c>
      <c r="AE77">
        <v>5.2674999999999998E-4</v>
      </c>
      <c r="AF77">
        <v>7.3850000000000001E-4</v>
      </c>
      <c r="AG77">
        <v>7.3850000000000001E-4</v>
      </c>
      <c r="AH77">
        <v>7.3850000000000001E-4</v>
      </c>
      <c r="AI77">
        <v>7.3850000000000001E-4</v>
      </c>
      <c r="AJ77">
        <v>7.3850000000000001E-4</v>
      </c>
      <c r="AK77">
        <v>1.0690000000000001E-3</v>
      </c>
      <c r="AL77">
        <v>1.0690000000000001E-3</v>
      </c>
      <c r="AM77">
        <v>1.0690000000000001E-3</v>
      </c>
      <c r="AN77">
        <v>1.0690000000000001E-3</v>
      </c>
      <c r="AO77">
        <v>1.0690000000000001E-3</v>
      </c>
      <c r="AP77">
        <v>1.622E-3</v>
      </c>
      <c r="AQ77">
        <v>1.622E-3</v>
      </c>
      <c r="AR77">
        <v>1.622E-3</v>
      </c>
      <c r="AS77">
        <v>1.622E-3</v>
      </c>
      <c r="AT77">
        <v>1.622E-3</v>
      </c>
      <c r="AU77">
        <v>2.5685E-3</v>
      </c>
      <c r="AV77">
        <v>2.5685E-3</v>
      </c>
      <c r="AW77">
        <v>2.5685E-3</v>
      </c>
      <c r="AX77">
        <v>2.5685E-3</v>
      </c>
      <c r="AY77">
        <v>2.5685E-3</v>
      </c>
      <c r="AZ77">
        <v>4.117E-3</v>
      </c>
      <c r="BA77">
        <v>4.117E-3</v>
      </c>
      <c r="BB77">
        <v>4.117E-3</v>
      </c>
      <c r="BC77">
        <v>4.117E-3</v>
      </c>
      <c r="BD77">
        <v>4.117E-3</v>
      </c>
      <c r="BE77">
        <v>6.4475000000000001E-3</v>
      </c>
      <c r="BF77">
        <v>6.4475000000000001E-3</v>
      </c>
      <c r="BG77">
        <v>6.4475000000000001E-3</v>
      </c>
      <c r="BH77">
        <v>6.4475000000000001E-3</v>
      </c>
      <c r="BI77">
        <v>6.4475000000000001E-3</v>
      </c>
      <c r="BJ77">
        <v>9.7327500000000001E-3</v>
      </c>
      <c r="BK77">
        <v>9.7327500000000001E-3</v>
      </c>
      <c r="BL77">
        <v>9.7327500000000001E-3</v>
      </c>
      <c r="BM77">
        <v>9.7327500000000001E-3</v>
      </c>
      <c r="BN77">
        <v>9.7327500000000001E-3</v>
      </c>
      <c r="BO77">
        <v>1.5950249999999999E-2</v>
      </c>
      <c r="BP77">
        <v>1.5950249999999999E-2</v>
      </c>
      <c r="BQ77">
        <v>1.5950249999999999E-2</v>
      </c>
      <c r="BR77">
        <v>1.5950249999999999E-2</v>
      </c>
      <c r="BS77">
        <v>1.5950249999999999E-2</v>
      </c>
      <c r="BT77">
        <v>2.6643500000000001E-2</v>
      </c>
      <c r="BU77">
        <v>2.6643500000000001E-2</v>
      </c>
      <c r="BV77">
        <v>2.6643500000000001E-2</v>
      </c>
      <c r="BW77">
        <v>2.6643500000000001E-2</v>
      </c>
      <c r="BX77">
        <v>2.6643500000000001E-2</v>
      </c>
      <c r="BY77">
        <v>4.6877250000000002E-2</v>
      </c>
      <c r="BZ77">
        <v>4.6877250000000002E-2</v>
      </c>
      <c r="CA77">
        <v>4.6877250000000002E-2</v>
      </c>
      <c r="CB77">
        <v>4.6877250000000002E-2</v>
      </c>
      <c r="CC77">
        <v>4.6877250000000002E-2</v>
      </c>
      <c r="CD77">
        <v>8.3014249999999998E-2</v>
      </c>
      <c r="CE77">
        <v>8.3014249999999998E-2</v>
      </c>
      <c r="CF77">
        <v>8.3014249999999998E-2</v>
      </c>
      <c r="CG77">
        <v>8.3014249999999998E-2</v>
      </c>
      <c r="CH77">
        <v>8.3014249999999998E-2</v>
      </c>
      <c r="CI77">
        <v>0.14132575</v>
      </c>
      <c r="CJ77">
        <v>0.14132575</v>
      </c>
      <c r="CK77">
        <v>0.14132575</v>
      </c>
      <c r="CL77">
        <v>0.14132575</v>
      </c>
      <c r="CM77">
        <v>0.14132575</v>
      </c>
      <c r="CN77">
        <v>0.22859225</v>
      </c>
      <c r="CO77">
        <v>0.22859225</v>
      </c>
      <c r="CP77">
        <v>0.22859225</v>
      </c>
      <c r="CQ77">
        <v>0.22859225</v>
      </c>
      <c r="CR77">
        <v>0.22859225</v>
      </c>
      <c r="CS77">
        <v>0.34928749999999997</v>
      </c>
      <c r="CT77">
        <v>0.34928749999999997</v>
      </c>
      <c r="CU77">
        <v>0.34928749999999997</v>
      </c>
      <c r="CV77">
        <v>0.34928749999999997</v>
      </c>
      <c r="CW77">
        <v>0.34928749999999997</v>
      </c>
      <c r="CX77">
        <v>1</v>
      </c>
    </row>
    <row r="78" spans="1:102" x14ac:dyDescent="0.25">
      <c r="A78" t="s">
        <v>221</v>
      </c>
      <c r="B78">
        <v>5.2699999999999997E-2</v>
      </c>
      <c r="C78">
        <v>5.11E-3</v>
      </c>
      <c r="D78">
        <v>5.11E-3</v>
      </c>
      <c r="E78">
        <v>5.11E-3</v>
      </c>
      <c r="F78">
        <v>5.11E-3</v>
      </c>
      <c r="G78">
        <v>1.4300000000000001E-3</v>
      </c>
      <c r="H78">
        <v>1.4300000000000001E-3</v>
      </c>
      <c r="I78">
        <v>1.4300000000000001E-3</v>
      </c>
      <c r="J78">
        <v>1.4300000000000001E-3</v>
      </c>
      <c r="K78">
        <v>1.4300000000000001E-3</v>
      </c>
      <c r="L78">
        <v>1.0200000000000001E-3</v>
      </c>
      <c r="M78">
        <v>1.0200000000000001E-3</v>
      </c>
      <c r="N78">
        <v>1.0200000000000001E-3</v>
      </c>
      <c r="O78">
        <v>1.0200000000000001E-3</v>
      </c>
      <c r="P78">
        <v>1.0200000000000001E-3</v>
      </c>
      <c r="Q78">
        <v>1.58E-3</v>
      </c>
      <c r="R78">
        <v>1.58E-3</v>
      </c>
      <c r="S78">
        <v>1.58E-3</v>
      </c>
      <c r="T78">
        <v>1.58E-3</v>
      </c>
      <c r="U78">
        <v>1.58E-3</v>
      </c>
      <c r="V78">
        <v>2.1199999999999999E-3</v>
      </c>
      <c r="W78">
        <v>2.1199999999999999E-3</v>
      </c>
      <c r="X78">
        <v>2.1199999999999999E-3</v>
      </c>
      <c r="Y78">
        <v>2.1199999999999999E-3</v>
      </c>
      <c r="Z78">
        <v>2.1199999999999999E-3</v>
      </c>
      <c r="AA78">
        <v>1.98E-3</v>
      </c>
      <c r="AB78">
        <v>1.98E-3</v>
      </c>
      <c r="AC78">
        <v>1.98E-3</v>
      </c>
      <c r="AD78">
        <v>1.98E-3</v>
      </c>
      <c r="AE78">
        <v>1.98E-3</v>
      </c>
      <c r="AF78">
        <v>2.2399999999999998E-3</v>
      </c>
      <c r="AG78">
        <v>2.2399999999999998E-3</v>
      </c>
      <c r="AH78">
        <v>2.2399999999999998E-3</v>
      </c>
      <c r="AI78">
        <v>2.2399999999999998E-3</v>
      </c>
      <c r="AJ78">
        <v>2.2399999999999998E-3</v>
      </c>
      <c r="AK78">
        <v>2.64E-3</v>
      </c>
      <c r="AL78">
        <v>2.64E-3</v>
      </c>
      <c r="AM78">
        <v>2.64E-3</v>
      </c>
      <c r="AN78">
        <v>2.64E-3</v>
      </c>
      <c r="AO78">
        <v>2.64E-3</v>
      </c>
      <c r="AP78">
        <v>3.3700000000000002E-3</v>
      </c>
      <c r="AQ78">
        <v>3.3700000000000002E-3</v>
      </c>
      <c r="AR78">
        <v>3.3700000000000002E-3</v>
      </c>
      <c r="AS78">
        <v>3.3700000000000002E-3</v>
      </c>
      <c r="AT78">
        <v>3.3700000000000002E-3</v>
      </c>
      <c r="AU78">
        <v>4.5900000000000003E-3</v>
      </c>
      <c r="AV78">
        <v>4.5900000000000003E-3</v>
      </c>
      <c r="AW78">
        <v>4.5900000000000003E-3</v>
      </c>
      <c r="AX78">
        <v>4.5900000000000003E-3</v>
      </c>
      <c r="AY78">
        <v>4.5900000000000003E-3</v>
      </c>
      <c r="AZ78">
        <v>6.7400000000000003E-3</v>
      </c>
      <c r="BA78">
        <v>6.7400000000000003E-3</v>
      </c>
      <c r="BB78">
        <v>6.7400000000000003E-3</v>
      </c>
      <c r="BC78">
        <v>6.7400000000000003E-3</v>
      </c>
      <c r="BD78">
        <v>6.7400000000000003E-3</v>
      </c>
      <c r="BE78">
        <v>1.1639999999999999E-2</v>
      </c>
      <c r="BF78">
        <v>1.1639999999999999E-2</v>
      </c>
      <c r="BG78">
        <v>1.1639999999999999E-2</v>
      </c>
      <c r="BH78">
        <v>1.1639999999999999E-2</v>
      </c>
      <c r="BI78">
        <v>1.1639999999999999E-2</v>
      </c>
      <c r="BJ78">
        <v>2.103E-2</v>
      </c>
      <c r="BK78">
        <v>2.103E-2</v>
      </c>
      <c r="BL78">
        <v>2.103E-2</v>
      </c>
      <c r="BM78">
        <v>2.103E-2</v>
      </c>
      <c r="BN78">
        <v>2.103E-2</v>
      </c>
      <c r="BO78">
        <v>3.2340000000000001E-2</v>
      </c>
      <c r="BP78">
        <v>3.2340000000000001E-2</v>
      </c>
      <c r="BQ78">
        <v>3.2340000000000001E-2</v>
      </c>
      <c r="BR78">
        <v>3.2340000000000001E-2</v>
      </c>
      <c r="BS78">
        <v>3.2340000000000001E-2</v>
      </c>
      <c r="BT78">
        <v>5.6070000000000002E-2</v>
      </c>
      <c r="BU78">
        <v>5.6070000000000002E-2</v>
      </c>
      <c r="BV78">
        <v>5.6070000000000002E-2</v>
      </c>
      <c r="BW78">
        <v>5.6070000000000002E-2</v>
      </c>
      <c r="BX78">
        <v>5.6070000000000002E-2</v>
      </c>
      <c r="BY78">
        <v>7.8700000000000006E-2</v>
      </c>
      <c r="BZ78">
        <v>7.8700000000000006E-2</v>
      </c>
      <c r="CA78">
        <v>7.8700000000000006E-2</v>
      </c>
      <c r="CB78">
        <v>7.8700000000000006E-2</v>
      </c>
      <c r="CC78">
        <v>7.8700000000000006E-2</v>
      </c>
      <c r="CD78">
        <v>0.12099</v>
      </c>
      <c r="CE78">
        <v>0.12099</v>
      </c>
      <c r="CF78">
        <v>0.12099</v>
      </c>
      <c r="CG78">
        <v>0.12099</v>
      </c>
      <c r="CH78">
        <v>0.12099</v>
      </c>
      <c r="CI78">
        <v>0.18182000000000001</v>
      </c>
      <c r="CJ78">
        <v>0.18182000000000001</v>
      </c>
      <c r="CK78">
        <v>0.18182000000000001</v>
      </c>
      <c r="CL78">
        <v>0.18182000000000001</v>
      </c>
      <c r="CM78">
        <v>0.18182000000000001</v>
      </c>
      <c r="CN78">
        <v>0.2671</v>
      </c>
      <c r="CO78">
        <v>0.2671</v>
      </c>
      <c r="CP78">
        <v>0.2671</v>
      </c>
      <c r="CQ78">
        <v>0.2671</v>
      </c>
      <c r="CR78">
        <v>0.2671</v>
      </c>
      <c r="CS78">
        <v>0.38355</v>
      </c>
      <c r="CT78">
        <v>0.38355</v>
      </c>
      <c r="CU78">
        <v>0.38355</v>
      </c>
      <c r="CV78">
        <v>0.38355</v>
      </c>
      <c r="CW78">
        <v>0.38355</v>
      </c>
      <c r="CX78">
        <v>1</v>
      </c>
    </row>
    <row r="79" spans="1:102" x14ac:dyDescent="0.25">
      <c r="A79" t="s">
        <v>223</v>
      </c>
      <c r="B79">
        <v>2.7400000000000001E-2</v>
      </c>
      <c r="C79">
        <v>2.1800000000000001E-3</v>
      </c>
      <c r="D79">
        <v>2.1800000000000001E-3</v>
      </c>
      <c r="E79">
        <v>2.1800000000000001E-3</v>
      </c>
      <c r="F79">
        <v>2.1800000000000001E-3</v>
      </c>
      <c r="G79">
        <v>6.4999999999999997E-4</v>
      </c>
      <c r="H79">
        <v>6.4999999999999997E-4</v>
      </c>
      <c r="I79">
        <v>6.4999999999999997E-4</v>
      </c>
      <c r="J79">
        <v>6.4999999999999997E-4</v>
      </c>
      <c r="K79">
        <v>6.4999999999999997E-4</v>
      </c>
      <c r="L79">
        <v>5.0000000000000001E-4</v>
      </c>
      <c r="M79">
        <v>5.0000000000000001E-4</v>
      </c>
      <c r="N79">
        <v>5.0000000000000001E-4</v>
      </c>
      <c r="O79">
        <v>5.0000000000000001E-4</v>
      </c>
      <c r="P79">
        <v>5.0000000000000001E-4</v>
      </c>
      <c r="Q79">
        <v>8.3000000000000001E-4</v>
      </c>
      <c r="R79">
        <v>8.3000000000000001E-4</v>
      </c>
      <c r="S79">
        <v>8.3000000000000001E-4</v>
      </c>
      <c r="T79">
        <v>8.3000000000000001E-4</v>
      </c>
      <c r="U79">
        <v>8.3000000000000001E-4</v>
      </c>
      <c r="V79">
        <v>1.0399999999999999E-3</v>
      </c>
      <c r="W79">
        <v>1.0399999999999999E-3</v>
      </c>
      <c r="X79">
        <v>1.0399999999999999E-3</v>
      </c>
      <c r="Y79">
        <v>1.0399999999999999E-3</v>
      </c>
      <c r="Z79">
        <v>1.0399999999999999E-3</v>
      </c>
      <c r="AA79">
        <v>1.2099999999999999E-3</v>
      </c>
      <c r="AB79">
        <v>1.2099999999999999E-3</v>
      </c>
      <c r="AC79">
        <v>1.2099999999999999E-3</v>
      </c>
      <c r="AD79">
        <v>1.2099999999999999E-3</v>
      </c>
      <c r="AE79">
        <v>1.2099999999999999E-3</v>
      </c>
      <c r="AF79">
        <v>1.5399999999999999E-3</v>
      </c>
      <c r="AG79">
        <v>1.5399999999999999E-3</v>
      </c>
      <c r="AH79">
        <v>1.5399999999999999E-3</v>
      </c>
      <c r="AI79">
        <v>1.5399999999999999E-3</v>
      </c>
      <c r="AJ79">
        <v>1.5399999999999999E-3</v>
      </c>
      <c r="AK79">
        <v>2.1299999999999999E-3</v>
      </c>
      <c r="AL79">
        <v>2.1299999999999999E-3</v>
      </c>
      <c r="AM79">
        <v>2.1299999999999999E-3</v>
      </c>
      <c r="AN79">
        <v>2.1299999999999999E-3</v>
      </c>
      <c r="AO79">
        <v>2.1299999999999999E-3</v>
      </c>
      <c r="AP79">
        <v>3.0500000000000002E-3</v>
      </c>
      <c r="AQ79">
        <v>3.0500000000000002E-3</v>
      </c>
      <c r="AR79">
        <v>3.0500000000000002E-3</v>
      </c>
      <c r="AS79">
        <v>3.0500000000000002E-3</v>
      </c>
      <c r="AT79">
        <v>3.0500000000000002E-3</v>
      </c>
      <c r="AU79">
        <v>4.47E-3</v>
      </c>
      <c r="AV79">
        <v>4.47E-3</v>
      </c>
      <c r="AW79">
        <v>4.47E-3</v>
      </c>
      <c r="AX79">
        <v>4.47E-3</v>
      </c>
      <c r="AY79">
        <v>4.47E-3</v>
      </c>
      <c r="AZ79">
        <v>6.62E-3</v>
      </c>
      <c r="BA79">
        <v>6.62E-3</v>
      </c>
      <c r="BB79">
        <v>6.62E-3</v>
      </c>
      <c r="BC79">
        <v>6.62E-3</v>
      </c>
      <c r="BD79">
        <v>6.62E-3</v>
      </c>
      <c r="BE79">
        <v>9.92E-3</v>
      </c>
      <c r="BF79">
        <v>9.92E-3</v>
      </c>
      <c r="BG79">
        <v>9.92E-3</v>
      </c>
      <c r="BH79">
        <v>9.92E-3</v>
      </c>
      <c r="BI79">
        <v>9.92E-3</v>
      </c>
      <c r="BJ79">
        <v>1.524E-2</v>
      </c>
      <c r="BK79">
        <v>1.524E-2</v>
      </c>
      <c r="BL79">
        <v>1.524E-2</v>
      </c>
      <c r="BM79">
        <v>1.524E-2</v>
      </c>
      <c r="BN79">
        <v>1.524E-2</v>
      </c>
      <c r="BO79">
        <v>2.4760000000000001E-2</v>
      </c>
      <c r="BP79">
        <v>2.4760000000000001E-2</v>
      </c>
      <c r="BQ79">
        <v>2.4760000000000001E-2</v>
      </c>
      <c r="BR79">
        <v>2.4760000000000001E-2</v>
      </c>
      <c r="BS79">
        <v>2.4760000000000001E-2</v>
      </c>
      <c r="BT79">
        <v>4.197E-2</v>
      </c>
      <c r="BU79">
        <v>4.197E-2</v>
      </c>
      <c r="BV79">
        <v>4.197E-2</v>
      </c>
      <c r="BW79">
        <v>4.197E-2</v>
      </c>
      <c r="BX79">
        <v>4.197E-2</v>
      </c>
      <c r="BY79">
        <v>7.0889999999999995E-2</v>
      </c>
      <c r="BZ79">
        <v>7.0889999999999995E-2</v>
      </c>
      <c r="CA79">
        <v>7.0889999999999995E-2</v>
      </c>
      <c r="CB79">
        <v>7.0889999999999995E-2</v>
      </c>
      <c r="CC79">
        <v>7.0889999999999995E-2</v>
      </c>
      <c r="CD79">
        <v>0.11811000000000001</v>
      </c>
      <c r="CE79">
        <v>0.11811000000000001</v>
      </c>
      <c r="CF79">
        <v>0.11811000000000001</v>
      </c>
      <c r="CG79">
        <v>0.11811000000000001</v>
      </c>
      <c r="CH79">
        <v>0.11811000000000001</v>
      </c>
      <c r="CI79">
        <v>0.18745000000000001</v>
      </c>
      <c r="CJ79">
        <v>0.18745000000000001</v>
      </c>
      <c r="CK79">
        <v>0.18745000000000001</v>
      </c>
      <c r="CL79">
        <v>0.18745000000000001</v>
      </c>
      <c r="CM79">
        <v>0.18745000000000001</v>
      </c>
      <c r="CN79">
        <v>0.28336</v>
      </c>
      <c r="CO79">
        <v>0.28336</v>
      </c>
      <c r="CP79">
        <v>0.28336</v>
      </c>
      <c r="CQ79">
        <v>0.28336</v>
      </c>
      <c r="CR79">
        <v>0.28336</v>
      </c>
      <c r="CS79">
        <v>0.40798000000000001</v>
      </c>
      <c r="CT79">
        <v>0.40798000000000001</v>
      </c>
      <c r="CU79">
        <v>0.40798000000000001</v>
      </c>
      <c r="CV79">
        <v>0.40798000000000001</v>
      </c>
      <c r="CW79">
        <v>0.40798000000000001</v>
      </c>
      <c r="CX79">
        <v>1</v>
      </c>
    </row>
    <row r="80" spans="1:102" x14ac:dyDescent="0.25">
      <c r="A80" t="s">
        <v>225</v>
      </c>
      <c r="B80">
        <v>2.2630000000000001E-2</v>
      </c>
      <c r="C80">
        <v>1.14E-3</v>
      </c>
      <c r="D80">
        <v>1.14E-3</v>
      </c>
      <c r="E80">
        <v>1.14E-3</v>
      </c>
      <c r="F80">
        <v>1.14E-3</v>
      </c>
      <c r="G80">
        <v>3.6999999999999999E-4</v>
      </c>
      <c r="H80">
        <v>3.6999999999999999E-4</v>
      </c>
      <c r="I80">
        <v>3.6999999999999999E-4</v>
      </c>
      <c r="J80">
        <v>3.6999999999999999E-4</v>
      </c>
      <c r="K80">
        <v>3.6999999999999999E-4</v>
      </c>
      <c r="L80">
        <v>2.7999999999999998E-4</v>
      </c>
      <c r="M80">
        <v>2.7999999999999998E-4</v>
      </c>
      <c r="N80">
        <v>2.7999999999999998E-4</v>
      </c>
      <c r="O80">
        <v>2.7999999999999998E-4</v>
      </c>
      <c r="P80">
        <v>2.7999999999999998E-4</v>
      </c>
      <c r="Q80">
        <v>4.0999999999999999E-4</v>
      </c>
      <c r="R80">
        <v>4.0999999999999999E-4</v>
      </c>
      <c r="S80">
        <v>4.0999999999999999E-4</v>
      </c>
      <c r="T80">
        <v>4.0999999999999999E-4</v>
      </c>
      <c r="U80">
        <v>4.0999999999999999E-4</v>
      </c>
      <c r="V80">
        <v>5.0000000000000001E-4</v>
      </c>
      <c r="W80">
        <v>5.0000000000000001E-4</v>
      </c>
      <c r="X80">
        <v>5.0000000000000001E-4</v>
      </c>
      <c r="Y80">
        <v>5.0000000000000001E-4</v>
      </c>
      <c r="Z80">
        <v>5.0000000000000001E-4</v>
      </c>
      <c r="AA80">
        <v>6.2E-4</v>
      </c>
      <c r="AB80">
        <v>6.2E-4</v>
      </c>
      <c r="AC80">
        <v>6.2E-4</v>
      </c>
      <c r="AD80">
        <v>6.2E-4</v>
      </c>
      <c r="AE80">
        <v>6.2E-4</v>
      </c>
      <c r="AF80">
        <v>8.1999999999999998E-4</v>
      </c>
      <c r="AG80">
        <v>8.1999999999999998E-4</v>
      </c>
      <c r="AH80">
        <v>8.1999999999999998E-4</v>
      </c>
      <c r="AI80">
        <v>8.1999999999999998E-4</v>
      </c>
      <c r="AJ80">
        <v>8.1999999999999998E-4</v>
      </c>
      <c r="AK80">
        <v>1.17E-3</v>
      </c>
      <c r="AL80">
        <v>1.17E-3</v>
      </c>
      <c r="AM80">
        <v>1.17E-3</v>
      </c>
      <c r="AN80">
        <v>1.17E-3</v>
      </c>
      <c r="AO80">
        <v>1.17E-3</v>
      </c>
      <c r="AP80">
        <v>1.75E-3</v>
      </c>
      <c r="AQ80">
        <v>1.75E-3</v>
      </c>
      <c r="AR80">
        <v>1.75E-3</v>
      </c>
      <c r="AS80">
        <v>1.75E-3</v>
      </c>
      <c r="AT80">
        <v>1.75E-3</v>
      </c>
      <c r="AU80">
        <v>2.7200000000000002E-3</v>
      </c>
      <c r="AV80">
        <v>2.7200000000000002E-3</v>
      </c>
      <c r="AW80">
        <v>2.7200000000000002E-3</v>
      </c>
      <c r="AX80">
        <v>2.7200000000000002E-3</v>
      </c>
      <c r="AY80">
        <v>2.7200000000000002E-3</v>
      </c>
      <c r="AZ80">
        <v>4.2100000000000002E-3</v>
      </c>
      <c r="BA80">
        <v>4.2100000000000002E-3</v>
      </c>
      <c r="BB80">
        <v>4.2100000000000002E-3</v>
      </c>
      <c r="BC80">
        <v>4.2100000000000002E-3</v>
      </c>
      <c r="BD80">
        <v>4.2100000000000002E-3</v>
      </c>
      <c r="BE80">
        <v>6.5700000000000003E-3</v>
      </c>
      <c r="BF80">
        <v>6.5700000000000003E-3</v>
      </c>
      <c r="BG80">
        <v>6.5700000000000003E-3</v>
      </c>
      <c r="BH80">
        <v>6.5700000000000003E-3</v>
      </c>
      <c r="BI80">
        <v>6.5700000000000003E-3</v>
      </c>
      <c r="BJ80">
        <v>1.068E-2</v>
      </c>
      <c r="BK80">
        <v>1.068E-2</v>
      </c>
      <c r="BL80">
        <v>1.068E-2</v>
      </c>
      <c r="BM80">
        <v>1.068E-2</v>
      </c>
      <c r="BN80">
        <v>1.068E-2</v>
      </c>
      <c r="BO80">
        <v>1.8350000000000002E-2</v>
      </c>
      <c r="BP80">
        <v>1.8350000000000002E-2</v>
      </c>
      <c r="BQ80">
        <v>1.8350000000000002E-2</v>
      </c>
      <c r="BR80">
        <v>1.8350000000000002E-2</v>
      </c>
      <c r="BS80">
        <v>1.8350000000000002E-2</v>
      </c>
      <c r="BT80">
        <v>3.3029999999999997E-2</v>
      </c>
      <c r="BU80">
        <v>3.3029999999999997E-2</v>
      </c>
      <c r="BV80">
        <v>3.3029999999999997E-2</v>
      </c>
      <c r="BW80">
        <v>3.3029999999999997E-2</v>
      </c>
      <c r="BX80">
        <v>3.3029999999999997E-2</v>
      </c>
      <c r="BY80">
        <v>5.9760000000000001E-2</v>
      </c>
      <c r="BZ80">
        <v>5.9760000000000001E-2</v>
      </c>
      <c r="CA80">
        <v>5.9760000000000001E-2</v>
      </c>
      <c r="CB80">
        <v>5.9760000000000001E-2</v>
      </c>
      <c r="CC80">
        <v>5.9760000000000001E-2</v>
      </c>
      <c r="CD80">
        <v>0.10571</v>
      </c>
      <c r="CE80">
        <v>0.10571</v>
      </c>
      <c r="CF80">
        <v>0.10571</v>
      </c>
      <c r="CG80">
        <v>0.10571</v>
      </c>
      <c r="CH80">
        <v>0.10571</v>
      </c>
      <c r="CI80">
        <v>0.17571999999999999</v>
      </c>
      <c r="CJ80">
        <v>0.17571999999999999</v>
      </c>
      <c r="CK80">
        <v>0.17571999999999999</v>
      </c>
      <c r="CL80">
        <v>0.17571999999999999</v>
      </c>
      <c r="CM80">
        <v>0.17571999999999999</v>
      </c>
      <c r="CN80">
        <v>0.27445000000000003</v>
      </c>
      <c r="CO80">
        <v>0.27445000000000003</v>
      </c>
      <c r="CP80">
        <v>0.27445000000000003</v>
      </c>
      <c r="CQ80">
        <v>0.27445000000000003</v>
      </c>
      <c r="CR80">
        <v>0.27445000000000003</v>
      </c>
      <c r="CS80">
        <v>0.40278999999999998</v>
      </c>
      <c r="CT80">
        <v>0.40278999999999998</v>
      </c>
      <c r="CU80">
        <v>0.40278999999999998</v>
      </c>
      <c r="CV80">
        <v>0.40278999999999998</v>
      </c>
      <c r="CW80">
        <v>0.40278999999999998</v>
      </c>
      <c r="CX80">
        <v>1</v>
      </c>
    </row>
    <row r="81" spans="1:102" x14ac:dyDescent="0.25">
      <c r="A81" t="s">
        <v>227</v>
      </c>
      <c r="B81">
        <v>3.3660000000000002E-2</v>
      </c>
      <c r="C81">
        <v>1.9599999999999999E-3</v>
      </c>
      <c r="D81">
        <v>1.9599999999999999E-3</v>
      </c>
      <c r="E81">
        <v>1.9599999999999999E-3</v>
      </c>
      <c r="F81">
        <v>1.9599999999999999E-3</v>
      </c>
      <c r="G81">
        <v>8.4999999999999995E-4</v>
      </c>
      <c r="H81">
        <v>8.4999999999999995E-4</v>
      </c>
      <c r="I81">
        <v>8.4999999999999995E-4</v>
      </c>
      <c r="J81">
        <v>8.4999999999999995E-4</v>
      </c>
      <c r="K81">
        <v>8.4999999999999995E-4</v>
      </c>
      <c r="L81">
        <v>6.9999999999999999E-4</v>
      </c>
      <c r="M81">
        <v>6.9999999999999999E-4</v>
      </c>
      <c r="N81">
        <v>6.9999999999999999E-4</v>
      </c>
      <c r="O81">
        <v>6.9999999999999999E-4</v>
      </c>
      <c r="P81">
        <v>6.9999999999999999E-4</v>
      </c>
      <c r="Q81">
        <v>8.4000000000000003E-4</v>
      </c>
      <c r="R81">
        <v>8.4000000000000003E-4</v>
      </c>
      <c r="S81">
        <v>8.4000000000000003E-4</v>
      </c>
      <c r="T81">
        <v>8.4000000000000003E-4</v>
      </c>
      <c r="U81">
        <v>8.4000000000000003E-4</v>
      </c>
      <c r="V81">
        <v>1.08E-3</v>
      </c>
      <c r="W81">
        <v>1.08E-3</v>
      </c>
      <c r="X81">
        <v>1.08E-3</v>
      </c>
      <c r="Y81">
        <v>1.08E-3</v>
      </c>
      <c r="Z81">
        <v>1.08E-3</v>
      </c>
      <c r="AA81">
        <v>1.2800000000000001E-3</v>
      </c>
      <c r="AB81">
        <v>1.2800000000000001E-3</v>
      </c>
      <c r="AC81">
        <v>1.2800000000000001E-3</v>
      </c>
      <c r="AD81">
        <v>1.2800000000000001E-3</v>
      </c>
      <c r="AE81">
        <v>1.2800000000000001E-3</v>
      </c>
      <c r="AF81">
        <v>1.6199999999999999E-3</v>
      </c>
      <c r="AG81">
        <v>1.6199999999999999E-3</v>
      </c>
      <c r="AH81">
        <v>1.6199999999999999E-3</v>
      </c>
      <c r="AI81">
        <v>1.6199999999999999E-3</v>
      </c>
      <c r="AJ81">
        <v>1.6199999999999999E-3</v>
      </c>
      <c r="AK81">
        <v>2.2100000000000002E-3</v>
      </c>
      <c r="AL81">
        <v>2.2100000000000002E-3</v>
      </c>
      <c r="AM81">
        <v>2.2100000000000002E-3</v>
      </c>
      <c r="AN81">
        <v>2.2100000000000002E-3</v>
      </c>
      <c r="AO81">
        <v>2.2100000000000002E-3</v>
      </c>
      <c r="AP81">
        <v>3.1199999999999999E-3</v>
      </c>
      <c r="AQ81">
        <v>3.1199999999999999E-3</v>
      </c>
      <c r="AR81">
        <v>3.1199999999999999E-3</v>
      </c>
      <c r="AS81">
        <v>3.1199999999999999E-3</v>
      </c>
      <c r="AT81">
        <v>3.1199999999999999E-3</v>
      </c>
      <c r="AU81">
        <v>4.5599999999999998E-3</v>
      </c>
      <c r="AV81">
        <v>4.5599999999999998E-3</v>
      </c>
      <c r="AW81">
        <v>4.5599999999999998E-3</v>
      </c>
      <c r="AX81">
        <v>4.5599999999999998E-3</v>
      </c>
      <c r="AY81">
        <v>4.5599999999999998E-3</v>
      </c>
      <c r="AZ81">
        <v>6.7099999999999998E-3</v>
      </c>
      <c r="BA81">
        <v>6.7099999999999998E-3</v>
      </c>
      <c r="BB81">
        <v>6.7099999999999998E-3</v>
      </c>
      <c r="BC81">
        <v>6.7099999999999998E-3</v>
      </c>
      <c r="BD81">
        <v>6.7099999999999998E-3</v>
      </c>
      <c r="BE81">
        <v>1.001E-2</v>
      </c>
      <c r="BF81">
        <v>1.001E-2</v>
      </c>
      <c r="BG81">
        <v>1.001E-2</v>
      </c>
      <c r="BH81">
        <v>1.001E-2</v>
      </c>
      <c r="BI81">
        <v>1.001E-2</v>
      </c>
      <c r="BJ81">
        <v>1.54E-2</v>
      </c>
      <c r="BK81">
        <v>1.54E-2</v>
      </c>
      <c r="BL81">
        <v>1.54E-2</v>
      </c>
      <c r="BM81">
        <v>1.54E-2</v>
      </c>
      <c r="BN81">
        <v>1.54E-2</v>
      </c>
      <c r="BO81">
        <v>2.5020000000000001E-2</v>
      </c>
      <c r="BP81">
        <v>2.5020000000000001E-2</v>
      </c>
      <c r="BQ81">
        <v>2.5020000000000001E-2</v>
      </c>
      <c r="BR81">
        <v>2.5020000000000001E-2</v>
      </c>
      <c r="BS81">
        <v>2.5020000000000001E-2</v>
      </c>
      <c r="BT81">
        <v>4.2479999999999997E-2</v>
      </c>
      <c r="BU81">
        <v>4.2479999999999997E-2</v>
      </c>
      <c r="BV81">
        <v>4.2479999999999997E-2</v>
      </c>
      <c r="BW81">
        <v>4.2479999999999997E-2</v>
      </c>
      <c r="BX81">
        <v>4.2479999999999997E-2</v>
      </c>
      <c r="BY81">
        <v>7.2050000000000003E-2</v>
      </c>
      <c r="BZ81">
        <v>7.2050000000000003E-2</v>
      </c>
      <c r="CA81">
        <v>7.2050000000000003E-2</v>
      </c>
      <c r="CB81">
        <v>7.2050000000000003E-2</v>
      </c>
      <c r="CC81">
        <v>7.2050000000000003E-2</v>
      </c>
      <c r="CD81">
        <v>0.11992</v>
      </c>
      <c r="CE81">
        <v>0.11992</v>
      </c>
      <c r="CF81">
        <v>0.11992</v>
      </c>
      <c r="CG81">
        <v>0.11992</v>
      </c>
      <c r="CH81">
        <v>0.11992</v>
      </c>
      <c r="CI81">
        <v>0.19028999999999999</v>
      </c>
      <c r="CJ81">
        <v>0.19028999999999999</v>
      </c>
      <c r="CK81">
        <v>0.19028999999999999</v>
      </c>
      <c r="CL81">
        <v>0.19028999999999999</v>
      </c>
      <c r="CM81">
        <v>0.19028999999999999</v>
      </c>
      <c r="CN81">
        <v>0.28577999999999998</v>
      </c>
      <c r="CO81">
        <v>0.28577999999999998</v>
      </c>
      <c r="CP81">
        <v>0.28577999999999998</v>
      </c>
      <c r="CQ81">
        <v>0.28577999999999998</v>
      </c>
      <c r="CR81">
        <v>0.28577999999999998</v>
      </c>
      <c r="CS81">
        <v>0.41064000000000001</v>
      </c>
      <c r="CT81">
        <v>0.41064000000000001</v>
      </c>
      <c r="CU81">
        <v>0.41064000000000001</v>
      </c>
      <c r="CV81">
        <v>0.41064000000000001</v>
      </c>
      <c r="CW81">
        <v>0.41064000000000001</v>
      </c>
      <c r="CX81">
        <v>1</v>
      </c>
    </row>
    <row r="82" spans="1:102" x14ac:dyDescent="0.25">
      <c r="A82" t="s">
        <v>229</v>
      </c>
      <c r="B82">
        <v>9.7912499999999996E-3</v>
      </c>
      <c r="C82">
        <v>3.5649999999999999E-4</v>
      </c>
      <c r="D82">
        <v>3.5649999999999999E-4</v>
      </c>
      <c r="E82">
        <v>3.5649999999999999E-4</v>
      </c>
      <c r="F82">
        <v>3.5649999999999999E-4</v>
      </c>
      <c r="G82">
        <v>1.7899999999999999E-4</v>
      </c>
      <c r="H82">
        <v>1.7899999999999999E-4</v>
      </c>
      <c r="I82">
        <v>1.7899999999999999E-4</v>
      </c>
      <c r="J82">
        <v>1.7899999999999999E-4</v>
      </c>
      <c r="K82">
        <v>1.7899999999999999E-4</v>
      </c>
      <c r="L82">
        <v>1.8075E-4</v>
      </c>
      <c r="M82">
        <v>1.8075E-4</v>
      </c>
      <c r="N82">
        <v>1.8075E-4</v>
      </c>
      <c r="O82">
        <v>1.8075E-4</v>
      </c>
      <c r="P82">
        <v>1.8075E-4</v>
      </c>
      <c r="Q82">
        <v>3.0775000000000003E-4</v>
      </c>
      <c r="R82">
        <v>3.0775000000000003E-4</v>
      </c>
      <c r="S82">
        <v>3.0775000000000003E-4</v>
      </c>
      <c r="T82">
        <v>3.0775000000000003E-4</v>
      </c>
      <c r="U82">
        <v>3.0775000000000003E-4</v>
      </c>
      <c r="V82">
        <v>4.2025E-4</v>
      </c>
      <c r="W82">
        <v>4.2025E-4</v>
      </c>
      <c r="X82">
        <v>4.2025E-4</v>
      </c>
      <c r="Y82">
        <v>4.2025E-4</v>
      </c>
      <c r="Z82">
        <v>4.2025E-4</v>
      </c>
      <c r="AA82">
        <v>5.2674999999999998E-4</v>
      </c>
      <c r="AB82">
        <v>5.2674999999999998E-4</v>
      </c>
      <c r="AC82">
        <v>5.2674999999999998E-4</v>
      </c>
      <c r="AD82">
        <v>5.2674999999999998E-4</v>
      </c>
      <c r="AE82">
        <v>5.2674999999999998E-4</v>
      </c>
      <c r="AF82">
        <v>7.3850000000000001E-4</v>
      </c>
      <c r="AG82">
        <v>7.3850000000000001E-4</v>
      </c>
      <c r="AH82">
        <v>7.3850000000000001E-4</v>
      </c>
      <c r="AI82">
        <v>7.3850000000000001E-4</v>
      </c>
      <c r="AJ82">
        <v>7.3850000000000001E-4</v>
      </c>
      <c r="AK82">
        <v>1.0690000000000001E-3</v>
      </c>
      <c r="AL82">
        <v>1.0690000000000001E-3</v>
      </c>
      <c r="AM82">
        <v>1.0690000000000001E-3</v>
      </c>
      <c r="AN82">
        <v>1.0690000000000001E-3</v>
      </c>
      <c r="AO82">
        <v>1.0690000000000001E-3</v>
      </c>
      <c r="AP82">
        <v>1.622E-3</v>
      </c>
      <c r="AQ82">
        <v>1.622E-3</v>
      </c>
      <c r="AR82">
        <v>1.622E-3</v>
      </c>
      <c r="AS82">
        <v>1.622E-3</v>
      </c>
      <c r="AT82">
        <v>1.622E-3</v>
      </c>
      <c r="AU82">
        <v>2.5685E-3</v>
      </c>
      <c r="AV82">
        <v>2.5685E-3</v>
      </c>
      <c r="AW82">
        <v>2.5685E-3</v>
      </c>
      <c r="AX82">
        <v>2.5685E-3</v>
      </c>
      <c r="AY82">
        <v>2.5685E-3</v>
      </c>
      <c r="AZ82">
        <v>4.117E-3</v>
      </c>
      <c r="BA82">
        <v>4.117E-3</v>
      </c>
      <c r="BB82">
        <v>4.117E-3</v>
      </c>
      <c r="BC82">
        <v>4.117E-3</v>
      </c>
      <c r="BD82">
        <v>4.117E-3</v>
      </c>
      <c r="BE82">
        <v>6.4475000000000001E-3</v>
      </c>
      <c r="BF82">
        <v>6.4475000000000001E-3</v>
      </c>
      <c r="BG82">
        <v>6.4475000000000001E-3</v>
      </c>
      <c r="BH82">
        <v>6.4475000000000001E-3</v>
      </c>
      <c r="BI82">
        <v>6.4475000000000001E-3</v>
      </c>
      <c r="BJ82">
        <v>9.7327500000000001E-3</v>
      </c>
      <c r="BK82">
        <v>9.7327500000000001E-3</v>
      </c>
      <c r="BL82">
        <v>9.7327500000000001E-3</v>
      </c>
      <c r="BM82">
        <v>9.7327500000000001E-3</v>
      </c>
      <c r="BN82">
        <v>9.7327500000000001E-3</v>
      </c>
      <c r="BO82">
        <v>1.5950249999999999E-2</v>
      </c>
      <c r="BP82">
        <v>1.5950249999999999E-2</v>
      </c>
      <c r="BQ82">
        <v>1.5950249999999999E-2</v>
      </c>
      <c r="BR82">
        <v>1.5950249999999999E-2</v>
      </c>
      <c r="BS82">
        <v>1.5950249999999999E-2</v>
      </c>
      <c r="BT82">
        <v>2.6643500000000001E-2</v>
      </c>
      <c r="BU82">
        <v>2.6643500000000001E-2</v>
      </c>
      <c r="BV82">
        <v>2.6643500000000001E-2</v>
      </c>
      <c r="BW82">
        <v>2.6643500000000001E-2</v>
      </c>
      <c r="BX82">
        <v>2.6643500000000001E-2</v>
      </c>
      <c r="BY82">
        <v>4.6877250000000002E-2</v>
      </c>
      <c r="BZ82">
        <v>4.6877250000000002E-2</v>
      </c>
      <c r="CA82">
        <v>4.6877250000000002E-2</v>
      </c>
      <c r="CB82">
        <v>4.6877250000000002E-2</v>
      </c>
      <c r="CC82">
        <v>4.6877250000000002E-2</v>
      </c>
      <c r="CD82">
        <v>8.3014249999999998E-2</v>
      </c>
      <c r="CE82">
        <v>8.3014249999999998E-2</v>
      </c>
      <c r="CF82">
        <v>8.3014249999999998E-2</v>
      </c>
      <c r="CG82">
        <v>8.3014249999999998E-2</v>
      </c>
      <c r="CH82">
        <v>8.3014249999999998E-2</v>
      </c>
      <c r="CI82">
        <v>0.14132575</v>
      </c>
      <c r="CJ82">
        <v>0.14132575</v>
      </c>
      <c r="CK82">
        <v>0.14132575</v>
      </c>
      <c r="CL82">
        <v>0.14132575</v>
      </c>
      <c r="CM82">
        <v>0.14132575</v>
      </c>
      <c r="CN82">
        <v>0.22859225</v>
      </c>
      <c r="CO82">
        <v>0.22859225</v>
      </c>
      <c r="CP82">
        <v>0.22859225</v>
      </c>
      <c r="CQ82">
        <v>0.22859225</v>
      </c>
      <c r="CR82">
        <v>0.22859225</v>
      </c>
      <c r="CS82">
        <v>0.34928749999999997</v>
      </c>
      <c r="CT82">
        <v>0.34928749999999997</v>
      </c>
      <c r="CU82">
        <v>0.34928749999999997</v>
      </c>
      <c r="CV82">
        <v>0.34928749999999997</v>
      </c>
      <c r="CW82">
        <v>0.34928749999999997</v>
      </c>
      <c r="CX82">
        <v>1</v>
      </c>
    </row>
    <row r="83" spans="1:102" x14ac:dyDescent="0.25">
      <c r="A83" t="s">
        <v>231</v>
      </c>
      <c r="B83">
        <v>3.63E-3</v>
      </c>
      <c r="C83">
        <v>2.1000000000000001E-4</v>
      </c>
      <c r="D83">
        <v>2.1000000000000001E-4</v>
      </c>
      <c r="E83">
        <v>2.1000000000000001E-4</v>
      </c>
      <c r="F83">
        <v>2.1000000000000001E-4</v>
      </c>
      <c r="G83">
        <v>1E-4</v>
      </c>
      <c r="H83">
        <v>1E-4</v>
      </c>
      <c r="I83">
        <v>1E-4</v>
      </c>
      <c r="J83">
        <v>1E-4</v>
      </c>
      <c r="K83">
        <v>1E-4</v>
      </c>
      <c r="L83">
        <v>1.2999999999999999E-4</v>
      </c>
      <c r="M83">
        <v>1.2999999999999999E-4</v>
      </c>
      <c r="N83">
        <v>1.2999999999999999E-4</v>
      </c>
      <c r="O83">
        <v>1.2999999999999999E-4</v>
      </c>
      <c r="P83">
        <v>1.2999999999999999E-4</v>
      </c>
      <c r="Q83">
        <v>1.3999999999999999E-4</v>
      </c>
      <c r="R83">
        <v>1.3999999999999999E-4</v>
      </c>
      <c r="S83">
        <v>1.3999999999999999E-4</v>
      </c>
      <c r="T83">
        <v>1.3999999999999999E-4</v>
      </c>
      <c r="U83">
        <v>1.3999999999999999E-4</v>
      </c>
      <c r="V83">
        <v>2.2000000000000001E-4</v>
      </c>
      <c r="W83">
        <v>2.2000000000000001E-4</v>
      </c>
      <c r="X83">
        <v>2.2000000000000001E-4</v>
      </c>
      <c r="Y83">
        <v>2.2000000000000001E-4</v>
      </c>
      <c r="Z83">
        <v>2.2000000000000001E-4</v>
      </c>
      <c r="AA83">
        <v>2.1000000000000001E-4</v>
      </c>
      <c r="AB83">
        <v>2.1000000000000001E-4</v>
      </c>
      <c r="AC83">
        <v>2.1000000000000001E-4</v>
      </c>
      <c r="AD83">
        <v>2.1000000000000001E-4</v>
      </c>
      <c r="AE83">
        <v>2.1000000000000001E-4</v>
      </c>
      <c r="AF83">
        <v>2.7E-4</v>
      </c>
      <c r="AG83">
        <v>2.7E-4</v>
      </c>
      <c r="AH83">
        <v>2.7E-4</v>
      </c>
      <c r="AI83">
        <v>2.7E-4</v>
      </c>
      <c r="AJ83">
        <v>2.7E-4</v>
      </c>
      <c r="AK83">
        <v>5.5000000000000003E-4</v>
      </c>
      <c r="AL83">
        <v>5.5000000000000003E-4</v>
      </c>
      <c r="AM83">
        <v>5.5000000000000003E-4</v>
      </c>
      <c r="AN83">
        <v>5.5000000000000003E-4</v>
      </c>
      <c r="AO83">
        <v>5.5000000000000003E-4</v>
      </c>
      <c r="AP83">
        <v>8.4000000000000003E-4</v>
      </c>
      <c r="AQ83">
        <v>8.4000000000000003E-4</v>
      </c>
      <c r="AR83">
        <v>8.4000000000000003E-4</v>
      </c>
      <c r="AS83">
        <v>8.4000000000000003E-4</v>
      </c>
      <c r="AT83">
        <v>8.4000000000000003E-4</v>
      </c>
      <c r="AU83">
        <v>1.3500000000000001E-3</v>
      </c>
      <c r="AV83">
        <v>1.3500000000000001E-3</v>
      </c>
      <c r="AW83">
        <v>1.3500000000000001E-3</v>
      </c>
      <c r="AX83">
        <v>1.3500000000000001E-3</v>
      </c>
      <c r="AY83">
        <v>1.3500000000000001E-3</v>
      </c>
      <c r="AZ83">
        <v>1.98E-3</v>
      </c>
      <c r="BA83">
        <v>1.98E-3</v>
      </c>
      <c r="BB83">
        <v>1.98E-3</v>
      </c>
      <c r="BC83">
        <v>1.98E-3</v>
      </c>
      <c r="BD83">
        <v>1.98E-3</v>
      </c>
      <c r="BE83">
        <v>3.6800000000000001E-3</v>
      </c>
      <c r="BF83">
        <v>3.6800000000000001E-3</v>
      </c>
      <c r="BG83">
        <v>3.6800000000000001E-3</v>
      </c>
      <c r="BH83">
        <v>3.6800000000000001E-3</v>
      </c>
      <c r="BI83">
        <v>3.6800000000000001E-3</v>
      </c>
      <c r="BJ83">
        <v>5.3299999999999997E-3</v>
      </c>
      <c r="BK83">
        <v>5.3299999999999997E-3</v>
      </c>
      <c r="BL83">
        <v>5.3299999999999997E-3</v>
      </c>
      <c r="BM83">
        <v>5.3299999999999997E-3</v>
      </c>
      <c r="BN83">
        <v>5.3299999999999997E-3</v>
      </c>
      <c r="BO83">
        <v>8.5900000000000004E-3</v>
      </c>
      <c r="BP83">
        <v>8.5900000000000004E-3</v>
      </c>
      <c r="BQ83">
        <v>8.5900000000000004E-3</v>
      </c>
      <c r="BR83">
        <v>8.5900000000000004E-3</v>
      </c>
      <c r="BS83">
        <v>8.5900000000000004E-3</v>
      </c>
      <c r="BT83">
        <v>1.549E-2</v>
      </c>
      <c r="BU83">
        <v>1.549E-2</v>
      </c>
      <c r="BV83">
        <v>1.549E-2</v>
      </c>
      <c r="BW83">
        <v>1.549E-2</v>
      </c>
      <c r="BX83">
        <v>1.549E-2</v>
      </c>
      <c r="BY83">
        <v>2.9929999999999998E-2</v>
      </c>
      <c r="BZ83">
        <v>2.9929999999999998E-2</v>
      </c>
      <c r="CA83">
        <v>2.9929999999999998E-2</v>
      </c>
      <c r="CB83">
        <v>2.9929999999999998E-2</v>
      </c>
      <c r="CC83">
        <v>2.9929999999999998E-2</v>
      </c>
      <c r="CD83">
        <v>5.3990000000000003E-2</v>
      </c>
      <c r="CE83">
        <v>5.3990000000000003E-2</v>
      </c>
      <c r="CF83">
        <v>5.3990000000000003E-2</v>
      </c>
      <c r="CG83">
        <v>5.3990000000000003E-2</v>
      </c>
      <c r="CH83">
        <v>5.3990000000000003E-2</v>
      </c>
      <c r="CI83">
        <v>9.4810000000000005E-2</v>
      </c>
      <c r="CJ83">
        <v>9.4810000000000005E-2</v>
      </c>
      <c r="CK83">
        <v>9.4810000000000005E-2</v>
      </c>
      <c r="CL83">
        <v>9.4810000000000005E-2</v>
      </c>
      <c r="CM83">
        <v>9.4810000000000005E-2</v>
      </c>
      <c r="CN83">
        <v>0.16211</v>
      </c>
      <c r="CO83">
        <v>0.16211</v>
      </c>
      <c r="CP83">
        <v>0.16211</v>
      </c>
      <c r="CQ83">
        <v>0.16211</v>
      </c>
      <c r="CR83">
        <v>0.16211</v>
      </c>
      <c r="CS83">
        <v>0.26984000000000002</v>
      </c>
      <c r="CT83">
        <v>0.26984000000000002</v>
      </c>
      <c r="CU83">
        <v>0.26984000000000002</v>
      </c>
      <c r="CV83">
        <v>0.26984000000000002</v>
      </c>
      <c r="CW83">
        <v>0.26984000000000002</v>
      </c>
      <c r="CX83">
        <v>1</v>
      </c>
    </row>
    <row r="84" spans="1:102" x14ac:dyDescent="0.25">
      <c r="A84" t="s">
        <v>233</v>
      </c>
      <c r="B84">
        <v>3.0500000000000002E-3</v>
      </c>
      <c r="C84">
        <v>1.3999999999999999E-4</v>
      </c>
      <c r="D84">
        <v>1.3999999999999999E-4</v>
      </c>
      <c r="E84">
        <v>1.3999999999999999E-4</v>
      </c>
      <c r="F84">
        <v>1.3999999999999999E-4</v>
      </c>
      <c r="G84">
        <v>8.0000000000000007E-5</v>
      </c>
      <c r="H84">
        <v>8.0000000000000007E-5</v>
      </c>
      <c r="I84">
        <v>8.0000000000000007E-5</v>
      </c>
      <c r="J84">
        <v>8.0000000000000007E-5</v>
      </c>
      <c r="K84">
        <v>8.0000000000000007E-5</v>
      </c>
      <c r="L84">
        <v>1E-4</v>
      </c>
      <c r="M84">
        <v>1E-4</v>
      </c>
      <c r="N84">
        <v>1E-4</v>
      </c>
      <c r="O84">
        <v>1E-4</v>
      </c>
      <c r="P84">
        <v>1E-4</v>
      </c>
      <c r="Q84">
        <v>1.9000000000000001E-4</v>
      </c>
      <c r="R84">
        <v>1.9000000000000001E-4</v>
      </c>
      <c r="S84">
        <v>1.9000000000000001E-4</v>
      </c>
      <c r="T84">
        <v>1.9000000000000001E-4</v>
      </c>
      <c r="U84">
        <v>1.9000000000000001E-4</v>
      </c>
      <c r="V84">
        <v>1.9000000000000001E-4</v>
      </c>
      <c r="W84">
        <v>1.9000000000000001E-4</v>
      </c>
      <c r="X84">
        <v>1.9000000000000001E-4</v>
      </c>
      <c r="Y84">
        <v>1.9000000000000001E-4</v>
      </c>
      <c r="Z84">
        <v>1.9000000000000001E-4</v>
      </c>
      <c r="AA84">
        <v>2.2000000000000001E-4</v>
      </c>
      <c r="AB84">
        <v>2.2000000000000001E-4</v>
      </c>
      <c r="AC84">
        <v>2.2000000000000001E-4</v>
      </c>
      <c r="AD84">
        <v>2.2000000000000001E-4</v>
      </c>
      <c r="AE84">
        <v>2.2000000000000001E-4</v>
      </c>
      <c r="AF84">
        <v>2.7E-4</v>
      </c>
      <c r="AG84">
        <v>2.7E-4</v>
      </c>
      <c r="AH84">
        <v>2.7E-4</v>
      </c>
      <c r="AI84">
        <v>2.7E-4</v>
      </c>
      <c r="AJ84">
        <v>2.7E-4</v>
      </c>
      <c r="AK84">
        <v>4.4999999999999999E-4</v>
      </c>
      <c r="AL84">
        <v>4.4999999999999999E-4</v>
      </c>
      <c r="AM84">
        <v>4.4999999999999999E-4</v>
      </c>
      <c r="AN84">
        <v>4.4999999999999999E-4</v>
      </c>
      <c r="AO84">
        <v>4.4999999999999999E-4</v>
      </c>
      <c r="AP84">
        <v>7.6000000000000004E-4</v>
      </c>
      <c r="AQ84">
        <v>7.6000000000000004E-4</v>
      </c>
      <c r="AR84">
        <v>7.6000000000000004E-4</v>
      </c>
      <c r="AS84">
        <v>7.6000000000000004E-4</v>
      </c>
      <c r="AT84">
        <v>7.6000000000000004E-4</v>
      </c>
      <c r="AU84">
        <v>1.25E-3</v>
      </c>
      <c r="AV84">
        <v>1.25E-3</v>
      </c>
      <c r="AW84">
        <v>1.25E-3</v>
      </c>
      <c r="AX84">
        <v>1.25E-3</v>
      </c>
      <c r="AY84">
        <v>1.25E-3</v>
      </c>
      <c r="AZ84">
        <v>1.97E-3</v>
      </c>
      <c r="BA84">
        <v>1.97E-3</v>
      </c>
      <c r="BB84">
        <v>1.97E-3</v>
      </c>
      <c r="BC84">
        <v>1.97E-3</v>
      </c>
      <c r="BD84">
        <v>1.97E-3</v>
      </c>
      <c r="BE84">
        <v>2.99E-3</v>
      </c>
      <c r="BF84">
        <v>2.99E-3</v>
      </c>
      <c r="BG84">
        <v>2.99E-3</v>
      </c>
      <c r="BH84">
        <v>2.99E-3</v>
      </c>
      <c r="BI84">
        <v>2.99E-3</v>
      </c>
      <c r="BJ84">
        <v>4.7099999999999998E-3</v>
      </c>
      <c r="BK84">
        <v>4.7099999999999998E-3</v>
      </c>
      <c r="BL84">
        <v>4.7099999999999998E-3</v>
      </c>
      <c r="BM84">
        <v>4.7099999999999998E-3</v>
      </c>
      <c r="BN84">
        <v>4.7099999999999998E-3</v>
      </c>
      <c r="BO84">
        <v>7.4900000000000001E-3</v>
      </c>
      <c r="BP84">
        <v>7.4900000000000001E-3</v>
      </c>
      <c r="BQ84">
        <v>7.4900000000000001E-3</v>
      </c>
      <c r="BR84">
        <v>7.4900000000000001E-3</v>
      </c>
      <c r="BS84">
        <v>7.4900000000000001E-3</v>
      </c>
      <c r="BT84">
        <v>1.259E-2</v>
      </c>
      <c r="BU84">
        <v>1.259E-2</v>
      </c>
      <c r="BV84">
        <v>1.259E-2</v>
      </c>
      <c r="BW84">
        <v>1.259E-2</v>
      </c>
      <c r="BX84">
        <v>1.259E-2</v>
      </c>
      <c r="BY84">
        <v>2.3959999999999999E-2</v>
      </c>
      <c r="BZ84">
        <v>2.3959999999999999E-2</v>
      </c>
      <c r="CA84">
        <v>2.3959999999999999E-2</v>
      </c>
      <c r="CB84">
        <v>2.3959999999999999E-2</v>
      </c>
      <c r="CC84">
        <v>2.3959999999999999E-2</v>
      </c>
      <c r="CD84">
        <v>4.7919999999999997E-2</v>
      </c>
      <c r="CE84">
        <v>4.7919999999999997E-2</v>
      </c>
      <c r="CF84">
        <v>4.7919999999999997E-2</v>
      </c>
      <c r="CG84">
        <v>4.7919999999999997E-2</v>
      </c>
      <c r="CH84">
        <v>4.7919999999999997E-2</v>
      </c>
      <c r="CI84">
        <v>9.0829999999999994E-2</v>
      </c>
      <c r="CJ84">
        <v>9.0829999999999994E-2</v>
      </c>
      <c r="CK84">
        <v>9.0829999999999994E-2</v>
      </c>
      <c r="CL84">
        <v>9.0829999999999994E-2</v>
      </c>
      <c r="CM84">
        <v>9.0829999999999994E-2</v>
      </c>
      <c r="CN84">
        <v>0.16314000000000001</v>
      </c>
      <c r="CO84">
        <v>0.16314000000000001</v>
      </c>
      <c r="CP84">
        <v>0.16314000000000001</v>
      </c>
      <c r="CQ84">
        <v>0.16314000000000001</v>
      </c>
      <c r="CR84">
        <v>0.16314000000000001</v>
      </c>
      <c r="CS84">
        <v>0.27761999999999998</v>
      </c>
      <c r="CT84">
        <v>0.27761999999999998</v>
      </c>
      <c r="CU84">
        <v>0.27761999999999998</v>
      </c>
      <c r="CV84">
        <v>0.27761999999999998</v>
      </c>
      <c r="CW84">
        <v>0.27761999999999998</v>
      </c>
      <c r="CX84">
        <v>1</v>
      </c>
    </row>
    <row r="85" spans="1:102" x14ac:dyDescent="0.25">
      <c r="A85" t="s">
        <v>235</v>
      </c>
      <c r="B85">
        <v>2.4389999999999998E-2</v>
      </c>
      <c r="C85">
        <v>1.4E-3</v>
      </c>
      <c r="D85">
        <v>1.4E-3</v>
      </c>
      <c r="E85">
        <v>1.4E-3</v>
      </c>
      <c r="F85">
        <v>1.4E-3</v>
      </c>
      <c r="G85">
        <v>2.1000000000000001E-4</v>
      </c>
      <c r="H85">
        <v>2.1000000000000001E-4</v>
      </c>
      <c r="I85">
        <v>2.1000000000000001E-4</v>
      </c>
      <c r="J85">
        <v>2.1000000000000001E-4</v>
      </c>
      <c r="K85">
        <v>2.1000000000000001E-4</v>
      </c>
      <c r="L85">
        <v>3.1E-4</v>
      </c>
      <c r="M85">
        <v>3.1E-4</v>
      </c>
      <c r="N85">
        <v>3.1E-4</v>
      </c>
      <c r="O85">
        <v>3.1E-4</v>
      </c>
      <c r="P85">
        <v>3.1E-4</v>
      </c>
      <c r="Q85">
        <v>4.2999999999999999E-4</v>
      </c>
      <c r="R85">
        <v>4.2999999999999999E-4</v>
      </c>
      <c r="S85">
        <v>4.2999999999999999E-4</v>
      </c>
      <c r="T85">
        <v>4.2999999999999999E-4</v>
      </c>
      <c r="U85">
        <v>4.2999999999999999E-4</v>
      </c>
      <c r="V85">
        <v>9.3999999999999997E-4</v>
      </c>
      <c r="W85">
        <v>9.3999999999999997E-4</v>
      </c>
      <c r="X85">
        <v>9.3999999999999997E-4</v>
      </c>
      <c r="Y85">
        <v>9.3999999999999997E-4</v>
      </c>
      <c r="Z85">
        <v>9.3999999999999997E-4</v>
      </c>
      <c r="AA85">
        <v>1.4599999999999999E-3</v>
      </c>
      <c r="AB85">
        <v>1.4599999999999999E-3</v>
      </c>
      <c r="AC85">
        <v>1.4599999999999999E-3</v>
      </c>
      <c r="AD85">
        <v>1.4599999999999999E-3</v>
      </c>
      <c r="AE85">
        <v>1.4599999999999999E-3</v>
      </c>
      <c r="AF85">
        <v>1.6900000000000001E-3</v>
      </c>
      <c r="AG85">
        <v>1.6900000000000001E-3</v>
      </c>
      <c r="AH85">
        <v>1.6900000000000001E-3</v>
      </c>
      <c r="AI85">
        <v>1.6900000000000001E-3</v>
      </c>
      <c r="AJ85">
        <v>1.6900000000000001E-3</v>
      </c>
      <c r="AK85">
        <v>2.32E-3</v>
      </c>
      <c r="AL85">
        <v>2.32E-3</v>
      </c>
      <c r="AM85">
        <v>2.32E-3</v>
      </c>
      <c r="AN85">
        <v>2.32E-3</v>
      </c>
      <c r="AO85">
        <v>2.32E-3</v>
      </c>
      <c r="AP85">
        <v>2.97E-3</v>
      </c>
      <c r="AQ85">
        <v>2.97E-3</v>
      </c>
      <c r="AR85">
        <v>2.97E-3</v>
      </c>
      <c r="AS85">
        <v>2.97E-3</v>
      </c>
      <c r="AT85">
        <v>2.97E-3</v>
      </c>
      <c r="AU85">
        <v>4.8199999999999996E-3</v>
      </c>
      <c r="AV85">
        <v>4.8199999999999996E-3</v>
      </c>
      <c r="AW85">
        <v>4.8199999999999996E-3</v>
      </c>
      <c r="AX85">
        <v>4.8199999999999996E-3</v>
      </c>
      <c r="AY85">
        <v>4.8199999999999996E-3</v>
      </c>
      <c r="AZ85">
        <v>5.5799999999999999E-3</v>
      </c>
      <c r="BA85">
        <v>5.5799999999999999E-3</v>
      </c>
      <c r="BB85">
        <v>5.5799999999999999E-3</v>
      </c>
      <c r="BC85">
        <v>5.5799999999999999E-3</v>
      </c>
      <c r="BD85">
        <v>5.5799999999999999E-3</v>
      </c>
      <c r="BE85">
        <v>7.7499999999999999E-3</v>
      </c>
      <c r="BF85">
        <v>7.7499999999999999E-3</v>
      </c>
      <c r="BG85">
        <v>7.7499999999999999E-3</v>
      </c>
      <c r="BH85">
        <v>7.7499999999999999E-3</v>
      </c>
      <c r="BI85">
        <v>7.7499999999999999E-3</v>
      </c>
      <c r="BJ85">
        <v>1.306E-2</v>
      </c>
      <c r="BK85">
        <v>1.306E-2</v>
      </c>
      <c r="BL85">
        <v>1.306E-2</v>
      </c>
      <c r="BM85">
        <v>1.306E-2</v>
      </c>
      <c r="BN85">
        <v>1.306E-2</v>
      </c>
      <c r="BO85">
        <v>1.7170000000000001E-2</v>
      </c>
      <c r="BP85">
        <v>1.7170000000000001E-2</v>
      </c>
      <c r="BQ85">
        <v>1.7170000000000001E-2</v>
      </c>
      <c r="BR85">
        <v>1.7170000000000001E-2</v>
      </c>
      <c r="BS85">
        <v>1.7170000000000001E-2</v>
      </c>
      <c r="BT85">
        <v>2.844E-2</v>
      </c>
      <c r="BU85">
        <v>2.844E-2</v>
      </c>
      <c r="BV85">
        <v>2.844E-2</v>
      </c>
      <c r="BW85">
        <v>2.844E-2</v>
      </c>
      <c r="BX85">
        <v>2.844E-2</v>
      </c>
      <c r="BY85">
        <v>5.9979999999999999E-2</v>
      </c>
      <c r="BZ85">
        <v>5.9979999999999999E-2</v>
      </c>
      <c r="CA85">
        <v>5.9979999999999999E-2</v>
      </c>
      <c r="CB85">
        <v>5.9979999999999999E-2</v>
      </c>
      <c r="CC85">
        <v>5.9979999999999999E-2</v>
      </c>
      <c r="CD85">
        <v>8.8489999999999999E-2</v>
      </c>
      <c r="CE85">
        <v>8.8489999999999999E-2</v>
      </c>
      <c r="CF85">
        <v>8.8489999999999999E-2</v>
      </c>
      <c r="CG85">
        <v>8.8489999999999999E-2</v>
      </c>
      <c r="CH85">
        <v>8.8489999999999999E-2</v>
      </c>
      <c r="CI85">
        <v>0.13188</v>
      </c>
      <c r="CJ85">
        <v>0.13188</v>
      </c>
      <c r="CK85">
        <v>0.13188</v>
      </c>
      <c r="CL85">
        <v>0.13188</v>
      </c>
      <c r="CM85">
        <v>0.13188</v>
      </c>
      <c r="CN85">
        <v>0.19855999999999999</v>
      </c>
      <c r="CO85">
        <v>0.19855999999999999</v>
      </c>
      <c r="CP85">
        <v>0.19855999999999999</v>
      </c>
      <c r="CQ85">
        <v>0.19855999999999999</v>
      </c>
      <c r="CR85">
        <v>0.19855999999999999</v>
      </c>
      <c r="CS85">
        <v>0.30197000000000002</v>
      </c>
      <c r="CT85">
        <v>0.30197000000000002</v>
      </c>
      <c r="CU85">
        <v>0.30197000000000002</v>
      </c>
      <c r="CV85">
        <v>0.30197000000000002</v>
      </c>
      <c r="CW85">
        <v>0.30197000000000002</v>
      </c>
      <c r="CX85">
        <v>1</v>
      </c>
    </row>
    <row r="86" spans="1:102" x14ac:dyDescent="0.25">
      <c r="A86" t="s">
        <v>237</v>
      </c>
      <c r="B86">
        <v>2.14E-3</v>
      </c>
      <c r="C86">
        <v>2.0000000000000001E-4</v>
      </c>
      <c r="D86">
        <v>2.0000000000000001E-4</v>
      </c>
      <c r="E86">
        <v>2.0000000000000001E-4</v>
      </c>
      <c r="F86">
        <v>2.0000000000000001E-4</v>
      </c>
      <c r="G86">
        <v>9.0000000000000006E-5</v>
      </c>
      <c r="H86">
        <v>9.0000000000000006E-5</v>
      </c>
      <c r="I86">
        <v>9.0000000000000006E-5</v>
      </c>
      <c r="J86">
        <v>9.0000000000000006E-5</v>
      </c>
      <c r="K86">
        <v>9.0000000000000006E-5</v>
      </c>
      <c r="L86">
        <v>6.9999999999999994E-5</v>
      </c>
      <c r="M86">
        <v>6.9999999999999994E-5</v>
      </c>
      <c r="N86">
        <v>6.9999999999999994E-5</v>
      </c>
      <c r="O86">
        <v>6.9999999999999994E-5</v>
      </c>
      <c r="P86">
        <v>6.9999999999999994E-5</v>
      </c>
      <c r="Q86">
        <v>1.6000000000000001E-4</v>
      </c>
      <c r="R86">
        <v>1.6000000000000001E-4</v>
      </c>
      <c r="S86">
        <v>1.6000000000000001E-4</v>
      </c>
      <c r="T86">
        <v>1.6000000000000001E-4</v>
      </c>
      <c r="U86">
        <v>1.6000000000000001E-4</v>
      </c>
      <c r="V86">
        <v>2.7999999999999998E-4</v>
      </c>
      <c r="W86">
        <v>2.7999999999999998E-4</v>
      </c>
      <c r="X86">
        <v>2.7999999999999998E-4</v>
      </c>
      <c r="Y86">
        <v>2.7999999999999998E-4</v>
      </c>
      <c r="Z86">
        <v>2.7999999999999998E-4</v>
      </c>
      <c r="AA86">
        <v>3.4000000000000002E-4</v>
      </c>
      <c r="AB86">
        <v>3.4000000000000002E-4</v>
      </c>
      <c r="AC86">
        <v>3.4000000000000002E-4</v>
      </c>
      <c r="AD86">
        <v>3.4000000000000002E-4</v>
      </c>
      <c r="AE86">
        <v>3.4000000000000002E-4</v>
      </c>
      <c r="AF86">
        <v>4.0999999999999999E-4</v>
      </c>
      <c r="AG86">
        <v>4.0999999999999999E-4</v>
      </c>
      <c r="AH86">
        <v>4.0999999999999999E-4</v>
      </c>
      <c r="AI86">
        <v>4.0999999999999999E-4</v>
      </c>
      <c r="AJ86">
        <v>4.0999999999999999E-4</v>
      </c>
      <c r="AK86">
        <v>5.8E-4</v>
      </c>
      <c r="AL86">
        <v>5.8E-4</v>
      </c>
      <c r="AM86">
        <v>5.8E-4</v>
      </c>
      <c r="AN86">
        <v>5.8E-4</v>
      </c>
      <c r="AO86">
        <v>5.8E-4</v>
      </c>
      <c r="AP86">
        <v>8.4999999999999995E-4</v>
      </c>
      <c r="AQ86">
        <v>8.4999999999999995E-4</v>
      </c>
      <c r="AR86">
        <v>8.4999999999999995E-4</v>
      </c>
      <c r="AS86">
        <v>8.4999999999999995E-4</v>
      </c>
      <c r="AT86">
        <v>8.4999999999999995E-4</v>
      </c>
      <c r="AU86">
        <v>1.2999999999999999E-3</v>
      </c>
      <c r="AV86">
        <v>1.2999999999999999E-3</v>
      </c>
      <c r="AW86">
        <v>1.2999999999999999E-3</v>
      </c>
      <c r="AX86">
        <v>1.2999999999999999E-3</v>
      </c>
      <c r="AY86">
        <v>1.2999999999999999E-3</v>
      </c>
      <c r="AZ86">
        <v>1.9300000000000001E-3</v>
      </c>
      <c r="BA86">
        <v>1.9300000000000001E-3</v>
      </c>
      <c r="BB86">
        <v>1.9300000000000001E-3</v>
      </c>
      <c r="BC86">
        <v>1.9300000000000001E-3</v>
      </c>
      <c r="BD86">
        <v>1.9300000000000001E-3</v>
      </c>
      <c r="BE86">
        <v>2.8E-3</v>
      </c>
      <c r="BF86">
        <v>2.8E-3</v>
      </c>
      <c r="BG86">
        <v>2.8E-3</v>
      </c>
      <c r="BH86">
        <v>2.8E-3</v>
      </c>
      <c r="BI86">
        <v>2.8E-3</v>
      </c>
      <c r="BJ86">
        <v>3.8400000000000001E-3</v>
      </c>
      <c r="BK86">
        <v>3.8400000000000001E-3</v>
      </c>
      <c r="BL86">
        <v>3.8400000000000001E-3</v>
      </c>
      <c r="BM86">
        <v>3.8400000000000001E-3</v>
      </c>
      <c r="BN86">
        <v>3.8400000000000001E-3</v>
      </c>
      <c r="BO86">
        <v>5.7999999999999996E-3</v>
      </c>
      <c r="BP86">
        <v>5.7999999999999996E-3</v>
      </c>
      <c r="BQ86">
        <v>5.7999999999999996E-3</v>
      </c>
      <c r="BR86">
        <v>5.7999999999999996E-3</v>
      </c>
      <c r="BS86">
        <v>5.7999999999999996E-3</v>
      </c>
      <c r="BT86">
        <v>9.8700000000000003E-3</v>
      </c>
      <c r="BU86">
        <v>9.8700000000000003E-3</v>
      </c>
      <c r="BV86">
        <v>9.8700000000000003E-3</v>
      </c>
      <c r="BW86">
        <v>9.8700000000000003E-3</v>
      </c>
      <c r="BX86">
        <v>9.8700000000000003E-3</v>
      </c>
      <c r="BY86">
        <v>1.7930000000000001E-2</v>
      </c>
      <c r="BZ86">
        <v>1.7930000000000001E-2</v>
      </c>
      <c r="CA86">
        <v>1.7930000000000001E-2</v>
      </c>
      <c r="CB86">
        <v>1.7930000000000001E-2</v>
      </c>
      <c r="CC86">
        <v>1.7930000000000001E-2</v>
      </c>
      <c r="CD86">
        <v>3.4369999999999998E-2</v>
      </c>
      <c r="CE86">
        <v>3.4369999999999998E-2</v>
      </c>
      <c r="CF86">
        <v>3.4369999999999998E-2</v>
      </c>
      <c r="CG86">
        <v>3.4369999999999998E-2</v>
      </c>
      <c r="CH86">
        <v>3.4369999999999998E-2</v>
      </c>
      <c r="CI86">
        <v>6.4699999999999994E-2</v>
      </c>
      <c r="CJ86">
        <v>6.4699999999999994E-2</v>
      </c>
      <c r="CK86">
        <v>6.4699999999999994E-2</v>
      </c>
      <c r="CL86">
        <v>6.4699999999999994E-2</v>
      </c>
      <c r="CM86">
        <v>6.4699999999999994E-2</v>
      </c>
      <c r="CN86">
        <v>0.11960999999999999</v>
      </c>
      <c r="CO86">
        <v>0.11960999999999999</v>
      </c>
      <c r="CP86">
        <v>0.11960999999999999</v>
      </c>
      <c r="CQ86">
        <v>0.11960999999999999</v>
      </c>
      <c r="CR86">
        <v>0.11960999999999999</v>
      </c>
      <c r="CS86">
        <v>0.21715000000000001</v>
      </c>
      <c r="CT86">
        <v>0.21715000000000001</v>
      </c>
      <c r="CU86">
        <v>0.21715000000000001</v>
      </c>
      <c r="CV86">
        <v>0.21715000000000001</v>
      </c>
      <c r="CW86">
        <v>0.21715000000000001</v>
      </c>
      <c r="CX86">
        <v>1</v>
      </c>
    </row>
    <row r="87" spans="1:102" x14ac:dyDescent="0.25">
      <c r="A87" t="s">
        <v>239</v>
      </c>
      <c r="B87">
        <v>1.8460000000000001E-2</v>
      </c>
      <c r="C87">
        <v>1.41E-3</v>
      </c>
      <c r="D87">
        <v>1.41E-3</v>
      </c>
      <c r="E87">
        <v>1.41E-3</v>
      </c>
      <c r="F87">
        <v>1.41E-3</v>
      </c>
      <c r="G87">
        <v>4.2000000000000002E-4</v>
      </c>
      <c r="H87">
        <v>4.2000000000000002E-4</v>
      </c>
      <c r="I87">
        <v>4.2000000000000002E-4</v>
      </c>
      <c r="J87">
        <v>4.2000000000000002E-4</v>
      </c>
      <c r="K87">
        <v>4.2000000000000002E-4</v>
      </c>
      <c r="L87">
        <v>3.4000000000000002E-4</v>
      </c>
      <c r="M87">
        <v>3.4000000000000002E-4</v>
      </c>
      <c r="N87">
        <v>3.4000000000000002E-4</v>
      </c>
      <c r="O87">
        <v>3.4000000000000002E-4</v>
      </c>
      <c r="P87">
        <v>3.4000000000000002E-4</v>
      </c>
      <c r="Q87">
        <v>5.8E-4</v>
      </c>
      <c r="R87">
        <v>5.8E-4</v>
      </c>
      <c r="S87">
        <v>5.8E-4</v>
      </c>
      <c r="T87">
        <v>5.8E-4</v>
      </c>
      <c r="U87">
        <v>5.8E-4</v>
      </c>
      <c r="V87">
        <v>6.9999999999999999E-4</v>
      </c>
      <c r="W87">
        <v>6.9999999999999999E-4</v>
      </c>
      <c r="X87">
        <v>6.9999999999999999E-4</v>
      </c>
      <c r="Y87">
        <v>6.9999999999999999E-4</v>
      </c>
      <c r="Z87">
        <v>6.9999999999999999E-4</v>
      </c>
      <c r="AA87">
        <v>8.1999999999999998E-4</v>
      </c>
      <c r="AB87">
        <v>8.1999999999999998E-4</v>
      </c>
      <c r="AC87">
        <v>8.1999999999999998E-4</v>
      </c>
      <c r="AD87">
        <v>8.1999999999999998E-4</v>
      </c>
      <c r="AE87">
        <v>8.1999999999999998E-4</v>
      </c>
      <c r="AF87">
        <v>1.07E-3</v>
      </c>
      <c r="AG87">
        <v>1.07E-3</v>
      </c>
      <c r="AH87">
        <v>1.07E-3</v>
      </c>
      <c r="AI87">
        <v>1.07E-3</v>
      </c>
      <c r="AJ87">
        <v>1.07E-3</v>
      </c>
      <c r="AK87">
        <v>1.5299999999999999E-3</v>
      </c>
      <c r="AL87">
        <v>1.5299999999999999E-3</v>
      </c>
      <c r="AM87">
        <v>1.5299999999999999E-3</v>
      </c>
      <c r="AN87">
        <v>1.5299999999999999E-3</v>
      </c>
      <c r="AO87">
        <v>1.5299999999999999E-3</v>
      </c>
      <c r="AP87">
        <v>2.2799999999999999E-3</v>
      </c>
      <c r="AQ87">
        <v>2.2799999999999999E-3</v>
      </c>
      <c r="AR87">
        <v>2.2799999999999999E-3</v>
      </c>
      <c r="AS87">
        <v>2.2799999999999999E-3</v>
      </c>
      <c r="AT87">
        <v>2.2799999999999999E-3</v>
      </c>
      <c r="AU87">
        <v>3.46E-3</v>
      </c>
      <c r="AV87">
        <v>3.46E-3</v>
      </c>
      <c r="AW87">
        <v>3.46E-3</v>
      </c>
      <c r="AX87">
        <v>3.46E-3</v>
      </c>
      <c r="AY87">
        <v>3.46E-3</v>
      </c>
      <c r="AZ87">
        <v>5.2399999999999999E-3</v>
      </c>
      <c r="BA87">
        <v>5.2399999999999999E-3</v>
      </c>
      <c r="BB87">
        <v>5.2399999999999999E-3</v>
      </c>
      <c r="BC87">
        <v>5.2399999999999999E-3</v>
      </c>
      <c r="BD87">
        <v>5.2399999999999999E-3</v>
      </c>
      <c r="BE87">
        <v>7.9399999999999991E-3</v>
      </c>
      <c r="BF87">
        <v>7.9399999999999991E-3</v>
      </c>
      <c r="BG87">
        <v>7.9399999999999991E-3</v>
      </c>
      <c r="BH87">
        <v>7.9399999999999991E-3</v>
      </c>
      <c r="BI87">
        <v>7.9399999999999991E-3</v>
      </c>
      <c r="BJ87">
        <v>1.259E-2</v>
      </c>
      <c r="BK87">
        <v>1.259E-2</v>
      </c>
      <c r="BL87">
        <v>1.259E-2</v>
      </c>
      <c r="BM87">
        <v>1.259E-2</v>
      </c>
      <c r="BN87">
        <v>1.259E-2</v>
      </c>
      <c r="BO87">
        <v>2.0760000000000001E-2</v>
      </c>
      <c r="BP87">
        <v>2.0760000000000001E-2</v>
      </c>
      <c r="BQ87">
        <v>2.0760000000000001E-2</v>
      </c>
      <c r="BR87">
        <v>2.0760000000000001E-2</v>
      </c>
      <c r="BS87">
        <v>2.0760000000000001E-2</v>
      </c>
      <c r="BT87">
        <v>3.5999999999999997E-2</v>
      </c>
      <c r="BU87">
        <v>3.5999999999999997E-2</v>
      </c>
      <c r="BV87">
        <v>3.5999999999999997E-2</v>
      </c>
      <c r="BW87">
        <v>3.5999999999999997E-2</v>
      </c>
      <c r="BX87">
        <v>3.5999999999999997E-2</v>
      </c>
      <c r="BY87">
        <v>6.2659999999999993E-2</v>
      </c>
      <c r="BZ87">
        <v>6.2659999999999993E-2</v>
      </c>
      <c r="CA87">
        <v>6.2659999999999993E-2</v>
      </c>
      <c r="CB87">
        <v>6.2659999999999993E-2</v>
      </c>
      <c r="CC87">
        <v>6.2659999999999993E-2</v>
      </c>
      <c r="CD87">
        <v>0.10827000000000001</v>
      </c>
      <c r="CE87">
        <v>0.10827000000000001</v>
      </c>
      <c r="CF87">
        <v>0.10827000000000001</v>
      </c>
      <c r="CG87">
        <v>0.10827000000000001</v>
      </c>
      <c r="CH87">
        <v>0.10827000000000001</v>
      </c>
      <c r="CI87">
        <v>0.17693999999999999</v>
      </c>
      <c r="CJ87">
        <v>0.17693999999999999</v>
      </c>
      <c r="CK87">
        <v>0.17693999999999999</v>
      </c>
      <c r="CL87">
        <v>0.17693999999999999</v>
      </c>
      <c r="CM87">
        <v>0.17693999999999999</v>
      </c>
      <c r="CN87">
        <v>0.27348</v>
      </c>
      <c r="CO87">
        <v>0.27348</v>
      </c>
      <c r="CP87">
        <v>0.27348</v>
      </c>
      <c r="CQ87">
        <v>0.27348</v>
      </c>
      <c r="CR87">
        <v>0.27348</v>
      </c>
      <c r="CS87">
        <v>0.39977000000000001</v>
      </c>
      <c r="CT87">
        <v>0.39977000000000001</v>
      </c>
      <c r="CU87">
        <v>0.39977000000000001</v>
      </c>
      <c r="CV87">
        <v>0.39977000000000001</v>
      </c>
      <c r="CW87">
        <v>0.39977000000000001</v>
      </c>
      <c r="CX87">
        <v>1</v>
      </c>
    </row>
    <row r="88" spans="1:102" x14ac:dyDescent="0.25">
      <c r="A88" t="s">
        <v>241</v>
      </c>
      <c r="B88">
        <v>2.2450000000000001E-2</v>
      </c>
      <c r="C88">
        <v>5.6999999999999998E-4</v>
      </c>
      <c r="D88">
        <v>5.6999999999999998E-4</v>
      </c>
      <c r="E88">
        <v>5.6999999999999998E-4</v>
      </c>
      <c r="F88">
        <v>5.6999999999999998E-4</v>
      </c>
      <c r="G88">
        <v>4.2000000000000002E-4</v>
      </c>
      <c r="H88">
        <v>4.2000000000000002E-4</v>
      </c>
      <c r="I88">
        <v>4.2000000000000002E-4</v>
      </c>
      <c r="J88">
        <v>4.2000000000000002E-4</v>
      </c>
      <c r="K88">
        <v>4.2000000000000002E-4</v>
      </c>
      <c r="L88">
        <v>4.4999999999999999E-4</v>
      </c>
      <c r="M88">
        <v>4.4999999999999999E-4</v>
      </c>
      <c r="N88">
        <v>4.4999999999999999E-4</v>
      </c>
      <c r="O88">
        <v>4.4999999999999999E-4</v>
      </c>
      <c r="P88">
        <v>4.4999999999999999E-4</v>
      </c>
      <c r="Q88">
        <v>8.1999999999999998E-4</v>
      </c>
      <c r="R88">
        <v>8.1999999999999998E-4</v>
      </c>
      <c r="S88">
        <v>8.1999999999999998E-4</v>
      </c>
      <c r="T88">
        <v>8.1999999999999998E-4</v>
      </c>
      <c r="U88">
        <v>8.1999999999999998E-4</v>
      </c>
      <c r="V88">
        <v>1.16E-3</v>
      </c>
      <c r="W88">
        <v>1.16E-3</v>
      </c>
      <c r="X88">
        <v>1.16E-3</v>
      </c>
      <c r="Y88">
        <v>1.16E-3</v>
      </c>
      <c r="Z88">
        <v>1.16E-3</v>
      </c>
      <c r="AA88">
        <v>1.7899999999999999E-3</v>
      </c>
      <c r="AB88">
        <v>1.7899999999999999E-3</v>
      </c>
      <c r="AC88">
        <v>1.7899999999999999E-3</v>
      </c>
      <c r="AD88">
        <v>1.7899999999999999E-3</v>
      </c>
      <c r="AE88">
        <v>1.7899999999999999E-3</v>
      </c>
      <c r="AF88">
        <v>2.6099999999999999E-3</v>
      </c>
      <c r="AG88">
        <v>2.6099999999999999E-3</v>
      </c>
      <c r="AH88">
        <v>2.6099999999999999E-3</v>
      </c>
      <c r="AI88">
        <v>2.6099999999999999E-3</v>
      </c>
      <c r="AJ88">
        <v>2.6099999999999999E-3</v>
      </c>
      <c r="AK88">
        <v>3.13E-3</v>
      </c>
      <c r="AL88">
        <v>3.13E-3</v>
      </c>
      <c r="AM88">
        <v>3.13E-3</v>
      </c>
      <c r="AN88">
        <v>3.13E-3</v>
      </c>
      <c r="AO88">
        <v>3.13E-3</v>
      </c>
      <c r="AP88">
        <v>4.3E-3</v>
      </c>
      <c r="AQ88">
        <v>4.3E-3</v>
      </c>
      <c r="AR88">
        <v>4.3E-3</v>
      </c>
      <c r="AS88">
        <v>4.3E-3</v>
      </c>
      <c r="AT88">
        <v>4.3E-3</v>
      </c>
      <c r="AU88">
        <v>5.8500000000000002E-3</v>
      </c>
      <c r="AV88">
        <v>5.8500000000000002E-3</v>
      </c>
      <c r="AW88">
        <v>5.8500000000000002E-3</v>
      </c>
      <c r="AX88">
        <v>5.8500000000000002E-3</v>
      </c>
      <c r="AY88">
        <v>5.8500000000000002E-3</v>
      </c>
      <c r="AZ88">
        <v>8.6300000000000005E-3</v>
      </c>
      <c r="BA88">
        <v>8.6300000000000005E-3</v>
      </c>
      <c r="BB88">
        <v>8.6300000000000005E-3</v>
      </c>
      <c r="BC88">
        <v>8.6300000000000005E-3</v>
      </c>
      <c r="BD88">
        <v>8.6300000000000005E-3</v>
      </c>
      <c r="BE88">
        <v>1.2489999999999999E-2</v>
      </c>
      <c r="BF88">
        <v>1.2489999999999999E-2</v>
      </c>
      <c r="BG88">
        <v>1.2489999999999999E-2</v>
      </c>
      <c r="BH88">
        <v>1.2489999999999999E-2</v>
      </c>
      <c r="BI88">
        <v>1.2489999999999999E-2</v>
      </c>
      <c r="BJ88">
        <v>1.9E-2</v>
      </c>
      <c r="BK88">
        <v>1.9E-2</v>
      </c>
      <c r="BL88">
        <v>1.9E-2</v>
      </c>
      <c r="BM88">
        <v>1.9E-2</v>
      </c>
      <c r="BN88">
        <v>1.9E-2</v>
      </c>
      <c r="BO88">
        <v>2.8910000000000002E-2</v>
      </c>
      <c r="BP88">
        <v>2.8910000000000002E-2</v>
      </c>
      <c r="BQ88">
        <v>2.8910000000000002E-2</v>
      </c>
      <c r="BR88">
        <v>2.8910000000000002E-2</v>
      </c>
      <c r="BS88">
        <v>2.8910000000000002E-2</v>
      </c>
      <c r="BT88">
        <v>4.539E-2</v>
      </c>
      <c r="BU88">
        <v>4.539E-2</v>
      </c>
      <c r="BV88">
        <v>4.539E-2</v>
      </c>
      <c r="BW88">
        <v>4.539E-2</v>
      </c>
      <c r="BX88">
        <v>4.539E-2</v>
      </c>
      <c r="BY88">
        <v>7.8359999999999999E-2</v>
      </c>
      <c r="BZ88">
        <v>7.8359999999999999E-2</v>
      </c>
      <c r="CA88">
        <v>7.8359999999999999E-2</v>
      </c>
      <c r="CB88">
        <v>7.8359999999999999E-2</v>
      </c>
      <c r="CC88">
        <v>7.8359999999999999E-2</v>
      </c>
      <c r="CD88">
        <v>0.12687000000000001</v>
      </c>
      <c r="CE88">
        <v>0.12687000000000001</v>
      </c>
      <c r="CF88">
        <v>0.12687000000000001</v>
      </c>
      <c r="CG88">
        <v>0.12687000000000001</v>
      </c>
      <c r="CH88">
        <v>0.12687000000000001</v>
      </c>
      <c r="CI88">
        <v>0.19672000000000001</v>
      </c>
      <c r="CJ88">
        <v>0.19672000000000001</v>
      </c>
      <c r="CK88">
        <v>0.19672000000000001</v>
      </c>
      <c r="CL88">
        <v>0.19672000000000001</v>
      </c>
      <c r="CM88">
        <v>0.19672000000000001</v>
      </c>
      <c r="CN88">
        <v>0.29213</v>
      </c>
      <c r="CO88">
        <v>0.29213</v>
      </c>
      <c r="CP88">
        <v>0.29213</v>
      </c>
      <c r="CQ88">
        <v>0.29213</v>
      </c>
      <c r="CR88">
        <v>0.29213</v>
      </c>
      <c r="CS88">
        <v>0.41549000000000003</v>
      </c>
      <c r="CT88">
        <v>0.41549000000000003</v>
      </c>
      <c r="CU88">
        <v>0.41549000000000003</v>
      </c>
      <c r="CV88">
        <v>0.41549000000000003</v>
      </c>
      <c r="CW88">
        <v>0.41549000000000003</v>
      </c>
      <c r="CX88">
        <v>1</v>
      </c>
    </row>
    <row r="89" spans="1:102" x14ac:dyDescent="0.25">
      <c r="A89" t="s">
        <v>243</v>
      </c>
      <c r="B89">
        <v>5.1310000000000001E-2</v>
      </c>
      <c r="C89">
        <v>7.5399999999999998E-3</v>
      </c>
      <c r="D89">
        <v>7.5399999999999998E-3</v>
      </c>
      <c r="E89">
        <v>7.5399999999999998E-3</v>
      </c>
      <c r="F89">
        <v>7.5399999999999998E-3</v>
      </c>
      <c r="G89">
        <v>1.4599999999999999E-3</v>
      </c>
      <c r="H89">
        <v>1.4599999999999999E-3</v>
      </c>
      <c r="I89">
        <v>1.4599999999999999E-3</v>
      </c>
      <c r="J89">
        <v>1.4599999999999999E-3</v>
      </c>
      <c r="K89">
        <v>1.4599999999999999E-3</v>
      </c>
      <c r="L89">
        <v>1.3799999999999999E-3</v>
      </c>
      <c r="M89">
        <v>1.3799999999999999E-3</v>
      </c>
      <c r="N89">
        <v>1.3799999999999999E-3</v>
      </c>
      <c r="O89">
        <v>1.3799999999999999E-3</v>
      </c>
      <c r="P89">
        <v>1.3799999999999999E-3</v>
      </c>
      <c r="Q89">
        <v>8.5999999999999998E-4</v>
      </c>
      <c r="R89">
        <v>8.5999999999999998E-4</v>
      </c>
      <c r="S89">
        <v>8.5999999999999998E-4</v>
      </c>
      <c r="T89">
        <v>8.5999999999999998E-4</v>
      </c>
      <c r="U89">
        <v>8.5999999999999998E-4</v>
      </c>
      <c r="V89">
        <v>1.99E-3</v>
      </c>
      <c r="W89">
        <v>1.99E-3</v>
      </c>
      <c r="X89">
        <v>1.99E-3</v>
      </c>
      <c r="Y89">
        <v>1.99E-3</v>
      </c>
      <c r="Z89">
        <v>1.99E-3</v>
      </c>
      <c r="AA89">
        <v>3.8899999999999998E-3</v>
      </c>
      <c r="AB89">
        <v>3.8899999999999998E-3</v>
      </c>
      <c r="AC89">
        <v>3.8899999999999998E-3</v>
      </c>
      <c r="AD89">
        <v>3.8899999999999998E-3</v>
      </c>
      <c r="AE89">
        <v>3.8899999999999998E-3</v>
      </c>
      <c r="AF89">
        <v>7.6299999999999996E-3</v>
      </c>
      <c r="AG89">
        <v>7.6299999999999996E-3</v>
      </c>
      <c r="AH89">
        <v>7.6299999999999996E-3</v>
      </c>
      <c r="AI89">
        <v>7.6299999999999996E-3</v>
      </c>
      <c r="AJ89">
        <v>7.6299999999999996E-3</v>
      </c>
      <c r="AK89">
        <v>1.023E-2</v>
      </c>
      <c r="AL89">
        <v>1.023E-2</v>
      </c>
      <c r="AM89">
        <v>1.023E-2</v>
      </c>
      <c r="AN89">
        <v>1.023E-2</v>
      </c>
      <c r="AO89">
        <v>1.023E-2</v>
      </c>
      <c r="AP89">
        <v>1.021E-2</v>
      </c>
      <c r="AQ89">
        <v>1.021E-2</v>
      </c>
      <c r="AR89">
        <v>1.021E-2</v>
      </c>
      <c r="AS89">
        <v>1.021E-2</v>
      </c>
      <c r="AT89">
        <v>1.021E-2</v>
      </c>
      <c r="AU89">
        <v>9.3799999999999994E-3</v>
      </c>
      <c r="AV89">
        <v>9.3799999999999994E-3</v>
      </c>
      <c r="AW89">
        <v>9.3799999999999994E-3</v>
      </c>
      <c r="AX89">
        <v>9.3799999999999994E-3</v>
      </c>
      <c r="AY89">
        <v>9.3799999999999994E-3</v>
      </c>
      <c r="AZ89">
        <v>9.6699999999999998E-3</v>
      </c>
      <c r="BA89">
        <v>9.6699999999999998E-3</v>
      </c>
      <c r="BB89">
        <v>9.6699999999999998E-3</v>
      </c>
      <c r="BC89">
        <v>9.6699999999999998E-3</v>
      </c>
      <c r="BD89">
        <v>9.6699999999999998E-3</v>
      </c>
      <c r="BE89">
        <v>1.2370000000000001E-2</v>
      </c>
      <c r="BF89">
        <v>1.2370000000000001E-2</v>
      </c>
      <c r="BG89">
        <v>1.2370000000000001E-2</v>
      </c>
      <c r="BH89">
        <v>1.2370000000000001E-2</v>
      </c>
      <c r="BI89">
        <v>1.2370000000000001E-2</v>
      </c>
      <c r="BJ89">
        <v>1.7069999999999998E-2</v>
      </c>
      <c r="BK89">
        <v>1.7069999999999998E-2</v>
      </c>
      <c r="BL89">
        <v>1.7069999999999998E-2</v>
      </c>
      <c r="BM89">
        <v>1.7069999999999998E-2</v>
      </c>
      <c r="BN89">
        <v>1.7069999999999998E-2</v>
      </c>
      <c r="BO89">
        <v>2.734E-2</v>
      </c>
      <c r="BP89">
        <v>2.734E-2</v>
      </c>
      <c r="BQ89">
        <v>2.734E-2</v>
      </c>
      <c r="BR89">
        <v>2.734E-2</v>
      </c>
      <c r="BS89">
        <v>2.734E-2</v>
      </c>
      <c r="BT89">
        <v>4.6109999999999998E-2</v>
      </c>
      <c r="BU89">
        <v>4.6109999999999998E-2</v>
      </c>
      <c r="BV89">
        <v>4.6109999999999998E-2</v>
      </c>
      <c r="BW89">
        <v>4.6109999999999998E-2</v>
      </c>
      <c r="BX89">
        <v>4.6109999999999998E-2</v>
      </c>
      <c r="BY89">
        <v>7.8240000000000004E-2</v>
      </c>
      <c r="BZ89">
        <v>7.8240000000000004E-2</v>
      </c>
      <c r="CA89">
        <v>7.8240000000000004E-2</v>
      </c>
      <c r="CB89">
        <v>7.8240000000000004E-2</v>
      </c>
      <c r="CC89">
        <v>7.8240000000000004E-2</v>
      </c>
      <c r="CD89">
        <v>0.12791</v>
      </c>
      <c r="CE89">
        <v>0.12791</v>
      </c>
      <c r="CF89">
        <v>0.12791</v>
      </c>
      <c r="CG89">
        <v>0.12791</v>
      </c>
      <c r="CH89">
        <v>0.12791</v>
      </c>
      <c r="CI89">
        <v>0.19977</v>
      </c>
      <c r="CJ89">
        <v>0.19977</v>
      </c>
      <c r="CK89">
        <v>0.19977</v>
      </c>
      <c r="CL89">
        <v>0.19977</v>
      </c>
      <c r="CM89">
        <v>0.19977</v>
      </c>
      <c r="CN89">
        <v>0.29754999999999998</v>
      </c>
      <c r="CO89">
        <v>0.29754999999999998</v>
      </c>
      <c r="CP89">
        <v>0.29754999999999998</v>
      </c>
      <c r="CQ89">
        <v>0.29754999999999998</v>
      </c>
      <c r="CR89">
        <v>0.29754999999999998</v>
      </c>
      <c r="CS89">
        <v>0.42249999999999999</v>
      </c>
      <c r="CT89">
        <v>0.42249999999999999</v>
      </c>
      <c r="CU89">
        <v>0.42249999999999999</v>
      </c>
      <c r="CV89">
        <v>0.42249999999999999</v>
      </c>
      <c r="CW89">
        <v>0.42249999999999999</v>
      </c>
      <c r="CX89">
        <v>1</v>
      </c>
    </row>
    <row r="90" spans="1:102" x14ac:dyDescent="0.25">
      <c r="A90" t="s">
        <v>245</v>
      </c>
      <c r="B90">
        <v>3.5270000000000003E-2</v>
      </c>
      <c r="C90">
        <v>2.8900000000000002E-3</v>
      </c>
      <c r="D90">
        <v>2.8900000000000002E-3</v>
      </c>
      <c r="E90">
        <v>2.8900000000000002E-3</v>
      </c>
      <c r="F90">
        <v>2.8900000000000002E-3</v>
      </c>
      <c r="G90">
        <v>1.0399999999999999E-3</v>
      </c>
      <c r="H90">
        <v>1.0399999999999999E-3</v>
      </c>
      <c r="I90">
        <v>1.0399999999999999E-3</v>
      </c>
      <c r="J90">
        <v>1.0399999999999999E-3</v>
      </c>
      <c r="K90">
        <v>1.0399999999999999E-3</v>
      </c>
      <c r="L90">
        <v>1.16E-3</v>
      </c>
      <c r="M90">
        <v>1.16E-3</v>
      </c>
      <c r="N90">
        <v>1.16E-3</v>
      </c>
      <c r="O90">
        <v>1.16E-3</v>
      </c>
      <c r="P90">
        <v>1.16E-3</v>
      </c>
      <c r="Q90">
        <v>1.0399999999999999E-3</v>
      </c>
      <c r="R90">
        <v>1.0399999999999999E-3</v>
      </c>
      <c r="S90">
        <v>1.0399999999999999E-3</v>
      </c>
      <c r="T90">
        <v>1.0399999999999999E-3</v>
      </c>
      <c r="U90">
        <v>1.0399999999999999E-3</v>
      </c>
      <c r="V90">
        <v>8.5999999999999998E-4</v>
      </c>
      <c r="W90">
        <v>8.5999999999999998E-4</v>
      </c>
      <c r="X90">
        <v>8.5999999999999998E-4</v>
      </c>
      <c r="Y90">
        <v>8.5999999999999998E-4</v>
      </c>
      <c r="Z90">
        <v>8.5999999999999998E-4</v>
      </c>
      <c r="AA90">
        <v>1.3600000000000001E-3</v>
      </c>
      <c r="AB90">
        <v>1.3600000000000001E-3</v>
      </c>
      <c r="AC90">
        <v>1.3600000000000001E-3</v>
      </c>
      <c r="AD90">
        <v>1.3600000000000001E-3</v>
      </c>
      <c r="AE90">
        <v>1.3600000000000001E-3</v>
      </c>
      <c r="AF90">
        <v>2.8300000000000001E-3</v>
      </c>
      <c r="AG90">
        <v>2.8300000000000001E-3</v>
      </c>
      <c r="AH90">
        <v>2.8300000000000001E-3</v>
      </c>
      <c r="AI90">
        <v>2.8300000000000001E-3</v>
      </c>
      <c r="AJ90">
        <v>2.8300000000000001E-3</v>
      </c>
      <c r="AK90">
        <v>2.7699999999999999E-3</v>
      </c>
      <c r="AL90">
        <v>2.7699999999999999E-3</v>
      </c>
      <c r="AM90">
        <v>2.7699999999999999E-3</v>
      </c>
      <c r="AN90">
        <v>2.7699999999999999E-3</v>
      </c>
      <c r="AO90">
        <v>2.7699999999999999E-3</v>
      </c>
      <c r="AP90">
        <v>5.28E-3</v>
      </c>
      <c r="AQ90">
        <v>5.28E-3</v>
      </c>
      <c r="AR90">
        <v>5.28E-3</v>
      </c>
      <c r="AS90">
        <v>5.28E-3</v>
      </c>
      <c r="AT90">
        <v>5.28E-3</v>
      </c>
      <c r="AU90">
        <v>6.4900000000000001E-3</v>
      </c>
      <c r="AV90">
        <v>6.4900000000000001E-3</v>
      </c>
      <c r="AW90">
        <v>6.4900000000000001E-3</v>
      </c>
      <c r="AX90">
        <v>6.4900000000000001E-3</v>
      </c>
      <c r="AY90">
        <v>6.4900000000000001E-3</v>
      </c>
      <c r="AZ90">
        <v>9.0900000000000009E-3</v>
      </c>
      <c r="BA90">
        <v>9.0900000000000009E-3</v>
      </c>
      <c r="BB90">
        <v>9.0900000000000009E-3</v>
      </c>
      <c r="BC90">
        <v>9.0900000000000009E-3</v>
      </c>
      <c r="BD90">
        <v>9.0900000000000009E-3</v>
      </c>
      <c r="BE90">
        <v>8.1600000000000006E-3</v>
      </c>
      <c r="BF90">
        <v>8.1600000000000006E-3</v>
      </c>
      <c r="BG90">
        <v>8.1600000000000006E-3</v>
      </c>
      <c r="BH90">
        <v>8.1600000000000006E-3</v>
      </c>
      <c r="BI90">
        <v>8.1600000000000006E-3</v>
      </c>
      <c r="BJ90">
        <v>2.283E-2</v>
      </c>
      <c r="BK90">
        <v>2.283E-2</v>
      </c>
      <c r="BL90">
        <v>2.283E-2</v>
      </c>
      <c r="BM90">
        <v>2.283E-2</v>
      </c>
      <c r="BN90">
        <v>2.283E-2</v>
      </c>
      <c r="BO90">
        <v>2.1530000000000001E-2</v>
      </c>
      <c r="BP90">
        <v>2.1530000000000001E-2</v>
      </c>
      <c r="BQ90">
        <v>2.1530000000000001E-2</v>
      </c>
      <c r="BR90">
        <v>2.1530000000000001E-2</v>
      </c>
      <c r="BS90">
        <v>2.1530000000000001E-2</v>
      </c>
      <c r="BT90">
        <v>4.6339999999999999E-2</v>
      </c>
      <c r="BU90">
        <v>4.6339999999999999E-2</v>
      </c>
      <c r="BV90">
        <v>4.6339999999999999E-2</v>
      </c>
      <c r="BW90">
        <v>4.6339999999999999E-2</v>
      </c>
      <c r="BX90">
        <v>4.6339999999999999E-2</v>
      </c>
      <c r="BY90">
        <v>4.4630000000000003E-2</v>
      </c>
      <c r="BZ90">
        <v>4.4630000000000003E-2</v>
      </c>
      <c r="CA90">
        <v>4.4630000000000003E-2</v>
      </c>
      <c r="CB90">
        <v>4.4630000000000003E-2</v>
      </c>
      <c r="CC90">
        <v>4.4630000000000003E-2</v>
      </c>
      <c r="CD90">
        <v>6.2059999999999997E-2</v>
      </c>
      <c r="CE90">
        <v>6.2059999999999997E-2</v>
      </c>
      <c r="CF90">
        <v>6.2059999999999997E-2</v>
      </c>
      <c r="CG90">
        <v>6.2059999999999997E-2</v>
      </c>
      <c r="CH90">
        <v>6.2059999999999997E-2</v>
      </c>
      <c r="CI90">
        <v>9.0910000000000005E-2</v>
      </c>
      <c r="CJ90">
        <v>9.0910000000000005E-2</v>
      </c>
      <c r="CK90">
        <v>9.0910000000000005E-2</v>
      </c>
      <c r="CL90">
        <v>9.0910000000000005E-2</v>
      </c>
      <c r="CM90">
        <v>9.0910000000000005E-2</v>
      </c>
      <c r="CN90">
        <v>0.14027999999999999</v>
      </c>
      <c r="CO90">
        <v>0.14027999999999999</v>
      </c>
      <c r="CP90">
        <v>0.14027999999999999</v>
      </c>
      <c r="CQ90">
        <v>0.14027999999999999</v>
      </c>
      <c r="CR90">
        <v>0.14027999999999999</v>
      </c>
      <c r="CS90">
        <v>0.22805</v>
      </c>
      <c r="CT90">
        <v>0.22805</v>
      </c>
      <c r="CU90">
        <v>0.22805</v>
      </c>
      <c r="CV90">
        <v>0.22805</v>
      </c>
      <c r="CW90">
        <v>0.22805</v>
      </c>
      <c r="CX90">
        <v>1</v>
      </c>
    </row>
    <row r="91" spans="1:102" x14ac:dyDescent="0.25">
      <c r="A91" t="s">
        <v>247</v>
      </c>
      <c r="B91">
        <v>2.5530000000000001E-2</v>
      </c>
      <c r="C91">
        <v>1.6800000000000001E-3</v>
      </c>
      <c r="D91">
        <v>1.6800000000000001E-3</v>
      </c>
      <c r="E91">
        <v>1.6800000000000001E-3</v>
      </c>
      <c r="F91">
        <v>1.6800000000000001E-3</v>
      </c>
      <c r="G91">
        <v>5.5000000000000003E-4</v>
      </c>
      <c r="H91">
        <v>5.5000000000000003E-4</v>
      </c>
      <c r="I91">
        <v>5.5000000000000003E-4</v>
      </c>
      <c r="J91">
        <v>5.5000000000000003E-4</v>
      </c>
      <c r="K91">
        <v>5.5000000000000003E-4</v>
      </c>
      <c r="L91">
        <v>4.2000000000000002E-4</v>
      </c>
      <c r="M91">
        <v>4.2000000000000002E-4</v>
      </c>
      <c r="N91">
        <v>4.2000000000000002E-4</v>
      </c>
      <c r="O91">
        <v>4.2000000000000002E-4</v>
      </c>
      <c r="P91">
        <v>4.2000000000000002E-4</v>
      </c>
      <c r="Q91">
        <v>6.8999999999999997E-4</v>
      </c>
      <c r="R91">
        <v>6.8999999999999997E-4</v>
      </c>
      <c r="S91">
        <v>6.8999999999999997E-4</v>
      </c>
      <c r="T91">
        <v>6.8999999999999997E-4</v>
      </c>
      <c r="U91">
        <v>6.8999999999999997E-4</v>
      </c>
      <c r="V91">
        <v>8.5999999999999998E-4</v>
      </c>
      <c r="W91">
        <v>8.5999999999999998E-4</v>
      </c>
      <c r="X91">
        <v>8.5999999999999998E-4</v>
      </c>
      <c r="Y91">
        <v>8.5999999999999998E-4</v>
      </c>
      <c r="Z91">
        <v>8.5999999999999998E-4</v>
      </c>
      <c r="AA91">
        <v>1.01E-3</v>
      </c>
      <c r="AB91">
        <v>1.01E-3</v>
      </c>
      <c r="AC91">
        <v>1.01E-3</v>
      </c>
      <c r="AD91">
        <v>1.01E-3</v>
      </c>
      <c r="AE91">
        <v>1.01E-3</v>
      </c>
      <c r="AF91">
        <v>1.2999999999999999E-3</v>
      </c>
      <c r="AG91">
        <v>1.2999999999999999E-3</v>
      </c>
      <c r="AH91">
        <v>1.2999999999999999E-3</v>
      </c>
      <c r="AI91">
        <v>1.2999999999999999E-3</v>
      </c>
      <c r="AJ91">
        <v>1.2999999999999999E-3</v>
      </c>
      <c r="AK91">
        <v>1.81E-3</v>
      </c>
      <c r="AL91">
        <v>1.81E-3</v>
      </c>
      <c r="AM91">
        <v>1.81E-3</v>
      </c>
      <c r="AN91">
        <v>1.81E-3</v>
      </c>
      <c r="AO91">
        <v>1.81E-3</v>
      </c>
      <c r="AP91">
        <v>2.6199999999999999E-3</v>
      </c>
      <c r="AQ91">
        <v>2.6199999999999999E-3</v>
      </c>
      <c r="AR91">
        <v>2.6199999999999999E-3</v>
      </c>
      <c r="AS91">
        <v>2.6199999999999999E-3</v>
      </c>
      <c r="AT91">
        <v>2.6199999999999999E-3</v>
      </c>
      <c r="AU91">
        <v>3.9100000000000003E-3</v>
      </c>
      <c r="AV91">
        <v>3.9100000000000003E-3</v>
      </c>
      <c r="AW91">
        <v>3.9100000000000003E-3</v>
      </c>
      <c r="AX91">
        <v>3.9100000000000003E-3</v>
      </c>
      <c r="AY91">
        <v>3.9100000000000003E-3</v>
      </c>
      <c r="AZ91">
        <v>5.8599999999999998E-3</v>
      </c>
      <c r="BA91">
        <v>5.8599999999999998E-3</v>
      </c>
      <c r="BB91">
        <v>5.8599999999999998E-3</v>
      </c>
      <c r="BC91">
        <v>5.8599999999999998E-3</v>
      </c>
      <c r="BD91">
        <v>5.8599999999999998E-3</v>
      </c>
      <c r="BE91">
        <v>8.8599999999999998E-3</v>
      </c>
      <c r="BF91">
        <v>8.8599999999999998E-3</v>
      </c>
      <c r="BG91">
        <v>8.8599999999999998E-3</v>
      </c>
      <c r="BH91">
        <v>8.8599999999999998E-3</v>
      </c>
      <c r="BI91">
        <v>8.8599999999999998E-3</v>
      </c>
      <c r="BJ91">
        <v>1.384E-2</v>
      </c>
      <c r="BK91">
        <v>1.384E-2</v>
      </c>
      <c r="BL91">
        <v>1.384E-2</v>
      </c>
      <c r="BM91">
        <v>1.384E-2</v>
      </c>
      <c r="BN91">
        <v>1.384E-2</v>
      </c>
      <c r="BO91">
        <v>2.2800000000000001E-2</v>
      </c>
      <c r="BP91">
        <v>2.2800000000000001E-2</v>
      </c>
      <c r="BQ91">
        <v>2.2800000000000001E-2</v>
      </c>
      <c r="BR91">
        <v>2.2800000000000001E-2</v>
      </c>
      <c r="BS91">
        <v>2.2800000000000001E-2</v>
      </c>
      <c r="BT91">
        <v>3.9260000000000003E-2</v>
      </c>
      <c r="BU91">
        <v>3.9260000000000003E-2</v>
      </c>
      <c r="BV91">
        <v>3.9260000000000003E-2</v>
      </c>
      <c r="BW91">
        <v>3.9260000000000003E-2</v>
      </c>
      <c r="BX91">
        <v>3.9260000000000003E-2</v>
      </c>
      <c r="BY91">
        <v>6.7530000000000007E-2</v>
      </c>
      <c r="BZ91">
        <v>6.7530000000000007E-2</v>
      </c>
      <c r="CA91">
        <v>6.7530000000000007E-2</v>
      </c>
      <c r="CB91">
        <v>6.7530000000000007E-2</v>
      </c>
      <c r="CC91">
        <v>6.7530000000000007E-2</v>
      </c>
      <c r="CD91">
        <v>0.1144</v>
      </c>
      <c r="CE91">
        <v>0.1144</v>
      </c>
      <c r="CF91">
        <v>0.1144</v>
      </c>
      <c r="CG91">
        <v>0.1144</v>
      </c>
      <c r="CH91">
        <v>0.1144</v>
      </c>
      <c r="CI91">
        <v>0.18390000000000001</v>
      </c>
      <c r="CJ91">
        <v>0.18390000000000001</v>
      </c>
      <c r="CK91">
        <v>0.18390000000000001</v>
      </c>
      <c r="CL91">
        <v>0.18390000000000001</v>
      </c>
      <c r="CM91">
        <v>0.18390000000000001</v>
      </c>
      <c r="CN91">
        <v>0.28055000000000002</v>
      </c>
      <c r="CO91">
        <v>0.28055000000000002</v>
      </c>
      <c r="CP91">
        <v>0.28055000000000002</v>
      </c>
      <c r="CQ91">
        <v>0.28055000000000002</v>
      </c>
      <c r="CR91">
        <v>0.28055000000000002</v>
      </c>
      <c r="CS91">
        <v>0.40616000000000002</v>
      </c>
      <c r="CT91">
        <v>0.40616000000000002</v>
      </c>
      <c r="CU91">
        <v>0.40616000000000002</v>
      </c>
      <c r="CV91">
        <v>0.40616000000000002</v>
      </c>
      <c r="CW91">
        <v>0.40616000000000002</v>
      </c>
      <c r="CX91">
        <v>1</v>
      </c>
    </row>
    <row r="92" spans="1:102" x14ac:dyDescent="0.25">
      <c r="A92" t="s">
        <v>249</v>
      </c>
      <c r="B92">
        <v>2.0693684E-2</v>
      </c>
      <c r="C92">
        <v>1.3699999999999999E-3</v>
      </c>
      <c r="D92">
        <v>1.3699999999999999E-3</v>
      </c>
      <c r="E92">
        <v>1.3699999999999999E-3</v>
      </c>
      <c r="F92">
        <v>1.3699999999999999E-3</v>
      </c>
      <c r="G92">
        <v>5.1000000000000004E-4</v>
      </c>
      <c r="H92">
        <v>5.1000000000000004E-4</v>
      </c>
      <c r="I92">
        <v>5.1000000000000004E-4</v>
      </c>
      <c r="J92">
        <v>5.1000000000000004E-4</v>
      </c>
      <c r="K92">
        <v>5.1000000000000004E-4</v>
      </c>
      <c r="L92">
        <v>5.9315799999999999E-4</v>
      </c>
      <c r="M92">
        <v>5.9315799999999999E-4</v>
      </c>
      <c r="N92">
        <v>5.9315799999999999E-4</v>
      </c>
      <c r="O92">
        <v>5.9315799999999999E-4</v>
      </c>
      <c r="P92">
        <v>5.9315799999999999E-4</v>
      </c>
      <c r="Q92">
        <v>9.81579E-4</v>
      </c>
      <c r="R92">
        <v>9.81579E-4</v>
      </c>
      <c r="S92">
        <v>9.81579E-4</v>
      </c>
      <c r="T92">
        <v>9.81579E-4</v>
      </c>
      <c r="U92">
        <v>9.81579E-4</v>
      </c>
      <c r="V92">
        <v>8.9421100000000001E-4</v>
      </c>
      <c r="W92">
        <v>8.9421100000000001E-4</v>
      </c>
      <c r="X92">
        <v>8.9421100000000001E-4</v>
      </c>
      <c r="Y92">
        <v>8.9421100000000001E-4</v>
      </c>
      <c r="Z92">
        <v>8.9421100000000001E-4</v>
      </c>
      <c r="AA92">
        <v>1.1073680000000001E-3</v>
      </c>
      <c r="AB92">
        <v>1.1073680000000001E-3</v>
      </c>
      <c r="AC92">
        <v>1.1073680000000001E-3</v>
      </c>
      <c r="AD92">
        <v>1.1073680000000001E-3</v>
      </c>
      <c r="AE92">
        <v>1.1073680000000001E-3</v>
      </c>
      <c r="AF92">
        <v>1.6073680000000001E-3</v>
      </c>
      <c r="AG92">
        <v>1.6073680000000001E-3</v>
      </c>
      <c r="AH92">
        <v>1.6073680000000001E-3</v>
      </c>
      <c r="AI92">
        <v>1.6073680000000001E-3</v>
      </c>
      <c r="AJ92">
        <v>1.6073680000000001E-3</v>
      </c>
      <c r="AK92">
        <v>1.9905259999999998E-3</v>
      </c>
      <c r="AL92">
        <v>1.9905259999999998E-3</v>
      </c>
      <c r="AM92">
        <v>1.9905259999999998E-3</v>
      </c>
      <c r="AN92">
        <v>1.9905259999999998E-3</v>
      </c>
      <c r="AO92">
        <v>1.9905259999999998E-3</v>
      </c>
      <c r="AP92">
        <v>3.283158E-3</v>
      </c>
      <c r="AQ92">
        <v>3.283158E-3</v>
      </c>
      <c r="AR92">
        <v>3.283158E-3</v>
      </c>
      <c r="AS92">
        <v>3.283158E-3</v>
      </c>
      <c r="AT92">
        <v>3.283158E-3</v>
      </c>
      <c r="AU92">
        <v>4.5542109999999998E-3</v>
      </c>
      <c r="AV92">
        <v>4.5542109999999998E-3</v>
      </c>
      <c r="AW92">
        <v>4.5542109999999998E-3</v>
      </c>
      <c r="AX92">
        <v>4.5542109999999998E-3</v>
      </c>
      <c r="AY92">
        <v>4.5542109999999998E-3</v>
      </c>
      <c r="AZ92">
        <v>6.844737E-3</v>
      </c>
      <c r="BA92">
        <v>6.844737E-3</v>
      </c>
      <c r="BB92">
        <v>6.844737E-3</v>
      </c>
      <c r="BC92">
        <v>6.844737E-3</v>
      </c>
      <c r="BD92">
        <v>6.844737E-3</v>
      </c>
      <c r="BE92">
        <v>1.0072105E-2</v>
      </c>
      <c r="BF92">
        <v>1.0072105E-2</v>
      </c>
      <c r="BG92">
        <v>1.0072105E-2</v>
      </c>
      <c r="BH92">
        <v>1.0072105E-2</v>
      </c>
      <c r="BI92">
        <v>1.0072105E-2</v>
      </c>
      <c r="BJ92">
        <v>1.6034211E-2</v>
      </c>
      <c r="BK92">
        <v>1.6034211E-2</v>
      </c>
      <c r="BL92">
        <v>1.6034211E-2</v>
      </c>
      <c r="BM92">
        <v>1.6034211E-2</v>
      </c>
      <c r="BN92">
        <v>1.6034211E-2</v>
      </c>
      <c r="BO92">
        <v>2.4366315999999999E-2</v>
      </c>
      <c r="BP92">
        <v>2.4366315999999999E-2</v>
      </c>
      <c r="BQ92">
        <v>2.4366315999999999E-2</v>
      </c>
      <c r="BR92">
        <v>2.4366315999999999E-2</v>
      </c>
      <c r="BS92">
        <v>2.4366315999999999E-2</v>
      </c>
      <c r="BT92">
        <v>3.6406842000000002E-2</v>
      </c>
      <c r="BU92">
        <v>3.6406842000000002E-2</v>
      </c>
      <c r="BV92">
        <v>3.6406842000000002E-2</v>
      </c>
      <c r="BW92">
        <v>3.6406842000000002E-2</v>
      </c>
      <c r="BX92">
        <v>3.6406842000000002E-2</v>
      </c>
      <c r="BY92">
        <v>6.3028421000000001E-2</v>
      </c>
      <c r="BZ92">
        <v>6.3028421000000001E-2</v>
      </c>
      <c r="CA92">
        <v>6.3028421000000001E-2</v>
      </c>
      <c r="CB92">
        <v>6.3028421000000001E-2</v>
      </c>
      <c r="CC92">
        <v>6.3028421000000001E-2</v>
      </c>
      <c r="CD92">
        <v>9.6411578999999997E-2</v>
      </c>
      <c r="CE92">
        <v>9.6411578999999997E-2</v>
      </c>
      <c r="CF92">
        <v>9.6411578999999997E-2</v>
      </c>
      <c r="CG92">
        <v>9.6411578999999997E-2</v>
      </c>
      <c r="CH92">
        <v>9.6411578999999997E-2</v>
      </c>
      <c r="CI92">
        <v>0.148308947</v>
      </c>
      <c r="CJ92">
        <v>0.148308947</v>
      </c>
      <c r="CK92">
        <v>0.148308947</v>
      </c>
      <c r="CL92">
        <v>0.148308947</v>
      </c>
      <c r="CM92">
        <v>0.148308947</v>
      </c>
      <c r="CN92">
        <v>0.225275789</v>
      </c>
      <c r="CO92">
        <v>0.225275789</v>
      </c>
      <c r="CP92">
        <v>0.225275789</v>
      </c>
      <c r="CQ92">
        <v>0.225275789</v>
      </c>
      <c r="CR92">
        <v>0.225275789</v>
      </c>
      <c r="CS92">
        <v>0.33575105300000002</v>
      </c>
      <c r="CT92">
        <v>0.33575105300000002</v>
      </c>
      <c r="CU92">
        <v>0.33575105300000002</v>
      </c>
      <c r="CV92">
        <v>0.33575105300000002</v>
      </c>
      <c r="CW92">
        <v>0.33575105300000002</v>
      </c>
      <c r="CX92">
        <v>1</v>
      </c>
    </row>
    <row r="93" spans="1:102" x14ac:dyDescent="0.25">
      <c r="A93" t="s">
        <v>251</v>
      </c>
      <c r="B93">
        <v>1.048E-2</v>
      </c>
      <c r="C93">
        <v>3.2000000000000003E-4</v>
      </c>
      <c r="D93">
        <v>3.2000000000000003E-4</v>
      </c>
      <c r="E93">
        <v>3.2000000000000003E-4</v>
      </c>
      <c r="F93">
        <v>3.2000000000000003E-4</v>
      </c>
      <c r="G93">
        <v>2.5000000000000001E-4</v>
      </c>
      <c r="H93">
        <v>2.5000000000000001E-4</v>
      </c>
      <c r="I93">
        <v>2.5000000000000001E-4</v>
      </c>
      <c r="J93">
        <v>2.5000000000000001E-4</v>
      </c>
      <c r="K93">
        <v>2.5000000000000001E-4</v>
      </c>
      <c r="L93">
        <v>3.3E-4</v>
      </c>
      <c r="M93">
        <v>3.3E-4</v>
      </c>
      <c r="N93">
        <v>3.3E-4</v>
      </c>
      <c r="O93">
        <v>3.3E-4</v>
      </c>
      <c r="P93">
        <v>3.3E-4</v>
      </c>
      <c r="Q93">
        <v>2.7999999999999998E-4</v>
      </c>
      <c r="R93">
        <v>2.7999999999999998E-4</v>
      </c>
      <c r="S93">
        <v>2.7999999999999998E-4</v>
      </c>
      <c r="T93">
        <v>2.7999999999999998E-4</v>
      </c>
      <c r="U93">
        <v>2.7999999999999998E-4</v>
      </c>
      <c r="V93">
        <v>2.7999999999999998E-4</v>
      </c>
      <c r="W93">
        <v>2.7999999999999998E-4</v>
      </c>
      <c r="X93">
        <v>2.7999999999999998E-4</v>
      </c>
      <c r="Y93">
        <v>2.7999999999999998E-4</v>
      </c>
      <c r="Z93">
        <v>2.7999999999999998E-4</v>
      </c>
      <c r="AA93">
        <v>4.6000000000000001E-4</v>
      </c>
      <c r="AB93">
        <v>4.6000000000000001E-4</v>
      </c>
      <c r="AC93">
        <v>4.6000000000000001E-4</v>
      </c>
      <c r="AD93">
        <v>4.6000000000000001E-4</v>
      </c>
      <c r="AE93">
        <v>4.6000000000000001E-4</v>
      </c>
      <c r="AF93">
        <v>4.6999999999999999E-4</v>
      </c>
      <c r="AG93">
        <v>4.6999999999999999E-4</v>
      </c>
      <c r="AH93">
        <v>4.6999999999999999E-4</v>
      </c>
      <c r="AI93">
        <v>4.6999999999999999E-4</v>
      </c>
      <c r="AJ93">
        <v>4.6999999999999999E-4</v>
      </c>
      <c r="AK93">
        <v>5.9999999999999995E-4</v>
      </c>
      <c r="AL93">
        <v>5.9999999999999995E-4</v>
      </c>
      <c r="AM93">
        <v>5.9999999999999995E-4</v>
      </c>
      <c r="AN93">
        <v>5.9999999999999995E-4</v>
      </c>
      <c r="AO93">
        <v>5.9999999999999995E-4</v>
      </c>
      <c r="AP93">
        <v>8.9999999999999998E-4</v>
      </c>
      <c r="AQ93">
        <v>8.9999999999999998E-4</v>
      </c>
      <c r="AR93">
        <v>8.9999999999999998E-4</v>
      </c>
      <c r="AS93">
        <v>8.9999999999999998E-4</v>
      </c>
      <c r="AT93">
        <v>8.9999999999999998E-4</v>
      </c>
      <c r="AU93">
        <v>1.1000000000000001E-3</v>
      </c>
      <c r="AV93">
        <v>1.1000000000000001E-3</v>
      </c>
      <c r="AW93">
        <v>1.1000000000000001E-3</v>
      </c>
      <c r="AX93">
        <v>1.1000000000000001E-3</v>
      </c>
      <c r="AY93">
        <v>1.1000000000000001E-3</v>
      </c>
      <c r="AZ93">
        <v>2.0699999999999998E-3</v>
      </c>
      <c r="BA93">
        <v>2.0699999999999998E-3</v>
      </c>
      <c r="BB93">
        <v>2.0699999999999998E-3</v>
      </c>
      <c r="BC93">
        <v>2.0699999999999998E-3</v>
      </c>
      <c r="BD93">
        <v>2.0699999999999998E-3</v>
      </c>
      <c r="BE93">
        <v>4.1799999999999997E-3</v>
      </c>
      <c r="BF93">
        <v>4.1799999999999997E-3</v>
      </c>
      <c r="BG93">
        <v>4.1799999999999997E-3</v>
      </c>
      <c r="BH93">
        <v>4.1799999999999997E-3</v>
      </c>
      <c r="BI93">
        <v>4.1799999999999997E-3</v>
      </c>
      <c r="BJ93">
        <v>9.7300000000000008E-3</v>
      </c>
      <c r="BK93">
        <v>9.7300000000000008E-3</v>
      </c>
      <c r="BL93">
        <v>9.7300000000000008E-3</v>
      </c>
      <c r="BM93">
        <v>9.7300000000000008E-3</v>
      </c>
      <c r="BN93">
        <v>9.7300000000000008E-3</v>
      </c>
      <c r="BO93">
        <v>1.8370000000000001E-2</v>
      </c>
      <c r="BP93">
        <v>1.8370000000000001E-2</v>
      </c>
      <c r="BQ93">
        <v>1.8370000000000001E-2</v>
      </c>
      <c r="BR93">
        <v>1.8370000000000001E-2</v>
      </c>
      <c r="BS93">
        <v>1.8370000000000001E-2</v>
      </c>
      <c r="BT93">
        <v>3.2559999999999999E-2</v>
      </c>
      <c r="BU93">
        <v>3.2559999999999999E-2</v>
      </c>
      <c r="BV93">
        <v>3.2559999999999999E-2</v>
      </c>
      <c r="BW93">
        <v>3.2559999999999999E-2</v>
      </c>
      <c r="BX93">
        <v>3.2559999999999999E-2</v>
      </c>
      <c r="BY93">
        <v>5.9180000000000003E-2</v>
      </c>
      <c r="BZ93">
        <v>5.9180000000000003E-2</v>
      </c>
      <c r="CA93">
        <v>5.9180000000000003E-2</v>
      </c>
      <c r="CB93">
        <v>5.9180000000000003E-2</v>
      </c>
      <c r="CC93">
        <v>5.9180000000000003E-2</v>
      </c>
      <c r="CD93">
        <v>7.9829999999999998E-2</v>
      </c>
      <c r="CE93">
        <v>7.9829999999999998E-2</v>
      </c>
      <c r="CF93">
        <v>7.9829999999999998E-2</v>
      </c>
      <c r="CG93">
        <v>7.9829999999999998E-2</v>
      </c>
      <c r="CH93">
        <v>7.9829999999999998E-2</v>
      </c>
      <c r="CI93">
        <v>0.11286</v>
      </c>
      <c r="CJ93">
        <v>0.11286</v>
      </c>
      <c r="CK93">
        <v>0.11286</v>
      </c>
      <c r="CL93">
        <v>0.11286</v>
      </c>
      <c r="CM93">
        <v>0.11286</v>
      </c>
      <c r="CN93">
        <v>0.16717000000000001</v>
      </c>
      <c r="CO93">
        <v>0.16717000000000001</v>
      </c>
      <c r="CP93">
        <v>0.16717000000000001</v>
      </c>
      <c r="CQ93">
        <v>0.16717000000000001</v>
      </c>
      <c r="CR93">
        <v>0.16717000000000001</v>
      </c>
      <c r="CS93">
        <v>0.25946999999999998</v>
      </c>
      <c r="CT93">
        <v>0.25946999999999998</v>
      </c>
      <c r="CU93">
        <v>0.25946999999999998</v>
      </c>
      <c r="CV93">
        <v>0.25946999999999998</v>
      </c>
      <c r="CW93">
        <v>0.25946999999999998</v>
      </c>
      <c r="CX93">
        <v>1</v>
      </c>
    </row>
    <row r="94" spans="1:102" x14ac:dyDescent="0.25">
      <c r="A94" t="s">
        <v>253</v>
      </c>
      <c r="B94">
        <v>2.998E-2</v>
      </c>
      <c r="C94">
        <v>1.2099999999999999E-3</v>
      </c>
      <c r="D94">
        <v>1.2099999999999999E-3</v>
      </c>
      <c r="E94">
        <v>1.2099999999999999E-3</v>
      </c>
      <c r="F94">
        <v>1.2099999999999999E-3</v>
      </c>
      <c r="G94">
        <v>3.3E-4</v>
      </c>
      <c r="H94">
        <v>3.3E-4</v>
      </c>
      <c r="I94">
        <v>3.3E-4</v>
      </c>
      <c r="J94">
        <v>3.3E-4</v>
      </c>
      <c r="K94">
        <v>3.3E-4</v>
      </c>
      <c r="L94">
        <v>2.9999999999999997E-4</v>
      </c>
      <c r="M94">
        <v>2.9999999999999997E-4</v>
      </c>
      <c r="N94">
        <v>2.9999999999999997E-4</v>
      </c>
      <c r="O94">
        <v>2.9999999999999997E-4</v>
      </c>
      <c r="P94">
        <v>2.9999999999999997E-4</v>
      </c>
      <c r="Q94">
        <v>5.4000000000000001E-4</v>
      </c>
      <c r="R94">
        <v>5.4000000000000001E-4</v>
      </c>
      <c r="S94">
        <v>5.4000000000000001E-4</v>
      </c>
      <c r="T94">
        <v>5.4000000000000001E-4</v>
      </c>
      <c r="U94">
        <v>5.4000000000000001E-4</v>
      </c>
      <c r="V94">
        <v>8.4000000000000003E-4</v>
      </c>
      <c r="W94">
        <v>8.4000000000000003E-4</v>
      </c>
      <c r="X94">
        <v>8.4000000000000003E-4</v>
      </c>
      <c r="Y94">
        <v>8.4000000000000003E-4</v>
      </c>
      <c r="Z94">
        <v>8.4000000000000003E-4</v>
      </c>
      <c r="AA94">
        <v>1.1999999999999999E-3</v>
      </c>
      <c r="AB94">
        <v>1.1999999999999999E-3</v>
      </c>
      <c r="AC94">
        <v>1.1999999999999999E-3</v>
      </c>
      <c r="AD94">
        <v>1.1999999999999999E-3</v>
      </c>
      <c r="AE94">
        <v>1.1999999999999999E-3</v>
      </c>
      <c r="AF94">
        <v>1.74E-3</v>
      </c>
      <c r="AG94">
        <v>1.74E-3</v>
      </c>
      <c r="AH94">
        <v>1.74E-3</v>
      </c>
      <c r="AI94">
        <v>1.74E-3</v>
      </c>
      <c r="AJ94">
        <v>1.74E-3</v>
      </c>
      <c r="AK94">
        <v>2.3800000000000002E-3</v>
      </c>
      <c r="AL94">
        <v>2.3800000000000002E-3</v>
      </c>
      <c r="AM94">
        <v>2.3800000000000002E-3</v>
      </c>
      <c r="AN94">
        <v>2.3800000000000002E-3</v>
      </c>
      <c r="AO94">
        <v>2.3800000000000002E-3</v>
      </c>
      <c r="AP94">
        <v>3.3500000000000001E-3</v>
      </c>
      <c r="AQ94">
        <v>3.3500000000000001E-3</v>
      </c>
      <c r="AR94">
        <v>3.3500000000000001E-3</v>
      </c>
      <c r="AS94">
        <v>3.3500000000000001E-3</v>
      </c>
      <c r="AT94">
        <v>3.3500000000000001E-3</v>
      </c>
      <c r="AU94">
        <v>5.13E-3</v>
      </c>
      <c r="AV94">
        <v>5.13E-3</v>
      </c>
      <c r="AW94">
        <v>5.13E-3</v>
      </c>
      <c r="AX94">
        <v>5.13E-3</v>
      </c>
      <c r="AY94">
        <v>5.13E-3</v>
      </c>
      <c r="AZ94">
        <v>7.5399999999999998E-3</v>
      </c>
      <c r="BA94">
        <v>7.5399999999999998E-3</v>
      </c>
      <c r="BB94">
        <v>7.5399999999999998E-3</v>
      </c>
      <c r="BC94">
        <v>7.5399999999999998E-3</v>
      </c>
      <c r="BD94">
        <v>7.5399999999999998E-3</v>
      </c>
      <c r="BE94">
        <v>1.265E-2</v>
      </c>
      <c r="BF94">
        <v>1.265E-2</v>
      </c>
      <c r="BG94">
        <v>1.265E-2</v>
      </c>
      <c r="BH94">
        <v>1.265E-2</v>
      </c>
      <c r="BI94">
        <v>1.265E-2</v>
      </c>
      <c r="BJ94">
        <v>1.9199999999999998E-2</v>
      </c>
      <c r="BK94">
        <v>1.9199999999999998E-2</v>
      </c>
      <c r="BL94">
        <v>1.9199999999999998E-2</v>
      </c>
      <c r="BM94">
        <v>1.9199999999999998E-2</v>
      </c>
      <c r="BN94">
        <v>1.9199999999999998E-2</v>
      </c>
      <c r="BO94">
        <v>3.049E-2</v>
      </c>
      <c r="BP94">
        <v>3.049E-2</v>
      </c>
      <c r="BQ94">
        <v>3.049E-2</v>
      </c>
      <c r="BR94">
        <v>3.049E-2</v>
      </c>
      <c r="BS94">
        <v>3.049E-2</v>
      </c>
      <c r="BT94">
        <v>5.0880000000000002E-2</v>
      </c>
      <c r="BU94">
        <v>5.0880000000000002E-2</v>
      </c>
      <c r="BV94">
        <v>5.0880000000000002E-2</v>
      </c>
      <c r="BW94">
        <v>5.0880000000000002E-2</v>
      </c>
      <c r="BX94">
        <v>5.0880000000000002E-2</v>
      </c>
      <c r="BY94">
        <v>7.9130000000000006E-2</v>
      </c>
      <c r="BZ94">
        <v>7.9130000000000006E-2</v>
      </c>
      <c r="CA94">
        <v>7.9130000000000006E-2</v>
      </c>
      <c r="CB94">
        <v>7.9130000000000006E-2</v>
      </c>
      <c r="CC94">
        <v>7.9130000000000006E-2</v>
      </c>
      <c r="CD94">
        <v>0.12615999999999999</v>
      </c>
      <c r="CE94">
        <v>0.12615999999999999</v>
      </c>
      <c r="CF94">
        <v>0.12615999999999999</v>
      </c>
      <c r="CG94">
        <v>0.12615999999999999</v>
      </c>
      <c r="CH94">
        <v>0.12615999999999999</v>
      </c>
      <c r="CI94">
        <v>0.19369</v>
      </c>
      <c r="CJ94">
        <v>0.19369</v>
      </c>
      <c r="CK94">
        <v>0.19369</v>
      </c>
      <c r="CL94">
        <v>0.19369</v>
      </c>
      <c r="CM94">
        <v>0.19369</v>
      </c>
      <c r="CN94">
        <v>0.28642000000000001</v>
      </c>
      <c r="CO94">
        <v>0.28642000000000001</v>
      </c>
      <c r="CP94">
        <v>0.28642000000000001</v>
      </c>
      <c r="CQ94">
        <v>0.28642000000000001</v>
      </c>
      <c r="CR94">
        <v>0.28642000000000001</v>
      </c>
      <c r="CS94">
        <v>0.40792</v>
      </c>
      <c r="CT94">
        <v>0.40792</v>
      </c>
      <c r="CU94">
        <v>0.40792</v>
      </c>
      <c r="CV94">
        <v>0.40792</v>
      </c>
      <c r="CW94">
        <v>0.40792</v>
      </c>
      <c r="CX94">
        <v>1</v>
      </c>
    </row>
    <row r="95" spans="1:102" x14ac:dyDescent="0.25">
      <c r="A95" t="s">
        <v>255</v>
      </c>
      <c r="B95">
        <v>4.0890000000000003E-2</v>
      </c>
      <c r="C95">
        <v>4.1000000000000003E-3</v>
      </c>
      <c r="D95">
        <v>4.1000000000000003E-3</v>
      </c>
      <c r="E95">
        <v>4.1000000000000003E-3</v>
      </c>
      <c r="F95">
        <v>4.1000000000000003E-3</v>
      </c>
      <c r="G95">
        <v>1.3600000000000001E-3</v>
      </c>
      <c r="H95">
        <v>1.3600000000000001E-3</v>
      </c>
      <c r="I95">
        <v>1.3600000000000001E-3</v>
      </c>
      <c r="J95">
        <v>1.3600000000000001E-3</v>
      </c>
      <c r="K95">
        <v>1.3600000000000001E-3</v>
      </c>
      <c r="L95">
        <v>1.06E-3</v>
      </c>
      <c r="M95">
        <v>1.06E-3</v>
      </c>
      <c r="N95">
        <v>1.06E-3</v>
      </c>
      <c r="O95">
        <v>1.06E-3</v>
      </c>
      <c r="P95">
        <v>1.06E-3</v>
      </c>
      <c r="Q95">
        <v>1.8799999999999999E-3</v>
      </c>
      <c r="R95">
        <v>1.8799999999999999E-3</v>
      </c>
      <c r="S95">
        <v>1.8799999999999999E-3</v>
      </c>
      <c r="T95">
        <v>1.8799999999999999E-3</v>
      </c>
      <c r="U95">
        <v>1.8799999999999999E-3</v>
      </c>
      <c r="V95">
        <v>2.4399999999999999E-3</v>
      </c>
      <c r="W95">
        <v>2.4399999999999999E-3</v>
      </c>
      <c r="X95">
        <v>2.4399999999999999E-3</v>
      </c>
      <c r="Y95">
        <v>2.4399999999999999E-3</v>
      </c>
      <c r="Z95">
        <v>2.4399999999999999E-3</v>
      </c>
      <c r="AA95">
        <v>2.7699999999999999E-3</v>
      </c>
      <c r="AB95">
        <v>2.7699999999999999E-3</v>
      </c>
      <c r="AC95">
        <v>2.7699999999999999E-3</v>
      </c>
      <c r="AD95">
        <v>2.7699999999999999E-3</v>
      </c>
      <c r="AE95">
        <v>2.7699999999999999E-3</v>
      </c>
      <c r="AF95">
        <v>3.3999999999999998E-3</v>
      </c>
      <c r="AG95">
        <v>3.3999999999999998E-3</v>
      </c>
      <c r="AH95">
        <v>3.3999999999999998E-3</v>
      </c>
      <c r="AI95">
        <v>3.3999999999999998E-3</v>
      </c>
      <c r="AJ95">
        <v>3.3999999999999998E-3</v>
      </c>
      <c r="AK95">
        <v>4.5500000000000002E-3</v>
      </c>
      <c r="AL95">
        <v>4.5500000000000002E-3</v>
      </c>
      <c r="AM95">
        <v>4.5500000000000002E-3</v>
      </c>
      <c r="AN95">
        <v>4.5500000000000002E-3</v>
      </c>
      <c r="AO95">
        <v>4.5500000000000002E-3</v>
      </c>
      <c r="AP95">
        <v>6.1799999999999997E-3</v>
      </c>
      <c r="AQ95">
        <v>6.1799999999999997E-3</v>
      </c>
      <c r="AR95">
        <v>6.1799999999999997E-3</v>
      </c>
      <c r="AS95">
        <v>6.1799999999999997E-3</v>
      </c>
      <c r="AT95">
        <v>6.1799999999999997E-3</v>
      </c>
      <c r="AU95">
        <v>8.3899999999999999E-3</v>
      </c>
      <c r="AV95">
        <v>8.3899999999999999E-3</v>
      </c>
      <c r="AW95">
        <v>8.3899999999999999E-3</v>
      </c>
      <c r="AX95">
        <v>8.3899999999999999E-3</v>
      </c>
      <c r="AY95">
        <v>8.3899999999999999E-3</v>
      </c>
      <c r="AZ95">
        <v>1.166E-2</v>
      </c>
      <c r="BA95">
        <v>1.166E-2</v>
      </c>
      <c r="BB95">
        <v>1.166E-2</v>
      </c>
      <c r="BC95">
        <v>1.166E-2</v>
      </c>
      <c r="BD95">
        <v>1.166E-2</v>
      </c>
      <c r="BE95">
        <v>1.6389999999999998E-2</v>
      </c>
      <c r="BF95">
        <v>1.6389999999999998E-2</v>
      </c>
      <c r="BG95">
        <v>1.6389999999999998E-2</v>
      </c>
      <c r="BH95">
        <v>1.6389999999999998E-2</v>
      </c>
      <c r="BI95">
        <v>1.6389999999999998E-2</v>
      </c>
      <c r="BJ95">
        <v>2.3050000000000001E-2</v>
      </c>
      <c r="BK95">
        <v>2.3050000000000001E-2</v>
      </c>
      <c r="BL95">
        <v>2.3050000000000001E-2</v>
      </c>
      <c r="BM95">
        <v>2.3050000000000001E-2</v>
      </c>
      <c r="BN95">
        <v>2.3050000000000001E-2</v>
      </c>
      <c r="BO95">
        <v>3.465E-2</v>
      </c>
      <c r="BP95">
        <v>3.465E-2</v>
      </c>
      <c r="BQ95">
        <v>3.465E-2</v>
      </c>
      <c r="BR95">
        <v>3.465E-2</v>
      </c>
      <c r="BS95">
        <v>3.465E-2</v>
      </c>
      <c r="BT95">
        <v>5.425E-2</v>
      </c>
      <c r="BU95">
        <v>5.425E-2</v>
      </c>
      <c r="BV95">
        <v>5.425E-2</v>
      </c>
      <c r="BW95">
        <v>5.425E-2</v>
      </c>
      <c r="BX95">
        <v>5.425E-2</v>
      </c>
      <c r="BY95">
        <v>8.4360000000000004E-2</v>
      </c>
      <c r="BZ95">
        <v>8.4360000000000004E-2</v>
      </c>
      <c r="CA95">
        <v>8.4360000000000004E-2</v>
      </c>
      <c r="CB95">
        <v>8.4360000000000004E-2</v>
      </c>
      <c r="CC95">
        <v>8.4360000000000004E-2</v>
      </c>
      <c r="CD95">
        <v>0.13192999999999999</v>
      </c>
      <c r="CE95">
        <v>0.13192999999999999</v>
      </c>
      <c r="CF95">
        <v>0.13192999999999999</v>
      </c>
      <c r="CG95">
        <v>0.13192999999999999</v>
      </c>
      <c r="CH95">
        <v>0.13192999999999999</v>
      </c>
      <c r="CI95">
        <v>0.19947999999999999</v>
      </c>
      <c r="CJ95">
        <v>0.19947999999999999</v>
      </c>
      <c r="CK95">
        <v>0.19947999999999999</v>
      </c>
      <c r="CL95">
        <v>0.19947999999999999</v>
      </c>
      <c r="CM95">
        <v>0.19947999999999999</v>
      </c>
      <c r="CN95">
        <v>0.29163</v>
      </c>
      <c r="CO95">
        <v>0.29163</v>
      </c>
      <c r="CP95">
        <v>0.29163</v>
      </c>
      <c r="CQ95">
        <v>0.29163</v>
      </c>
      <c r="CR95">
        <v>0.29163</v>
      </c>
      <c r="CS95">
        <v>0.41221999999999998</v>
      </c>
      <c r="CT95">
        <v>0.41221999999999998</v>
      </c>
      <c r="CU95">
        <v>0.41221999999999998</v>
      </c>
      <c r="CV95">
        <v>0.41221999999999998</v>
      </c>
      <c r="CW95">
        <v>0.41221999999999998</v>
      </c>
      <c r="CX95">
        <v>1</v>
      </c>
    </row>
    <row r="96" spans="1:102" x14ac:dyDescent="0.25">
      <c r="A96" t="s">
        <v>257</v>
      </c>
      <c r="B96">
        <v>9.7912499999999996E-3</v>
      </c>
      <c r="C96">
        <v>3.5649999999999999E-4</v>
      </c>
      <c r="D96">
        <v>3.5649999999999999E-4</v>
      </c>
      <c r="E96">
        <v>3.5649999999999999E-4</v>
      </c>
      <c r="F96">
        <v>3.5649999999999999E-4</v>
      </c>
      <c r="G96">
        <v>1.7899999999999999E-4</v>
      </c>
      <c r="H96">
        <v>1.7899999999999999E-4</v>
      </c>
      <c r="I96">
        <v>1.7899999999999999E-4</v>
      </c>
      <c r="J96">
        <v>1.7899999999999999E-4</v>
      </c>
      <c r="K96">
        <v>1.7899999999999999E-4</v>
      </c>
      <c r="L96">
        <v>1.8075E-4</v>
      </c>
      <c r="M96">
        <v>1.8075E-4</v>
      </c>
      <c r="N96">
        <v>1.8075E-4</v>
      </c>
      <c r="O96">
        <v>1.8075E-4</v>
      </c>
      <c r="P96">
        <v>1.8075E-4</v>
      </c>
      <c r="Q96">
        <v>3.0775000000000003E-4</v>
      </c>
      <c r="R96">
        <v>3.0775000000000003E-4</v>
      </c>
      <c r="S96">
        <v>3.0775000000000003E-4</v>
      </c>
      <c r="T96">
        <v>3.0775000000000003E-4</v>
      </c>
      <c r="U96">
        <v>3.0775000000000003E-4</v>
      </c>
      <c r="V96">
        <v>4.2025E-4</v>
      </c>
      <c r="W96">
        <v>4.2025E-4</v>
      </c>
      <c r="X96">
        <v>4.2025E-4</v>
      </c>
      <c r="Y96">
        <v>4.2025E-4</v>
      </c>
      <c r="Z96">
        <v>4.2025E-4</v>
      </c>
      <c r="AA96">
        <v>5.2674999999999998E-4</v>
      </c>
      <c r="AB96">
        <v>5.2674999999999998E-4</v>
      </c>
      <c r="AC96">
        <v>5.2674999999999998E-4</v>
      </c>
      <c r="AD96">
        <v>5.2674999999999998E-4</v>
      </c>
      <c r="AE96">
        <v>5.2674999999999998E-4</v>
      </c>
      <c r="AF96">
        <v>7.3850000000000001E-4</v>
      </c>
      <c r="AG96">
        <v>7.3850000000000001E-4</v>
      </c>
      <c r="AH96">
        <v>7.3850000000000001E-4</v>
      </c>
      <c r="AI96">
        <v>7.3850000000000001E-4</v>
      </c>
      <c r="AJ96">
        <v>7.3850000000000001E-4</v>
      </c>
      <c r="AK96">
        <v>1.0690000000000001E-3</v>
      </c>
      <c r="AL96">
        <v>1.0690000000000001E-3</v>
      </c>
      <c r="AM96">
        <v>1.0690000000000001E-3</v>
      </c>
      <c r="AN96">
        <v>1.0690000000000001E-3</v>
      </c>
      <c r="AO96">
        <v>1.0690000000000001E-3</v>
      </c>
      <c r="AP96">
        <v>1.622E-3</v>
      </c>
      <c r="AQ96">
        <v>1.622E-3</v>
      </c>
      <c r="AR96">
        <v>1.622E-3</v>
      </c>
      <c r="AS96">
        <v>1.622E-3</v>
      </c>
      <c r="AT96">
        <v>1.622E-3</v>
      </c>
      <c r="AU96">
        <v>2.5685E-3</v>
      </c>
      <c r="AV96">
        <v>2.5685E-3</v>
      </c>
      <c r="AW96">
        <v>2.5685E-3</v>
      </c>
      <c r="AX96">
        <v>2.5685E-3</v>
      </c>
      <c r="AY96">
        <v>2.5685E-3</v>
      </c>
      <c r="AZ96">
        <v>4.117E-3</v>
      </c>
      <c r="BA96">
        <v>4.117E-3</v>
      </c>
      <c r="BB96">
        <v>4.117E-3</v>
      </c>
      <c r="BC96">
        <v>4.117E-3</v>
      </c>
      <c r="BD96">
        <v>4.117E-3</v>
      </c>
      <c r="BE96">
        <v>6.4475000000000001E-3</v>
      </c>
      <c r="BF96">
        <v>6.4475000000000001E-3</v>
      </c>
      <c r="BG96">
        <v>6.4475000000000001E-3</v>
      </c>
      <c r="BH96">
        <v>6.4475000000000001E-3</v>
      </c>
      <c r="BI96">
        <v>6.4475000000000001E-3</v>
      </c>
      <c r="BJ96">
        <v>9.7327500000000001E-3</v>
      </c>
      <c r="BK96">
        <v>9.7327500000000001E-3</v>
      </c>
      <c r="BL96">
        <v>9.7327500000000001E-3</v>
      </c>
      <c r="BM96">
        <v>9.7327500000000001E-3</v>
      </c>
      <c r="BN96">
        <v>9.7327500000000001E-3</v>
      </c>
      <c r="BO96">
        <v>1.5950249999999999E-2</v>
      </c>
      <c r="BP96">
        <v>1.5950249999999999E-2</v>
      </c>
      <c r="BQ96">
        <v>1.5950249999999999E-2</v>
      </c>
      <c r="BR96">
        <v>1.5950249999999999E-2</v>
      </c>
      <c r="BS96">
        <v>1.5950249999999999E-2</v>
      </c>
      <c r="BT96">
        <v>2.6643500000000001E-2</v>
      </c>
      <c r="BU96">
        <v>2.6643500000000001E-2</v>
      </c>
      <c r="BV96">
        <v>2.6643500000000001E-2</v>
      </c>
      <c r="BW96">
        <v>2.6643500000000001E-2</v>
      </c>
      <c r="BX96">
        <v>2.6643500000000001E-2</v>
      </c>
      <c r="BY96">
        <v>4.6877250000000002E-2</v>
      </c>
      <c r="BZ96">
        <v>4.6877250000000002E-2</v>
      </c>
      <c r="CA96">
        <v>4.6877250000000002E-2</v>
      </c>
      <c r="CB96">
        <v>4.6877250000000002E-2</v>
      </c>
      <c r="CC96">
        <v>4.6877250000000002E-2</v>
      </c>
      <c r="CD96">
        <v>8.3014249999999998E-2</v>
      </c>
      <c r="CE96">
        <v>8.3014249999999998E-2</v>
      </c>
      <c r="CF96">
        <v>8.3014249999999998E-2</v>
      </c>
      <c r="CG96">
        <v>8.3014249999999998E-2</v>
      </c>
      <c r="CH96">
        <v>8.3014249999999998E-2</v>
      </c>
      <c r="CI96">
        <v>0.14132575</v>
      </c>
      <c r="CJ96">
        <v>0.14132575</v>
      </c>
      <c r="CK96">
        <v>0.14132575</v>
      </c>
      <c r="CL96">
        <v>0.14132575</v>
      </c>
      <c r="CM96">
        <v>0.14132575</v>
      </c>
      <c r="CN96">
        <v>0.22859225</v>
      </c>
      <c r="CO96">
        <v>0.22859225</v>
      </c>
      <c r="CP96">
        <v>0.22859225</v>
      </c>
      <c r="CQ96">
        <v>0.22859225</v>
      </c>
      <c r="CR96">
        <v>0.22859225</v>
      </c>
      <c r="CS96">
        <v>0.34928749999999997</v>
      </c>
      <c r="CT96">
        <v>0.34928749999999997</v>
      </c>
      <c r="CU96">
        <v>0.34928749999999997</v>
      </c>
      <c r="CV96">
        <v>0.34928749999999997</v>
      </c>
      <c r="CW96">
        <v>0.34928749999999997</v>
      </c>
      <c r="CX96">
        <v>1</v>
      </c>
    </row>
    <row r="97" spans="1:102" x14ac:dyDescent="0.25">
      <c r="A97" t="s">
        <v>259</v>
      </c>
      <c r="B97">
        <v>1.013E-2</v>
      </c>
      <c r="C97">
        <v>2.3000000000000001E-4</v>
      </c>
      <c r="D97">
        <v>2.3000000000000001E-4</v>
      </c>
      <c r="E97">
        <v>2.3000000000000001E-4</v>
      </c>
      <c r="F97">
        <v>2.3000000000000001E-4</v>
      </c>
      <c r="G97">
        <v>2.1000000000000001E-4</v>
      </c>
      <c r="H97">
        <v>2.1000000000000001E-4</v>
      </c>
      <c r="I97">
        <v>2.1000000000000001E-4</v>
      </c>
      <c r="J97">
        <v>2.1000000000000001E-4</v>
      </c>
      <c r="K97">
        <v>2.1000000000000001E-4</v>
      </c>
      <c r="L97">
        <v>2.0000000000000001E-4</v>
      </c>
      <c r="M97">
        <v>2.0000000000000001E-4</v>
      </c>
      <c r="N97">
        <v>2.0000000000000001E-4</v>
      </c>
      <c r="O97">
        <v>2.0000000000000001E-4</v>
      </c>
      <c r="P97">
        <v>2.0000000000000001E-4</v>
      </c>
      <c r="Q97">
        <v>3.6999999999999999E-4</v>
      </c>
      <c r="R97">
        <v>3.6999999999999999E-4</v>
      </c>
      <c r="S97">
        <v>3.6999999999999999E-4</v>
      </c>
      <c r="T97">
        <v>3.6999999999999999E-4</v>
      </c>
      <c r="U97">
        <v>3.6999999999999999E-4</v>
      </c>
      <c r="V97">
        <v>4.4999999999999999E-4</v>
      </c>
      <c r="W97">
        <v>4.4999999999999999E-4</v>
      </c>
      <c r="X97">
        <v>4.4999999999999999E-4</v>
      </c>
      <c r="Y97">
        <v>4.4999999999999999E-4</v>
      </c>
      <c r="Z97">
        <v>4.4999999999999999E-4</v>
      </c>
      <c r="AA97">
        <v>5.5999999999999995E-4</v>
      </c>
      <c r="AB97">
        <v>5.5999999999999995E-4</v>
      </c>
      <c r="AC97">
        <v>5.5999999999999995E-4</v>
      </c>
      <c r="AD97">
        <v>5.5999999999999995E-4</v>
      </c>
      <c r="AE97">
        <v>5.5999999999999995E-4</v>
      </c>
      <c r="AF97">
        <v>7.6999999999999996E-4</v>
      </c>
      <c r="AG97">
        <v>7.6999999999999996E-4</v>
      </c>
      <c r="AH97">
        <v>7.6999999999999996E-4</v>
      </c>
      <c r="AI97">
        <v>7.6999999999999996E-4</v>
      </c>
      <c r="AJ97">
        <v>7.6999999999999996E-4</v>
      </c>
      <c r="AK97">
        <v>1.1000000000000001E-3</v>
      </c>
      <c r="AL97">
        <v>1.1000000000000001E-3</v>
      </c>
      <c r="AM97">
        <v>1.1000000000000001E-3</v>
      </c>
      <c r="AN97">
        <v>1.1000000000000001E-3</v>
      </c>
      <c r="AO97">
        <v>1.1000000000000001E-3</v>
      </c>
      <c r="AP97">
        <v>1.67E-3</v>
      </c>
      <c r="AQ97">
        <v>1.67E-3</v>
      </c>
      <c r="AR97">
        <v>1.67E-3</v>
      </c>
      <c r="AS97">
        <v>1.67E-3</v>
      </c>
      <c r="AT97">
        <v>1.67E-3</v>
      </c>
      <c r="AU97">
        <v>2.6099999999999999E-3</v>
      </c>
      <c r="AV97">
        <v>2.6099999999999999E-3</v>
      </c>
      <c r="AW97">
        <v>2.6099999999999999E-3</v>
      </c>
      <c r="AX97">
        <v>2.6099999999999999E-3</v>
      </c>
      <c r="AY97">
        <v>2.6099999999999999E-3</v>
      </c>
      <c r="AZ97">
        <v>4.0299999999999997E-3</v>
      </c>
      <c r="BA97">
        <v>4.0299999999999997E-3</v>
      </c>
      <c r="BB97">
        <v>4.0299999999999997E-3</v>
      </c>
      <c r="BC97">
        <v>4.0299999999999997E-3</v>
      </c>
      <c r="BD97">
        <v>4.0299999999999997E-3</v>
      </c>
      <c r="BE97">
        <v>6.1199999999999996E-3</v>
      </c>
      <c r="BF97">
        <v>6.1199999999999996E-3</v>
      </c>
      <c r="BG97">
        <v>6.1199999999999996E-3</v>
      </c>
      <c r="BH97">
        <v>6.1199999999999996E-3</v>
      </c>
      <c r="BI97">
        <v>6.1199999999999996E-3</v>
      </c>
      <c r="BJ97">
        <v>1.0030000000000001E-2</v>
      </c>
      <c r="BK97">
        <v>1.0030000000000001E-2</v>
      </c>
      <c r="BL97">
        <v>1.0030000000000001E-2</v>
      </c>
      <c r="BM97">
        <v>1.0030000000000001E-2</v>
      </c>
      <c r="BN97">
        <v>1.0030000000000001E-2</v>
      </c>
      <c r="BO97">
        <v>1.6420000000000001E-2</v>
      </c>
      <c r="BP97">
        <v>1.6420000000000001E-2</v>
      </c>
      <c r="BQ97">
        <v>1.6420000000000001E-2</v>
      </c>
      <c r="BR97">
        <v>1.6420000000000001E-2</v>
      </c>
      <c r="BS97">
        <v>1.6420000000000001E-2</v>
      </c>
      <c r="BT97">
        <v>2.869E-2</v>
      </c>
      <c r="BU97">
        <v>2.869E-2</v>
      </c>
      <c r="BV97">
        <v>2.869E-2</v>
      </c>
      <c r="BW97">
        <v>2.869E-2</v>
      </c>
      <c r="BX97">
        <v>2.869E-2</v>
      </c>
      <c r="BY97">
        <v>5.0880000000000002E-2</v>
      </c>
      <c r="BZ97">
        <v>5.0880000000000002E-2</v>
      </c>
      <c r="CA97">
        <v>5.0880000000000002E-2</v>
      </c>
      <c r="CB97">
        <v>5.0880000000000002E-2</v>
      </c>
      <c r="CC97">
        <v>5.0880000000000002E-2</v>
      </c>
      <c r="CD97">
        <v>9.2060000000000003E-2</v>
      </c>
      <c r="CE97">
        <v>9.2060000000000003E-2</v>
      </c>
      <c r="CF97">
        <v>9.2060000000000003E-2</v>
      </c>
      <c r="CG97">
        <v>9.2060000000000003E-2</v>
      </c>
      <c r="CH97">
        <v>9.2060000000000003E-2</v>
      </c>
      <c r="CI97">
        <v>0.15665000000000001</v>
      </c>
      <c r="CJ97">
        <v>0.15665000000000001</v>
      </c>
      <c r="CK97">
        <v>0.15665000000000001</v>
      </c>
      <c r="CL97">
        <v>0.15665000000000001</v>
      </c>
      <c r="CM97">
        <v>0.15665000000000001</v>
      </c>
      <c r="CN97">
        <v>0.25069000000000002</v>
      </c>
      <c r="CO97">
        <v>0.25069000000000002</v>
      </c>
      <c r="CP97">
        <v>0.25069000000000002</v>
      </c>
      <c r="CQ97">
        <v>0.25069000000000002</v>
      </c>
      <c r="CR97">
        <v>0.25069000000000002</v>
      </c>
      <c r="CS97">
        <v>0.37729000000000001</v>
      </c>
      <c r="CT97">
        <v>0.37729000000000001</v>
      </c>
      <c r="CU97">
        <v>0.37729000000000001</v>
      </c>
      <c r="CV97">
        <v>0.37729000000000001</v>
      </c>
      <c r="CW97">
        <v>0.37729000000000001</v>
      </c>
      <c r="CX97">
        <v>1</v>
      </c>
    </row>
    <row r="98" spans="1:102" x14ac:dyDescent="0.25">
      <c r="A98" t="s">
        <v>261</v>
      </c>
      <c r="B98">
        <v>5.9639999999999999E-2</v>
      </c>
      <c r="C98">
        <v>5.5900000000000004E-3</v>
      </c>
      <c r="D98">
        <v>5.5900000000000004E-3</v>
      </c>
      <c r="E98">
        <v>5.5900000000000004E-3</v>
      </c>
      <c r="F98">
        <v>5.5900000000000004E-3</v>
      </c>
      <c r="G98">
        <v>2.5400000000000002E-3</v>
      </c>
      <c r="H98">
        <v>2.5400000000000002E-3</v>
      </c>
      <c r="I98">
        <v>2.5400000000000002E-3</v>
      </c>
      <c r="J98">
        <v>2.5400000000000002E-3</v>
      </c>
      <c r="K98">
        <v>2.5400000000000002E-3</v>
      </c>
      <c r="L98">
        <v>2.33E-3</v>
      </c>
      <c r="M98">
        <v>2.33E-3</v>
      </c>
      <c r="N98">
        <v>2.33E-3</v>
      </c>
      <c r="O98">
        <v>2.33E-3</v>
      </c>
      <c r="P98">
        <v>2.33E-3</v>
      </c>
      <c r="Q98">
        <v>1.7799999999999999E-3</v>
      </c>
      <c r="R98">
        <v>1.7799999999999999E-3</v>
      </c>
      <c r="S98">
        <v>1.7799999999999999E-3</v>
      </c>
      <c r="T98">
        <v>1.7799999999999999E-3</v>
      </c>
      <c r="U98">
        <v>1.7799999999999999E-3</v>
      </c>
      <c r="V98">
        <v>6.1199999999999996E-3</v>
      </c>
      <c r="W98">
        <v>6.1199999999999996E-3</v>
      </c>
      <c r="X98">
        <v>6.1199999999999996E-3</v>
      </c>
      <c r="Y98">
        <v>6.1199999999999996E-3</v>
      </c>
      <c r="Z98">
        <v>6.1199999999999996E-3</v>
      </c>
      <c r="AA98">
        <v>1.5010000000000001E-2</v>
      </c>
      <c r="AB98">
        <v>1.5010000000000001E-2</v>
      </c>
      <c r="AC98">
        <v>1.5010000000000001E-2</v>
      </c>
      <c r="AD98">
        <v>1.5010000000000001E-2</v>
      </c>
      <c r="AE98">
        <v>1.5010000000000001E-2</v>
      </c>
      <c r="AF98">
        <v>2.9170000000000001E-2</v>
      </c>
      <c r="AG98">
        <v>2.9170000000000001E-2</v>
      </c>
      <c r="AH98">
        <v>2.9170000000000001E-2</v>
      </c>
      <c r="AI98">
        <v>2.9170000000000001E-2</v>
      </c>
      <c r="AJ98">
        <v>2.9170000000000001E-2</v>
      </c>
      <c r="AK98">
        <v>3.431E-2</v>
      </c>
      <c r="AL98">
        <v>3.431E-2</v>
      </c>
      <c r="AM98">
        <v>3.431E-2</v>
      </c>
      <c r="AN98">
        <v>3.431E-2</v>
      </c>
      <c r="AO98">
        <v>3.431E-2</v>
      </c>
      <c r="AP98">
        <v>2.9520000000000001E-2</v>
      </c>
      <c r="AQ98">
        <v>2.9520000000000001E-2</v>
      </c>
      <c r="AR98">
        <v>2.9520000000000001E-2</v>
      </c>
      <c r="AS98">
        <v>2.9520000000000001E-2</v>
      </c>
      <c r="AT98">
        <v>2.9520000000000001E-2</v>
      </c>
      <c r="AU98">
        <v>1.9720000000000001E-2</v>
      </c>
      <c r="AV98">
        <v>1.9720000000000001E-2</v>
      </c>
      <c r="AW98">
        <v>1.9720000000000001E-2</v>
      </c>
      <c r="AX98">
        <v>1.9720000000000001E-2</v>
      </c>
      <c r="AY98">
        <v>1.9720000000000001E-2</v>
      </c>
      <c r="AZ98">
        <v>1.635E-2</v>
      </c>
      <c r="BA98">
        <v>1.635E-2</v>
      </c>
      <c r="BB98">
        <v>1.635E-2</v>
      </c>
      <c r="BC98">
        <v>1.635E-2</v>
      </c>
      <c r="BD98">
        <v>1.635E-2</v>
      </c>
      <c r="BE98">
        <v>1.789E-2</v>
      </c>
      <c r="BF98">
        <v>1.789E-2</v>
      </c>
      <c r="BG98">
        <v>1.789E-2</v>
      </c>
      <c r="BH98">
        <v>1.789E-2</v>
      </c>
      <c r="BI98">
        <v>1.789E-2</v>
      </c>
      <c r="BJ98">
        <v>2.1839999999999998E-2</v>
      </c>
      <c r="BK98">
        <v>2.1839999999999998E-2</v>
      </c>
      <c r="BL98">
        <v>2.1839999999999998E-2</v>
      </c>
      <c r="BM98">
        <v>2.1839999999999998E-2</v>
      </c>
      <c r="BN98">
        <v>2.1839999999999998E-2</v>
      </c>
      <c r="BO98">
        <v>3.1949999999999999E-2</v>
      </c>
      <c r="BP98">
        <v>3.1949999999999999E-2</v>
      </c>
      <c r="BQ98">
        <v>3.1949999999999999E-2</v>
      </c>
      <c r="BR98">
        <v>3.1949999999999999E-2</v>
      </c>
      <c r="BS98">
        <v>3.1949999999999999E-2</v>
      </c>
      <c r="BT98">
        <v>5.0169999999999999E-2</v>
      </c>
      <c r="BU98">
        <v>5.0169999999999999E-2</v>
      </c>
      <c r="BV98">
        <v>5.0169999999999999E-2</v>
      </c>
      <c r="BW98">
        <v>5.0169999999999999E-2</v>
      </c>
      <c r="BX98">
        <v>5.0169999999999999E-2</v>
      </c>
      <c r="BY98">
        <v>8.0140000000000003E-2</v>
      </c>
      <c r="BZ98">
        <v>8.0140000000000003E-2</v>
      </c>
      <c r="CA98">
        <v>8.0140000000000003E-2</v>
      </c>
      <c r="CB98">
        <v>8.0140000000000003E-2</v>
      </c>
      <c r="CC98">
        <v>8.0140000000000003E-2</v>
      </c>
      <c r="CD98">
        <v>0.12855</v>
      </c>
      <c r="CE98">
        <v>0.12855</v>
      </c>
      <c r="CF98">
        <v>0.12855</v>
      </c>
      <c r="CG98">
        <v>0.12855</v>
      </c>
      <c r="CH98">
        <v>0.12855</v>
      </c>
      <c r="CI98">
        <v>0.19794</v>
      </c>
      <c r="CJ98">
        <v>0.19794</v>
      </c>
      <c r="CK98">
        <v>0.19794</v>
      </c>
      <c r="CL98">
        <v>0.19794</v>
      </c>
      <c r="CM98">
        <v>0.19794</v>
      </c>
      <c r="CN98">
        <v>0.29277999999999998</v>
      </c>
      <c r="CO98">
        <v>0.29277999999999998</v>
      </c>
      <c r="CP98">
        <v>0.29277999999999998</v>
      </c>
      <c r="CQ98">
        <v>0.29277999999999998</v>
      </c>
      <c r="CR98">
        <v>0.29277999999999998</v>
      </c>
      <c r="CS98">
        <v>0.41558</v>
      </c>
      <c r="CT98">
        <v>0.41558</v>
      </c>
      <c r="CU98">
        <v>0.41558</v>
      </c>
      <c r="CV98">
        <v>0.41558</v>
      </c>
      <c r="CW98">
        <v>0.41558</v>
      </c>
      <c r="CX98">
        <v>1</v>
      </c>
    </row>
    <row r="99" spans="1:102" x14ac:dyDescent="0.25">
      <c r="A99" t="s">
        <v>263</v>
      </c>
      <c r="B99">
        <v>7.7200000000000005E-2</v>
      </c>
      <c r="C99">
        <v>9.3299999999999998E-3</v>
      </c>
      <c r="D99">
        <v>9.3299999999999998E-3</v>
      </c>
      <c r="E99">
        <v>9.3299999999999998E-3</v>
      </c>
      <c r="F99">
        <v>9.3299999999999998E-3</v>
      </c>
      <c r="G99">
        <v>2.5400000000000002E-3</v>
      </c>
      <c r="H99">
        <v>2.5400000000000002E-3</v>
      </c>
      <c r="I99">
        <v>2.5400000000000002E-3</v>
      </c>
      <c r="J99">
        <v>2.5400000000000002E-3</v>
      </c>
      <c r="K99">
        <v>2.5400000000000002E-3</v>
      </c>
      <c r="L99">
        <v>1.82E-3</v>
      </c>
      <c r="M99">
        <v>1.82E-3</v>
      </c>
      <c r="N99">
        <v>1.82E-3</v>
      </c>
      <c r="O99">
        <v>1.82E-3</v>
      </c>
      <c r="P99">
        <v>1.82E-3</v>
      </c>
      <c r="Q99">
        <v>2.5300000000000001E-3</v>
      </c>
      <c r="R99">
        <v>2.5300000000000001E-3</v>
      </c>
      <c r="S99">
        <v>2.5300000000000001E-3</v>
      </c>
      <c r="T99">
        <v>2.5300000000000001E-3</v>
      </c>
      <c r="U99">
        <v>2.5300000000000001E-3</v>
      </c>
      <c r="V99">
        <v>3.7599999999999999E-3</v>
      </c>
      <c r="W99">
        <v>3.7599999999999999E-3</v>
      </c>
      <c r="X99">
        <v>3.7599999999999999E-3</v>
      </c>
      <c r="Y99">
        <v>3.7599999999999999E-3</v>
      </c>
      <c r="Z99">
        <v>3.7599999999999999E-3</v>
      </c>
      <c r="AA99">
        <v>5.2199999999999998E-3</v>
      </c>
      <c r="AB99">
        <v>5.2199999999999998E-3</v>
      </c>
      <c r="AC99">
        <v>5.2199999999999998E-3</v>
      </c>
      <c r="AD99">
        <v>5.2199999999999998E-3</v>
      </c>
      <c r="AE99">
        <v>5.2199999999999998E-3</v>
      </c>
      <c r="AF99">
        <v>7.9900000000000006E-3</v>
      </c>
      <c r="AG99">
        <v>7.9900000000000006E-3</v>
      </c>
      <c r="AH99">
        <v>7.9900000000000006E-3</v>
      </c>
      <c r="AI99">
        <v>7.9900000000000006E-3</v>
      </c>
      <c r="AJ99">
        <v>7.9900000000000006E-3</v>
      </c>
      <c r="AK99">
        <v>9.41E-3</v>
      </c>
      <c r="AL99">
        <v>9.41E-3</v>
      </c>
      <c r="AM99">
        <v>9.41E-3</v>
      </c>
      <c r="AN99">
        <v>9.41E-3</v>
      </c>
      <c r="AO99">
        <v>9.41E-3</v>
      </c>
      <c r="AP99">
        <v>9.7599999999999996E-3</v>
      </c>
      <c r="AQ99">
        <v>9.7599999999999996E-3</v>
      </c>
      <c r="AR99">
        <v>9.7599999999999996E-3</v>
      </c>
      <c r="AS99">
        <v>9.7599999999999996E-3</v>
      </c>
      <c r="AT99">
        <v>9.7599999999999996E-3</v>
      </c>
      <c r="AU99">
        <v>1.0869999999999999E-2</v>
      </c>
      <c r="AV99">
        <v>1.0869999999999999E-2</v>
      </c>
      <c r="AW99">
        <v>1.0869999999999999E-2</v>
      </c>
      <c r="AX99">
        <v>1.0869999999999999E-2</v>
      </c>
      <c r="AY99">
        <v>1.0869999999999999E-2</v>
      </c>
      <c r="AZ99">
        <v>1.367E-2</v>
      </c>
      <c r="BA99">
        <v>1.367E-2</v>
      </c>
      <c r="BB99">
        <v>1.367E-2</v>
      </c>
      <c r="BC99">
        <v>1.367E-2</v>
      </c>
      <c r="BD99">
        <v>1.367E-2</v>
      </c>
      <c r="BE99">
        <v>1.891E-2</v>
      </c>
      <c r="BF99">
        <v>1.891E-2</v>
      </c>
      <c r="BG99">
        <v>1.891E-2</v>
      </c>
      <c r="BH99">
        <v>1.891E-2</v>
      </c>
      <c r="BI99">
        <v>1.891E-2</v>
      </c>
      <c r="BJ99">
        <v>2.5190000000000001E-2</v>
      </c>
      <c r="BK99">
        <v>2.5190000000000001E-2</v>
      </c>
      <c r="BL99">
        <v>2.5190000000000001E-2</v>
      </c>
      <c r="BM99">
        <v>2.5190000000000001E-2</v>
      </c>
      <c r="BN99">
        <v>2.5190000000000001E-2</v>
      </c>
      <c r="BO99">
        <v>3.8460000000000001E-2</v>
      </c>
      <c r="BP99">
        <v>3.8460000000000001E-2</v>
      </c>
      <c r="BQ99">
        <v>3.8460000000000001E-2</v>
      </c>
      <c r="BR99">
        <v>3.8460000000000001E-2</v>
      </c>
      <c r="BS99">
        <v>3.8460000000000001E-2</v>
      </c>
      <c r="BT99">
        <v>6.021E-2</v>
      </c>
      <c r="BU99">
        <v>6.021E-2</v>
      </c>
      <c r="BV99">
        <v>6.021E-2</v>
      </c>
      <c r="BW99">
        <v>6.021E-2</v>
      </c>
      <c r="BX99">
        <v>6.021E-2</v>
      </c>
      <c r="BY99">
        <v>9.2649999999999996E-2</v>
      </c>
      <c r="BZ99">
        <v>9.2649999999999996E-2</v>
      </c>
      <c r="CA99">
        <v>9.2649999999999996E-2</v>
      </c>
      <c r="CB99">
        <v>9.2649999999999996E-2</v>
      </c>
      <c r="CC99">
        <v>9.2649999999999996E-2</v>
      </c>
      <c r="CD99">
        <v>0.14136000000000001</v>
      </c>
      <c r="CE99">
        <v>0.14136000000000001</v>
      </c>
      <c r="CF99">
        <v>0.14136000000000001</v>
      </c>
      <c r="CG99">
        <v>0.14136000000000001</v>
      </c>
      <c r="CH99">
        <v>0.14136000000000001</v>
      </c>
      <c r="CI99">
        <v>0.20948</v>
      </c>
      <c r="CJ99">
        <v>0.20948</v>
      </c>
      <c r="CK99">
        <v>0.20948</v>
      </c>
      <c r="CL99">
        <v>0.20948</v>
      </c>
      <c r="CM99">
        <v>0.20948</v>
      </c>
      <c r="CN99">
        <v>0.30143999999999999</v>
      </c>
      <c r="CO99">
        <v>0.30143999999999999</v>
      </c>
      <c r="CP99">
        <v>0.30143999999999999</v>
      </c>
      <c r="CQ99">
        <v>0.30143999999999999</v>
      </c>
      <c r="CR99">
        <v>0.30143999999999999</v>
      </c>
      <c r="CS99">
        <v>0.42118</v>
      </c>
      <c r="CT99">
        <v>0.42118</v>
      </c>
      <c r="CU99">
        <v>0.42118</v>
      </c>
      <c r="CV99">
        <v>0.42118</v>
      </c>
      <c r="CW99">
        <v>0.42118</v>
      </c>
      <c r="CX99">
        <v>1</v>
      </c>
    </row>
    <row r="100" spans="1:102" x14ac:dyDescent="0.25">
      <c r="A100" t="s">
        <v>265</v>
      </c>
      <c r="B100">
        <v>1.7049999999999999E-2</v>
      </c>
      <c r="C100">
        <v>4.2000000000000002E-4</v>
      </c>
      <c r="D100">
        <v>4.2000000000000002E-4</v>
      </c>
      <c r="E100">
        <v>4.2000000000000002E-4</v>
      </c>
      <c r="F100">
        <v>4.2000000000000002E-4</v>
      </c>
      <c r="G100">
        <v>3.3E-4</v>
      </c>
      <c r="H100">
        <v>3.3E-4</v>
      </c>
      <c r="I100">
        <v>3.3E-4</v>
      </c>
      <c r="J100">
        <v>3.3E-4</v>
      </c>
      <c r="K100">
        <v>3.3E-4</v>
      </c>
      <c r="L100">
        <v>2.9E-4</v>
      </c>
      <c r="M100">
        <v>2.9E-4</v>
      </c>
      <c r="N100">
        <v>2.9E-4</v>
      </c>
      <c r="O100">
        <v>2.9E-4</v>
      </c>
      <c r="P100">
        <v>2.9E-4</v>
      </c>
      <c r="Q100">
        <v>5.0000000000000001E-4</v>
      </c>
      <c r="R100">
        <v>5.0000000000000001E-4</v>
      </c>
      <c r="S100">
        <v>5.0000000000000001E-4</v>
      </c>
      <c r="T100">
        <v>5.0000000000000001E-4</v>
      </c>
      <c r="U100">
        <v>5.0000000000000001E-4</v>
      </c>
      <c r="V100">
        <v>5.9999999999999995E-4</v>
      </c>
      <c r="W100">
        <v>5.9999999999999995E-4</v>
      </c>
      <c r="X100">
        <v>5.9999999999999995E-4</v>
      </c>
      <c r="Y100">
        <v>5.9999999999999995E-4</v>
      </c>
      <c r="Z100">
        <v>5.9999999999999995E-4</v>
      </c>
      <c r="AA100">
        <v>6.8999999999999997E-4</v>
      </c>
      <c r="AB100">
        <v>6.8999999999999997E-4</v>
      </c>
      <c r="AC100">
        <v>6.8999999999999997E-4</v>
      </c>
      <c r="AD100">
        <v>6.8999999999999997E-4</v>
      </c>
      <c r="AE100">
        <v>6.8999999999999997E-4</v>
      </c>
      <c r="AF100">
        <v>9.2000000000000003E-4</v>
      </c>
      <c r="AG100">
        <v>9.2000000000000003E-4</v>
      </c>
      <c r="AH100">
        <v>9.2000000000000003E-4</v>
      </c>
      <c r="AI100">
        <v>9.2000000000000003E-4</v>
      </c>
      <c r="AJ100">
        <v>9.2000000000000003E-4</v>
      </c>
      <c r="AK100">
        <v>1.34E-3</v>
      </c>
      <c r="AL100">
        <v>1.34E-3</v>
      </c>
      <c r="AM100">
        <v>1.34E-3</v>
      </c>
      <c r="AN100">
        <v>1.34E-3</v>
      </c>
      <c r="AO100">
        <v>1.34E-3</v>
      </c>
      <c r="AP100">
        <v>2.0300000000000001E-3</v>
      </c>
      <c r="AQ100">
        <v>2.0300000000000001E-3</v>
      </c>
      <c r="AR100">
        <v>2.0300000000000001E-3</v>
      </c>
      <c r="AS100">
        <v>2.0300000000000001E-3</v>
      </c>
      <c r="AT100">
        <v>2.0300000000000001E-3</v>
      </c>
      <c r="AU100">
        <v>3.13E-3</v>
      </c>
      <c r="AV100">
        <v>3.13E-3</v>
      </c>
      <c r="AW100">
        <v>3.13E-3</v>
      </c>
      <c r="AX100">
        <v>3.13E-3</v>
      </c>
      <c r="AY100">
        <v>3.13E-3</v>
      </c>
      <c r="AZ100">
        <v>4.7800000000000004E-3</v>
      </c>
      <c r="BA100">
        <v>4.7800000000000004E-3</v>
      </c>
      <c r="BB100">
        <v>4.7800000000000004E-3</v>
      </c>
      <c r="BC100">
        <v>4.7800000000000004E-3</v>
      </c>
      <c r="BD100">
        <v>4.7800000000000004E-3</v>
      </c>
      <c r="BE100">
        <v>7.2500000000000004E-3</v>
      </c>
      <c r="BF100">
        <v>7.2500000000000004E-3</v>
      </c>
      <c r="BG100">
        <v>7.2500000000000004E-3</v>
      </c>
      <c r="BH100">
        <v>7.2500000000000004E-3</v>
      </c>
      <c r="BI100">
        <v>7.2500000000000004E-3</v>
      </c>
      <c r="BJ100">
        <v>1.1650000000000001E-2</v>
      </c>
      <c r="BK100">
        <v>1.1650000000000001E-2</v>
      </c>
      <c r="BL100">
        <v>1.1650000000000001E-2</v>
      </c>
      <c r="BM100">
        <v>1.1650000000000001E-2</v>
      </c>
      <c r="BN100">
        <v>1.1650000000000001E-2</v>
      </c>
      <c r="BO100">
        <v>1.9189999999999999E-2</v>
      </c>
      <c r="BP100">
        <v>1.9189999999999999E-2</v>
      </c>
      <c r="BQ100">
        <v>1.9189999999999999E-2</v>
      </c>
      <c r="BR100">
        <v>1.9189999999999999E-2</v>
      </c>
      <c r="BS100">
        <v>1.9189999999999999E-2</v>
      </c>
      <c r="BT100">
        <v>3.3419999999999998E-2</v>
      </c>
      <c r="BU100">
        <v>3.3419999999999998E-2</v>
      </c>
      <c r="BV100">
        <v>3.3419999999999998E-2</v>
      </c>
      <c r="BW100">
        <v>3.3419999999999998E-2</v>
      </c>
      <c r="BX100">
        <v>3.3419999999999998E-2</v>
      </c>
      <c r="BY100">
        <v>5.8650000000000001E-2</v>
      </c>
      <c r="BZ100">
        <v>5.8650000000000001E-2</v>
      </c>
      <c r="CA100">
        <v>5.8650000000000001E-2</v>
      </c>
      <c r="CB100">
        <v>5.8650000000000001E-2</v>
      </c>
      <c r="CC100">
        <v>5.8650000000000001E-2</v>
      </c>
      <c r="CD100">
        <v>0.10298</v>
      </c>
      <c r="CE100">
        <v>0.10298</v>
      </c>
      <c r="CF100">
        <v>0.10298</v>
      </c>
      <c r="CG100">
        <v>0.10298</v>
      </c>
      <c r="CH100">
        <v>0.10298</v>
      </c>
      <c r="CI100">
        <v>0.17061999999999999</v>
      </c>
      <c r="CJ100">
        <v>0.17061999999999999</v>
      </c>
      <c r="CK100">
        <v>0.17061999999999999</v>
      </c>
      <c r="CL100">
        <v>0.17061999999999999</v>
      </c>
      <c r="CM100">
        <v>0.17061999999999999</v>
      </c>
      <c r="CN100">
        <v>0.26669999999999999</v>
      </c>
      <c r="CO100">
        <v>0.26669999999999999</v>
      </c>
      <c r="CP100">
        <v>0.26669999999999999</v>
      </c>
      <c r="CQ100">
        <v>0.26669999999999999</v>
      </c>
      <c r="CR100">
        <v>0.26669999999999999</v>
      </c>
      <c r="CS100">
        <v>0.39334999999999998</v>
      </c>
      <c r="CT100">
        <v>0.39334999999999998</v>
      </c>
      <c r="CU100">
        <v>0.39334999999999998</v>
      </c>
      <c r="CV100">
        <v>0.39334999999999998</v>
      </c>
      <c r="CW100">
        <v>0.39334999999999998</v>
      </c>
      <c r="CX100">
        <v>1</v>
      </c>
    </row>
    <row r="101" spans="1:102" x14ac:dyDescent="0.25">
      <c r="A101" t="s">
        <v>267</v>
      </c>
      <c r="B101">
        <v>4.1399999999999996E-3</v>
      </c>
      <c r="C101">
        <v>2.3000000000000001E-4</v>
      </c>
      <c r="D101">
        <v>2.3000000000000001E-4</v>
      </c>
      <c r="E101">
        <v>2.3000000000000001E-4</v>
      </c>
      <c r="F101">
        <v>2.3000000000000001E-4</v>
      </c>
      <c r="G101">
        <v>1.1E-4</v>
      </c>
      <c r="H101">
        <v>1.1E-4</v>
      </c>
      <c r="I101">
        <v>1.1E-4</v>
      </c>
      <c r="J101">
        <v>1.1E-4</v>
      </c>
      <c r="K101">
        <v>1.1E-4</v>
      </c>
      <c r="L101">
        <v>1.9000000000000001E-4</v>
      </c>
      <c r="M101">
        <v>1.9000000000000001E-4</v>
      </c>
      <c r="N101">
        <v>1.9000000000000001E-4</v>
      </c>
      <c r="O101">
        <v>1.9000000000000001E-4</v>
      </c>
      <c r="P101">
        <v>1.9000000000000001E-4</v>
      </c>
      <c r="Q101">
        <v>3.3E-4</v>
      </c>
      <c r="R101">
        <v>3.3E-4</v>
      </c>
      <c r="S101">
        <v>3.3E-4</v>
      </c>
      <c r="T101">
        <v>3.3E-4</v>
      </c>
      <c r="U101">
        <v>3.3E-4</v>
      </c>
      <c r="V101">
        <v>4.0999999999999999E-4</v>
      </c>
      <c r="W101">
        <v>4.0999999999999999E-4</v>
      </c>
      <c r="X101">
        <v>4.0999999999999999E-4</v>
      </c>
      <c r="Y101">
        <v>4.0999999999999999E-4</v>
      </c>
      <c r="Z101">
        <v>4.0999999999999999E-4</v>
      </c>
      <c r="AA101">
        <v>4.4999999999999999E-4</v>
      </c>
      <c r="AB101">
        <v>4.4999999999999999E-4</v>
      </c>
      <c r="AC101">
        <v>4.4999999999999999E-4</v>
      </c>
      <c r="AD101">
        <v>4.4999999999999999E-4</v>
      </c>
      <c r="AE101">
        <v>4.4999999999999999E-4</v>
      </c>
      <c r="AF101">
        <v>8.7000000000000001E-4</v>
      </c>
      <c r="AG101">
        <v>8.7000000000000001E-4</v>
      </c>
      <c r="AH101">
        <v>8.7000000000000001E-4</v>
      </c>
      <c r="AI101">
        <v>8.7000000000000001E-4</v>
      </c>
      <c r="AJ101">
        <v>8.7000000000000001E-4</v>
      </c>
      <c r="AK101">
        <v>1.2600000000000001E-3</v>
      </c>
      <c r="AL101">
        <v>1.2600000000000001E-3</v>
      </c>
      <c r="AM101">
        <v>1.2600000000000001E-3</v>
      </c>
      <c r="AN101">
        <v>1.2600000000000001E-3</v>
      </c>
      <c r="AO101">
        <v>1.2600000000000001E-3</v>
      </c>
      <c r="AP101">
        <v>2.0999999999999999E-3</v>
      </c>
      <c r="AQ101">
        <v>2.0999999999999999E-3</v>
      </c>
      <c r="AR101">
        <v>2.0999999999999999E-3</v>
      </c>
      <c r="AS101">
        <v>2.0999999999999999E-3</v>
      </c>
      <c r="AT101">
        <v>2.0999999999999999E-3</v>
      </c>
      <c r="AU101">
        <v>3.0100000000000001E-3</v>
      </c>
      <c r="AV101">
        <v>3.0100000000000001E-3</v>
      </c>
      <c r="AW101">
        <v>3.0100000000000001E-3</v>
      </c>
      <c r="AX101">
        <v>3.0100000000000001E-3</v>
      </c>
      <c r="AY101">
        <v>3.0100000000000001E-3</v>
      </c>
      <c r="AZ101">
        <v>4.6499999999999996E-3</v>
      </c>
      <c r="BA101">
        <v>4.6499999999999996E-3</v>
      </c>
      <c r="BB101">
        <v>4.6499999999999996E-3</v>
      </c>
      <c r="BC101">
        <v>4.6499999999999996E-3</v>
      </c>
      <c r="BD101">
        <v>4.6499999999999996E-3</v>
      </c>
      <c r="BE101">
        <v>6.8700000000000002E-3</v>
      </c>
      <c r="BF101">
        <v>6.8700000000000002E-3</v>
      </c>
      <c r="BG101">
        <v>6.8700000000000002E-3</v>
      </c>
      <c r="BH101">
        <v>6.8700000000000002E-3</v>
      </c>
      <c r="BI101">
        <v>6.8700000000000002E-3</v>
      </c>
      <c r="BJ101">
        <v>1.034E-2</v>
      </c>
      <c r="BK101">
        <v>1.034E-2</v>
      </c>
      <c r="BL101">
        <v>1.034E-2</v>
      </c>
      <c r="BM101">
        <v>1.034E-2</v>
      </c>
      <c r="BN101">
        <v>1.034E-2</v>
      </c>
      <c r="BO101">
        <v>1.4250000000000001E-2</v>
      </c>
      <c r="BP101">
        <v>1.4250000000000001E-2</v>
      </c>
      <c r="BQ101">
        <v>1.4250000000000001E-2</v>
      </c>
      <c r="BR101">
        <v>1.4250000000000001E-2</v>
      </c>
      <c r="BS101">
        <v>1.4250000000000001E-2</v>
      </c>
      <c r="BT101">
        <v>2.265E-2</v>
      </c>
      <c r="BU101">
        <v>2.265E-2</v>
      </c>
      <c r="BV101">
        <v>2.265E-2</v>
      </c>
      <c r="BW101">
        <v>2.265E-2</v>
      </c>
      <c r="BX101">
        <v>2.265E-2</v>
      </c>
      <c r="BY101">
        <v>4.1169999999999998E-2</v>
      </c>
      <c r="BZ101">
        <v>4.1169999999999998E-2</v>
      </c>
      <c r="CA101">
        <v>4.1169999999999998E-2</v>
      </c>
      <c r="CB101">
        <v>4.1169999999999998E-2</v>
      </c>
      <c r="CC101">
        <v>4.1169999999999998E-2</v>
      </c>
      <c r="CD101">
        <v>7.7350000000000002E-2</v>
      </c>
      <c r="CE101">
        <v>7.7350000000000002E-2</v>
      </c>
      <c r="CF101">
        <v>7.7350000000000002E-2</v>
      </c>
      <c r="CG101">
        <v>7.7350000000000002E-2</v>
      </c>
      <c r="CH101">
        <v>7.7350000000000002E-2</v>
      </c>
      <c r="CI101">
        <v>0.13643</v>
      </c>
      <c r="CJ101">
        <v>0.13643</v>
      </c>
      <c r="CK101">
        <v>0.13643</v>
      </c>
      <c r="CL101">
        <v>0.13643</v>
      </c>
      <c r="CM101">
        <v>0.13643</v>
      </c>
      <c r="CN101">
        <v>0.22586999999999999</v>
      </c>
      <c r="CO101">
        <v>0.22586999999999999</v>
      </c>
      <c r="CP101">
        <v>0.22586999999999999</v>
      </c>
      <c r="CQ101">
        <v>0.22586999999999999</v>
      </c>
      <c r="CR101">
        <v>0.22586999999999999</v>
      </c>
      <c r="CS101">
        <v>0.35100999999999999</v>
      </c>
      <c r="CT101">
        <v>0.35100999999999999</v>
      </c>
      <c r="CU101">
        <v>0.35100999999999999</v>
      </c>
      <c r="CV101">
        <v>0.35100999999999999</v>
      </c>
      <c r="CW101">
        <v>0.35100999999999999</v>
      </c>
      <c r="CX101">
        <v>1</v>
      </c>
    </row>
    <row r="102" spans="1:102" x14ac:dyDescent="0.25">
      <c r="A102" t="s">
        <v>269</v>
      </c>
      <c r="B102">
        <v>1.07E-3</v>
      </c>
      <c r="C102">
        <v>2.5999999999999998E-4</v>
      </c>
      <c r="D102">
        <v>2.5999999999999998E-4</v>
      </c>
      <c r="E102">
        <v>2.5999999999999998E-4</v>
      </c>
      <c r="F102">
        <v>2.5999999999999998E-4</v>
      </c>
      <c r="G102">
        <v>6.0000000000000002E-5</v>
      </c>
      <c r="H102">
        <v>6.0000000000000002E-5</v>
      </c>
      <c r="I102">
        <v>6.0000000000000002E-5</v>
      </c>
      <c r="J102">
        <v>6.0000000000000002E-5</v>
      </c>
      <c r="K102">
        <v>6.0000000000000002E-5</v>
      </c>
      <c r="L102">
        <v>1.1E-4</v>
      </c>
      <c r="M102">
        <v>1.1E-4</v>
      </c>
      <c r="N102">
        <v>1.1E-4</v>
      </c>
      <c r="O102">
        <v>1.1E-4</v>
      </c>
      <c r="P102">
        <v>1.1E-4</v>
      </c>
      <c r="Q102">
        <v>2.5000000000000001E-4</v>
      </c>
      <c r="R102">
        <v>2.5000000000000001E-4</v>
      </c>
      <c r="S102">
        <v>2.5000000000000001E-4</v>
      </c>
      <c r="T102">
        <v>2.5000000000000001E-4</v>
      </c>
      <c r="U102">
        <v>2.5000000000000001E-4</v>
      </c>
      <c r="V102">
        <v>3.2000000000000003E-4</v>
      </c>
      <c r="W102">
        <v>3.2000000000000003E-4</v>
      </c>
      <c r="X102">
        <v>3.2000000000000003E-4</v>
      </c>
      <c r="Y102">
        <v>3.2000000000000003E-4</v>
      </c>
      <c r="Z102">
        <v>3.2000000000000003E-4</v>
      </c>
      <c r="AA102">
        <v>3.6000000000000002E-4</v>
      </c>
      <c r="AB102">
        <v>3.6000000000000002E-4</v>
      </c>
      <c r="AC102">
        <v>3.6000000000000002E-4</v>
      </c>
      <c r="AD102">
        <v>3.6000000000000002E-4</v>
      </c>
      <c r="AE102">
        <v>3.6000000000000002E-4</v>
      </c>
      <c r="AF102">
        <v>3.1E-4</v>
      </c>
      <c r="AG102">
        <v>3.1E-4</v>
      </c>
      <c r="AH102">
        <v>3.1E-4</v>
      </c>
      <c r="AI102">
        <v>3.1E-4</v>
      </c>
      <c r="AJ102">
        <v>3.1E-4</v>
      </c>
      <c r="AK102">
        <v>6.2E-4</v>
      </c>
      <c r="AL102">
        <v>6.2E-4</v>
      </c>
      <c r="AM102">
        <v>6.2E-4</v>
      </c>
      <c r="AN102">
        <v>6.2E-4</v>
      </c>
      <c r="AO102">
        <v>6.2E-4</v>
      </c>
      <c r="AP102">
        <v>6.4999999999999997E-4</v>
      </c>
      <c r="AQ102">
        <v>6.4999999999999997E-4</v>
      </c>
      <c r="AR102">
        <v>6.4999999999999997E-4</v>
      </c>
      <c r="AS102">
        <v>6.4999999999999997E-4</v>
      </c>
      <c r="AT102">
        <v>6.4999999999999997E-4</v>
      </c>
      <c r="AU102">
        <v>1.66E-3</v>
      </c>
      <c r="AV102">
        <v>1.66E-3</v>
      </c>
      <c r="AW102">
        <v>1.66E-3</v>
      </c>
      <c r="AX102">
        <v>1.66E-3</v>
      </c>
      <c r="AY102">
        <v>1.66E-3</v>
      </c>
      <c r="AZ102">
        <v>3.0699999999999998E-3</v>
      </c>
      <c r="BA102">
        <v>3.0699999999999998E-3</v>
      </c>
      <c r="BB102">
        <v>3.0699999999999998E-3</v>
      </c>
      <c r="BC102">
        <v>3.0699999999999998E-3</v>
      </c>
      <c r="BD102">
        <v>3.0699999999999998E-3</v>
      </c>
      <c r="BE102">
        <v>4.4099999999999999E-3</v>
      </c>
      <c r="BF102">
        <v>4.4099999999999999E-3</v>
      </c>
      <c r="BG102">
        <v>4.4099999999999999E-3</v>
      </c>
      <c r="BH102">
        <v>4.4099999999999999E-3</v>
      </c>
      <c r="BI102">
        <v>4.4099999999999999E-3</v>
      </c>
      <c r="BJ102">
        <v>6.7299999999999999E-3</v>
      </c>
      <c r="BK102">
        <v>6.7299999999999999E-3</v>
      </c>
      <c r="BL102">
        <v>6.7299999999999999E-3</v>
      </c>
      <c r="BM102">
        <v>6.7299999999999999E-3</v>
      </c>
      <c r="BN102">
        <v>6.7299999999999999E-3</v>
      </c>
      <c r="BO102">
        <v>1.01E-2</v>
      </c>
      <c r="BP102">
        <v>1.01E-2</v>
      </c>
      <c r="BQ102">
        <v>1.01E-2</v>
      </c>
      <c r="BR102">
        <v>1.01E-2</v>
      </c>
      <c r="BS102">
        <v>1.01E-2</v>
      </c>
      <c r="BT102">
        <v>1.498E-2</v>
      </c>
      <c r="BU102">
        <v>1.498E-2</v>
      </c>
      <c r="BV102">
        <v>1.498E-2</v>
      </c>
      <c r="BW102">
        <v>1.498E-2</v>
      </c>
      <c r="BX102">
        <v>1.498E-2</v>
      </c>
      <c r="BY102">
        <v>2.9770000000000001E-2</v>
      </c>
      <c r="BZ102">
        <v>2.9770000000000001E-2</v>
      </c>
      <c r="CA102">
        <v>2.9770000000000001E-2</v>
      </c>
      <c r="CB102">
        <v>2.9770000000000001E-2</v>
      </c>
      <c r="CC102">
        <v>2.9770000000000001E-2</v>
      </c>
      <c r="CD102">
        <v>5.2630000000000003E-2</v>
      </c>
      <c r="CE102">
        <v>5.2630000000000003E-2</v>
      </c>
      <c r="CF102">
        <v>5.2630000000000003E-2</v>
      </c>
      <c r="CG102">
        <v>5.2630000000000003E-2</v>
      </c>
      <c r="CH102">
        <v>5.2630000000000003E-2</v>
      </c>
      <c r="CI102">
        <v>9.1359999999999997E-2</v>
      </c>
      <c r="CJ102">
        <v>9.1359999999999997E-2</v>
      </c>
      <c r="CK102">
        <v>9.1359999999999997E-2</v>
      </c>
      <c r="CL102">
        <v>9.1359999999999997E-2</v>
      </c>
      <c r="CM102">
        <v>9.1359999999999997E-2</v>
      </c>
      <c r="CN102">
        <v>0.15568000000000001</v>
      </c>
      <c r="CO102">
        <v>0.15568000000000001</v>
      </c>
      <c r="CP102">
        <v>0.15568000000000001</v>
      </c>
      <c r="CQ102">
        <v>0.15568000000000001</v>
      </c>
      <c r="CR102">
        <v>0.15568000000000001</v>
      </c>
      <c r="CS102">
        <v>0.26045000000000001</v>
      </c>
      <c r="CT102">
        <v>0.26045000000000001</v>
      </c>
      <c r="CU102">
        <v>0.26045000000000001</v>
      </c>
      <c r="CV102">
        <v>0.26045000000000001</v>
      </c>
      <c r="CW102">
        <v>0.26045000000000001</v>
      </c>
      <c r="CX102">
        <v>1</v>
      </c>
    </row>
    <row r="103" spans="1:102" x14ac:dyDescent="0.25">
      <c r="A103" t="s">
        <v>271</v>
      </c>
      <c r="B103">
        <v>9.7912499999999996E-3</v>
      </c>
      <c r="C103">
        <v>3.5649999999999999E-4</v>
      </c>
      <c r="D103">
        <v>3.5649999999999999E-4</v>
      </c>
      <c r="E103">
        <v>3.5649999999999999E-4</v>
      </c>
      <c r="F103">
        <v>3.5649999999999999E-4</v>
      </c>
      <c r="G103">
        <v>1.7899999999999999E-4</v>
      </c>
      <c r="H103">
        <v>1.7899999999999999E-4</v>
      </c>
      <c r="I103">
        <v>1.7899999999999999E-4</v>
      </c>
      <c r="J103">
        <v>1.7899999999999999E-4</v>
      </c>
      <c r="K103">
        <v>1.7899999999999999E-4</v>
      </c>
      <c r="L103">
        <v>1.8075E-4</v>
      </c>
      <c r="M103">
        <v>1.8075E-4</v>
      </c>
      <c r="N103">
        <v>1.8075E-4</v>
      </c>
      <c r="O103">
        <v>1.8075E-4</v>
      </c>
      <c r="P103">
        <v>1.8075E-4</v>
      </c>
      <c r="Q103">
        <v>3.0775000000000003E-4</v>
      </c>
      <c r="R103">
        <v>3.0775000000000003E-4</v>
      </c>
      <c r="S103">
        <v>3.0775000000000003E-4</v>
      </c>
      <c r="T103">
        <v>3.0775000000000003E-4</v>
      </c>
      <c r="U103">
        <v>3.0775000000000003E-4</v>
      </c>
      <c r="V103">
        <v>4.2025E-4</v>
      </c>
      <c r="W103">
        <v>4.2025E-4</v>
      </c>
      <c r="X103">
        <v>4.2025E-4</v>
      </c>
      <c r="Y103">
        <v>4.2025E-4</v>
      </c>
      <c r="Z103">
        <v>4.2025E-4</v>
      </c>
      <c r="AA103">
        <v>5.2674999999999998E-4</v>
      </c>
      <c r="AB103">
        <v>5.2674999999999998E-4</v>
      </c>
      <c r="AC103">
        <v>5.2674999999999998E-4</v>
      </c>
      <c r="AD103">
        <v>5.2674999999999998E-4</v>
      </c>
      <c r="AE103">
        <v>5.2674999999999998E-4</v>
      </c>
      <c r="AF103">
        <v>7.3850000000000001E-4</v>
      </c>
      <c r="AG103">
        <v>7.3850000000000001E-4</v>
      </c>
      <c r="AH103">
        <v>7.3850000000000001E-4</v>
      </c>
      <c r="AI103">
        <v>7.3850000000000001E-4</v>
      </c>
      <c r="AJ103">
        <v>7.3850000000000001E-4</v>
      </c>
      <c r="AK103">
        <v>1.0690000000000001E-3</v>
      </c>
      <c r="AL103">
        <v>1.0690000000000001E-3</v>
      </c>
      <c r="AM103">
        <v>1.0690000000000001E-3</v>
      </c>
      <c r="AN103">
        <v>1.0690000000000001E-3</v>
      </c>
      <c r="AO103">
        <v>1.0690000000000001E-3</v>
      </c>
      <c r="AP103">
        <v>1.622E-3</v>
      </c>
      <c r="AQ103">
        <v>1.622E-3</v>
      </c>
      <c r="AR103">
        <v>1.622E-3</v>
      </c>
      <c r="AS103">
        <v>1.622E-3</v>
      </c>
      <c r="AT103">
        <v>1.622E-3</v>
      </c>
      <c r="AU103">
        <v>2.5685E-3</v>
      </c>
      <c r="AV103">
        <v>2.5685E-3</v>
      </c>
      <c r="AW103">
        <v>2.5685E-3</v>
      </c>
      <c r="AX103">
        <v>2.5685E-3</v>
      </c>
      <c r="AY103">
        <v>2.5685E-3</v>
      </c>
      <c r="AZ103">
        <v>4.117E-3</v>
      </c>
      <c r="BA103">
        <v>4.117E-3</v>
      </c>
      <c r="BB103">
        <v>4.117E-3</v>
      </c>
      <c r="BC103">
        <v>4.117E-3</v>
      </c>
      <c r="BD103">
        <v>4.117E-3</v>
      </c>
      <c r="BE103">
        <v>6.4475000000000001E-3</v>
      </c>
      <c r="BF103">
        <v>6.4475000000000001E-3</v>
      </c>
      <c r="BG103">
        <v>6.4475000000000001E-3</v>
      </c>
      <c r="BH103">
        <v>6.4475000000000001E-3</v>
      </c>
      <c r="BI103">
        <v>6.4475000000000001E-3</v>
      </c>
      <c r="BJ103">
        <v>9.7327500000000001E-3</v>
      </c>
      <c r="BK103">
        <v>9.7327500000000001E-3</v>
      </c>
      <c r="BL103">
        <v>9.7327500000000001E-3</v>
      </c>
      <c r="BM103">
        <v>9.7327500000000001E-3</v>
      </c>
      <c r="BN103">
        <v>9.7327500000000001E-3</v>
      </c>
      <c r="BO103">
        <v>1.5950249999999999E-2</v>
      </c>
      <c r="BP103">
        <v>1.5950249999999999E-2</v>
      </c>
      <c r="BQ103">
        <v>1.5950249999999999E-2</v>
      </c>
      <c r="BR103">
        <v>1.5950249999999999E-2</v>
      </c>
      <c r="BS103">
        <v>1.5950249999999999E-2</v>
      </c>
      <c r="BT103">
        <v>2.6643500000000001E-2</v>
      </c>
      <c r="BU103">
        <v>2.6643500000000001E-2</v>
      </c>
      <c r="BV103">
        <v>2.6643500000000001E-2</v>
      </c>
      <c r="BW103">
        <v>2.6643500000000001E-2</v>
      </c>
      <c r="BX103">
        <v>2.6643500000000001E-2</v>
      </c>
      <c r="BY103">
        <v>4.6877250000000002E-2</v>
      </c>
      <c r="BZ103">
        <v>4.6877250000000002E-2</v>
      </c>
      <c r="CA103">
        <v>4.6877250000000002E-2</v>
      </c>
      <c r="CB103">
        <v>4.6877250000000002E-2</v>
      </c>
      <c r="CC103">
        <v>4.6877250000000002E-2</v>
      </c>
      <c r="CD103">
        <v>8.3014249999999998E-2</v>
      </c>
      <c r="CE103">
        <v>8.3014249999999998E-2</v>
      </c>
      <c r="CF103">
        <v>8.3014249999999998E-2</v>
      </c>
      <c r="CG103">
        <v>8.3014249999999998E-2</v>
      </c>
      <c r="CH103">
        <v>8.3014249999999998E-2</v>
      </c>
      <c r="CI103">
        <v>0.14132575</v>
      </c>
      <c r="CJ103">
        <v>0.14132575</v>
      </c>
      <c r="CK103">
        <v>0.14132575</v>
      </c>
      <c r="CL103">
        <v>0.14132575</v>
      </c>
      <c r="CM103">
        <v>0.14132575</v>
      </c>
      <c r="CN103">
        <v>0.22859225</v>
      </c>
      <c r="CO103">
        <v>0.22859225</v>
      </c>
      <c r="CP103">
        <v>0.22859225</v>
      </c>
      <c r="CQ103">
        <v>0.22859225</v>
      </c>
      <c r="CR103">
        <v>0.22859225</v>
      </c>
      <c r="CS103">
        <v>0.34928749999999997</v>
      </c>
      <c r="CT103">
        <v>0.34928749999999997</v>
      </c>
      <c r="CU103">
        <v>0.34928749999999997</v>
      </c>
      <c r="CV103">
        <v>0.34928749999999997</v>
      </c>
      <c r="CW103">
        <v>0.34928749999999997</v>
      </c>
      <c r="CX103">
        <v>1</v>
      </c>
    </row>
    <row r="104" spans="1:102" x14ac:dyDescent="0.25">
      <c r="A104" t="s">
        <v>273</v>
      </c>
      <c r="B104">
        <v>3.8519999999999999E-2</v>
      </c>
      <c r="C104">
        <v>4.6800000000000001E-3</v>
      </c>
      <c r="D104">
        <v>4.6800000000000001E-3</v>
      </c>
      <c r="E104">
        <v>4.6800000000000001E-3</v>
      </c>
      <c r="F104">
        <v>4.6800000000000001E-3</v>
      </c>
      <c r="G104">
        <v>1.1299999999999999E-3</v>
      </c>
      <c r="H104">
        <v>1.1299999999999999E-3</v>
      </c>
      <c r="I104">
        <v>1.1299999999999999E-3</v>
      </c>
      <c r="J104">
        <v>1.1299999999999999E-3</v>
      </c>
      <c r="K104">
        <v>1.1299999999999999E-3</v>
      </c>
      <c r="L104">
        <v>8.1999999999999998E-4</v>
      </c>
      <c r="M104">
        <v>8.1999999999999998E-4</v>
      </c>
      <c r="N104">
        <v>8.1999999999999998E-4</v>
      </c>
      <c r="O104">
        <v>8.1999999999999998E-4</v>
      </c>
      <c r="P104">
        <v>8.1999999999999998E-4</v>
      </c>
      <c r="Q104">
        <v>1.34E-3</v>
      </c>
      <c r="R104">
        <v>1.34E-3</v>
      </c>
      <c r="S104">
        <v>1.34E-3</v>
      </c>
      <c r="T104">
        <v>1.34E-3</v>
      </c>
      <c r="U104">
        <v>1.34E-3</v>
      </c>
      <c r="V104">
        <v>1.7799999999999999E-3</v>
      </c>
      <c r="W104">
        <v>1.7799999999999999E-3</v>
      </c>
      <c r="X104">
        <v>1.7799999999999999E-3</v>
      </c>
      <c r="Y104">
        <v>1.7799999999999999E-3</v>
      </c>
      <c r="Z104">
        <v>1.7799999999999999E-3</v>
      </c>
      <c r="AA104">
        <v>2.0899999999999998E-3</v>
      </c>
      <c r="AB104">
        <v>2.0899999999999998E-3</v>
      </c>
      <c r="AC104">
        <v>2.0899999999999998E-3</v>
      </c>
      <c r="AD104">
        <v>2.0899999999999998E-3</v>
      </c>
      <c r="AE104">
        <v>2.0899999999999998E-3</v>
      </c>
      <c r="AF104">
        <v>2.5699999999999998E-3</v>
      </c>
      <c r="AG104">
        <v>2.5699999999999998E-3</v>
      </c>
      <c r="AH104">
        <v>2.5699999999999998E-3</v>
      </c>
      <c r="AI104">
        <v>2.5699999999999998E-3</v>
      </c>
      <c r="AJ104">
        <v>2.5699999999999998E-3</v>
      </c>
      <c r="AK104">
        <v>3.3800000000000002E-3</v>
      </c>
      <c r="AL104">
        <v>3.3800000000000002E-3</v>
      </c>
      <c r="AM104">
        <v>3.3800000000000002E-3</v>
      </c>
      <c r="AN104">
        <v>3.3800000000000002E-3</v>
      </c>
      <c r="AO104">
        <v>3.3800000000000002E-3</v>
      </c>
      <c r="AP104">
        <v>4.5700000000000003E-3</v>
      </c>
      <c r="AQ104">
        <v>4.5700000000000003E-3</v>
      </c>
      <c r="AR104">
        <v>4.5700000000000003E-3</v>
      </c>
      <c r="AS104">
        <v>4.5700000000000003E-3</v>
      </c>
      <c r="AT104">
        <v>4.5700000000000003E-3</v>
      </c>
      <c r="AU104">
        <v>6.3200000000000001E-3</v>
      </c>
      <c r="AV104">
        <v>6.3200000000000001E-3</v>
      </c>
      <c r="AW104">
        <v>6.3200000000000001E-3</v>
      </c>
      <c r="AX104">
        <v>6.3200000000000001E-3</v>
      </c>
      <c r="AY104">
        <v>6.3200000000000001E-3</v>
      </c>
      <c r="AZ104">
        <v>9.0100000000000006E-3</v>
      </c>
      <c r="BA104">
        <v>9.0100000000000006E-3</v>
      </c>
      <c r="BB104">
        <v>9.0100000000000006E-3</v>
      </c>
      <c r="BC104">
        <v>9.0100000000000006E-3</v>
      </c>
      <c r="BD104">
        <v>9.0100000000000006E-3</v>
      </c>
      <c r="BE104">
        <v>1.315E-2</v>
      </c>
      <c r="BF104">
        <v>1.315E-2</v>
      </c>
      <c r="BG104">
        <v>1.315E-2</v>
      </c>
      <c r="BH104">
        <v>1.315E-2</v>
      </c>
      <c r="BI104">
        <v>1.315E-2</v>
      </c>
      <c r="BJ104">
        <v>1.9230000000000001E-2</v>
      </c>
      <c r="BK104">
        <v>1.9230000000000001E-2</v>
      </c>
      <c r="BL104">
        <v>1.9230000000000001E-2</v>
      </c>
      <c r="BM104">
        <v>1.9230000000000001E-2</v>
      </c>
      <c r="BN104">
        <v>1.9230000000000001E-2</v>
      </c>
      <c r="BO104">
        <v>3.0429999999999999E-2</v>
      </c>
      <c r="BP104">
        <v>3.0429999999999999E-2</v>
      </c>
      <c r="BQ104">
        <v>3.0429999999999999E-2</v>
      </c>
      <c r="BR104">
        <v>3.0429999999999999E-2</v>
      </c>
      <c r="BS104">
        <v>3.0429999999999999E-2</v>
      </c>
      <c r="BT104">
        <v>4.9799999999999997E-2</v>
      </c>
      <c r="BU104">
        <v>4.9799999999999997E-2</v>
      </c>
      <c r="BV104">
        <v>4.9799999999999997E-2</v>
      </c>
      <c r="BW104">
        <v>4.9799999999999997E-2</v>
      </c>
      <c r="BX104">
        <v>4.9799999999999997E-2</v>
      </c>
      <c r="BY104">
        <v>8.0699999999999994E-2</v>
      </c>
      <c r="BZ104">
        <v>8.0699999999999994E-2</v>
      </c>
      <c r="CA104">
        <v>8.0699999999999994E-2</v>
      </c>
      <c r="CB104">
        <v>8.0699999999999994E-2</v>
      </c>
      <c r="CC104">
        <v>8.0699999999999994E-2</v>
      </c>
      <c r="CD104">
        <v>0.12889</v>
      </c>
      <c r="CE104">
        <v>0.12889</v>
      </c>
      <c r="CF104">
        <v>0.12889</v>
      </c>
      <c r="CG104">
        <v>0.12889</v>
      </c>
      <c r="CH104">
        <v>0.12889</v>
      </c>
      <c r="CI104">
        <v>0.19789999999999999</v>
      </c>
      <c r="CJ104">
        <v>0.19789999999999999</v>
      </c>
      <c r="CK104">
        <v>0.19789999999999999</v>
      </c>
      <c r="CL104">
        <v>0.19789999999999999</v>
      </c>
      <c r="CM104">
        <v>0.19789999999999999</v>
      </c>
      <c r="CN104">
        <v>0.29208000000000001</v>
      </c>
      <c r="CO104">
        <v>0.29208000000000001</v>
      </c>
      <c r="CP104">
        <v>0.29208000000000001</v>
      </c>
      <c r="CQ104">
        <v>0.29208000000000001</v>
      </c>
      <c r="CR104">
        <v>0.29208000000000001</v>
      </c>
      <c r="CS104">
        <v>0.41437000000000002</v>
      </c>
      <c r="CT104">
        <v>0.41437000000000002</v>
      </c>
      <c r="CU104">
        <v>0.41437000000000002</v>
      </c>
      <c r="CV104">
        <v>0.41437000000000002</v>
      </c>
      <c r="CW104">
        <v>0.41437000000000002</v>
      </c>
      <c r="CX104">
        <v>1</v>
      </c>
    </row>
    <row r="105" spans="1:102" x14ac:dyDescent="0.25">
      <c r="A105" t="s">
        <v>275</v>
      </c>
      <c r="B105">
        <v>6.8559999999999996E-2</v>
      </c>
      <c r="C105">
        <v>1.0619999999999999E-2</v>
      </c>
      <c r="D105">
        <v>1.0619999999999999E-2</v>
      </c>
      <c r="E105">
        <v>1.0619999999999999E-2</v>
      </c>
      <c r="F105">
        <v>1.0619999999999999E-2</v>
      </c>
      <c r="G105">
        <v>3.0599999999999998E-3</v>
      </c>
      <c r="H105">
        <v>3.0599999999999998E-3</v>
      </c>
      <c r="I105">
        <v>3.0599999999999998E-3</v>
      </c>
      <c r="J105">
        <v>3.0599999999999998E-3</v>
      </c>
      <c r="K105">
        <v>3.0599999999999998E-3</v>
      </c>
      <c r="L105">
        <v>2.81E-3</v>
      </c>
      <c r="M105">
        <v>2.81E-3</v>
      </c>
      <c r="N105">
        <v>2.81E-3</v>
      </c>
      <c r="O105">
        <v>2.81E-3</v>
      </c>
      <c r="P105">
        <v>2.81E-3</v>
      </c>
      <c r="Q105">
        <v>3.2699999999999999E-3</v>
      </c>
      <c r="R105">
        <v>3.2699999999999999E-3</v>
      </c>
      <c r="S105">
        <v>3.2699999999999999E-3</v>
      </c>
      <c r="T105">
        <v>3.2699999999999999E-3</v>
      </c>
      <c r="U105">
        <v>3.2699999999999999E-3</v>
      </c>
      <c r="V105">
        <v>6.1700000000000001E-3</v>
      </c>
      <c r="W105">
        <v>6.1700000000000001E-3</v>
      </c>
      <c r="X105">
        <v>6.1700000000000001E-3</v>
      </c>
      <c r="Y105">
        <v>6.1700000000000001E-3</v>
      </c>
      <c r="Z105">
        <v>6.1700000000000001E-3</v>
      </c>
      <c r="AA105">
        <v>1.0290000000000001E-2</v>
      </c>
      <c r="AB105">
        <v>1.0290000000000001E-2</v>
      </c>
      <c r="AC105">
        <v>1.0290000000000001E-2</v>
      </c>
      <c r="AD105">
        <v>1.0290000000000001E-2</v>
      </c>
      <c r="AE105">
        <v>1.0290000000000001E-2</v>
      </c>
      <c r="AF105">
        <v>1.5800000000000002E-2</v>
      </c>
      <c r="AG105">
        <v>1.5800000000000002E-2</v>
      </c>
      <c r="AH105">
        <v>1.5800000000000002E-2</v>
      </c>
      <c r="AI105">
        <v>1.5800000000000002E-2</v>
      </c>
      <c r="AJ105">
        <v>1.5800000000000002E-2</v>
      </c>
      <c r="AK105">
        <v>2.0480000000000002E-2</v>
      </c>
      <c r="AL105">
        <v>2.0480000000000002E-2</v>
      </c>
      <c r="AM105">
        <v>2.0480000000000002E-2</v>
      </c>
      <c r="AN105">
        <v>2.0480000000000002E-2</v>
      </c>
      <c r="AO105">
        <v>2.0480000000000002E-2</v>
      </c>
      <c r="AP105">
        <v>1.934E-2</v>
      </c>
      <c r="AQ105">
        <v>1.934E-2</v>
      </c>
      <c r="AR105">
        <v>1.934E-2</v>
      </c>
      <c r="AS105">
        <v>1.934E-2</v>
      </c>
      <c r="AT105">
        <v>1.934E-2</v>
      </c>
      <c r="AU105">
        <v>1.8329999999999999E-2</v>
      </c>
      <c r="AV105">
        <v>1.8329999999999999E-2</v>
      </c>
      <c r="AW105">
        <v>1.8329999999999999E-2</v>
      </c>
      <c r="AX105">
        <v>1.8329999999999999E-2</v>
      </c>
      <c r="AY105">
        <v>1.8329999999999999E-2</v>
      </c>
      <c r="AZ105">
        <v>1.967E-2</v>
      </c>
      <c r="BA105">
        <v>1.967E-2</v>
      </c>
      <c r="BB105">
        <v>1.967E-2</v>
      </c>
      <c r="BC105">
        <v>1.967E-2</v>
      </c>
      <c r="BD105">
        <v>1.967E-2</v>
      </c>
      <c r="BE105">
        <v>2.3630000000000002E-2</v>
      </c>
      <c r="BF105">
        <v>2.3630000000000002E-2</v>
      </c>
      <c r="BG105">
        <v>2.3630000000000002E-2</v>
      </c>
      <c r="BH105">
        <v>2.3630000000000002E-2</v>
      </c>
      <c r="BI105">
        <v>2.3630000000000002E-2</v>
      </c>
      <c r="BJ105">
        <v>2.9219999999999999E-2</v>
      </c>
      <c r="BK105">
        <v>2.9219999999999999E-2</v>
      </c>
      <c r="BL105">
        <v>2.9219999999999999E-2</v>
      </c>
      <c r="BM105">
        <v>2.9219999999999999E-2</v>
      </c>
      <c r="BN105">
        <v>2.9219999999999999E-2</v>
      </c>
      <c r="BO105">
        <v>4.1430000000000002E-2</v>
      </c>
      <c r="BP105">
        <v>4.1430000000000002E-2</v>
      </c>
      <c r="BQ105">
        <v>4.1430000000000002E-2</v>
      </c>
      <c r="BR105">
        <v>4.1430000000000002E-2</v>
      </c>
      <c r="BS105">
        <v>4.1430000000000002E-2</v>
      </c>
      <c r="BT105">
        <v>6.1940000000000002E-2</v>
      </c>
      <c r="BU105">
        <v>6.1940000000000002E-2</v>
      </c>
      <c r="BV105">
        <v>6.1940000000000002E-2</v>
      </c>
      <c r="BW105">
        <v>6.1940000000000002E-2</v>
      </c>
      <c r="BX105">
        <v>6.1940000000000002E-2</v>
      </c>
      <c r="BY105">
        <v>9.2670000000000002E-2</v>
      </c>
      <c r="BZ105">
        <v>9.2670000000000002E-2</v>
      </c>
      <c r="CA105">
        <v>9.2670000000000002E-2</v>
      </c>
      <c r="CB105">
        <v>9.2670000000000002E-2</v>
      </c>
      <c r="CC105">
        <v>9.2670000000000002E-2</v>
      </c>
      <c r="CD105">
        <v>0.14051</v>
      </c>
      <c r="CE105">
        <v>0.14051</v>
      </c>
      <c r="CF105">
        <v>0.14051</v>
      </c>
      <c r="CG105">
        <v>0.14051</v>
      </c>
      <c r="CH105">
        <v>0.14051</v>
      </c>
      <c r="CI105">
        <v>0.20769000000000001</v>
      </c>
      <c r="CJ105">
        <v>0.20769000000000001</v>
      </c>
      <c r="CK105">
        <v>0.20769000000000001</v>
      </c>
      <c r="CL105">
        <v>0.20769000000000001</v>
      </c>
      <c r="CM105">
        <v>0.20769000000000001</v>
      </c>
      <c r="CN105">
        <v>0.29886000000000001</v>
      </c>
      <c r="CO105">
        <v>0.29886000000000001</v>
      </c>
      <c r="CP105">
        <v>0.29886000000000001</v>
      </c>
      <c r="CQ105">
        <v>0.29886000000000001</v>
      </c>
      <c r="CR105">
        <v>0.29886000000000001</v>
      </c>
      <c r="CS105">
        <v>0.41811999999999999</v>
      </c>
      <c r="CT105">
        <v>0.41811999999999999</v>
      </c>
      <c r="CU105">
        <v>0.41811999999999999</v>
      </c>
      <c r="CV105">
        <v>0.41811999999999999</v>
      </c>
      <c r="CW105">
        <v>0.41811999999999999</v>
      </c>
      <c r="CX105">
        <v>1</v>
      </c>
    </row>
    <row r="106" spans="1:102" x14ac:dyDescent="0.25">
      <c r="A106" t="s">
        <v>277</v>
      </c>
      <c r="B106">
        <v>5.0000000000000001E-3</v>
      </c>
      <c r="C106">
        <v>1E-4</v>
      </c>
      <c r="D106">
        <v>1E-4</v>
      </c>
      <c r="E106">
        <v>1E-4</v>
      </c>
      <c r="F106">
        <v>1E-4</v>
      </c>
      <c r="G106">
        <v>2.1000000000000001E-4</v>
      </c>
      <c r="H106">
        <v>2.1000000000000001E-4</v>
      </c>
      <c r="I106">
        <v>2.1000000000000001E-4</v>
      </c>
      <c r="J106">
        <v>2.1000000000000001E-4</v>
      </c>
      <c r="K106">
        <v>2.1000000000000001E-4</v>
      </c>
      <c r="L106">
        <v>2.1000000000000001E-4</v>
      </c>
      <c r="M106">
        <v>2.1000000000000001E-4</v>
      </c>
      <c r="N106">
        <v>2.1000000000000001E-4</v>
      </c>
      <c r="O106">
        <v>2.1000000000000001E-4</v>
      </c>
      <c r="P106">
        <v>2.1000000000000001E-4</v>
      </c>
      <c r="Q106">
        <v>3.6999999999999999E-4</v>
      </c>
      <c r="R106">
        <v>3.6999999999999999E-4</v>
      </c>
      <c r="S106">
        <v>3.6999999999999999E-4</v>
      </c>
      <c r="T106">
        <v>3.6999999999999999E-4</v>
      </c>
      <c r="U106">
        <v>3.6999999999999999E-4</v>
      </c>
      <c r="V106">
        <v>4.4999999999999999E-4</v>
      </c>
      <c r="W106">
        <v>4.4999999999999999E-4</v>
      </c>
      <c r="X106">
        <v>4.4999999999999999E-4</v>
      </c>
      <c r="Y106">
        <v>4.4999999999999999E-4</v>
      </c>
      <c r="Z106">
        <v>4.4999999999999999E-4</v>
      </c>
      <c r="AA106">
        <v>5.0000000000000001E-4</v>
      </c>
      <c r="AB106">
        <v>5.0000000000000001E-4</v>
      </c>
      <c r="AC106">
        <v>5.0000000000000001E-4</v>
      </c>
      <c r="AD106">
        <v>5.0000000000000001E-4</v>
      </c>
      <c r="AE106">
        <v>5.0000000000000001E-4</v>
      </c>
      <c r="AF106">
        <v>6.9999999999999999E-4</v>
      </c>
      <c r="AG106">
        <v>6.9999999999999999E-4</v>
      </c>
      <c r="AH106">
        <v>6.9999999999999999E-4</v>
      </c>
      <c r="AI106">
        <v>6.9999999999999999E-4</v>
      </c>
      <c r="AJ106">
        <v>6.9999999999999999E-4</v>
      </c>
      <c r="AK106">
        <v>1.01E-3</v>
      </c>
      <c r="AL106">
        <v>1.01E-3</v>
      </c>
      <c r="AM106">
        <v>1.01E-3</v>
      </c>
      <c r="AN106">
        <v>1.01E-3</v>
      </c>
      <c r="AO106">
        <v>1.01E-3</v>
      </c>
      <c r="AP106">
        <v>1.67E-3</v>
      </c>
      <c r="AQ106">
        <v>1.67E-3</v>
      </c>
      <c r="AR106">
        <v>1.67E-3</v>
      </c>
      <c r="AS106">
        <v>1.67E-3</v>
      </c>
      <c r="AT106">
        <v>1.67E-3</v>
      </c>
      <c r="AU106">
        <v>2.9099999999999998E-3</v>
      </c>
      <c r="AV106">
        <v>2.9099999999999998E-3</v>
      </c>
      <c r="AW106">
        <v>2.9099999999999998E-3</v>
      </c>
      <c r="AX106">
        <v>2.9099999999999998E-3</v>
      </c>
      <c r="AY106">
        <v>2.9099999999999998E-3</v>
      </c>
      <c r="AZ106">
        <v>4.6600000000000001E-3</v>
      </c>
      <c r="BA106">
        <v>4.6600000000000001E-3</v>
      </c>
      <c r="BB106">
        <v>4.6600000000000001E-3</v>
      </c>
      <c r="BC106">
        <v>4.6600000000000001E-3</v>
      </c>
      <c r="BD106">
        <v>4.6600000000000001E-3</v>
      </c>
      <c r="BE106">
        <v>7.79E-3</v>
      </c>
      <c r="BF106">
        <v>7.79E-3</v>
      </c>
      <c r="BG106">
        <v>7.79E-3</v>
      </c>
      <c r="BH106">
        <v>7.79E-3</v>
      </c>
      <c r="BI106">
        <v>7.79E-3</v>
      </c>
      <c r="BJ106">
        <v>1.2579999999999999E-2</v>
      </c>
      <c r="BK106">
        <v>1.2579999999999999E-2</v>
      </c>
      <c r="BL106">
        <v>1.2579999999999999E-2</v>
      </c>
      <c r="BM106">
        <v>1.2579999999999999E-2</v>
      </c>
      <c r="BN106">
        <v>1.2579999999999999E-2</v>
      </c>
      <c r="BO106">
        <v>2.2749999999999999E-2</v>
      </c>
      <c r="BP106">
        <v>2.2749999999999999E-2</v>
      </c>
      <c r="BQ106">
        <v>2.2749999999999999E-2</v>
      </c>
      <c r="BR106">
        <v>2.2749999999999999E-2</v>
      </c>
      <c r="BS106">
        <v>2.2749999999999999E-2</v>
      </c>
      <c r="BT106">
        <v>3.8159999999999999E-2</v>
      </c>
      <c r="BU106">
        <v>3.8159999999999999E-2</v>
      </c>
      <c r="BV106">
        <v>3.8159999999999999E-2</v>
      </c>
      <c r="BW106">
        <v>3.8159999999999999E-2</v>
      </c>
      <c r="BX106">
        <v>3.8159999999999999E-2</v>
      </c>
      <c r="BY106">
        <v>7.2470000000000007E-2</v>
      </c>
      <c r="BZ106">
        <v>7.2470000000000007E-2</v>
      </c>
      <c r="CA106">
        <v>7.2470000000000007E-2</v>
      </c>
      <c r="CB106">
        <v>7.2470000000000007E-2</v>
      </c>
      <c r="CC106">
        <v>7.2470000000000007E-2</v>
      </c>
      <c r="CD106">
        <v>0.10866000000000001</v>
      </c>
      <c r="CE106">
        <v>0.10866000000000001</v>
      </c>
      <c r="CF106">
        <v>0.10866000000000001</v>
      </c>
      <c r="CG106">
        <v>0.10866000000000001</v>
      </c>
      <c r="CH106">
        <v>0.10866000000000001</v>
      </c>
      <c r="CI106">
        <v>0.16164999999999999</v>
      </c>
      <c r="CJ106">
        <v>0.16164999999999999</v>
      </c>
      <c r="CK106">
        <v>0.16164999999999999</v>
      </c>
      <c r="CL106">
        <v>0.16164999999999999</v>
      </c>
      <c r="CM106">
        <v>0.16164999999999999</v>
      </c>
      <c r="CN106">
        <v>0.23862</v>
      </c>
      <c r="CO106">
        <v>0.23862</v>
      </c>
      <c r="CP106">
        <v>0.23862</v>
      </c>
      <c r="CQ106">
        <v>0.23862</v>
      </c>
      <c r="CR106">
        <v>0.23862</v>
      </c>
      <c r="CS106">
        <v>0.34949999999999998</v>
      </c>
      <c r="CT106">
        <v>0.34949999999999998</v>
      </c>
      <c r="CU106">
        <v>0.34949999999999998</v>
      </c>
      <c r="CV106">
        <v>0.34949999999999998</v>
      </c>
      <c r="CW106">
        <v>0.34949999999999998</v>
      </c>
      <c r="CX106">
        <v>1</v>
      </c>
    </row>
    <row r="107" spans="1:102" x14ac:dyDescent="0.25">
      <c r="A107" t="s">
        <v>279</v>
      </c>
      <c r="B107">
        <v>9.5899999999999996E-3</v>
      </c>
      <c r="C107">
        <v>4.6000000000000001E-4</v>
      </c>
      <c r="D107">
        <v>4.6000000000000001E-4</v>
      </c>
      <c r="E107">
        <v>4.6000000000000001E-4</v>
      </c>
      <c r="F107">
        <v>4.6000000000000001E-4</v>
      </c>
      <c r="G107">
        <v>3.8000000000000002E-4</v>
      </c>
      <c r="H107">
        <v>3.8000000000000002E-4</v>
      </c>
      <c r="I107">
        <v>3.8000000000000002E-4</v>
      </c>
      <c r="J107">
        <v>3.8000000000000002E-4</v>
      </c>
      <c r="K107">
        <v>3.8000000000000002E-4</v>
      </c>
      <c r="L107">
        <v>3.2000000000000003E-4</v>
      </c>
      <c r="M107">
        <v>3.2000000000000003E-4</v>
      </c>
      <c r="N107">
        <v>3.2000000000000003E-4</v>
      </c>
      <c r="O107">
        <v>3.2000000000000003E-4</v>
      </c>
      <c r="P107">
        <v>3.2000000000000003E-4</v>
      </c>
      <c r="Q107">
        <v>2.2000000000000001E-4</v>
      </c>
      <c r="R107">
        <v>2.2000000000000001E-4</v>
      </c>
      <c r="S107">
        <v>2.2000000000000001E-4</v>
      </c>
      <c r="T107">
        <v>2.2000000000000001E-4</v>
      </c>
      <c r="U107">
        <v>2.2000000000000001E-4</v>
      </c>
      <c r="V107">
        <v>4.0000000000000002E-4</v>
      </c>
      <c r="W107">
        <v>4.0000000000000002E-4</v>
      </c>
      <c r="X107">
        <v>4.0000000000000002E-4</v>
      </c>
      <c r="Y107">
        <v>4.0000000000000002E-4</v>
      </c>
      <c r="Z107">
        <v>4.0000000000000002E-4</v>
      </c>
      <c r="AA107">
        <v>2.7999999999999998E-4</v>
      </c>
      <c r="AB107">
        <v>2.7999999999999998E-4</v>
      </c>
      <c r="AC107">
        <v>2.7999999999999998E-4</v>
      </c>
      <c r="AD107">
        <v>2.7999999999999998E-4</v>
      </c>
      <c r="AE107">
        <v>2.7999999999999998E-4</v>
      </c>
      <c r="AF107">
        <v>6.3000000000000003E-4</v>
      </c>
      <c r="AG107">
        <v>6.3000000000000003E-4</v>
      </c>
      <c r="AH107">
        <v>6.3000000000000003E-4</v>
      </c>
      <c r="AI107">
        <v>6.3000000000000003E-4</v>
      </c>
      <c r="AJ107">
        <v>6.3000000000000003E-4</v>
      </c>
      <c r="AK107">
        <v>5.0000000000000001E-4</v>
      </c>
      <c r="AL107">
        <v>5.0000000000000001E-4</v>
      </c>
      <c r="AM107">
        <v>5.0000000000000001E-4</v>
      </c>
      <c r="AN107">
        <v>5.0000000000000001E-4</v>
      </c>
      <c r="AO107">
        <v>5.0000000000000001E-4</v>
      </c>
      <c r="AP107">
        <v>1.2099999999999999E-3</v>
      </c>
      <c r="AQ107">
        <v>1.2099999999999999E-3</v>
      </c>
      <c r="AR107">
        <v>1.2099999999999999E-3</v>
      </c>
      <c r="AS107">
        <v>1.2099999999999999E-3</v>
      </c>
      <c r="AT107">
        <v>1.2099999999999999E-3</v>
      </c>
      <c r="AU107">
        <v>1.8699999999999999E-3</v>
      </c>
      <c r="AV107">
        <v>1.8699999999999999E-3</v>
      </c>
      <c r="AW107">
        <v>1.8699999999999999E-3</v>
      </c>
      <c r="AX107">
        <v>1.8699999999999999E-3</v>
      </c>
      <c r="AY107">
        <v>1.8699999999999999E-3</v>
      </c>
      <c r="AZ107">
        <v>3.8E-3</v>
      </c>
      <c r="BA107">
        <v>3.8E-3</v>
      </c>
      <c r="BB107">
        <v>3.8E-3</v>
      </c>
      <c r="BC107">
        <v>3.8E-3</v>
      </c>
      <c r="BD107">
        <v>3.8E-3</v>
      </c>
      <c r="BE107">
        <v>5.62E-3</v>
      </c>
      <c r="BF107">
        <v>5.62E-3</v>
      </c>
      <c r="BG107">
        <v>5.62E-3</v>
      </c>
      <c r="BH107">
        <v>5.62E-3</v>
      </c>
      <c r="BI107">
        <v>5.62E-3</v>
      </c>
      <c r="BJ107">
        <v>1.1129999999999999E-2</v>
      </c>
      <c r="BK107">
        <v>1.1129999999999999E-2</v>
      </c>
      <c r="BL107">
        <v>1.1129999999999999E-2</v>
      </c>
      <c r="BM107">
        <v>1.1129999999999999E-2</v>
      </c>
      <c r="BN107">
        <v>1.1129999999999999E-2</v>
      </c>
      <c r="BO107">
        <v>2.4080000000000001E-2</v>
      </c>
      <c r="BP107">
        <v>2.4080000000000001E-2</v>
      </c>
      <c r="BQ107">
        <v>2.4080000000000001E-2</v>
      </c>
      <c r="BR107">
        <v>2.4080000000000001E-2</v>
      </c>
      <c r="BS107">
        <v>2.4080000000000001E-2</v>
      </c>
      <c r="BT107">
        <v>4.2799999999999998E-2</v>
      </c>
      <c r="BU107">
        <v>4.2799999999999998E-2</v>
      </c>
      <c r="BV107">
        <v>4.2799999999999998E-2</v>
      </c>
      <c r="BW107">
        <v>4.2799999999999998E-2</v>
      </c>
      <c r="BX107">
        <v>4.2799999999999998E-2</v>
      </c>
      <c r="BY107">
        <v>7.3859999999999995E-2</v>
      </c>
      <c r="BZ107">
        <v>7.3859999999999995E-2</v>
      </c>
      <c r="CA107">
        <v>7.3859999999999995E-2</v>
      </c>
      <c r="CB107">
        <v>7.3859999999999995E-2</v>
      </c>
      <c r="CC107">
        <v>7.3859999999999995E-2</v>
      </c>
      <c r="CD107">
        <v>0.11359</v>
      </c>
      <c r="CE107">
        <v>0.11359</v>
      </c>
      <c r="CF107">
        <v>0.11359</v>
      </c>
      <c r="CG107">
        <v>0.11359</v>
      </c>
      <c r="CH107">
        <v>0.11359</v>
      </c>
      <c r="CI107">
        <v>0.17138999999999999</v>
      </c>
      <c r="CJ107">
        <v>0.17138999999999999</v>
      </c>
      <c r="CK107">
        <v>0.17138999999999999</v>
      </c>
      <c r="CL107">
        <v>0.17138999999999999</v>
      </c>
      <c r="CM107">
        <v>0.17138999999999999</v>
      </c>
      <c r="CN107">
        <v>0.25370999999999999</v>
      </c>
      <c r="CO107">
        <v>0.25370999999999999</v>
      </c>
      <c r="CP107">
        <v>0.25370999999999999</v>
      </c>
      <c r="CQ107">
        <v>0.25370999999999999</v>
      </c>
      <c r="CR107">
        <v>0.25370999999999999</v>
      </c>
      <c r="CS107">
        <v>0.36846000000000001</v>
      </c>
      <c r="CT107">
        <v>0.36846000000000001</v>
      </c>
      <c r="CU107">
        <v>0.36846000000000001</v>
      </c>
      <c r="CV107">
        <v>0.36846000000000001</v>
      </c>
      <c r="CW107">
        <v>0.36846000000000001</v>
      </c>
      <c r="CX107">
        <v>1</v>
      </c>
    </row>
    <row r="108" spans="1:102" x14ac:dyDescent="0.25">
      <c r="A108" t="s">
        <v>281</v>
      </c>
      <c r="B108">
        <v>0.10092</v>
      </c>
      <c r="C108">
        <v>2.6450000000000001E-2</v>
      </c>
      <c r="D108">
        <v>2.6450000000000001E-2</v>
      </c>
      <c r="E108">
        <v>2.6450000000000001E-2</v>
      </c>
      <c r="F108">
        <v>2.6450000000000001E-2</v>
      </c>
      <c r="G108">
        <v>2.8999999999999998E-3</v>
      </c>
      <c r="H108">
        <v>2.8999999999999998E-3</v>
      </c>
      <c r="I108">
        <v>2.8999999999999998E-3</v>
      </c>
      <c r="J108">
        <v>2.8999999999999998E-3</v>
      </c>
      <c r="K108">
        <v>2.8999999999999998E-3</v>
      </c>
      <c r="L108">
        <v>1.23E-3</v>
      </c>
      <c r="M108">
        <v>1.23E-3</v>
      </c>
      <c r="N108">
        <v>1.23E-3</v>
      </c>
      <c r="O108">
        <v>1.23E-3</v>
      </c>
      <c r="P108">
        <v>1.23E-3</v>
      </c>
      <c r="Q108">
        <v>8.9999999999999998E-4</v>
      </c>
      <c r="R108">
        <v>8.9999999999999998E-4</v>
      </c>
      <c r="S108">
        <v>8.9999999999999998E-4</v>
      </c>
      <c r="T108">
        <v>8.9999999999999998E-4</v>
      </c>
      <c r="U108">
        <v>8.9999999999999998E-4</v>
      </c>
      <c r="V108">
        <v>2.15E-3</v>
      </c>
      <c r="W108">
        <v>2.15E-3</v>
      </c>
      <c r="X108">
        <v>2.15E-3</v>
      </c>
      <c r="Y108">
        <v>2.15E-3</v>
      </c>
      <c r="Z108">
        <v>2.15E-3</v>
      </c>
      <c r="AA108">
        <v>3.1099999999999999E-3</v>
      </c>
      <c r="AB108">
        <v>3.1099999999999999E-3</v>
      </c>
      <c r="AC108">
        <v>3.1099999999999999E-3</v>
      </c>
      <c r="AD108">
        <v>3.1099999999999999E-3</v>
      </c>
      <c r="AE108">
        <v>3.1099999999999999E-3</v>
      </c>
      <c r="AF108">
        <v>4.0299999999999997E-3</v>
      </c>
      <c r="AG108">
        <v>4.0299999999999997E-3</v>
      </c>
      <c r="AH108">
        <v>4.0299999999999997E-3</v>
      </c>
      <c r="AI108">
        <v>4.0299999999999997E-3</v>
      </c>
      <c r="AJ108">
        <v>4.0299999999999997E-3</v>
      </c>
      <c r="AK108">
        <v>4.5100000000000001E-3</v>
      </c>
      <c r="AL108">
        <v>4.5100000000000001E-3</v>
      </c>
      <c r="AM108">
        <v>4.5100000000000001E-3</v>
      </c>
      <c r="AN108">
        <v>4.5100000000000001E-3</v>
      </c>
      <c r="AO108">
        <v>4.5100000000000001E-3</v>
      </c>
      <c r="AP108">
        <v>4.8300000000000001E-3</v>
      </c>
      <c r="AQ108">
        <v>4.8300000000000001E-3</v>
      </c>
      <c r="AR108">
        <v>4.8300000000000001E-3</v>
      </c>
      <c r="AS108">
        <v>4.8300000000000001E-3</v>
      </c>
      <c r="AT108">
        <v>4.8300000000000001E-3</v>
      </c>
      <c r="AU108">
        <v>6.0499999999999998E-3</v>
      </c>
      <c r="AV108">
        <v>6.0499999999999998E-3</v>
      </c>
      <c r="AW108">
        <v>6.0499999999999998E-3</v>
      </c>
      <c r="AX108">
        <v>6.0499999999999998E-3</v>
      </c>
      <c r="AY108">
        <v>6.0499999999999998E-3</v>
      </c>
      <c r="AZ108">
        <v>8.9499999999999996E-3</v>
      </c>
      <c r="BA108">
        <v>8.9499999999999996E-3</v>
      </c>
      <c r="BB108">
        <v>8.9499999999999996E-3</v>
      </c>
      <c r="BC108">
        <v>8.9499999999999996E-3</v>
      </c>
      <c r="BD108">
        <v>8.9499999999999996E-3</v>
      </c>
      <c r="BE108">
        <v>1.468E-2</v>
      </c>
      <c r="BF108">
        <v>1.468E-2</v>
      </c>
      <c r="BG108">
        <v>1.468E-2</v>
      </c>
      <c r="BH108">
        <v>1.468E-2</v>
      </c>
      <c r="BI108">
        <v>1.468E-2</v>
      </c>
      <c r="BJ108">
        <v>2.102E-2</v>
      </c>
      <c r="BK108">
        <v>2.102E-2</v>
      </c>
      <c r="BL108">
        <v>2.102E-2</v>
      </c>
      <c r="BM108">
        <v>2.102E-2</v>
      </c>
      <c r="BN108">
        <v>2.102E-2</v>
      </c>
      <c r="BO108">
        <v>3.6220000000000002E-2</v>
      </c>
      <c r="BP108">
        <v>3.6220000000000002E-2</v>
      </c>
      <c r="BQ108">
        <v>3.6220000000000002E-2</v>
      </c>
      <c r="BR108">
        <v>3.6220000000000002E-2</v>
      </c>
      <c r="BS108">
        <v>3.6220000000000002E-2</v>
      </c>
      <c r="BT108">
        <v>6.0409999999999998E-2</v>
      </c>
      <c r="BU108">
        <v>6.0409999999999998E-2</v>
      </c>
      <c r="BV108">
        <v>6.0409999999999998E-2</v>
      </c>
      <c r="BW108">
        <v>6.0409999999999998E-2</v>
      </c>
      <c r="BX108">
        <v>6.0409999999999998E-2</v>
      </c>
      <c r="BY108">
        <v>9.7040000000000001E-2</v>
      </c>
      <c r="BZ108">
        <v>9.7040000000000001E-2</v>
      </c>
      <c r="CA108">
        <v>9.7040000000000001E-2</v>
      </c>
      <c r="CB108">
        <v>9.7040000000000001E-2</v>
      </c>
      <c r="CC108">
        <v>9.7040000000000001E-2</v>
      </c>
      <c r="CD108">
        <v>0.14762</v>
      </c>
      <c r="CE108">
        <v>0.14762</v>
      </c>
      <c r="CF108">
        <v>0.14762</v>
      </c>
      <c r="CG108">
        <v>0.14762</v>
      </c>
      <c r="CH108">
        <v>0.14762</v>
      </c>
      <c r="CI108">
        <v>0.21782000000000001</v>
      </c>
      <c r="CJ108">
        <v>0.21782000000000001</v>
      </c>
      <c r="CK108">
        <v>0.21782000000000001</v>
      </c>
      <c r="CL108">
        <v>0.21782000000000001</v>
      </c>
      <c r="CM108">
        <v>0.21782000000000001</v>
      </c>
      <c r="CN108">
        <v>0.31159999999999999</v>
      </c>
      <c r="CO108">
        <v>0.31159999999999999</v>
      </c>
      <c r="CP108">
        <v>0.31159999999999999</v>
      </c>
      <c r="CQ108">
        <v>0.31159999999999999</v>
      </c>
      <c r="CR108">
        <v>0.31159999999999999</v>
      </c>
      <c r="CS108">
        <v>0.43209999999999998</v>
      </c>
      <c r="CT108">
        <v>0.43209999999999998</v>
      </c>
      <c r="CU108">
        <v>0.43209999999999998</v>
      </c>
      <c r="CV108">
        <v>0.43209999999999998</v>
      </c>
      <c r="CW108">
        <v>0.43209999999999998</v>
      </c>
      <c r="CX108">
        <v>1</v>
      </c>
    </row>
    <row r="109" spans="1:102" x14ac:dyDescent="0.25">
      <c r="A109" t="s">
        <v>283</v>
      </c>
      <c r="B109">
        <v>6.13E-3</v>
      </c>
      <c r="C109">
        <v>1.8000000000000001E-4</v>
      </c>
      <c r="D109">
        <v>1.8000000000000001E-4</v>
      </c>
      <c r="E109">
        <v>1.8000000000000001E-4</v>
      </c>
      <c r="F109">
        <v>1.8000000000000001E-4</v>
      </c>
      <c r="G109">
        <v>6.0000000000000002E-5</v>
      </c>
      <c r="H109">
        <v>6.0000000000000002E-5</v>
      </c>
      <c r="I109">
        <v>6.0000000000000002E-5</v>
      </c>
      <c r="J109">
        <v>6.0000000000000002E-5</v>
      </c>
      <c r="K109">
        <v>6.0000000000000002E-5</v>
      </c>
      <c r="L109">
        <v>1.6000000000000001E-4</v>
      </c>
      <c r="M109">
        <v>1.6000000000000001E-4</v>
      </c>
      <c r="N109">
        <v>1.6000000000000001E-4</v>
      </c>
      <c r="O109">
        <v>1.6000000000000001E-4</v>
      </c>
      <c r="P109">
        <v>1.6000000000000001E-4</v>
      </c>
      <c r="Q109">
        <v>9.0000000000000006E-5</v>
      </c>
      <c r="R109">
        <v>9.0000000000000006E-5</v>
      </c>
      <c r="S109">
        <v>9.0000000000000006E-5</v>
      </c>
      <c r="T109">
        <v>9.0000000000000006E-5</v>
      </c>
      <c r="U109">
        <v>9.0000000000000006E-5</v>
      </c>
      <c r="V109">
        <v>1.1E-4</v>
      </c>
      <c r="W109">
        <v>1.1E-4</v>
      </c>
      <c r="X109">
        <v>1.1E-4</v>
      </c>
      <c r="Y109">
        <v>1.1E-4</v>
      </c>
      <c r="Z109">
        <v>1.1E-4</v>
      </c>
      <c r="AA109">
        <v>1.4999999999999999E-4</v>
      </c>
      <c r="AB109">
        <v>1.4999999999999999E-4</v>
      </c>
      <c r="AC109">
        <v>1.4999999999999999E-4</v>
      </c>
      <c r="AD109">
        <v>1.4999999999999999E-4</v>
      </c>
      <c r="AE109">
        <v>1.4999999999999999E-4</v>
      </c>
      <c r="AF109">
        <v>2.7999999999999998E-4</v>
      </c>
      <c r="AG109">
        <v>2.7999999999999998E-4</v>
      </c>
      <c r="AH109">
        <v>2.7999999999999998E-4</v>
      </c>
      <c r="AI109">
        <v>2.7999999999999998E-4</v>
      </c>
      <c r="AJ109">
        <v>2.7999999999999998E-4</v>
      </c>
      <c r="AK109">
        <v>4.8999999999999998E-4</v>
      </c>
      <c r="AL109">
        <v>4.8999999999999998E-4</v>
      </c>
      <c r="AM109">
        <v>4.8999999999999998E-4</v>
      </c>
      <c r="AN109">
        <v>4.8999999999999998E-4</v>
      </c>
      <c r="AO109">
        <v>4.8999999999999998E-4</v>
      </c>
      <c r="AP109">
        <v>7.1000000000000002E-4</v>
      </c>
      <c r="AQ109">
        <v>7.1000000000000002E-4</v>
      </c>
      <c r="AR109">
        <v>7.1000000000000002E-4</v>
      </c>
      <c r="AS109">
        <v>7.1000000000000002E-4</v>
      </c>
      <c r="AT109">
        <v>7.1000000000000002E-4</v>
      </c>
      <c r="AU109">
        <v>1.4599999999999999E-3</v>
      </c>
      <c r="AV109">
        <v>1.4599999999999999E-3</v>
      </c>
      <c r="AW109">
        <v>1.4599999999999999E-3</v>
      </c>
      <c r="AX109">
        <v>1.4599999999999999E-3</v>
      </c>
      <c r="AY109">
        <v>1.4599999999999999E-3</v>
      </c>
      <c r="AZ109">
        <v>1.8500000000000001E-3</v>
      </c>
      <c r="BA109">
        <v>1.8500000000000001E-3</v>
      </c>
      <c r="BB109">
        <v>1.8500000000000001E-3</v>
      </c>
      <c r="BC109">
        <v>1.8500000000000001E-3</v>
      </c>
      <c r="BD109">
        <v>1.8500000000000001E-3</v>
      </c>
      <c r="BE109">
        <v>3.7799999999999999E-3</v>
      </c>
      <c r="BF109">
        <v>3.7799999999999999E-3</v>
      </c>
      <c r="BG109">
        <v>3.7799999999999999E-3</v>
      </c>
      <c r="BH109">
        <v>3.7799999999999999E-3</v>
      </c>
      <c r="BI109">
        <v>3.7799999999999999E-3</v>
      </c>
      <c r="BJ109">
        <v>5.4999999999999997E-3</v>
      </c>
      <c r="BK109">
        <v>5.4999999999999997E-3</v>
      </c>
      <c r="BL109">
        <v>5.4999999999999997E-3</v>
      </c>
      <c r="BM109">
        <v>5.4999999999999997E-3</v>
      </c>
      <c r="BN109">
        <v>5.4999999999999997E-3</v>
      </c>
      <c r="BO109">
        <v>9.5200000000000007E-3</v>
      </c>
      <c r="BP109">
        <v>9.5200000000000007E-3</v>
      </c>
      <c r="BQ109">
        <v>9.5200000000000007E-3</v>
      </c>
      <c r="BR109">
        <v>9.5200000000000007E-3</v>
      </c>
      <c r="BS109">
        <v>9.5200000000000007E-3</v>
      </c>
      <c r="BT109">
        <v>1.7749999999999998E-2</v>
      </c>
      <c r="BU109">
        <v>1.7749999999999998E-2</v>
      </c>
      <c r="BV109">
        <v>1.7749999999999998E-2</v>
      </c>
      <c r="BW109">
        <v>1.7749999999999998E-2</v>
      </c>
      <c r="BX109">
        <v>1.7749999999999998E-2</v>
      </c>
      <c r="BY109">
        <v>3.2070000000000001E-2</v>
      </c>
      <c r="BZ109">
        <v>3.2070000000000001E-2</v>
      </c>
      <c r="CA109">
        <v>3.2070000000000001E-2</v>
      </c>
      <c r="CB109">
        <v>3.2070000000000001E-2</v>
      </c>
      <c r="CC109">
        <v>3.2070000000000001E-2</v>
      </c>
      <c r="CD109">
        <v>6.4649999999999999E-2</v>
      </c>
      <c r="CE109">
        <v>6.4649999999999999E-2</v>
      </c>
      <c r="CF109">
        <v>6.4649999999999999E-2</v>
      </c>
      <c r="CG109">
        <v>6.4649999999999999E-2</v>
      </c>
      <c r="CH109">
        <v>6.4649999999999999E-2</v>
      </c>
      <c r="CI109">
        <v>0.12083000000000001</v>
      </c>
      <c r="CJ109">
        <v>0.12083000000000001</v>
      </c>
      <c r="CK109">
        <v>0.12083000000000001</v>
      </c>
      <c r="CL109">
        <v>0.12083000000000001</v>
      </c>
      <c r="CM109">
        <v>0.12083000000000001</v>
      </c>
      <c r="CN109">
        <v>0.20938999999999999</v>
      </c>
      <c r="CO109">
        <v>0.20938999999999999</v>
      </c>
      <c r="CP109">
        <v>0.20938999999999999</v>
      </c>
      <c r="CQ109">
        <v>0.20938999999999999</v>
      </c>
      <c r="CR109">
        <v>0.20938999999999999</v>
      </c>
      <c r="CS109">
        <v>0.33639999999999998</v>
      </c>
      <c r="CT109">
        <v>0.33639999999999998</v>
      </c>
      <c r="CU109">
        <v>0.33639999999999998</v>
      </c>
      <c r="CV109">
        <v>0.33639999999999998</v>
      </c>
      <c r="CW109">
        <v>0.33639999999999998</v>
      </c>
      <c r="CX109">
        <v>1</v>
      </c>
    </row>
    <row r="110" spans="1:102" x14ac:dyDescent="0.25">
      <c r="A110" t="s">
        <v>285</v>
      </c>
      <c r="B110">
        <v>2.0693684E-2</v>
      </c>
      <c r="C110">
        <v>1.3699999999999999E-3</v>
      </c>
      <c r="D110">
        <v>1.3699999999999999E-3</v>
      </c>
      <c r="E110">
        <v>1.3699999999999999E-3</v>
      </c>
      <c r="F110">
        <v>1.3699999999999999E-3</v>
      </c>
      <c r="G110">
        <v>5.1000000000000004E-4</v>
      </c>
      <c r="H110">
        <v>5.1000000000000004E-4</v>
      </c>
      <c r="I110">
        <v>5.1000000000000004E-4</v>
      </c>
      <c r="J110">
        <v>5.1000000000000004E-4</v>
      </c>
      <c r="K110">
        <v>5.1000000000000004E-4</v>
      </c>
      <c r="L110">
        <v>5.9315799999999999E-4</v>
      </c>
      <c r="M110">
        <v>5.9315799999999999E-4</v>
      </c>
      <c r="N110">
        <v>5.9315799999999999E-4</v>
      </c>
      <c r="O110">
        <v>5.9315799999999999E-4</v>
      </c>
      <c r="P110">
        <v>5.9315799999999999E-4</v>
      </c>
      <c r="Q110">
        <v>9.81579E-4</v>
      </c>
      <c r="R110">
        <v>9.81579E-4</v>
      </c>
      <c r="S110">
        <v>9.81579E-4</v>
      </c>
      <c r="T110">
        <v>9.81579E-4</v>
      </c>
      <c r="U110">
        <v>9.81579E-4</v>
      </c>
      <c r="V110">
        <v>8.9421100000000001E-4</v>
      </c>
      <c r="W110">
        <v>8.9421100000000001E-4</v>
      </c>
      <c r="X110">
        <v>8.9421100000000001E-4</v>
      </c>
      <c r="Y110">
        <v>8.9421100000000001E-4</v>
      </c>
      <c r="Z110">
        <v>8.9421100000000001E-4</v>
      </c>
      <c r="AA110">
        <v>1.1073680000000001E-3</v>
      </c>
      <c r="AB110">
        <v>1.1073680000000001E-3</v>
      </c>
      <c r="AC110">
        <v>1.1073680000000001E-3</v>
      </c>
      <c r="AD110">
        <v>1.1073680000000001E-3</v>
      </c>
      <c r="AE110">
        <v>1.1073680000000001E-3</v>
      </c>
      <c r="AF110">
        <v>1.6073680000000001E-3</v>
      </c>
      <c r="AG110">
        <v>1.6073680000000001E-3</v>
      </c>
      <c r="AH110">
        <v>1.6073680000000001E-3</v>
      </c>
      <c r="AI110">
        <v>1.6073680000000001E-3</v>
      </c>
      <c r="AJ110">
        <v>1.6073680000000001E-3</v>
      </c>
      <c r="AK110">
        <v>1.9905259999999998E-3</v>
      </c>
      <c r="AL110">
        <v>1.9905259999999998E-3</v>
      </c>
      <c r="AM110">
        <v>1.9905259999999998E-3</v>
      </c>
      <c r="AN110">
        <v>1.9905259999999998E-3</v>
      </c>
      <c r="AO110">
        <v>1.9905259999999998E-3</v>
      </c>
      <c r="AP110">
        <v>3.283158E-3</v>
      </c>
      <c r="AQ110">
        <v>3.283158E-3</v>
      </c>
      <c r="AR110">
        <v>3.283158E-3</v>
      </c>
      <c r="AS110">
        <v>3.283158E-3</v>
      </c>
      <c r="AT110">
        <v>3.283158E-3</v>
      </c>
      <c r="AU110">
        <v>4.5542109999999998E-3</v>
      </c>
      <c r="AV110">
        <v>4.5542109999999998E-3</v>
      </c>
      <c r="AW110">
        <v>4.5542109999999998E-3</v>
      </c>
      <c r="AX110">
        <v>4.5542109999999998E-3</v>
      </c>
      <c r="AY110">
        <v>4.5542109999999998E-3</v>
      </c>
      <c r="AZ110">
        <v>6.844737E-3</v>
      </c>
      <c r="BA110">
        <v>6.844737E-3</v>
      </c>
      <c r="BB110">
        <v>6.844737E-3</v>
      </c>
      <c r="BC110">
        <v>6.844737E-3</v>
      </c>
      <c r="BD110">
        <v>6.844737E-3</v>
      </c>
      <c r="BE110">
        <v>1.0072105E-2</v>
      </c>
      <c r="BF110">
        <v>1.0072105E-2</v>
      </c>
      <c r="BG110">
        <v>1.0072105E-2</v>
      </c>
      <c r="BH110">
        <v>1.0072105E-2</v>
      </c>
      <c r="BI110">
        <v>1.0072105E-2</v>
      </c>
      <c r="BJ110">
        <v>1.6034211E-2</v>
      </c>
      <c r="BK110">
        <v>1.6034211E-2</v>
      </c>
      <c r="BL110">
        <v>1.6034211E-2</v>
      </c>
      <c r="BM110">
        <v>1.6034211E-2</v>
      </c>
      <c r="BN110">
        <v>1.6034211E-2</v>
      </c>
      <c r="BO110">
        <v>2.4366315999999999E-2</v>
      </c>
      <c r="BP110">
        <v>2.4366315999999999E-2</v>
      </c>
      <c r="BQ110">
        <v>2.4366315999999999E-2</v>
      </c>
      <c r="BR110">
        <v>2.4366315999999999E-2</v>
      </c>
      <c r="BS110">
        <v>2.4366315999999999E-2</v>
      </c>
      <c r="BT110">
        <v>3.6406842000000002E-2</v>
      </c>
      <c r="BU110">
        <v>3.6406842000000002E-2</v>
      </c>
      <c r="BV110">
        <v>3.6406842000000002E-2</v>
      </c>
      <c r="BW110">
        <v>3.6406842000000002E-2</v>
      </c>
      <c r="BX110">
        <v>3.6406842000000002E-2</v>
      </c>
      <c r="BY110">
        <v>6.3028421000000001E-2</v>
      </c>
      <c r="BZ110">
        <v>6.3028421000000001E-2</v>
      </c>
      <c r="CA110">
        <v>6.3028421000000001E-2</v>
      </c>
      <c r="CB110">
        <v>6.3028421000000001E-2</v>
      </c>
      <c r="CC110">
        <v>6.3028421000000001E-2</v>
      </c>
      <c r="CD110">
        <v>9.6411578999999997E-2</v>
      </c>
      <c r="CE110">
        <v>9.6411578999999997E-2</v>
      </c>
      <c r="CF110">
        <v>9.6411578999999997E-2</v>
      </c>
      <c r="CG110">
        <v>9.6411578999999997E-2</v>
      </c>
      <c r="CH110">
        <v>9.6411578999999997E-2</v>
      </c>
      <c r="CI110">
        <v>0.148308947</v>
      </c>
      <c r="CJ110">
        <v>0.148308947</v>
      </c>
      <c r="CK110">
        <v>0.148308947</v>
      </c>
      <c r="CL110">
        <v>0.148308947</v>
      </c>
      <c r="CM110">
        <v>0.148308947</v>
      </c>
      <c r="CN110">
        <v>0.225275789</v>
      </c>
      <c r="CO110">
        <v>0.225275789</v>
      </c>
      <c r="CP110">
        <v>0.225275789</v>
      </c>
      <c r="CQ110">
        <v>0.225275789</v>
      </c>
      <c r="CR110">
        <v>0.225275789</v>
      </c>
      <c r="CS110">
        <v>0.33575105300000002</v>
      </c>
      <c r="CT110">
        <v>0.33575105300000002</v>
      </c>
      <c r="CU110">
        <v>0.33575105300000002</v>
      </c>
      <c r="CV110">
        <v>0.33575105300000002</v>
      </c>
      <c r="CW110">
        <v>0.33575105300000002</v>
      </c>
      <c r="CX110">
        <v>1</v>
      </c>
    </row>
    <row r="111" spans="1:102" x14ac:dyDescent="0.25">
      <c r="A111" t="s">
        <v>287</v>
      </c>
      <c r="B111">
        <v>7.2300000000000003E-2</v>
      </c>
      <c r="C111">
        <v>1.155E-2</v>
      </c>
      <c r="D111">
        <v>1.155E-2</v>
      </c>
      <c r="E111">
        <v>1.155E-2</v>
      </c>
      <c r="F111">
        <v>1.155E-2</v>
      </c>
      <c r="G111">
        <v>2.2899999999999999E-3</v>
      </c>
      <c r="H111">
        <v>2.2899999999999999E-3</v>
      </c>
      <c r="I111">
        <v>2.2899999999999999E-3</v>
      </c>
      <c r="J111">
        <v>2.2899999999999999E-3</v>
      </c>
      <c r="K111">
        <v>2.2899999999999999E-3</v>
      </c>
      <c r="L111">
        <v>1.42E-3</v>
      </c>
      <c r="M111">
        <v>1.42E-3</v>
      </c>
      <c r="N111">
        <v>1.42E-3</v>
      </c>
      <c r="O111">
        <v>1.42E-3</v>
      </c>
      <c r="P111">
        <v>1.42E-3</v>
      </c>
      <c r="Q111">
        <v>2.1299999999999999E-3</v>
      </c>
      <c r="R111">
        <v>2.1299999999999999E-3</v>
      </c>
      <c r="S111">
        <v>2.1299999999999999E-3</v>
      </c>
      <c r="T111">
        <v>2.1299999999999999E-3</v>
      </c>
      <c r="U111">
        <v>2.1299999999999999E-3</v>
      </c>
      <c r="V111">
        <v>3.0699999999999998E-3</v>
      </c>
      <c r="W111">
        <v>3.0699999999999998E-3</v>
      </c>
      <c r="X111">
        <v>3.0699999999999998E-3</v>
      </c>
      <c r="Y111">
        <v>3.0699999999999998E-3</v>
      </c>
      <c r="Z111">
        <v>3.0699999999999998E-3</v>
      </c>
      <c r="AA111">
        <v>3.65E-3</v>
      </c>
      <c r="AB111">
        <v>3.65E-3</v>
      </c>
      <c r="AC111">
        <v>3.65E-3</v>
      </c>
      <c r="AD111">
        <v>3.65E-3</v>
      </c>
      <c r="AE111">
        <v>3.65E-3</v>
      </c>
      <c r="AF111">
        <v>4.2399999999999998E-3</v>
      </c>
      <c r="AG111">
        <v>4.2399999999999998E-3</v>
      </c>
      <c r="AH111">
        <v>4.2399999999999998E-3</v>
      </c>
      <c r="AI111">
        <v>4.2399999999999998E-3</v>
      </c>
      <c r="AJ111">
        <v>4.2399999999999998E-3</v>
      </c>
      <c r="AK111">
        <v>5.1500000000000001E-3</v>
      </c>
      <c r="AL111">
        <v>5.1500000000000001E-3</v>
      </c>
      <c r="AM111">
        <v>5.1500000000000001E-3</v>
      </c>
      <c r="AN111">
        <v>5.1500000000000001E-3</v>
      </c>
      <c r="AO111">
        <v>5.1500000000000001E-3</v>
      </c>
      <c r="AP111">
        <v>6.3299999999999997E-3</v>
      </c>
      <c r="AQ111">
        <v>6.3299999999999997E-3</v>
      </c>
      <c r="AR111">
        <v>6.3299999999999997E-3</v>
      </c>
      <c r="AS111">
        <v>6.3299999999999997E-3</v>
      </c>
      <c r="AT111">
        <v>6.3299999999999997E-3</v>
      </c>
      <c r="AU111">
        <v>8.1799999999999998E-3</v>
      </c>
      <c r="AV111">
        <v>8.1799999999999998E-3</v>
      </c>
      <c r="AW111">
        <v>8.1799999999999998E-3</v>
      </c>
      <c r="AX111">
        <v>8.1799999999999998E-3</v>
      </c>
      <c r="AY111">
        <v>8.1799999999999998E-3</v>
      </c>
      <c r="AZ111">
        <v>1.137E-2</v>
      </c>
      <c r="BA111">
        <v>1.137E-2</v>
      </c>
      <c r="BB111">
        <v>1.137E-2</v>
      </c>
      <c r="BC111">
        <v>1.137E-2</v>
      </c>
      <c r="BD111">
        <v>1.137E-2</v>
      </c>
      <c r="BE111">
        <v>1.6650000000000002E-2</v>
      </c>
      <c r="BF111">
        <v>1.6650000000000002E-2</v>
      </c>
      <c r="BG111">
        <v>1.6650000000000002E-2</v>
      </c>
      <c r="BH111">
        <v>1.6650000000000002E-2</v>
      </c>
      <c r="BI111">
        <v>1.6650000000000002E-2</v>
      </c>
      <c r="BJ111">
        <v>2.315E-2</v>
      </c>
      <c r="BK111">
        <v>2.315E-2</v>
      </c>
      <c r="BL111">
        <v>2.315E-2</v>
      </c>
      <c r="BM111">
        <v>2.315E-2</v>
      </c>
      <c r="BN111">
        <v>2.315E-2</v>
      </c>
      <c r="BO111">
        <v>3.6700000000000003E-2</v>
      </c>
      <c r="BP111">
        <v>3.6700000000000003E-2</v>
      </c>
      <c r="BQ111">
        <v>3.6700000000000003E-2</v>
      </c>
      <c r="BR111">
        <v>3.6700000000000003E-2</v>
      </c>
      <c r="BS111">
        <v>3.6700000000000003E-2</v>
      </c>
      <c r="BT111">
        <v>5.8790000000000002E-2</v>
      </c>
      <c r="BU111">
        <v>5.8790000000000002E-2</v>
      </c>
      <c r="BV111">
        <v>5.8790000000000002E-2</v>
      </c>
      <c r="BW111">
        <v>5.8790000000000002E-2</v>
      </c>
      <c r="BX111">
        <v>5.8790000000000002E-2</v>
      </c>
      <c r="BY111">
        <v>9.2230000000000006E-2</v>
      </c>
      <c r="BZ111">
        <v>9.2230000000000006E-2</v>
      </c>
      <c r="CA111">
        <v>9.2230000000000006E-2</v>
      </c>
      <c r="CB111">
        <v>9.2230000000000006E-2</v>
      </c>
      <c r="CC111">
        <v>9.2230000000000006E-2</v>
      </c>
      <c r="CD111">
        <v>0.14137</v>
      </c>
      <c r="CE111">
        <v>0.14137</v>
      </c>
      <c r="CF111">
        <v>0.14137</v>
      </c>
      <c r="CG111">
        <v>0.14137</v>
      </c>
      <c r="CH111">
        <v>0.14137</v>
      </c>
      <c r="CI111">
        <v>0.21009</v>
      </c>
      <c r="CJ111">
        <v>0.21009</v>
      </c>
      <c r="CK111">
        <v>0.21009</v>
      </c>
      <c r="CL111">
        <v>0.21009</v>
      </c>
      <c r="CM111">
        <v>0.21009</v>
      </c>
      <c r="CN111">
        <v>0.30271999999999999</v>
      </c>
      <c r="CO111">
        <v>0.30271999999999999</v>
      </c>
      <c r="CP111">
        <v>0.30271999999999999</v>
      </c>
      <c r="CQ111">
        <v>0.30271999999999999</v>
      </c>
      <c r="CR111">
        <v>0.30271999999999999</v>
      </c>
      <c r="CS111">
        <v>0.4229</v>
      </c>
      <c r="CT111">
        <v>0.4229</v>
      </c>
      <c r="CU111">
        <v>0.4229</v>
      </c>
      <c r="CV111">
        <v>0.4229</v>
      </c>
      <c r="CW111">
        <v>0.4229</v>
      </c>
      <c r="CX111">
        <v>1</v>
      </c>
    </row>
    <row r="112" spans="1:102" x14ac:dyDescent="0.25">
      <c r="A112" t="s">
        <v>289</v>
      </c>
      <c r="B112">
        <v>1.1639999999999999E-2</v>
      </c>
      <c r="C112">
        <v>6.4000000000000005E-4</v>
      </c>
      <c r="D112">
        <v>6.4000000000000005E-4</v>
      </c>
      <c r="E112">
        <v>6.4000000000000005E-4</v>
      </c>
      <c r="F112">
        <v>6.4000000000000005E-4</v>
      </c>
      <c r="G112">
        <v>2.0000000000000001E-4</v>
      </c>
      <c r="H112">
        <v>2.0000000000000001E-4</v>
      </c>
      <c r="I112">
        <v>2.0000000000000001E-4</v>
      </c>
      <c r="J112">
        <v>2.0000000000000001E-4</v>
      </c>
      <c r="K112">
        <v>2.0000000000000001E-4</v>
      </c>
      <c r="L112">
        <v>2.3000000000000001E-4</v>
      </c>
      <c r="M112">
        <v>2.3000000000000001E-4</v>
      </c>
      <c r="N112">
        <v>2.3000000000000001E-4</v>
      </c>
      <c r="O112">
        <v>2.3000000000000001E-4</v>
      </c>
      <c r="P112">
        <v>2.3000000000000001E-4</v>
      </c>
      <c r="Q112">
        <v>3.5E-4</v>
      </c>
      <c r="R112">
        <v>3.5E-4</v>
      </c>
      <c r="S112">
        <v>3.5E-4</v>
      </c>
      <c r="T112">
        <v>3.5E-4</v>
      </c>
      <c r="U112">
        <v>3.5E-4</v>
      </c>
      <c r="V112">
        <v>6.2E-4</v>
      </c>
      <c r="W112">
        <v>6.2E-4</v>
      </c>
      <c r="X112">
        <v>6.2E-4</v>
      </c>
      <c r="Y112">
        <v>6.2E-4</v>
      </c>
      <c r="Z112">
        <v>6.2E-4</v>
      </c>
      <c r="AA112">
        <v>4.8999999999999998E-4</v>
      </c>
      <c r="AB112">
        <v>4.8999999999999998E-4</v>
      </c>
      <c r="AC112">
        <v>4.8999999999999998E-4</v>
      </c>
      <c r="AD112">
        <v>4.8999999999999998E-4</v>
      </c>
      <c r="AE112">
        <v>4.8999999999999998E-4</v>
      </c>
      <c r="AF112">
        <v>8.9999999999999998E-4</v>
      </c>
      <c r="AG112">
        <v>8.9999999999999998E-4</v>
      </c>
      <c r="AH112">
        <v>8.9999999999999998E-4</v>
      </c>
      <c r="AI112">
        <v>8.9999999999999998E-4</v>
      </c>
      <c r="AJ112">
        <v>8.9999999999999998E-4</v>
      </c>
      <c r="AK112">
        <v>1.24E-3</v>
      </c>
      <c r="AL112">
        <v>1.24E-3</v>
      </c>
      <c r="AM112">
        <v>1.24E-3</v>
      </c>
      <c r="AN112">
        <v>1.24E-3</v>
      </c>
      <c r="AO112">
        <v>1.24E-3</v>
      </c>
      <c r="AP112">
        <v>2.0600000000000002E-3</v>
      </c>
      <c r="AQ112">
        <v>2.0600000000000002E-3</v>
      </c>
      <c r="AR112">
        <v>2.0600000000000002E-3</v>
      </c>
      <c r="AS112">
        <v>2.0600000000000002E-3</v>
      </c>
      <c r="AT112">
        <v>2.0600000000000002E-3</v>
      </c>
      <c r="AU112">
        <v>3.0400000000000002E-3</v>
      </c>
      <c r="AV112">
        <v>3.0400000000000002E-3</v>
      </c>
      <c r="AW112">
        <v>3.0400000000000002E-3</v>
      </c>
      <c r="AX112">
        <v>3.0400000000000002E-3</v>
      </c>
      <c r="AY112">
        <v>3.0400000000000002E-3</v>
      </c>
      <c r="AZ112">
        <v>4.8700000000000002E-3</v>
      </c>
      <c r="BA112">
        <v>4.8700000000000002E-3</v>
      </c>
      <c r="BB112">
        <v>4.8700000000000002E-3</v>
      </c>
      <c r="BC112">
        <v>4.8700000000000002E-3</v>
      </c>
      <c r="BD112">
        <v>4.8700000000000002E-3</v>
      </c>
      <c r="BE112">
        <v>7.26E-3</v>
      </c>
      <c r="BF112">
        <v>7.26E-3</v>
      </c>
      <c r="BG112">
        <v>7.26E-3</v>
      </c>
      <c r="BH112">
        <v>7.26E-3</v>
      </c>
      <c r="BI112">
        <v>7.26E-3</v>
      </c>
      <c r="BJ112">
        <v>1.3849999999999999E-2</v>
      </c>
      <c r="BK112">
        <v>1.3849999999999999E-2</v>
      </c>
      <c r="BL112">
        <v>1.3849999999999999E-2</v>
      </c>
      <c r="BM112">
        <v>1.3849999999999999E-2</v>
      </c>
      <c r="BN112">
        <v>1.3849999999999999E-2</v>
      </c>
      <c r="BO112">
        <v>2.0799999999999999E-2</v>
      </c>
      <c r="BP112">
        <v>2.0799999999999999E-2</v>
      </c>
      <c r="BQ112">
        <v>2.0799999999999999E-2</v>
      </c>
      <c r="BR112">
        <v>2.0799999999999999E-2</v>
      </c>
      <c r="BS112">
        <v>2.0799999999999999E-2</v>
      </c>
      <c r="BT112">
        <v>2.9159999999999998E-2</v>
      </c>
      <c r="BU112">
        <v>2.9159999999999998E-2</v>
      </c>
      <c r="BV112">
        <v>2.9159999999999998E-2</v>
      </c>
      <c r="BW112">
        <v>2.9159999999999998E-2</v>
      </c>
      <c r="BX112">
        <v>2.9159999999999998E-2</v>
      </c>
      <c r="BY112">
        <v>4.9709999999999997E-2</v>
      </c>
      <c r="BZ112">
        <v>4.9709999999999997E-2</v>
      </c>
      <c r="CA112">
        <v>4.9709999999999997E-2</v>
      </c>
      <c r="CB112">
        <v>4.9709999999999997E-2</v>
      </c>
      <c r="CC112">
        <v>4.9709999999999997E-2</v>
      </c>
      <c r="CD112">
        <v>8.2589999999999997E-2</v>
      </c>
      <c r="CE112">
        <v>8.2589999999999997E-2</v>
      </c>
      <c r="CF112">
        <v>8.2589999999999997E-2</v>
      </c>
      <c r="CG112">
        <v>8.2589999999999997E-2</v>
      </c>
      <c r="CH112">
        <v>8.2589999999999997E-2</v>
      </c>
      <c r="CI112">
        <v>0.13371</v>
      </c>
      <c r="CJ112">
        <v>0.13371</v>
      </c>
      <c r="CK112">
        <v>0.13371</v>
      </c>
      <c r="CL112">
        <v>0.13371</v>
      </c>
      <c r="CM112">
        <v>0.13371</v>
      </c>
      <c r="CN112">
        <v>0.21096999999999999</v>
      </c>
      <c r="CO112">
        <v>0.21096999999999999</v>
      </c>
      <c r="CP112">
        <v>0.21096999999999999</v>
      </c>
      <c r="CQ112">
        <v>0.21096999999999999</v>
      </c>
      <c r="CR112">
        <v>0.21096999999999999</v>
      </c>
      <c r="CS112">
        <v>0.32436999999999999</v>
      </c>
      <c r="CT112">
        <v>0.32436999999999999</v>
      </c>
      <c r="CU112">
        <v>0.32436999999999999</v>
      </c>
      <c r="CV112">
        <v>0.32436999999999999</v>
      </c>
      <c r="CW112">
        <v>0.32436999999999999</v>
      </c>
      <c r="CX112">
        <v>1</v>
      </c>
    </row>
    <row r="113" spans="1:102" x14ac:dyDescent="0.25">
      <c r="A113" t="s">
        <v>291</v>
      </c>
      <c r="B113">
        <v>1.328E-2</v>
      </c>
      <c r="C113">
        <v>4.8999999999999998E-4</v>
      </c>
      <c r="D113">
        <v>4.8999999999999998E-4</v>
      </c>
      <c r="E113">
        <v>4.8999999999999998E-4</v>
      </c>
      <c r="F113">
        <v>4.8999999999999998E-4</v>
      </c>
      <c r="G113">
        <v>2.4000000000000001E-4</v>
      </c>
      <c r="H113">
        <v>2.4000000000000001E-4</v>
      </c>
      <c r="I113">
        <v>2.4000000000000001E-4</v>
      </c>
      <c r="J113">
        <v>2.4000000000000001E-4</v>
      </c>
      <c r="K113">
        <v>2.4000000000000001E-4</v>
      </c>
      <c r="L113">
        <v>2.7E-4</v>
      </c>
      <c r="M113">
        <v>2.7E-4</v>
      </c>
      <c r="N113">
        <v>2.7E-4</v>
      </c>
      <c r="O113">
        <v>2.7E-4</v>
      </c>
      <c r="P113">
        <v>2.7E-4</v>
      </c>
      <c r="Q113">
        <v>4.4000000000000002E-4</v>
      </c>
      <c r="R113">
        <v>4.4000000000000002E-4</v>
      </c>
      <c r="S113">
        <v>4.4000000000000002E-4</v>
      </c>
      <c r="T113">
        <v>4.4000000000000002E-4</v>
      </c>
      <c r="U113">
        <v>4.4000000000000002E-4</v>
      </c>
      <c r="V113">
        <v>4.8999999999999998E-4</v>
      </c>
      <c r="W113">
        <v>4.8999999999999998E-4</v>
      </c>
      <c r="X113">
        <v>4.8999999999999998E-4</v>
      </c>
      <c r="Y113">
        <v>4.8999999999999998E-4</v>
      </c>
      <c r="Z113">
        <v>4.8999999999999998E-4</v>
      </c>
      <c r="AA113">
        <v>5.9000000000000003E-4</v>
      </c>
      <c r="AB113">
        <v>5.9000000000000003E-4</v>
      </c>
      <c r="AC113">
        <v>5.9000000000000003E-4</v>
      </c>
      <c r="AD113">
        <v>5.9000000000000003E-4</v>
      </c>
      <c r="AE113">
        <v>5.9000000000000003E-4</v>
      </c>
      <c r="AF113">
        <v>7.6000000000000004E-4</v>
      </c>
      <c r="AG113">
        <v>7.6000000000000004E-4</v>
      </c>
      <c r="AH113">
        <v>7.6000000000000004E-4</v>
      </c>
      <c r="AI113">
        <v>7.6000000000000004E-4</v>
      </c>
      <c r="AJ113">
        <v>7.6000000000000004E-4</v>
      </c>
      <c r="AK113">
        <v>1.0399999999999999E-3</v>
      </c>
      <c r="AL113">
        <v>1.0399999999999999E-3</v>
      </c>
      <c r="AM113">
        <v>1.0399999999999999E-3</v>
      </c>
      <c r="AN113">
        <v>1.0399999999999999E-3</v>
      </c>
      <c r="AO113">
        <v>1.0399999999999999E-3</v>
      </c>
      <c r="AP113">
        <v>1.5900000000000001E-3</v>
      </c>
      <c r="AQ113">
        <v>1.5900000000000001E-3</v>
      </c>
      <c r="AR113">
        <v>1.5900000000000001E-3</v>
      </c>
      <c r="AS113">
        <v>1.5900000000000001E-3</v>
      </c>
      <c r="AT113">
        <v>1.5900000000000001E-3</v>
      </c>
      <c r="AU113">
        <v>2.5899999999999999E-3</v>
      </c>
      <c r="AV113">
        <v>2.5899999999999999E-3</v>
      </c>
      <c r="AW113">
        <v>2.5899999999999999E-3</v>
      </c>
      <c r="AX113">
        <v>2.5899999999999999E-3</v>
      </c>
      <c r="AY113">
        <v>2.5899999999999999E-3</v>
      </c>
      <c r="AZ113">
        <v>4.2599999999999999E-3</v>
      </c>
      <c r="BA113">
        <v>4.2599999999999999E-3</v>
      </c>
      <c r="BB113">
        <v>4.2599999999999999E-3</v>
      </c>
      <c r="BC113">
        <v>4.2599999999999999E-3</v>
      </c>
      <c r="BD113">
        <v>4.2599999999999999E-3</v>
      </c>
      <c r="BE113">
        <v>6.7200000000000003E-3</v>
      </c>
      <c r="BF113">
        <v>6.7200000000000003E-3</v>
      </c>
      <c r="BG113">
        <v>6.7200000000000003E-3</v>
      </c>
      <c r="BH113">
        <v>6.7200000000000003E-3</v>
      </c>
      <c r="BI113">
        <v>6.7200000000000003E-3</v>
      </c>
      <c r="BJ113">
        <v>1.12E-2</v>
      </c>
      <c r="BK113">
        <v>1.12E-2</v>
      </c>
      <c r="BL113">
        <v>1.12E-2</v>
      </c>
      <c r="BM113">
        <v>1.12E-2</v>
      </c>
      <c r="BN113">
        <v>1.12E-2</v>
      </c>
      <c r="BO113">
        <v>1.6500000000000001E-2</v>
      </c>
      <c r="BP113">
        <v>1.6500000000000001E-2</v>
      </c>
      <c r="BQ113">
        <v>1.6500000000000001E-2</v>
      </c>
      <c r="BR113">
        <v>1.6500000000000001E-2</v>
      </c>
      <c r="BS113">
        <v>1.6500000000000001E-2</v>
      </c>
      <c r="BT113">
        <v>2.5850000000000001E-2</v>
      </c>
      <c r="BU113">
        <v>2.5850000000000001E-2</v>
      </c>
      <c r="BV113">
        <v>2.5850000000000001E-2</v>
      </c>
      <c r="BW113">
        <v>2.5850000000000001E-2</v>
      </c>
      <c r="BX113">
        <v>2.5850000000000001E-2</v>
      </c>
      <c r="BY113">
        <v>4.1259999999999998E-2</v>
      </c>
      <c r="BZ113">
        <v>4.1259999999999998E-2</v>
      </c>
      <c r="CA113">
        <v>4.1259999999999998E-2</v>
      </c>
      <c r="CB113">
        <v>4.1259999999999998E-2</v>
      </c>
      <c r="CC113">
        <v>4.1259999999999998E-2</v>
      </c>
      <c r="CD113">
        <v>6.8029999999999993E-2</v>
      </c>
      <c r="CE113">
        <v>6.8029999999999993E-2</v>
      </c>
      <c r="CF113">
        <v>6.8029999999999993E-2</v>
      </c>
      <c r="CG113">
        <v>6.8029999999999993E-2</v>
      </c>
      <c r="CH113">
        <v>6.8029999999999993E-2</v>
      </c>
      <c r="CI113">
        <v>0.11092</v>
      </c>
      <c r="CJ113">
        <v>0.11092</v>
      </c>
      <c r="CK113">
        <v>0.11092</v>
      </c>
      <c r="CL113">
        <v>0.11092</v>
      </c>
      <c r="CM113">
        <v>0.11092</v>
      </c>
      <c r="CN113">
        <v>0.17884</v>
      </c>
      <c r="CO113">
        <v>0.17884</v>
      </c>
      <c r="CP113">
        <v>0.17884</v>
      </c>
      <c r="CQ113">
        <v>0.17884</v>
      </c>
      <c r="CR113">
        <v>0.17884</v>
      </c>
      <c r="CS113">
        <v>0.28517999999999999</v>
      </c>
      <c r="CT113">
        <v>0.28517999999999999</v>
      </c>
      <c r="CU113">
        <v>0.28517999999999999</v>
      </c>
      <c r="CV113">
        <v>0.28517999999999999</v>
      </c>
      <c r="CW113">
        <v>0.28517999999999999</v>
      </c>
      <c r="CX113">
        <v>1</v>
      </c>
    </row>
    <row r="114" spans="1:102" x14ac:dyDescent="0.25">
      <c r="A114" t="s">
        <v>293</v>
      </c>
      <c r="B114">
        <v>2.0693684E-2</v>
      </c>
      <c r="C114">
        <v>1.3699999999999999E-3</v>
      </c>
      <c r="D114">
        <v>1.3699999999999999E-3</v>
      </c>
      <c r="E114">
        <v>1.3699999999999999E-3</v>
      </c>
      <c r="F114">
        <v>1.3699999999999999E-3</v>
      </c>
      <c r="G114">
        <v>5.1000000000000004E-4</v>
      </c>
      <c r="H114">
        <v>5.1000000000000004E-4</v>
      </c>
      <c r="I114">
        <v>5.1000000000000004E-4</v>
      </c>
      <c r="J114">
        <v>5.1000000000000004E-4</v>
      </c>
      <c r="K114">
        <v>5.1000000000000004E-4</v>
      </c>
      <c r="L114">
        <v>5.9315799999999999E-4</v>
      </c>
      <c r="M114">
        <v>5.9315799999999999E-4</v>
      </c>
      <c r="N114">
        <v>5.9315799999999999E-4</v>
      </c>
      <c r="O114">
        <v>5.9315799999999999E-4</v>
      </c>
      <c r="P114">
        <v>5.9315799999999999E-4</v>
      </c>
      <c r="Q114">
        <v>9.81579E-4</v>
      </c>
      <c r="R114">
        <v>9.81579E-4</v>
      </c>
      <c r="S114">
        <v>9.81579E-4</v>
      </c>
      <c r="T114">
        <v>9.81579E-4</v>
      </c>
      <c r="U114">
        <v>9.81579E-4</v>
      </c>
      <c r="V114">
        <v>8.9421100000000001E-4</v>
      </c>
      <c r="W114">
        <v>8.9421100000000001E-4</v>
      </c>
      <c r="X114">
        <v>8.9421100000000001E-4</v>
      </c>
      <c r="Y114">
        <v>8.9421100000000001E-4</v>
      </c>
      <c r="Z114">
        <v>8.9421100000000001E-4</v>
      </c>
      <c r="AA114">
        <v>1.1073680000000001E-3</v>
      </c>
      <c r="AB114">
        <v>1.1073680000000001E-3</v>
      </c>
      <c r="AC114">
        <v>1.1073680000000001E-3</v>
      </c>
      <c r="AD114">
        <v>1.1073680000000001E-3</v>
      </c>
      <c r="AE114">
        <v>1.1073680000000001E-3</v>
      </c>
      <c r="AF114">
        <v>1.6073680000000001E-3</v>
      </c>
      <c r="AG114">
        <v>1.6073680000000001E-3</v>
      </c>
      <c r="AH114">
        <v>1.6073680000000001E-3</v>
      </c>
      <c r="AI114">
        <v>1.6073680000000001E-3</v>
      </c>
      <c r="AJ114">
        <v>1.6073680000000001E-3</v>
      </c>
      <c r="AK114">
        <v>1.9905259999999998E-3</v>
      </c>
      <c r="AL114">
        <v>1.9905259999999998E-3</v>
      </c>
      <c r="AM114">
        <v>1.9905259999999998E-3</v>
      </c>
      <c r="AN114">
        <v>1.9905259999999998E-3</v>
      </c>
      <c r="AO114">
        <v>1.9905259999999998E-3</v>
      </c>
      <c r="AP114">
        <v>3.283158E-3</v>
      </c>
      <c r="AQ114">
        <v>3.283158E-3</v>
      </c>
      <c r="AR114">
        <v>3.283158E-3</v>
      </c>
      <c r="AS114">
        <v>3.283158E-3</v>
      </c>
      <c r="AT114">
        <v>3.283158E-3</v>
      </c>
      <c r="AU114">
        <v>4.5542109999999998E-3</v>
      </c>
      <c r="AV114">
        <v>4.5542109999999998E-3</v>
      </c>
      <c r="AW114">
        <v>4.5542109999999998E-3</v>
      </c>
      <c r="AX114">
        <v>4.5542109999999998E-3</v>
      </c>
      <c r="AY114">
        <v>4.5542109999999998E-3</v>
      </c>
      <c r="AZ114">
        <v>6.844737E-3</v>
      </c>
      <c r="BA114">
        <v>6.844737E-3</v>
      </c>
      <c r="BB114">
        <v>6.844737E-3</v>
      </c>
      <c r="BC114">
        <v>6.844737E-3</v>
      </c>
      <c r="BD114">
        <v>6.844737E-3</v>
      </c>
      <c r="BE114">
        <v>1.0072105E-2</v>
      </c>
      <c r="BF114">
        <v>1.0072105E-2</v>
      </c>
      <c r="BG114">
        <v>1.0072105E-2</v>
      </c>
      <c r="BH114">
        <v>1.0072105E-2</v>
      </c>
      <c r="BI114">
        <v>1.0072105E-2</v>
      </c>
      <c r="BJ114">
        <v>1.6034211E-2</v>
      </c>
      <c r="BK114">
        <v>1.6034211E-2</v>
      </c>
      <c r="BL114">
        <v>1.6034211E-2</v>
      </c>
      <c r="BM114">
        <v>1.6034211E-2</v>
      </c>
      <c r="BN114">
        <v>1.6034211E-2</v>
      </c>
      <c r="BO114">
        <v>2.4366315999999999E-2</v>
      </c>
      <c r="BP114">
        <v>2.4366315999999999E-2</v>
      </c>
      <c r="BQ114">
        <v>2.4366315999999999E-2</v>
      </c>
      <c r="BR114">
        <v>2.4366315999999999E-2</v>
      </c>
      <c r="BS114">
        <v>2.4366315999999999E-2</v>
      </c>
      <c r="BT114">
        <v>3.6406842000000002E-2</v>
      </c>
      <c r="BU114">
        <v>3.6406842000000002E-2</v>
      </c>
      <c r="BV114">
        <v>3.6406842000000002E-2</v>
      </c>
      <c r="BW114">
        <v>3.6406842000000002E-2</v>
      </c>
      <c r="BX114">
        <v>3.6406842000000002E-2</v>
      </c>
      <c r="BY114">
        <v>6.3028421000000001E-2</v>
      </c>
      <c r="BZ114">
        <v>6.3028421000000001E-2</v>
      </c>
      <c r="CA114">
        <v>6.3028421000000001E-2</v>
      </c>
      <c r="CB114">
        <v>6.3028421000000001E-2</v>
      </c>
      <c r="CC114">
        <v>6.3028421000000001E-2</v>
      </c>
      <c r="CD114">
        <v>9.6411578999999997E-2</v>
      </c>
      <c r="CE114">
        <v>9.6411578999999997E-2</v>
      </c>
      <c r="CF114">
        <v>9.6411578999999997E-2</v>
      </c>
      <c r="CG114">
        <v>9.6411578999999997E-2</v>
      </c>
      <c r="CH114">
        <v>9.6411578999999997E-2</v>
      </c>
      <c r="CI114">
        <v>0.148308947</v>
      </c>
      <c r="CJ114">
        <v>0.148308947</v>
      </c>
      <c r="CK114">
        <v>0.148308947</v>
      </c>
      <c r="CL114">
        <v>0.148308947</v>
      </c>
      <c r="CM114">
        <v>0.148308947</v>
      </c>
      <c r="CN114">
        <v>0.225275789</v>
      </c>
      <c r="CO114">
        <v>0.225275789</v>
      </c>
      <c r="CP114">
        <v>0.225275789</v>
      </c>
      <c r="CQ114">
        <v>0.225275789</v>
      </c>
      <c r="CR114">
        <v>0.225275789</v>
      </c>
      <c r="CS114">
        <v>0.33575105300000002</v>
      </c>
      <c r="CT114">
        <v>0.33575105300000002</v>
      </c>
      <c r="CU114">
        <v>0.33575105300000002</v>
      </c>
      <c r="CV114">
        <v>0.33575105300000002</v>
      </c>
      <c r="CW114">
        <v>0.33575105300000002</v>
      </c>
      <c r="CX114">
        <v>1</v>
      </c>
    </row>
    <row r="115" spans="1:102" x14ac:dyDescent="0.25">
      <c r="A115" t="s">
        <v>295</v>
      </c>
      <c r="B115">
        <v>9.7912499999999996E-3</v>
      </c>
      <c r="C115">
        <v>3.5649999999999999E-4</v>
      </c>
      <c r="D115">
        <v>3.5649999999999999E-4</v>
      </c>
      <c r="E115">
        <v>3.5649999999999999E-4</v>
      </c>
      <c r="F115">
        <v>3.5649999999999999E-4</v>
      </c>
      <c r="G115">
        <v>1.7899999999999999E-4</v>
      </c>
      <c r="H115">
        <v>1.7899999999999999E-4</v>
      </c>
      <c r="I115">
        <v>1.7899999999999999E-4</v>
      </c>
      <c r="J115">
        <v>1.7899999999999999E-4</v>
      </c>
      <c r="K115">
        <v>1.7899999999999999E-4</v>
      </c>
      <c r="L115">
        <v>1.8075E-4</v>
      </c>
      <c r="M115">
        <v>1.8075E-4</v>
      </c>
      <c r="N115">
        <v>1.8075E-4</v>
      </c>
      <c r="O115">
        <v>1.8075E-4</v>
      </c>
      <c r="P115">
        <v>1.8075E-4</v>
      </c>
      <c r="Q115">
        <v>3.0775000000000003E-4</v>
      </c>
      <c r="R115">
        <v>3.0775000000000003E-4</v>
      </c>
      <c r="S115">
        <v>3.0775000000000003E-4</v>
      </c>
      <c r="T115">
        <v>3.0775000000000003E-4</v>
      </c>
      <c r="U115">
        <v>3.0775000000000003E-4</v>
      </c>
      <c r="V115">
        <v>4.2025E-4</v>
      </c>
      <c r="W115">
        <v>4.2025E-4</v>
      </c>
      <c r="X115">
        <v>4.2025E-4</v>
      </c>
      <c r="Y115">
        <v>4.2025E-4</v>
      </c>
      <c r="Z115">
        <v>4.2025E-4</v>
      </c>
      <c r="AA115">
        <v>5.2674999999999998E-4</v>
      </c>
      <c r="AB115">
        <v>5.2674999999999998E-4</v>
      </c>
      <c r="AC115">
        <v>5.2674999999999998E-4</v>
      </c>
      <c r="AD115">
        <v>5.2674999999999998E-4</v>
      </c>
      <c r="AE115">
        <v>5.2674999999999998E-4</v>
      </c>
      <c r="AF115">
        <v>7.3850000000000001E-4</v>
      </c>
      <c r="AG115">
        <v>7.3850000000000001E-4</v>
      </c>
      <c r="AH115">
        <v>7.3850000000000001E-4</v>
      </c>
      <c r="AI115">
        <v>7.3850000000000001E-4</v>
      </c>
      <c r="AJ115">
        <v>7.3850000000000001E-4</v>
      </c>
      <c r="AK115">
        <v>1.0690000000000001E-3</v>
      </c>
      <c r="AL115">
        <v>1.0690000000000001E-3</v>
      </c>
      <c r="AM115">
        <v>1.0690000000000001E-3</v>
      </c>
      <c r="AN115">
        <v>1.0690000000000001E-3</v>
      </c>
      <c r="AO115">
        <v>1.0690000000000001E-3</v>
      </c>
      <c r="AP115">
        <v>1.622E-3</v>
      </c>
      <c r="AQ115">
        <v>1.622E-3</v>
      </c>
      <c r="AR115">
        <v>1.622E-3</v>
      </c>
      <c r="AS115">
        <v>1.622E-3</v>
      </c>
      <c r="AT115">
        <v>1.622E-3</v>
      </c>
      <c r="AU115">
        <v>2.5685E-3</v>
      </c>
      <c r="AV115">
        <v>2.5685E-3</v>
      </c>
      <c r="AW115">
        <v>2.5685E-3</v>
      </c>
      <c r="AX115">
        <v>2.5685E-3</v>
      </c>
      <c r="AY115">
        <v>2.5685E-3</v>
      </c>
      <c r="AZ115">
        <v>4.117E-3</v>
      </c>
      <c r="BA115">
        <v>4.117E-3</v>
      </c>
      <c r="BB115">
        <v>4.117E-3</v>
      </c>
      <c r="BC115">
        <v>4.117E-3</v>
      </c>
      <c r="BD115">
        <v>4.117E-3</v>
      </c>
      <c r="BE115">
        <v>6.4475000000000001E-3</v>
      </c>
      <c r="BF115">
        <v>6.4475000000000001E-3</v>
      </c>
      <c r="BG115">
        <v>6.4475000000000001E-3</v>
      </c>
      <c r="BH115">
        <v>6.4475000000000001E-3</v>
      </c>
      <c r="BI115">
        <v>6.4475000000000001E-3</v>
      </c>
      <c r="BJ115">
        <v>9.7327500000000001E-3</v>
      </c>
      <c r="BK115">
        <v>9.7327500000000001E-3</v>
      </c>
      <c r="BL115">
        <v>9.7327500000000001E-3</v>
      </c>
      <c r="BM115">
        <v>9.7327500000000001E-3</v>
      </c>
      <c r="BN115">
        <v>9.7327500000000001E-3</v>
      </c>
      <c r="BO115">
        <v>1.5950249999999999E-2</v>
      </c>
      <c r="BP115">
        <v>1.5950249999999999E-2</v>
      </c>
      <c r="BQ115">
        <v>1.5950249999999999E-2</v>
      </c>
      <c r="BR115">
        <v>1.5950249999999999E-2</v>
      </c>
      <c r="BS115">
        <v>1.5950249999999999E-2</v>
      </c>
      <c r="BT115">
        <v>2.6643500000000001E-2</v>
      </c>
      <c r="BU115">
        <v>2.6643500000000001E-2</v>
      </c>
      <c r="BV115">
        <v>2.6643500000000001E-2</v>
      </c>
      <c r="BW115">
        <v>2.6643500000000001E-2</v>
      </c>
      <c r="BX115">
        <v>2.6643500000000001E-2</v>
      </c>
      <c r="BY115">
        <v>4.6877250000000002E-2</v>
      </c>
      <c r="BZ115">
        <v>4.6877250000000002E-2</v>
      </c>
      <c r="CA115">
        <v>4.6877250000000002E-2</v>
      </c>
      <c r="CB115">
        <v>4.6877250000000002E-2</v>
      </c>
      <c r="CC115">
        <v>4.6877250000000002E-2</v>
      </c>
      <c r="CD115">
        <v>8.3014249999999998E-2</v>
      </c>
      <c r="CE115">
        <v>8.3014249999999998E-2</v>
      </c>
      <c r="CF115">
        <v>8.3014249999999998E-2</v>
      </c>
      <c r="CG115">
        <v>8.3014249999999998E-2</v>
      </c>
      <c r="CH115">
        <v>8.3014249999999998E-2</v>
      </c>
      <c r="CI115">
        <v>0.14132575</v>
      </c>
      <c r="CJ115">
        <v>0.14132575</v>
      </c>
      <c r="CK115">
        <v>0.14132575</v>
      </c>
      <c r="CL115">
        <v>0.14132575</v>
      </c>
      <c r="CM115">
        <v>0.14132575</v>
      </c>
      <c r="CN115">
        <v>0.22859225</v>
      </c>
      <c r="CO115">
        <v>0.22859225</v>
      </c>
      <c r="CP115">
        <v>0.22859225</v>
      </c>
      <c r="CQ115">
        <v>0.22859225</v>
      </c>
      <c r="CR115">
        <v>0.22859225</v>
      </c>
      <c r="CS115">
        <v>0.34928749999999997</v>
      </c>
      <c r="CT115">
        <v>0.34928749999999997</v>
      </c>
      <c r="CU115">
        <v>0.34928749999999997</v>
      </c>
      <c r="CV115">
        <v>0.34928749999999997</v>
      </c>
      <c r="CW115">
        <v>0.34928749999999997</v>
      </c>
      <c r="CX115">
        <v>1</v>
      </c>
    </row>
    <row r="116" spans="1:102" x14ac:dyDescent="0.25">
      <c r="A116" t="s">
        <v>297</v>
      </c>
      <c r="B116">
        <v>3.4299999999999999E-3</v>
      </c>
      <c r="C116">
        <v>1.7000000000000001E-4</v>
      </c>
      <c r="D116">
        <v>1.7000000000000001E-4</v>
      </c>
      <c r="E116">
        <v>1.7000000000000001E-4</v>
      </c>
      <c r="F116">
        <v>1.7000000000000001E-4</v>
      </c>
      <c r="G116">
        <v>6.0000000000000002E-5</v>
      </c>
      <c r="H116">
        <v>6.0000000000000002E-5</v>
      </c>
      <c r="I116">
        <v>6.0000000000000002E-5</v>
      </c>
      <c r="J116">
        <v>6.0000000000000002E-5</v>
      </c>
      <c r="K116">
        <v>6.0000000000000002E-5</v>
      </c>
      <c r="L116">
        <v>1.2E-4</v>
      </c>
      <c r="M116">
        <v>1.2E-4</v>
      </c>
      <c r="N116">
        <v>1.2E-4</v>
      </c>
      <c r="O116">
        <v>1.2E-4</v>
      </c>
      <c r="P116">
        <v>1.2E-4</v>
      </c>
      <c r="Q116">
        <v>2.5000000000000001E-4</v>
      </c>
      <c r="R116">
        <v>2.5000000000000001E-4</v>
      </c>
      <c r="S116">
        <v>2.5000000000000001E-4</v>
      </c>
      <c r="T116">
        <v>2.5000000000000001E-4</v>
      </c>
      <c r="U116">
        <v>2.5000000000000001E-4</v>
      </c>
      <c r="V116">
        <v>2.9E-4</v>
      </c>
      <c r="W116">
        <v>2.9E-4</v>
      </c>
      <c r="X116">
        <v>2.9E-4</v>
      </c>
      <c r="Y116">
        <v>2.9E-4</v>
      </c>
      <c r="Z116">
        <v>2.9E-4</v>
      </c>
      <c r="AA116">
        <v>2.5999999999999998E-4</v>
      </c>
      <c r="AB116">
        <v>2.5999999999999998E-4</v>
      </c>
      <c r="AC116">
        <v>2.5999999999999998E-4</v>
      </c>
      <c r="AD116">
        <v>2.5999999999999998E-4</v>
      </c>
      <c r="AE116">
        <v>2.5999999999999998E-4</v>
      </c>
      <c r="AF116">
        <v>4.8000000000000001E-4</v>
      </c>
      <c r="AG116">
        <v>4.8000000000000001E-4</v>
      </c>
      <c r="AH116">
        <v>4.8000000000000001E-4</v>
      </c>
      <c r="AI116">
        <v>4.8000000000000001E-4</v>
      </c>
      <c r="AJ116">
        <v>4.8000000000000001E-4</v>
      </c>
      <c r="AK116">
        <v>6.0999999999999997E-4</v>
      </c>
      <c r="AL116">
        <v>6.0999999999999997E-4</v>
      </c>
      <c r="AM116">
        <v>6.0999999999999997E-4</v>
      </c>
      <c r="AN116">
        <v>6.0999999999999997E-4</v>
      </c>
      <c r="AO116">
        <v>6.0999999999999997E-4</v>
      </c>
      <c r="AP116">
        <v>1.1000000000000001E-3</v>
      </c>
      <c r="AQ116">
        <v>1.1000000000000001E-3</v>
      </c>
      <c r="AR116">
        <v>1.1000000000000001E-3</v>
      </c>
      <c r="AS116">
        <v>1.1000000000000001E-3</v>
      </c>
      <c r="AT116">
        <v>1.1000000000000001E-3</v>
      </c>
      <c r="AU116">
        <v>1.6800000000000001E-3</v>
      </c>
      <c r="AV116">
        <v>1.6800000000000001E-3</v>
      </c>
      <c r="AW116">
        <v>1.6800000000000001E-3</v>
      </c>
      <c r="AX116">
        <v>1.6800000000000001E-3</v>
      </c>
      <c r="AY116">
        <v>1.6800000000000001E-3</v>
      </c>
      <c r="AZ116">
        <v>2.6199999999999999E-3</v>
      </c>
      <c r="BA116">
        <v>2.6199999999999999E-3</v>
      </c>
      <c r="BB116">
        <v>2.6199999999999999E-3</v>
      </c>
      <c r="BC116">
        <v>2.6199999999999999E-3</v>
      </c>
      <c r="BD116">
        <v>2.6199999999999999E-3</v>
      </c>
      <c r="BE116">
        <v>3.2399999999999998E-3</v>
      </c>
      <c r="BF116">
        <v>3.2399999999999998E-3</v>
      </c>
      <c r="BG116">
        <v>3.2399999999999998E-3</v>
      </c>
      <c r="BH116">
        <v>3.2399999999999998E-3</v>
      </c>
      <c r="BI116">
        <v>3.2399999999999998E-3</v>
      </c>
      <c r="BJ116">
        <v>4.7499999999999999E-3</v>
      </c>
      <c r="BK116">
        <v>4.7499999999999999E-3</v>
      </c>
      <c r="BL116">
        <v>4.7499999999999999E-3</v>
      </c>
      <c r="BM116">
        <v>4.7499999999999999E-3</v>
      </c>
      <c r="BN116">
        <v>4.7499999999999999E-3</v>
      </c>
      <c r="BO116">
        <v>6.6899999999999998E-3</v>
      </c>
      <c r="BP116">
        <v>6.6899999999999998E-3</v>
      </c>
      <c r="BQ116">
        <v>6.6899999999999998E-3</v>
      </c>
      <c r="BR116">
        <v>6.6899999999999998E-3</v>
      </c>
      <c r="BS116">
        <v>6.6899999999999998E-3</v>
      </c>
      <c r="BT116">
        <v>1.038E-2</v>
      </c>
      <c r="BU116">
        <v>1.038E-2</v>
      </c>
      <c r="BV116">
        <v>1.038E-2</v>
      </c>
      <c r="BW116">
        <v>1.038E-2</v>
      </c>
      <c r="BX116">
        <v>1.038E-2</v>
      </c>
      <c r="BY116">
        <v>1.9109999999999999E-2</v>
      </c>
      <c r="BZ116">
        <v>1.9109999999999999E-2</v>
      </c>
      <c r="CA116">
        <v>1.9109999999999999E-2</v>
      </c>
      <c r="CB116">
        <v>1.9109999999999999E-2</v>
      </c>
      <c r="CC116">
        <v>1.9109999999999999E-2</v>
      </c>
      <c r="CD116">
        <v>3.9E-2</v>
      </c>
      <c r="CE116">
        <v>3.9E-2</v>
      </c>
      <c r="CF116">
        <v>3.9E-2</v>
      </c>
      <c r="CG116">
        <v>3.9E-2</v>
      </c>
      <c r="CH116">
        <v>3.9E-2</v>
      </c>
      <c r="CI116">
        <v>7.5920000000000001E-2</v>
      </c>
      <c r="CJ116">
        <v>7.5920000000000001E-2</v>
      </c>
      <c r="CK116">
        <v>7.5920000000000001E-2</v>
      </c>
      <c r="CL116">
        <v>7.5920000000000001E-2</v>
      </c>
      <c r="CM116">
        <v>7.5920000000000001E-2</v>
      </c>
      <c r="CN116">
        <v>0.14096</v>
      </c>
      <c r="CO116">
        <v>0.14096</v>
      </c>
      <c r="CP116">
        <v>0.14096</v>
      </c>
      <c r="CQ116">
        <v>0.14096</v>
      </c>
      <c r="CR116">
        <v>0.14096</v>
      </c>
      <c r="CS116">
        <v>0.24962000000000001</v>
      </c>
      <c r="CT116">
        <v>0.24962000000000001</v>
      </c>
      <c r="CU116">
        <v>0.24962000000000001</v>
      </c>
      <c r="CV116">
        <v>0.24962000000000001</v>
      </c>
      <c r="CW116">
        <v>0.24962000000000001</v>
      </c>
      <c r="CX116">
        <v>1</v>
      </c>
    </row>
    <row r="117" spans="1:102" x14ac:dyDescent="0.25">
      <c r="A117" t="s">
        <v>299</v>
      </c>
      <c r="B117">
        <v>1.9939999999999999E-2</v>
      </c>
      <c r="C117">
        <v>1.14E-3</v>
      </c>
      <c r="D117">
        <v>1.14E-3</v>
      </c>
      <c r="E117">
        <v>1.14E-3</v>
      </c>
      <c r="F117">
        <v>1.14E-3</v>
      </c>
      <c r="G117">
        <v>2.5999999999999998E-4</v>
      </c>
      <c r="H117">
        <v>2.5999999999999998E-4</v>
      </c>
      <c r="I117">
        <v>2.5999999999999998E-4</v>
      </c>
      <c r="J117">
        <v>2.5999999999999998E-4</v>
      </c>
      <c r="K117">
        <v>2.5999999999999998E-4</v>
      </c>
      <c r="L117">
        <v>2.2000000000000001E-4</v>
      </c>
      <c r="M117">
        <v>2.2000000000000001E-4</v>
      </c>
      <c r="N117">
        <v>2.2000000000000001E-4</v>
      </c>
      <c r="O117">
        <v>2.2000000000000001E-4</v>
      </c>
      <c r="P117">
        <v>2.2000000000000001E-4</v>
      </c>
      <c r="Q117">
        <v>4.0999999999999999E-4</v>
      </c>
      <c r="R117">
        <v>4.0999999999999999E-4</v>
      </c>
      <c r="S117">
        <v>4.0999999999999999E-4</v>
      </c>
      <c r="T117">
        <v>4.0999999999999999E-4</v>
      </c>
      <c r="U117">
        <v>4.0999999999999999E-4</v>
      </c>
      <c r="V117">
        <v>6.4000000000000005E-4</v>
      </c>
      <c r="W117">
        <v>6.4000000000000005E-4</v>
      </c>
      <c r="X117">
        <v>6.4000000000000005E-4</v>
      </c>
      <c r="Y117">
        <v>6.4000000000000005E-4</v>
      </c>
      <c r="Z117">
        <v>6.4000000000000005E-4</v>
      </c>
      <c r="AA117">
        <v>9.8999999999999999E-4</v>
      </c>
      <c r="AB117">
        <v>9.8999999999999999E-4</v>
      </c>
      <c r="AC117">
        <v>9.8999999999999999E-4</v>
      </c>
      <c r="AD117">
        <v>9.8999999999999999E-4</v>
      </c>
      <c r="AE117">
        <v>9.8999999999999999E-4</v>
      </c>
      <c r="AF117">
        <v>1.15E-3</v>
      </c>
      <c r="AG117">
        <v>1.15E-3</v>
      </c>
      <c r="AH117">
        <v>1.15E-3</v>
      </c>
      <c r="AI117">
        <v>1.15E-3</v>
      </c>
      <c r="AJ117">
        <v>1.15E-3</v>
      </c>
      <c r="AK117">
        <v>1.7600000000000001E-3</v>
      </c>
      <c r="AL117">
        <v>1.7600000000000001E-3</v>
      </c>
      <c r="AM117">
        <v>1.7600000000000001E-3</v>
      </c>
      <c r="AN117">
        <v>1.7600000000000001E-3</v>
      </c>
      <c r="AO117">
        <v>1.7600000000000001E-3</v>
      </c>
      <c r="AP117">
        <v>3.2299999999999998E-3</v>
      </c>
      <c r="AQ117">
        <v>3.2299999999999998E-3</v>
      </c>
      <c r="AR117">
        <v>3.2299999999999998E-3</v>
      </c>
      <c r="AS117">
        <v>3.2299999999999998E-3</v>
      </c>
      <c r="AT117">
        <v>3.2299999999999998E-3</v>
      </c>
      <c r="AU117">
        <v>4.3899999999999998E-3</v>
      </c>
      <c r="AV117">
        <v>4.3899999999999998E-3</v>
      </c>
      <c r="AW117">
        <v>4.3899999999999998E-3</v>
      </c>
      <c r="AX117">
        <v>4.3899999999999998E-3</v>
      </c>
      <c r="AY117">
        <v>4.3899999999999998E-3</v>
      </c>
      <c r="AZ117">
        <v>7.6099999999999996E-3</v>
      </c>
      <c r="BA117">
        <v>7.6099999999999996E-3</v>
      </c>
      <c r="BB117">
        <v>7.6099999999999996E-3</v>
      </c>
      <c r="BC117">
        <v>7.6099999999999996E-3</v>
      </c>
      <c r="BD117">
        <v>7.6099999999999996E-3</v>
      </c>
      <c r="BE117">
        <v>1.025E-2</v>
      </c>
      <c r="BF117">
        <v>1.025E-2</v>
      </c>
      <c r="BG117">
        <v>1.025E-2</v>
      </c>
      <c r="BH117">
        <v>1.025E-2</v>
      </c>
      <c r="BI117">
        <v>1.025E-2</v>
      </c>
      <c r="BJ117">
        <v>1.6379999999999999E-2</v>
      </c>
      <c r="BK117">
        <v>1.6379999999999999E-2</v>
      </c>
      <c r="BL117">
        <v>1.6379999999999999E-2</v>
      </c>
      <c r="BM117">
        <v>1.6379999999999999E-2</v>
      </c>
      <c r="BN117">
        <v>1.6379999999999999E-2</v>
      </c>
      <c r="BO117">
        <v>2.409E-2</v>
      </c>
      <c r="BP117">
        <v>2.409E-2</v>
      </c>
      <c r="BQ117">
        <v>2.409E-2</v>
      </c>
      <c r="BR117">
        <v>2.409E-2</v>
      </c>
      <c r="BS117">
        <v>2.409E-2</v>
      </c>
      <c r="BT117">
        <v>3.7760000000000002E-2</v>
      </c>
      <c r="BU117">
        <v>3.7760000000000002E-2</v>
      </c>
      <c r="BV117">
        <v>3.7760000000000002E-2</v>
      </c>
      <c r="BW117">
        <v>3.7760000000000002E-2</v>
      </c>
      <c r="BX117">
        <v>3.7760000000000002E-2</v>
      </c>
      <c r="BY117">
        <v>5.314E-2</v>
      </c>
      <c r="BZ117">
        <v>5.314E-2</v>
      </c>
      <c r="CA117">
        <v>5.314E-2</v>
      </c>
      <c r="CB117">
        <v>5.314E-2</v>
      </c>
      <c r="CC117">
        <v>5.314E-2</v>
      </c>
      <c r="CD117">
        <v>7.4039999999999995E-2</v>
      </c>
      <c r="CE117">
        <v>7.4039999999999995E-2</v>
      </c>
      <c r="CF117">
        <v>7.4039999999999995E-2</v>
      </c>
      <c r="CG117">
        <v>7.4039999999999995E-2</v>
      </c>
      <c r="CH117">
        <v>7.4039999999999995E-2</v>
      </c>
      <c r="CI117">
        <v>0.10742</v>
      </c>
      <c r="CJ117">
        <v>0.10742</v>
      </c>
      <c r="CK117">
        <v>0.10742</v>
      </c>
      <c r="CL117">
        <v>0.10742</v>
      </c>
      <c r="CM117">
        <v>0.10742</v>
      </c>
      <c r="CN117">
        <v>0.16228000000000001</v>
      </c>
      <c r="CO117">
        <v>0.16228000000000001</v>
      </c>
      <c r="CP117">
        <v>0.16228000000000001</v>
      </c>
      <c r="CQ117">
        <v>0.16228000000000001</v>
      </c>
      <c r="CR117">
        <v>0.16228000000000001</v>
      </c>
      <c r="CS117">
        <v>0.25528000000000001</v>
      </c>
      <c r="CT117">
        <v>0.25528000000000001</v>
      </c>
      <c r="CU117">
        <v>0.25528000000000001</v>
      </c>
      <c r="CV117">
        <v>0.25528000000000001</v>
      </c>
      <c r="CW117">
        <v>0.25528000000000001</v>
      </c>
      <c r="CX117">
        <v>1</v>
      </c>
    </row>
    <row r="118" spans="1:102" x14ac:dyDescent="0.25">
      <c r="A118" t="s">
        <v>301</v>
      </c>
      <c r="B118">
        <v>6.0600000000000003E-3</v>
      </c>
      <c r="C118">
        <v>1.9000000000000001E-4</v>
      </c>
      <c r="D118">
        <v>1.9000000000000001E-4</v>
      </c>
      <c r="E118">
        <v>1.9000000000000001E-4</v>
      </c>
      <c r="F118">
        <v>1.9000000000000001E-4</v>
      </c>
      <c r="G118">
        <v>1.6000000000000001E-4</v>
      </c>
      <c r="H118">
        <v>1.6000000000000001E-4</v>
      </c>
      <c r="I118">
        <v>1.6000000000000001E-4</v>
      </c>
      <c r="J118">
        <v>1.6000000000000001E-4</v>
      </c>
      <c r="K118">
        <v>1.6000000000000001E-4</v>
      </c>
      <c r="L118">
        <v>1E-4</v>
      </c>
      <c r="M118">
        <v>1E-4</v>
      </c>
      <c r="N118">
        <v>1E-4</v>
      </c>
      <c r="O118">
        <v>1E-4</v>
      </c>
      <c r="P118">
        <v>1E-4</v>
      </c>
      <c r="Q118">
        <v>2.5000000000000001E-4</v>
      </c>
      <c r="R118">
        <v>2.5000000000000001E-4</v>
      </c>
      <c r="S118">
        <v>2.5000000000000001E-4</v>
      </c>
      <c r="T118">
        <v>2.5000000000000001E-4</v>
      </c>
      <c r="U118">
        <v>2.5000000000000001E-4</v>
      </c>
      <c r="V118">
        <v>3.5E-4</v>
      </c>
      <c r="W118">
        <v>3.5E-4</v>
      </c>
      <c r="X118">
        <v>3.5E-4</v>
      </c>
      <c r="Y118">
        <v>3.5E-4</v>
      </c>
      <c r="Z118">
        <v>3.5E-4</v>
      </c>
      <c r="AA118">
        <v>2.7E-4</v>
      </c>
      <c r="AB118">
        <v>2.7E-4</v>
      </c>
      <c r="AC118">
        <v>2.7E-4</v>
      </c>
      <c r="AD118">
        <v>2.7E-4</v>
      </c>
      <c r="AE118">
        <v>2.7E-4</v>
      </c>
      <c r="AF118">
        <v>6.2E-4</v>
      </c>
      <c r="AG118">
        <v>6.2E-4</v>
      </c>
      <c r="AH118">
        <v>6.2E-4</v>
      </c>
      <c r="AI118">
        <v>6.2E-4</v>
      </c>
      <c r="AJ118">
        <v>6.2E-4</v>
      </c>
      <c r="AK118">
        <v>8.0999999999999996E-4</v>
      </c>
      <c r="AL118">
        <v>8.0999999999999996E-4</v>
      </c>
      <c r="AM118">
        <v>8.0999999999999996E-4</v>
      </c>
      <c r="AN118">
        <v>8.0999999999999996E-4</v>
      </c>
      <c r="AO118">
        <v>8.0999999999999996E-4</v>
      </c>
      <c r="AP118">
        <v>1.5100000000000001E-3</v>
      </c>
      <c r="AQ118">
        <v>1.5100000000000001E-3</v>
      </c>
      <c r="AR118">
        <v>1.5100000000000001E-3</v>
      </c>
      <c r="AS118">
        <v>1.5100000000000001E-3</v>
      </c>
      <c r="AT118">
        <v>1.5100000000000001E-3</v>
      </c>
      <c r="AU118">
        <v>2.64E-3</v>
      </c>
      <c r="AV118">
        <v>2.64E-3</v>
      </c>
      <c r="AW118">
        <v>2.64E-3</v>
      </c>
      <c r="AX118">
        <v>2.64E-3</v>
      </c>
      <c r="AY118">
        <v>2.64E-3</v>
      </c>
      <c r="AZ118">
        <v>4.4900000000000001E-3</v>
      </c>
      <c r="BA118">
        <v>4.4900000000000001E-3</v>
      </c>
      <c r="BB118">
        <v>4.4900000000000001E-3</v>
      </c>
      <c r="BC118">
        <v>4.4900000000000001E-3</v>
      </c>
      <c r="BD118">
        <v>4.4900000000000001E-3</v>
      </c>
      <c r="BE118">
        <v>6.8500000000000002E-3</v>
      </c>
      <c r="BF118">
        <v>6.8500000000000002E-3</v>
      </c>
      <c r="BG118">
        <v>6.8500000000000002E-3</v>
      </c>
      <c r="BH118">
        <v>6.8500000000000002E-3</v>
      </c>
      <c r="BI118">
        <v>6.8500000000000002E-3</v>
      </c>
      <c r="BJ118">
        <v>1.061E-2</v>
      </c>
      <c r="BK118">
        <v>1.061E-2</v>
      </c>
      <c r="BL118">
        <v>1.061E-2</v>
      </c>
      <c r="BM118">
        <v>1.061E-2</v>
      </c>
      <c r="BN118">
        <v>1.061E-2</v>
      </c>
      <c r="BO118">
        <v>1.6639999999999999E-2</v>
      </c>
      <c r="BP118">
        <v>1.6639999999999999E-2</v>
      </c>
      <c r="BQ118">
        <v>1.6639999999999999E-2</v>
      </c>
      <c r="BR118">
        <v>1.6639999999999999E-2</v>
      </c>
      <c r="BS118">
        <v>1.6639999999999999E-2</v>
      </c>
      <c r="BT118">
        <v>3.006E-2</v>
      </c>
      <c r="BU118">
        <v>3.006E-2</v>
      </c>
      <c r="BV118">
        <v>3.006E-2</v>
      </c>
      <c r="BW118">
        <v>3.006E-2</v>
      </c>
      <c r="BX118">
        <v>3.006E-2</v>
      </c>
      <c r="BY118">
        <v>5.6059999999999999E-2</v>
      </c>
      <c r="BZ118">
        <v>5.6059999999999999E-2</v>
      </c>
      <c r="CA118">
        <v>5.6059999999999999E-2</v>
      </c>
      <c r="CB118">
        <v>5.6059999999999999E-2</v>
      </c>
      <c r="CC118">
        <v>5.6059999999999999E-2</v>
      </c>
      <c r="CD118">
        <v>0.10846</v>
      </c>
      <c r="CE118">
        <v>0.10846</v>
      </c>
      <c r="CF118">
        <v>0.10846</v>
      </c>
      <c r="CG118">
        <v>0.10846</v>
      </c>
      <c r="CH118">
        <v>0.10846</v>
      </c>
      <c r="CI118">
        <v>0.19098000000000001</v>
      </c>
      <c r="CJ118">
        <v>0.19098000000000001</v>
      </c>
      <c r="CK118">
        <v>0.19098000000000001</v>
      </c>
      <c r="CL118">
        <v>0.19098000000000001</v>
      </c>
      <c r="CM118">
        <v>0.19098000000000001</v>
      </c>
      <c r="CN118">
        <v>0.30608000000000002</v>
      </c>
      <c r="CO118">
        <v>0.30608000000000002</v>
      </c>
      <c r="CP118">
        <v>0.30608000000000002</v>
      </c>
      <c r="CQ118">
        <v>0.30608000000000002</v>
      </c>
      <c r="CR118">
        <v>0.30608000000000002</v>
      </c>
      <c r="CS118">
        <v>0.44645000000000001</v>
      </c>
      <c r="CT118">
        <v>0.44645000000000001</v>
      </c>
      <c r="CU118">
        <v>0.44645000000000001</v>
      </c>
      <c r="CV118">
        <v>0.44645000000000001</v>
      </c>
      <c r="CW118">
        <v>0.44645000000000001</v>
      </c>
      <c r="CX118">
        <v>1</v>
      </c>
    </row>
    <row r="119" spans="1:102" x14ac:dyDescent="0.25">
      <c r="A119" t="s">
        <v>303</v>
      </c>
      <c r="B119">
        <v>2.845E-2</v>
      </c>
      <c r="C119">
        <v>1.4599999999999999E-3</v>
      </c>
      <c r="D119">
        <v>1.4599999999999999E-3</v>
      </c>
      <c r="E119">
        <v>1.4599999999999999E-3</v>
      </c>
      <c r="F119">
        <v>1.4599999999999999E-3</v>
      </c>
      <c r="G119">
        <v>4.0999999999999999E-4</v>
      </c>
      <c r="H119">
        <v>4.0999999999999999E-4</v>
      </c>
      <c r="I119">
        <v>4.0999999999999999E-4</v>
      </c>
      <c r="J119">
        <v>4.0999999999999999E-4</v>
      </c>
      <c r="K119">
        <v>4.0999999999999999E-4</v>
      </c>
      <c r="L119">
        <v>2.7E-4</v>
      </c>
      <c r="M119">
        <v>2.7E-4</v>
      </c>
      <c r="N119">
        <v>2.7E-4</v>
      </c>
      <c r="O119">
        <v>2.7E-4</v>
      </c>
      <c r="P119">
        <v>2.7E-4</v>
      </c>
      <c r="Q119">
        <v>3.5E-4</v>
      </c>
      <c r="R119">
        <v>3.5E-4</v>
      </c>
      <c r="S119">
        <v>3.5E-4</v>
      </c>
      <c r="T119">
        <v>3.5E-4</v>
      </c>
      <c r="U119">
        <v>3.5E-4</v>
      </c>
      <c r="V119">
        <v>4.4999999999999999E-4</v>
      </c>
      <c r="W119">
        <v>4.4999999999999999E-4</v>
      </c>
      <c r="X119">
        <v>4.4999999999999999E-4</v>
      </c>
      <c r="Y119">
        <v>4.4999999999999999E-4</v>
      </c>
      <c r="Z119">
        <v>4.4999999999999999E-4</v>
      </c>
      <c r="AA119">
        <v>5.9000000000000003E-4</v>
      </c>
      <c r="AB119">
        <v>5.9000000000000003E-4</v>
      </c>
      <c r="AC119">
        <v>5.9000000000000003E-4</v>
      </c>
      <c r="AD119">
        <v>5.9000000000000003E-4</v>
      </c>
      <c r="AE119">
        <v>5.9000000000000003E-4</v>
      </c>
      <c r="AF119">
        <v>7.9000000000000001E-4</v>
      </c>
      <c r="AG119">
        <v>7.9000000000000001E-4</v>
      </c>
      <c r="AH119">
        <v>7.9000000000000001E-4</v>
      </c>
      <c r="AI119">
        <v>7.9000000000000001E-4</v>
      </c>
      <c r="AJ119">
        <v>7.9000000000000001E-4</v>
      </c>
      <c r="AK119">
        <v>1.1199999999999999E-3</v>
      </c>
      <c r="AL119">
        <v>1.1199999999999999E-3</v>
      </c>
      <c r="AM119">
        <v>1.1199999999999999E-3</v>
      </c>
      <c r="AN119">
        <v>1.1199999999999999E-3</v>
      </c>
      <c r="AO119">
        <v>1.1199999999999999E-3</v>
      </c>
      <c r="AP119">
        <v>1.67E-3</v>
      </c>
      <c r="AQ119">
        <v>1.67E-3</v>
      </c>
      <c r="AR119">
        <v>1.67E-3</v>
      </c>
      <c r="AS119">
        <v>1.67E-3</v>
      </c>
      <c r="AT119">
        <v>1.67E-3</v>
      </c>
      <c r="AU119">
        <v>2.6199999999999999E-3</v>
      </c>
      <c r="AV119">
        <v>2.6199999999999999E-3</v>
      </c>
      <c r="AW119">
        <v>2.6199999999999999E-3</v>
      </c>
      <c r="AX119">
        <v>2.6199999999999999E-3</v>
      </c>
      <c r="AY119">
        <v>2.6199999999999999E-3</v>
      </c>
      <c r="AZ119">
        <v>4.1000000000000003E-3</v>
      </c>
      <c r="BA119">
        <v>4.1000000000000003E-3</v>
      </c>
      <c r="BB119">
        <v>4.1000000000000003E-3</v>
      </c>
      <c r="BC119">
        <v>4.1000000000000003E-3</v>
      </c>
      <c r="BD119">
        <v>4.1000000000000003E-3</v>
      </c>
      <c r="BE119">
        <v>6.5100000000000002E-3</v>
      </c>
      <c r="BF119">
        <v>6.5100000000000002E-3</v>
      </c>
      <c r="BG119">
        <v>6.5100000000000002E-3</v>
      </c>
      <c r="BH119">
        <v>6.5100000000000002E-3</v>
      </c>
      <c r="BI119">
        <v>6.5100000000000002E-3</v>
      </c>
      <c r="BJ119">
        <v>1.059E-2</v>
      </c>
      <c r="BK119">
        <v>1.059E-2</v>
      </c>
      <c r="BL119">
        <v>1.059E-2</v>
      </c>
      <c r="BM119">
        <v>1.059E-2</v>
      </c>
      <c r="BN119">
        <v>1.059E-2</v>
      </c>
      <c r="BO119">
        <v>1.8550000000000001E-2</v>
      </c>
      <c r="BP119">
        <v>1.8550000000000001E-2</v>
      </c>
      <c r="BQ119">
        <v>1.8550000000000001E-2</v>
      </c>
      <c r="BR119">
        <v>1.8550000000000001E-2</v>
      </c>
      <c r="BS119">
        <v>1.8550000000000001E-2</v>
      </c>
      <c r="BT119">
        <v>3.3779999999999998E-2</v>
      </c>
      <c r="BU119">
        <v>3.3779999999999998E-2</v>
      </c>
      <c r="BV119">
        <v>3.3779999999999998E-2</v>
      </c>
      <c r="BW119">
        <v>3.3779999999999998E-2</v>
      </c>
      <c r="BX119">
        <v>3.3779999999999998E-2</v>
      </c>
      <c r="BY119">
        <v>6.166E-2</v>
      </c>
      <c r="BZ119">
        <v>6.166E-2</v>
      </c>
      <c r="CA119">
        <v>6.166E-2</v>
      </c>
      <c r="CB119">
        <v>6.166E-2</v>
      </c>
      <c r="CC119">
        <v>6.166E-2</v>
      </c>
      <c r="CD119">
        <v>0.10874</v>
      </c>
      <c r="CE119">
        <v>0.10874</v>
      </c>
      <c r="CF119">
        <v>0.10874</v>
      </c>
      <c r="CG119">
        <v>0.10874</v>
      </c>
      <c r="CH119">
        <v>0.10874</v>
      </c>
      <c r="CI119">
        <v>0.18007000000000001</v>
      </c>
      <c r="CJ119">
        <v>0.18007000000000001</v>
      </c>
      <c r="CK119">
        <v>0.18007000000000001</v>
      </c>
      <c r="CL119">
        <v>0.18007000000000001</v>
      </c>
      <c r="CM119">
        <v>0.18007000000000001</v>
      </c>
      <c r="CN119">
        <v>0.28000000000000003</v>
      </c>
      <c r="CO119">
        <v>0.28000000000000003</v>
      </c>
      <c r="CP119">
        <v>0.28000000000000003</v>
      </c>
      <c r="CQ119">
        <v>0.28000000000000003</v>
      </c>
      <c r="CR119">
        <v>0.28000000000000003</v>
      </c>
      <c r="CS119">
        <v>0.40883999999999998</v>
      </c>
      <c r="CT119">
        <v>0.40883999999999998</v>
      </c>
      <c r="CU119">
        <v>0.40883999999999998</v>
      </c>
      <c r="CV119">
        <v>0.40883999999999998</v>
      </c>
      <c r="CW119">
        <v>0.40883999999999998</v>
      </c>
      <c r="CX119">
        <v>1</v>
      </c>
    </row>
    <row r="120" spans="1:102" x14ac:dyDescent="0.25">
      <c r="A120" t="s">
        <v>305</v>
      </c>
      <c r="B120">
        <v>9.9349999999999994E-2</v>
      </c>
      <c r="C120">
        <v>1.3390000000000001E-2</v>
      </c>
      <c r="D120">
        <v>1.3390000000000001E-2</v>
      </c>
      <c r="E120">
        <v>1.3390000000000001E-2</v>
      </c>
      <c r="F120">
        <v>1.3390000000000001E-2</v>
      </c>
      <c r="G120">
        <v>3.1800000000000001E-3</v>
      </c>
      <c r="H120">
        <v>3.1800000000000001E-3</v>
      </c>
      <c r="I120">
        <v>3.1800000000000001E-3</v>
      </c>
      <c r="J120">
        <v>3.1800000000000001E-3</v>
      </c>
      <c r="K120">
        <v>3.1800000000000001E-3</v>
      </c>
      <c r="L120">
        <v>2.0300000000000001E-3</v>
      </c>
      <c r="M120">
        <v>2.0300000000000001E-3</v>
      </c>
      <c r="N120">
        <v>2.0300000000000001E-3</v>
      </c>
      <c r="O120">
        <v>2.0300000000000001E-3</v>
      </c>
      <c r="P120">
        <v>2.0300000000000001E-3</v>
      </c>
      <c r="Q120">
        <v>2.7399999999999998E-3</v>
      </c>
      <c r="R120">
        <v>2.7399999999999998E-3</v>
      </c>
      <c r="S120">
        <v>2.7399999999999998E-3</v>
      </c>
      <c r="T120">
        <v>2.7399999999999998E-3</v>
      </c>
      <c r="U120">
        <v>2.7399999999999998E-3</v>
      </c>
      <c r="V120">
        <v>7.0299999999999998E-3</v>
      </c>
      <c r="W120">
        <v>7.0299999999999998E-3</v>
      </c>
      <c r="X120">
        <v>7.0299999999999998E-3</v>
      </c>
      <c r="Y120">
        <v>7.0299999999999998E-3</v>
      </c>
      <c r="Z120">
        <v>7.0299999999999998E-3</v>
      </c>
      <c r="AA120">
        <v>1.273E-2</v>
      </c>
      <c r="AB120">
        <v>1.273E-2</v>
      </c>
      <c r="AC120">
        <v>1.273E-2</v>
      </c>
      <c r="AD120">
        <v>1.273E-2</v>
      </c>
      <c r="AE120">
        <v>1.273E-2</v>
      </c>
      <c r="AF120">
        <v>1.4930000000000001E-2</v>
      </c>
      <c r="AG120">
        <v>1.4930000000000001E-2</v>
      </c>
      <c r="AH120">
        <v>1.4930000000000001E-2</v>
      </c>
      <c r="AI120">
        <v>1.4930000000000001E-2</v>
      </c>
      <c r="AJ120">
        <v>1.4930000000000001E-2</v>
      </c>
      <c r="AK120">
        <v>1.4449999999999999E-2</v>
      </c>
      <c r="AL120">
        <v>1.4449999999999999E-2</v>
      </c>
      <c r="AM120">
        <v>1.4449999999999999E-2</v>
      </c>
      <c r="AN120">
        <v>1.4449999999999999E-2</v>
      </c>
      <c r="AO120">
        <v>1.4449999999999999E-2</v>
      </c>
      <c r="AP120">
        <v>1.354E-2</v>
      </c>
      <c r="AQ120">
        <v>1.354E-2</v>
      </c>
      <c r="AR120">
        <v>1.354E-2</v>
      </c>
      <c r="AS120">
        <v>1.354E-2</v>
      </c>
      <c r="AT120">
        <v>1.354E-2</v>
      </c>
      <c r="AU120">
        <v>1.3390000000000001E-2</v>
      </c>
      <c r="AV120">
        <v>1.3390000000000001E-2</v>
      </c>
      <c r="AW120">
        <v>1.3390000000000001E-2</v>
      </c>
      <c r="AX120">
        <v>1.3390000000000001E-2</v>
      </c>
      <c r="AY120">
        <v>1.3390000000000001E-2</v>
      </c>
      <c r="AZ120">
        <v>1.5219999999999999E-2</v>
      </c>
      <c r="BA120">
        <v>1.5219999999999999E-2</v>
      </c>
      <c r="BB120">
        <v>1.5219999999999999E-2</v>
      </c>
      <c r="BC120">
        <v>1.5219999999999999E-2</v>
      </c>
      <c r="BD120">
        <v>1.5219999999999999E-2</v>
      </c>
      <c r="BE120">
        <v>1.9650000000000001E-2</v>
      </c>
      <c r="BF120">
        <v>1.9650000000000001E-2</v>
      </c>
      <c r="BG120">
        <v>1.9650000000000001E-2</v>
      </c>
      <c r="BH120">
        <v>1.9650000000000001E-2</v>
      </c>
      <c r="BI120">
        <v>1.9650000000000001E-2</v>
      </c>
      <c r="BJ120">
        <v>2.5610000000000001E-2</v>
      </c>
      <c r="BK120">
        <v>2.5610000000000001E-2</v>
      </c>
      <c r="BL120">
        <v>2.5610000000000001E-2</v>
      </c>
      <c r="BM120">
        <v>2.5610000000000001E-2</v>
      </c>
      <c r="BN120">
        <v>2.5610000000000001E-2</v>
      </c>
      <c r="BO120">
        <v>3.918E-2</v>
      </c>
      <c r="BP120">
        <v>3.918E-2</v>
      </c>
      <c r="BQ120">
        <v>3.918E-2</v>
      </c>
      <c r="BR120">
        <v>3.918E-2</v>
      </c>
      <c r="BS120">
        <v>3.918E-2</v>
      </c>
      <c r="BT120">
        <v>6.1179999999999998E-2</v>
      </c>
      <c r="BU120">
        <v>6.1179999999999998E-2</v>
      </c>
      <c r="BV120">
        <v>6.1179999999999998E-2</v>
      </c>
      <c r="BW120">
        <v>6.1179999999999998E-2</v>
      </c>
      <c r="BX120">
        <v>6.1179999999999998E-2</v>
      </c>
      <c r="BY120">
        <v>9.4659999999999994E-2</v>
      </c>
      <c r="BZ120">
        <v>9.4659999999999994E-2</v>
      </c>
      <c r="CA120">
        <v>9.4659999999999994E-2</v>
      </c>
      <c r="CB120">
        <v>9.4659999999999994E-2</v>
      </c>
      <c r="CC120">
        <v>9.4659999999999994E-2</v>
      </c>
      <c r="CD120">
        <v>0.14387</v>
      </c>
      <c r="CE120">
        <v>0.14387</v>
      </c>
      <c r="CF120">
        <v>0.14387</v>
      </c>
      <c r="CG120">
        <v>0.14387</v>
      </c>
      <c r="CH120">
        <v>0.14387</v>
      </c>
      <c r="CI120">
        <v>0.21229000000000001</v>
      </c>
      <c r="CJ120">
        <v>0.21229000000000001</v>
      </c>
      <c r="CK120">
        <v>0.21229000000000001</v>
      </c>
      <c r="CL120">
        <v>0.21229000000000001</v>
      </c>
      <c r="CM120">
        <v>0.21229000000000001</v>
      </c>
      <c r="CN120">
        <v>0.30447999999999997</v>
      </c>
      <c r="CO120">
        <v>0.30447999999999997</v>
      </c>
      <c r="CP120">
        <v>0.30447999999999997</v>
      </c>
      <c r="CQ120">
        <v>0.30447999999999997</v>
      </c>
      <c r="CR120">
        <v>0.30447999999999997</v>
      </c>
      <c r="CS120">
        <v>0.42419000000000001</v>
      </c>
      <c r="CT120">
        <v>0.42419000000000001</v>
      </c>
      <c r="CU120">
        <v>0.42419000000000001</v>
      </c>
      <c r="CV120">
        <v>0.42419000000000001</v>
      </c>
      <c r="CW120">
        <v>0.42419000000000001</v>
      </c>
      <c r="CX120">
        <v>1</v>
      </c>
    </row>
    <row r="121" spans="1:102" x14ac:dyDescent="0.25">
      <c r="A121" t="s">
        <v>307</v>
      </c>
      <c r="B121">
        <v>4.8430000000000001E-2</v>
      </c>
      <c r="C121">
        <v>4.3E-3</v>
      </c>
      <c r="D121">
        <v>4.3E-3</v>
      </c>
      <c r="E121">
        <v>4.3E-3</v>
      </c>
      <c r="F121">
        <v>4.3E-3</v>
      </c>
      <c r="G121">
        <v>1.16E-3</v>
      </c>
      <c r="H121">
        <v>1.16E-3</v>
      </c>
      <c r="I121">
        <v>1.16E-3</v>
      </c>
      <c r="J121">
        <v>1.16E-3</v>
      </c>
      <c r="K121">
        <v>1.16E-3</v>
      </c>
      <c r="L121">
        <v>7.7999999999999999E-4</v>
      </c>
      <c r="M121">
        <v>7.7999999999999999E-4</v>
      </c>
      <c r="N121">
        <v>7.7999999999999999E-4</v>
      </c>
      <c r="O121">
        <v>7.7999999999999999E-4</v>
      </c>
      <c r="P121">
        <v>7.7999999999999999E-4</v>
      </c>
      <c r="Q121">
        <v>1.17E-3</v>
      </c>
      <c r="R121">
        <v>1.17E-3</v>
      </c>
      <c r="S121">
        <v>1.17E-3</v>
      </c>
      <c r="T121">
        <v>1.17E-3</v>
      </c>
      <c r="U121">
        <v>1.17E-3</v>
      </c>
      <c r="V121">
        <v>1.6800000000000001E-3</v>
      </c>
      <c r="W121">
        <v>1.6800000000000001E-3</v>
      </c>
      <c r="X121">
        <v>1.6800000000000001E-3</v>
      </c>
      <c r="Y121">
        <v>1.6800000000000001E-3</v>
      </c>
      <c r="Z121">
        <v>1.6800000000000001E-3</v>
      </c>
      <c r="AA121">
        <v>2.1700000000000001E-3</v>
      </c>
      <c r="AB121">
        <v>2.1700000000000001E-3</v>
      </c>
      <c r="AC121">
        <v>2.1700000000000001E-3</v>
      </c>
      <c r="AD121">
        <v>2.1700000000000001E-3</v>
      </c>
      <c r="AE121">
        <v>2.1700000000000001E-3</v>
      </c>
      <c r="AF121">
        <v>2.6700000000000001E-3</v>
      </c>
      <c r="AG121">
        <v>2.6700000000000001E-3</v>
      </c>
      <c r="AH121">
        <v>2.6700000000000001E-3</v>
      </c>
      <c r="AI121">
        <v>2.6700000000000001E-3</v>
      </c>
      <c r="AJ121">
        <v>2.6700000000000001E-3</v>
      </c>
      <c r="AK121">
        <v>3.29E-3</v>
      </c>
      <c r="AL121">
        <v>3.29E-3</v>
      </c>
      <c r="AM121">
        <v>3.29E-3</v>
      </c>
      <c r="AN121">
        <v>3.29E-3</v>
      </c>
      <c r="AO121">
        <v>3.29E-3</v>
      </c>
      <c r="AP121">
        <v>4.2599999999999999E-3</v>
      </c>
      <c r="AQ121">
        <v>4.2599999999999999E-3</v>
      </c>
      <c r="AR121">
        <v>4.2599999999999999E-3</v>
      </c>
      <c r="AS121">
        <v>4.2599999999999999E-3</v>
      </c>
      <c r="AT121">
        <v>4.2599999999999999E-3</v>
      </c>
      <c r="AU121">
        <v>5.8199999999999997E-3</v>
      </c>
      <c r="AV121">
        <v>5.8199999999999997E-3</v>
      </c>
      <c r="AW121">
        <v>5.8199999999999997E-3</v>
      </c>
      <c r="AX121">
        <v>5.8199999999999997E-3</v>
      </c>
      <c r="AY121">
        <v>5.8199999999999997E-3</v>
      </c>
      <c r="AZ121">
        <v>8.2900000000000005E-3</v>
      </c>
      <c r="BA121">
        <v>8.2900000000000005E-3</v>
      </c>
      <c r="BB121">
        <v>8.2900000000000005E-3</v>
      </c>
      <c r="BC121">
        <v>8.2900000000000005E-3</v>
      </c>
      <c r="BD121">
        <v>8.2900000000000005E-3</v>
      </c>
      <c r="BE121">
        <v>1.226E-2</v>
      </c>
      <c r="BF121">
        <v>1.226E-2</v>
      </c>
      <c r="BG121">
        <v>1.226E-2</v>
      </c>
      <c r="BH121">
        <v>1.226E-2</v>
      </c>
      <c r="BI121">
        <v>1.226E-2</v>
      </c>
      <c r="BJ121">
        <v>1.8089999999999998E-2</v>
      </c>
      <c r="BK121">
        <v>1.8089999999999998E-2</v>
      </c>
      <c r="BL121">
        <v>1.8089999999999998E-2</v>
      </c>
      <c r="BM121">
        <v>1.8089999999999998E-2</v>
      </c>
      <c r="BN121">
        <v>1.8089999999999998E-2</v>
      </c>
      <c r="BO121">
        <v>2.9319999999999999E-2</v>
      </c>
      <c r="BP121">
        <v>2.9319999999999999E-2</v>
      </c>
      <c r="BQ121">
        <v>2.9319999999999999E-2</v>
      </c>
      <c r="BR121">
        <v>2.9319999999999999E-2</v>
      </c>
      <c r="BS121">
        <v>2.9319999999999999E-2</v>
      </c>
      <c r="BT121">
        <v>4.8930000000000001E-2</v>
      </c>
      <c r="BU121">
        <v>4.8930000000000001E-2</v>
      </c>
      <c r="BV121">
        <v>4.8930000000000001E-2</v>
      </c>
      <c r="BW121">
        <v>4.8930000000000001E-2</v>
      </c>
      <c r="BX121">
        <v>4.8930000000000001E-2</v>
      </c>
      <c r="BY121">
        <v>8.0670000000000006E-2</v>
      </c>
      <c r="BZ121">
        <v>8.0670000000000006E-2</v>
      </c>
      <c r="CA121">
        <v>8.0670000000000006E-2</v>
      </c>
      <c r="CB121">
        <v>8.0670000000000006E-2</v>
      </c>
      <c r="CC121">
        <v>8.0670000000000006E-2</v>
      </c>
      <c r="CD121">
        <v>0.12948999999999999</v>
      </c>
      <c r="CE121">
        <v>0.12948999999999999</v>
      </c>
      <c r="CF121">
        <v>0.12948999999999999</v>
      </c>
      <c r="CG121">
        <v>0.12948999999999999</v>
      </c>
      <c r="CH121">
        <v>0.12948999999999999</v>
      </c>
      <c r="CI121">
        <v>0.19939999999999999</v>
      </c>
      <c r="CJ121">
        <v>0.19939999999999999</v>
      </c>
      <c r="CK121">
        <v>0.19939999999999999</v>
      </c>
      <c r="CL121">
        <v>0.19939999999999999</v>
      </c>
      <c r="CM121">
        <v>0.19939999999999999</v>
      </c>
      <c r="CN121">
        <v>0.29459000000000002</v>
      </c>
      <c r="CO121">
        <v>0.29459000000000002</v>
      </c>
      <c r="CP121">
        <v>0.29459000000000002</v>
      </c>
      <c r="CQ121">
        <v>0.29459000000000002</v>
      </c>
      <c r="CR121">
        <v>0.29459000000000002</v>
      </c>
      <c r="CS121">
        <v>0.41754999999999998</v>
      </c>
      <c r="CT121">
        <v>0.41754999999999998</v>
      </c>
      <c r="CU121">
        <v>0.41754999999999998</v>
      </c>
      <c r="CV121">
        <v>0.41754999999999998</v>
      </c>
      <c r="CW121">
        <v>0.41754999999999998</v>
      </c>
      <c r="CX121">
        <v>1</v>
      </c>
    </row>
    <row r="122" spans="1:102" x14ac:dyDescent="0.25">
      <c r="A122" t="s">
        <v>309</v>
      </c>
      <c r="B122">
        <v>2.828E-2</v>
      </c>
      <c r="C122">
        <v>3.1700000000000001E-3</v>
      </c>
      <c r="D122">
        <v>3.1700000000000001E-3</v>
      </c>
      <c r="E122">
        <v>3.1700000000000001E-3</v>
      </c>
      <c r="F122">
        <v>3.1700000000000001E-3</v>
      </c>
      <c r="G122">
        <v>1.2199999999999999E-3</v>
      </c>
      <c r="H122">
        <v>1.2199999999999999E-3</v>
      </c>
      <c r="I122">
        <v>1.2199999999999999E-3</v>
      </c>
      <c r="J122">
        <v>1.2199999999999999E-3</v>
      </c>
      <c r="K122">
        <v>1.2199999999999999E-3</v>
      </c>
      <c r="L122">
        <v>9.7999999999999997E-4</v>
      </c>
      <c r="M122">
        <v>9.7999999999999997E-4</v>
      </c>
      <c r="N122">
        <v>9.7999999999999997E-4</v>
      </c>
      <c r="O122">
        <v>9.7999999999999997E-4</v>
      </c>
      <c r="P122">
        <v>9.7999999999999997E-4</v>
      </c>
      <c r="Q122">
        <v>1.1900000000000001E-3</v>
      </c>
      <c r="R122">
        <v>1.1900000000000001E-3</v>
      </c>
      <c r="S122">
        <v>1.1900000000000001E-3</v>
      </c>
      <c r="T122">
        <v>1.1900000000000001E-3</v>
      </c>
      <c r="U122">
        <v>1.1900000000000001E-3</v>
      </c>
      <c r="V122">
        <v>3.2299999999999998E-3</v>
      </c>
      <c r="W122">
        <v>3.2299999999999998E-3</v>
      </c>
      <c r="X122">
        <v>3.2299999999999998E-3</v>
      </c>
      <c r="Y122">
        <v>3.2299999999999998E-3</v>
      </c>
      <c r="Z122">
        <v>3.2299999999999998E-3</v>
      </c>
      <c r="AA122">
        <v>8.9200000000000008E-3</v>
      </c>
      <c r="AB122">
        <v>8.9200000000000008E-3</v>
      </c>
      <c r="AC122">
        <v>8.9200000000000008E-3</v>
      </c>
      <c r="AD122">
        <v>8.9200000000000008E-3</v>
      </c>
      <c r="AE122">
        <v>8.9200000000000008E-3</v>
      </c>
      <c r="AF122">
        <v>1.295E-2</v>
      </c>
      <c r="AG122">
        <v>1.295E-2</v>
      </c>
      <c r="AH122">
        <v>1.295E-2</v>
      </c>
      <c r="AI122">
        <v>1.295E-2</v>
      </c>
      <c r="AJ122">
        <v>1.295E-2</v>
      </c>
      <c r="AK122">
        <v>1.341E-2</v>
      </c>
      <c r="AL122">
        <v>1.341E-2</v>
      </c>
      <c r="AM122">
        <v>1.341E-2</v>
      </c>
      <c r="AN122">
        <v>1.341E-2</v>
      </c>
      <c r="AO122">
        <v>1.341E-2</v>
      </c>
      <c r="AP122">
        <v>1.1950000000000001E-2</v>
      </c>
      <c r="AQ122">
        <v>1.1950000000000001E-2</v>
      </c>
      <c r="AR122">
        <v>1.1950000000000001E-2</v>
      </c>
      <c r="AS122">
        <v>1.1950000000000001E-2</v>
      </c>
      <c r="AT122">
        <v>1.1950000000000001E-2</v>
      </c>
      <c r="AU122">
        <v>1.0789999999999999E-2</v>
      </c>
      <c r="AV122">
        <v>1.0789999999999999E-2</v>
      </c>
      <c r="AW122">
        <v>1.0789999999999999E-2</v>
      </c>
      <c r="AX122">
        <v>1.0789999999999999E-2</v>
      </c>
      <c r="AY122">
        <v>1.0789999999999999E-2</v>
      </c>
      <c r="AZ122">
        <v>1.17E-2</v>
      </c>
      <c r="BA122">
        <v>1.17E-2</v>
      </c>
      <c r="BB122">
        <v>1.17E-2</v>
      </c>
      <c r="BC122">
        <v>1.17E-2</v>
      </c>
      <c r="BD122">
        <v>1.17E-2</v>
      </c>
      <c r="BE122">
        <v>1.414E-2</v>
      </c>
      <c r="BF122">
        <v>1.414E-2</v>
      </c>
      <c r="BG122">
        <v>1.414E-2</v>
      </c>
      <c r="BH122">
        <v>1.414E-2</v>
      </c>
      <c r="BI122">
        <v>1.414E-2</v>
      </c>
      <c r="BJ122">
        <v>1.9199999999999998E-2</v>
      </c>
      <c r="BK122">
        <v>1.9199999999999998E-2</v>
      </c>
      <c r="BL122">
        <v>1.9199999999999998E-2</v>
      </c>
      <c r="BM122">
        <v>1.9199999999999998E-2</v>
      </c>
      <c r="BN122">
        <v>1.9199999999999998E-2</v>
      </c>
      <c r="BO122">
        <v>2.852E-2</v>
      </c>
      <c r="BP122">
        <v>2.852E-2</v>
      </c>
      <c r="BQ122">
        <v>2.852E-2</v>
      </c>
      <c r="BR122">
        <v>2.852E-2</v>
      </c>
      <c r="BS122">
        <v>2.852E-2</v>
      </c>
      <c r="BT122">
        <v>4.5170000000000002E-2</v>
      </c>
      <c r="BU122">
        <v>4.5170000000000002E-2</v>
      </c>
      <c r="BV122">
        <v>4.5170000000000002E-2</v>
      </c>
      <c r="BW122">
        <v>4.5170000000000002E-2</v>
      </c>
      <c r="BX122">
        <v>4.5170000000000002E-2</v>
      </c>
      <c r="BY122">
        <v>7.2870000000000004E-2</v>
      </c>
      <c r="BZ122">
        <v>7.2870000000000004E-2</v>
      </c>
      <c r="CA122">
        <v>7.2870000000000004E-2</v>
      </c>
      <c r="CB122">
        <v>7.2870000000000004E-2</v>
      </c>
      <c r="CC122">
        <v>7.2870000000000004E-2</v>
      </c>
      <c r="CD122">
        <v>0.11947000000000001</v>
      </c>
      <c r="CE122">
        <v>0.11947000000000001</v>
      </c>
      <c r="CF122">
        <v>0.11947000000000001</v>
      </c>
      <c r="CG122">
        <v>0.11947000000000001</v>
      </c>
      <c r="CH122">
        <v>0.11947000000000001</v>
      </c>
      <c r="CI122">
        <v>0.18744</v>
      </c>
      <c r="CJ122">
        <v>0.18744</v>
      </c>
      <c r="CK122">
        <v>0.18744</v>
      </c>
      <c r="CL122">
        <v>0.18744</v>
      </c>
      <c r="CM122">
        <v>0.18744</v>
      </c>
      <c r="CN122">
        <v>0.28159000000000001</v>
      </c>
      <c r="CO122">
        <v>0.28159000000000001</v>
      </c>
      <c r="CP122">
        <v>0.28159000000000001</v>
      </c>
      <c r="CQ122">
        <v>0.28159000000000001</v>
      </c>
      <c r="CR122">
        <v>0.28159000000000001</v>
      </c>
      <c r="CS122">
        <v>0.40478999999999998</v>
      </c>
      <c r="CT122">
        <v>0.40478999999999998</v>
      </c>
      <c r="CU122">
        <v>0.40478999999999998</v>
      </c>
      <c r="CV122">
        <v>0.40478999999999998</v>
      </c>
      <c r="CW122">
        <v>0.40478999999999998</v>
      </c>
      <c r="CX122">
        <v>1</v>
      </c>
    </row>
    <row r="123" spans="1:102" x14ac:dyDescent="0.25">
      <c r="A123" t="s">
        <v>311</v>
      </c>
      <c r="B123">
        <v>2.0693684E-2</v>
      </c>
      <c r="C123">
        <v>1.3699999999999999E-3</v>
      </c>
      <c r="D123">
        <v>1.3699999999999999E-3</v>
      </c>
      <c r="E123">
        <v>1.3699999999999999E-3</v>
      </c>
      <c r="F123">
        <v>1.3699999999999999E-3</v>
      </c>
      <c r="G123">
        <v>5.1000000000000004E-4</v>
      </c>
      <c r="H123">
        <v>5.1000000000000004E-4</v>
      </c>
      <c r="I123">
        <v>5.1000000000000004E-4</v>
      </c>
      <c r="J123">
        <v>5.1000000000000004E-4</v>
      </c>
      <c r="K123">
        <v>5.1000000000000004E-4</v>
      </c>
      <c r="L123">
        <v>5.9315799999999999E-4</v>
      </c>
      <c r="M123">
        <v>5.9315799999999999E-4</v>
      </c>
      <c r="N123">
        <v>5.9315799999999999E-4</v>
      </c>
      <c r="O123">
        <v>5.9315799999999999E-4</v>
      </c>
      <c r="P123">
        <v>5.9315799999999999E-4</v>
      </c>
      <c r="Q123">
        <v>9.81579E-4</v>
      </c>
      <c r="R123">
        <v>9.81579E-4</v>
      </c>
      <c r="S123">
        <v>9.81579E-4</v>
      </c>
      <c r="T123">
        <v>9.81579E-4</v>
      </c>
      <c r="U123">
        <v>9.81579E-4</v>
      </c>
      <c r="V123">
        <v>8.9421100000000001E-4</v>
      </c>
      <c r="W123">
        <v>8.9421100000000001E-4</v>
      </c>
      <c r="X123">
        <v>8.9421100000000001E-4</v>
      </c>
      <c r="Y123">
        <v>8.9421100000000001E-4</v>
      </c>
      <c r="Z123">
        <v>8.9421100000000001E-4</v>
      </c>
      <c r="AA123">
        <v>1.1073680000000001E-3</v>
      </c>
      <c r="AB123">
        <v>1.1073680000000001E-3</v>
      </c>
      <c r="AC123">
        <v>1.1073680000000001E-3</v>
      </c>
      <c r="AD123">
        <v>1.1073680000000001E-3</v>
      </c>
      <c r="AE123">
        <v>1.1073680000000001E-3</v>
      </c>
      <c r="AF123">
        <v>1.6073680000000001E-3</v>
      </c>
      <c r="AG123">
        <v>1.6073680000000001E-3</v>
      </c>
      <c r="AH123">
        <v>1.6073680000000001E-3</v>
      </c>
      <c r="AI123">
        <v>1.6073680000000001E-3</v>
      </c>
      <c r="AJ123">
        <v>1.6073680000000001E-3</v>
      </c>
      <c r="AK123">
        <v>1.9905259999999998E-3</v>
      </c>
      <c r="AL123">
        <v>1.9905259999999998E-3</v>
      </c>
      <c r="AM123">
        <v>1.9905259999999998E-3</v>
      </c>
      <c r="AN123">
        <v>1.9905259999999998E-3</v>
      </c>
      <c r="AO123">
        <v>1.9905259999999998E-3</v>
      </c>
      <c r="AP123">
        <v>3.283158E-3</v>
      </c>
      <c r="AQ123">
        <v>3.283158E-3</v>
      </c>
      <c r="AR123">
        <v>3.283158E-3</v>
      </c>
      <c r="AS123">
        <v>3.283158E-3</v>
      </c>
      <c r="AT123">
        <v>3.283158E-3</v>
      </c>
      <c r="AU123">
        <v>4.5542109999999998E-3</v>
      </c>
      <c r="AV123">
        <v>4.5542109999999998E-3</v>
      </c>
      <c r="AW123">
        <v>4.5542109999999998E-3</v>
      </c>
      <c r="AX123">
        <v>4.5542109999999998E-3</v>
      </c>
      <c r="AY123">
        <v>4.5542109999999998E-3</v>
      </c>
      <c r="AZ123">
        <v>6.844737E-3</v>
      </c>
      <c r="BA123">
        <v>6.844737E-3</v>
      </c>
      <c r="BB123">
        <v>6.844737E-3</v>
      </c>
      <c r="BC123">
        <v>6.844737E-3</v>
      </c>
      <c r="BD123">
        <v>6.844737E-3</v>
      </c>
      <c r="BE123">
        <v>1.0072105E-2</v>
      </c>
      <c r="BF123">
        <v>1.0072105E-2</v>
      </c>
      <c r="BG123">
        <v>1.0072105E-2</v>
      </c>
      <c r="BH123">
        <v>1.0072105E-2</v>
      </c>
      <c r="BI123">
        <v>1.0072105E-2</v>
      </c>
      <c r="BJ123">
        <v>1.6034211E-2</v>
      </c>
      <c r="BK123">
        <v>1.6034211E-2</v>
      </c>
      <c r="BL123">
        <v>1.6034211E-2</v>
      </c>
      <c r="BM123">
        <v>1.6034211E-2</v>
      </c>
      <c r="BN123">
        <v>1.6034211E-2</v>
      </c>
      <c r="BO123">
        <v>2.4366315999999999E-2</v>
      </c>
      <c r="BP123">
        <v>2.4366315999999999E-2</v>
      </c>
      <c r="BQ123">
        <v>2.4366315999999999E-2</v>
      </c>
      <c r="BR123">
        <v>2.4366315999999999E-2</v>
      </c>
      <c r="BS123">
        <v>2.4366315999999999E-2</v>
      </c>
      <c r="BT123">
        <v>3.6406842000000002E-2</v>
      </c>
      <c r="BU123">
        <v>3.6406842000000002E-2</v>
      </c>
      <c r="BV123">
        <v>3.6406842000000002E-2</v>
      </c>
      <c r="BW123">
        <v>3.6406842000000002E-2</v>
      </c>
      <c r="BX123">
        <v>3.6406842000000002E-2</v>
      </c>
      <c r="BY123">
        <v>6.3028421000000001E-2</v>
      </c>
      <c r="BZ123">
        <v>6.3028421000000001E-2</v>
      </c>
      <c r="CA123">
        <v>6.3028421000000001E-2</v>
      </c>
      <c r="CB123">
        <v>6.3028421000000001E-2</v>
      </c>
      <c r="CC123">
        <v>6.3028421000000001E-2</v>
      </c>
      <c r="CD123">
        <v>9.6411578999999997E-2</v>
      </c>
      <c r="CE123">
        <v>9.6411578999999997E-2</v>
      </c>
      <c r="CF123">
        <v>9.6411578999999997E-2</v>
      </c>
      <c r="CG123">
        <v>9.6411578999999997E-2</v>
      </c>
      <c r="CH123">
        <v>9.6411578999999997E-2</v>
      </c>
      <c r="CI123">
        <v>0.148308947</v>
      </c>
      <c r="CJ123">
        <v>0.148308947</v>
      </c>
      <c r="CK123">
        <v>0.148308947</v>
      </c>
      <c r="CL123">
        <v>0.148308947</v>
      </c>
      <c r="CM123">
        <v>0.148308947</v>
      </c>
      <c r="CN123">
        <v>0.225275789</v>
      </c>
      <c r="CO123">
        <v>0.225275789</v>
      </c>
      <c r="CP123">
        <v>0.225275789</v>
      </c>
      <c r="CQ123">
        <v>0.225275789</v>
      </c>
      <c r="CR123">
        <v>0.225275789</v>
      </c>
      <c r="CS123">
        <v>0.33575105300000002</v>
      </c>
      <c r="CT123">
        <v>0.33575105300000002</v>
      </c>
      <c r="CU123">
        <v>0.33575105300000002</v>
      </c>
      <c r="CV123">
        <v>0.33575105300000002</v>
      </c>
      <c r="CW123">
        <v>0.33575105300000002</v>
      </c>
      <c r="CX123">
        <v>1</v>
      </c>
    </row>
    <row r="124" spans="1:102" x14ac:dyDescent="0.25">
      <c r="A124" t="s">
        <v>313</v>
      </c>
      <c r="B124">
        <v>3.7046250000000003E-2</v>
      </c>
      <c r="C124">
        <v>3.16E-3</v>
      </c>
      <c r="D124">
        <v>3.16E-3</v>
      </c>
      <c r="E124">
        <v>3.16E-3</v>
      </c>
      <c r="F124">
        <v>3.16E-3</v>
      </c>
      <c r="G124">
        <v>9.4499999999999998E-4</v>
      </c>
      <c r="H124">
        <v>9.4499999999999998E-4</v>
      </c>
      <c r="I124">
        <v>9.4499999999999998E-4</v>
      </c>
      <c r="J124">
        <v>9.4499999999999998E-4</v>
      </c>
      <c r="K124">
        <v>9.4499999999999998E-4</v>
      </c>
      <c r="L124">
        <v>6.7750000000000004E-4</v>
      </c>
      <c r="M124">
        <v>6.7750000000000004E-4</v>
      </c>
      <c r="N124">
        <v>6.7750000000000004E-4</v>
      </c>
      <c r="O124">
        <v>6.7750000000000004E-4</v>
      </c>
      <c r="P124">
        <v>6.7750000000000004E-4</v>
      </c>
      <c r="Q124">
        <v>1.0425E-3</v>
      </c>
      <c r="R124">
        <v>1.0425E-3</v>
      </c>
      <c r="S124">
        <v>1.0425E-3</v>
      </c>
      <c r="T124">
        <v>1.0425E-3</v>
      </c>
      <c r="U124">
        <v>1.0425E-3</v>
      </c>
      <c r="V124">
        <v>1.39375E-3</v>
      </c>
      <c r="W124">
        <v>1.39375E-3</v>
      </c>
      <c r="X124">
        <v>1.39375E-3</v>
      </c>
      <c r="Y124">
        <v>1.39375E-3</v>
      </c>
      <c r="Z124">
        <v>1.39375E-3</v>
      </c>
      <c r="AA124">
        <v>1.5625000000000001E-3</v>
      </c>
      <c r="AB124">
        <v>1.5625000000000001E-3</v>
      </c>
      <c r="AC124">
        <v>1.5625000000000001E-3</v>
      </c>
      <c r="AD124">
        <v>1.5625000000000001E-3</v>
      </c>
      <c r="AE124">
        <v>1.5625000000000001E-3</v>
      </c>
      <c r="AF124">
        <v>1.9462500000000001E-3</v>
      </c>
      <c r="AG124">
        <v>1.9462500000000001E-3</v>
      </c>
      <c r="AH124">
        <v>1.9462500000000001E-3</v>
      </c>
      <c r="AI124">
        <v>1.9462500000000001E-3</v>
      </c>
      <c r="AJ124">
        <v>1.9462500000000001E-3</v>
      </c>
      <c r="AK124">
        <v>2.4875000000000001E-3</v>
      </c>
      <c r="AL124">
        <v>2.4875000000000001E-3</v>
      </c>
      <c r="AM124">
        <v>2.4875000000000001E-3</v>
      </c>
      <c r="AN124">
        <v>2.4875000000000001E-3</v>
      </c>
      <c r="AO124">
        <v>2.4875000000000001E-3</v>
      </c>
      <c r="AP124">
        <v>3.4312499999999998E-3</v>
      </c>
      <c r="AQ124">
        <v>3.4312499999999998E-3</v>
      </c>
      <c r="AR124">
        <v>3.4312499999999998E-3</v>
      </c>
      <c r="AS124">
        <v>3.4312499999999998E-3</v>
      </c>
      <c r="AT124">
        <v>3.4312499999999998E-3</v>
      </c>
      <c r="AU124">
        <v>4.8424999999999996E-3</v>
      </c>
      <c r="AV124">
        <v>4.8424999999999996E-3</v>
      </c>
      <c r="AW124">
        <v>4.8424999999999996E-3</v>
      </c>
      <c r="AX124">
        <v>4.8424999999999996E-3</v>
      </c>
      <c r="AY124">
        <v>4.8424999999999996E-3</v>
      </c>
      <c r="AZ124">
        <v>7.1687499999999998E-3</v>
      </c>
      <c r="BA124">
        <v>7.1687499999999998E-3</v>
      </c>
      <c r="BB124">
        <v>7.1687499999999998E-3</v>
      </c>
      <c r="BC124">
        <v>7.1687499999999998E-3</v>
      </c>
      <c r="BD124">
        <v>7.1687499999999998E-3</v>
      </c>
      <c r="BE124">
        <v>1.0838749999999999E-2</v>
      </c>
      <c r="BF124">
        <v>1.0838749999999999E-2</v>
      </c>
      <c r="BG124">
        <v>1.0838749999999999E-2</v>
      </c>
      <c r="BH124">
        <v>1.0838749999999999E-2</v>
      </c>
      <c r="BI124">
        <v>1.0838749999999999E-2</v>
      </c>
      <c r="BJ124">
        <v>1.6975000000000001E-2</v>
      </c>
      <c r="BK124">
        <v>1.6975000000000001E-2</v>
      </c>
      <c r="BL124">
        <v>1.6975000000000001E-2</v>
      </c>
      <c r="BM124">
        <v>1.6975000000000001E-2</v>
      </c>
      <c r="BN124">
        <v>1.6975000000000001E-2</v>
      </c>
      <c r="BO124">
        <v>2.7917500000000001E-2</v>
      </c>
      <c r="BP124">
        <v>2.7917500000000001E-2</v>
      </c>
      <c r="BQ124">
        <v>2.7917500000000001E-2</v>
      </c>
      <c r="BR124">
        <v>2.7917500000000001E-2</v>
      </c>
      <c r="BS124">
        <v>2.7917500000000001E-2</v>
      </c>
      <c r="BT124">
        <v>4.7142499999999997E-2</v>
      </c>
      <c r="BU124">
        <v>4.7142499999999997E-2</v>
      </c>
      <c r="BV124">
        <v>4.7142499999999997E-2</v>
      </c>
      <c r="BW124">
        <v>4.7142499999999997E-2</v>
      </c>
      <c r="BX124">
        <v>4.7142499999999997E-2</v>
      </c>
      <c r="BY124">
        <v>7.6598749999999993E-2</v>
      </c>
      <c r="BZ124">
        <v>7.6598749999999993E-2</v>
      </c>
      <c r="CA124">
        <v>7.6598749999999993E-2</v>
      </c>
      <c r="CB124">
        <v>7.6598749999999993E-2</v>
      </c>
      <c r="CC124">
        <v>7.6598749999999993E-2</v>
      </c>
      <c r="CD124">
        <v>0.1228325</v>
      </c>
      <c r="CE124">
        <v>0.1228325</v>
      </c>
      <c r="CF124">
        <v>0.1228325</v>
      </c>
      <c r="CG124">
        <v>0.1228325</v>
      </c>
      <c r="CH124">
        <v>0.1228325</v>
      </c>
      <c r="CI124">
        <v>0.189725</v>
      </c>
      <c r="CJ124">
        <v>0.189725</v>
      </c>
      <c r="CK124">
        <v>0.189725</v>
      </c>
      <c r="CL124">
        <v>0.189725</v>
      </c>
      <c r="CM124">
        <v>0.189725</v>
      </c>
      <c r="CN124">
        <v>0.28208624999999998</v>
      </c>
      <c r="CO124">
        <v>0.28208624999999998</v>
      </c>
      <c r="CP124">
        <v>0.28208624999999998</v>
      </c>
      <c r="CQ124">
        <v>0.28208624999999998</v>
      </c>
      <c r="CR124">
        <v>0.28208624999999998</v>
      </c>
      <c r="CS124">
        <v>0.40359499999999998</v>
      </c>
      <c r="CT124">
        <v>0.40359499999999998</v>
      </c>
      <c r="CU124">
        <v>0.40359499999999998</v>
      </c>
      <c r="CV124">
        <v>0.40359499999999998</v>
      </c>
      <c r="CW124">
        <v>0.40359499999999998</v>
      </c>
      <c r="CX124">
        <v>1</v>
      </c>
    </row>
    <row r="125" spans="1:102" x14ac:dyDescent="0.25">
      <c r="A125" t="s">
        <v>315</v>
      </c>
      <c r="B125">
        <v>3.5300000000000002E-3</v>
      </c>
      <c r="C125">
        <v>1.6000000000000001E-4</v>
      </c>
      <c r="D125">
        <v>1.6000000000000001E-4</v>
      </c>
      <c r="E125">
        <v>1.6000000000000001E-4</v>
      </c>
      <c r="F125">
        <v>1.6000000000000001E-4</v>
      </c>
      <c r="G125">
        <v>9.0000000000000006E-5</v>
      </c>
      <c r="H125">
        <v>9.0000000000000006E-5</v>
      </c>
      <c r="I125">
        <v>9.0000000000000006E-5</v>
      </c>
      <c r="J125">
        <v>9.0000000000000006E-5</v>
      </c>
      <c r="K125">
        <v>9.0000000000000006E-5</v>
      </c>
      <c r="L125">
        <v>9.0000000000000006E-5</v>
      </c>
      <c r="M125">
        <v>9.0000000000000006E-5</v>
      </c>
      <c r="N125">
        <v>9.0000000000000006E-5</v>
      </c>
      <c r="O125">
        <v>9.0000000000000006E-5</v>
      </c>
      <c r="P125">
        <v>9.0000000000000006E-5</v>
      </c>
      <c r="Q125">
        <v>1.8000000000000001E-4</v>
      </c>
      <c r="R125">
        <v>1.8000000000000001E-4</v>
      </c>
      <c r="S125">
        <v>1.8000000000000001E-4</v>
      </c>
      <c r="T125">
        <v>1.8000000000000001E-4</v>
      </c>
      <c r="U125">
        <v>1.8000000000000001E-4</v>
      </c>
      <c r="V125">
        <v>1.9000000000000001E-4</v>
      </c>
      <c r="W125">
        <v>1.9000000000000001E-4</v>
      </c>
      <c r="X125">
        <v>1.9000000000000001E-4</v>
      </c>
      <c r="Y125">
        <v>1.9000000000000001E-4</v>
      </c>
      <c r="Z125">
        <v>1.9000000000000001E-4</v>
      </c>
      <c r="AA125">
        <v>2.5999999999999998E-4</v>
      </c>
      <c r="AB125">
        <v>2.5999999999999998E-4</v>
      </c>
      <c r="AC125">
        <v>2.5999999999999998E-4</v>
      </c>
      <c r="AD125">
        <v>2.5999999999999998E-4</v>
      </c>
      <c r="AE125">
        <v>2.5999999999999998E-4</v>
      </c>
      <c r="AF125">
        <v>3.3E-4</v>
      </c>
      <c r="AG125">
        <v>3.3E-4</v>
      </c>
      <c r="AH125">
        <v>3.3E-4</v>
      </c>
      <c r="AI125">
        <v>3.3E-4</v>
      </c>
      <c r="AJ125">
        <v>3.3E-4</v>
      </c>
      <c r="AK125">
        <v>5.6999999999999998E-4</v>
      </c>
      <c r="AL125">
        <v>5.6999999999999998E-4</v>
      </c>
      <c r="AM125">
        <v>5.6999999999999998E-4</v>
      </c>
      <c r="AN125">
        <v>5.6999999999999998E-4</v>
      </c>
      <c r="AO125">
        <v>5.6999999999999998E-4</v>
      </c>
      <c r="AP125">
        <v>1.01E-3</v>
      </c>
      <c r="AQ125">
        <v>1.01E-3</v>
      </c>
      <c r="AR125">
        <v>1.01E-3</v>
      </c>
      <c r="AS125">
        <v>1.01E-3</v>
      </c>
      <c r="AT125">
        <v>1.01E-3</v>
      </c>
      <c r="AU125">
        <v>1.73E-3</v>
      </c>
      <c r="AV125">
        <v>1.73E-3</v>
      </c>
      <c r="AW125">
        <v>1.73E-3</v>
      </c>
      <c r="AX125">
        <v>1.73E-3</v>
      </c>
      <c r="AY125">
        <v>1.73E-3</v>
      </c>
      <c r="AZ125">
        <v>3.0300000000000001E-3</v>
      </c>
      <c r="BA125">
        <v>3.0300000000000001E-3</v>
      </c>
      <c r="BB125">
        <v>3.0300000000000001E-3</v>
      </c>
      <c r="BC125">
        <v>3.0300000000000001E-3</v>
      </c>
      <c r="BD125">
        <v>3.0300000000000001E-3</v>
      </c>
      <c r="BE125">
        <v>4.2300000000000003E-3</v>
      </c>
      <c r="BF125">
        <v>4.2300000000000003E-3</v>
      </c>
      <c r="BG125">
        <v>4.2300000000000003E-3</v>
      </c>
      <c r="BH125">
        <v>4.2300000000000003E-3</v>
      </c>
      <c r="BI125">
        <v>4.2300000000000003E-3</v>
      </c>
      <c r="BJ125">
        <v>6.5700000000000003E-3</v>
      </c>
      <c r="BK125">
        <v>6.5700000000000003E-3</v>
      </c>
      <c r="BL125">
        <v>6.5700000000000003E-3</v>
      </c>
      <c r="BM125">
        <v>6.5700000000000003E-3</v>
      </c>
      <c r="BN125">
        <v>6.5700000000000003E-3</v>
      </c>
      <c r="BO125">
        <v>9.7099999999999999E-3</v>
      </c>
      <c r="BP125">
        <v>9.7099999999999999E-3</v>
      </c>
      <c r="BQ125">
        <v>9.7099999999999999E-3</v>
      </c>
      <c r="BR125">
        <v>9.7099999999999999E-3</v>
      </c>
      <c r="BS125">
        <v>9.7099999999999999E-3</v>
      </c>
      <c r="BT125">
        <v>1.5610000000000001E-2</v>
      </c>
      <c r="BU125">
        <v>1.5610000000000001E-2</v>
      </c>
      <c r="BV125">
        <v>1.5610000000000001E-2</v>
      </c>
      <c r="BW125">
        <v>1.5610000000000001E-2</v>
      </c>
      <c r="BX125">
        <v>1.5610000000000001E-2</v>
      </c>
      <c r="BY125">
        <v>2.826E-2</v>
      </c>
      <c r="BZ125">
        <v>2.826E-2</v>
      </c>
      <c r="CA125">
        <v>2.826E-2</v>
      </c>
      <c r="CB125">
        <v>2.826E-2</v>
      </c>
      <c r="CC125">
        <v>2.826E-2</v>
      </c>
      <c r="CD125">
        <v>5.5640000000000002E-2</v>
      </c>
      <c r="CE125">
        <v>5.5640000000000002E-2</v>
      </c>
      <c r="CF125">
        <v>5.5640000000000002E-2</v>
      </c>
      <c r="CG125">
        <v>5.5640000000000002E-2</v>
      </c>
      <c r="CH125">
        <v>5.5640000000000002E-2</v>
      </c>
      <c r="CI125">
        <v>0.10338</v>
      </c>
      <c r="CJ125">
        <v>0.10338</v>
      </c>
      <c r="CK125">
        <v>0.10338</v>
      </c>
      <c r="CL125">
        <v>0.10338</v>
      </c>
      <c r="CM125">
        <v>0.10338</v>
      </c>
      <c r="CN125">
        <v>0.18121000000000001</v>
      </c>
      <c r="CO125">
        <v>0.18121000000000001</v>
      </c>
      <c r="CP125">
        <v>0.18121000000000001</v>
      </c>
      <c r="CQ125">
        <v>0.18121000000000001</v>
      </c>
      <c r="CR125">
        <v>0.18121000000000001</v>
      </c>
      <c r="CS125">
        <v>0.29968</v>
      </c>
      <c r="CT125">
        <v>0.29968</v>
      </c>
      <c r="CU125">
        <v>0.29968</v>
      </c>
      <c r="CV125">
        <v>0.29968</v>
      </c>
      <c r="CW125">
        <v>0.29968</v>
      </c>
      <c r="CX125">
        <v>1</v>
      </c>
    </row>
    <row r="126" spans="1:102" x14ac:dyDescent="0.25">
      <c r="A126" t="s">
        <v>317</v>
      </c>
      <c r="B126">
        <v>2.0693684E-2</v>
      </c>
      <c r="C126">
        <v>1.3699999999999999E-3</v>
      </c>
      <c r="D126">
        <v>1.3699999999999999E-3</v>
      </c>
      <c r="E126">
        <v>1.3699999999999999E-3</v>
      </c>
      <c r="F126">
        <v>1.3699999999999999E-3</v>
      </c>
      <c r="G126">
        <v>5.1000000000000004E-4</v>
      </c>
      <c r="H126">
        <v>5.1000000000000004E-4</v>
      </c>
      <c r="I126">
        <v>5.1000000000000004E-4</v>
      </c>
      <c r="J126">
        <v>5.1000000000000004E-4</v>
      </c>
      <c r="K126">
        <v>5.1000000000000004E-4</v>
      </c>
      <c r="L126">
        <v>5.9315799999999999E-4</v>
      </c>
      <c r="M126">
        <v>5.9315799999999999E-4</v>
      </c>
      <c r="N126">
        <v>5.9315799999999999E-4</v>
      </c>
      <c r="O126">
        <v>5.9315799999999999E-4</v>
      </c>
      <c r="P126">
        <v>5.9315799999999999E-4</v>
      </c>
      <c r="Q126">
        <v>9.81579E-4</v>
      </c>
      <c r="R126">
        <v>9.81579E-4</v>
      </c>
      <c r="S126">
        <v>9.81579E-4</v>
      </c>
      <c r="T126">
        <v>9.81579E-4</v>
      </c>
      <c r="U126">
        <v>9.81579E-4</v>
      </c>
      <c r="V126">
        <v>8.9421100000000001E-4</v>
      </c>
      <c r="W126">
        <v>8.9421100000000001E-4</v>
      </c>
      <c r="X126">
        <v>8.9421100000000001E-4</v>
      </c>
      <c r="Y126">
        <v>8.9421100000000001E-4</v>
      </c>
      <c r="Z126">
        <v>8.9421100000000001E-4</v>
      </c>
      <c r="AA126">
        <v>1.1073680000000001E-3</v>
      </c>
      <c r="AB126">
        <v>1.1073680000000001E-3</v>
      </c>
      <c r="AC126">
        <v>1.1073680000000001E-3</v>
      </c>
      <c r="AD126">
        <v>1.1073680000000001E-3</v>
      </c>
      <c r="AE126">
        <v>1.1073680000000001E-3</v>
      </c>
      <c r="AF126">
        <v>1.6073680000000001E-3</v>
      </c>
      <c r="AG126">
        <v>1.6073680000000001E-3</v>
      </c>
      <c r="AH126">
        <v>1.6073680000000001E-3</v>
      </c>
      <c r="AI126">
        <v>1.6073680000000001E-3</v>
      </c>
      <c r="AJ126">
        <v>1.6073680000000001E-3</v>
      </c>
      <c r="AK126">
        <v>1.9905259999999998E-3</v>
      </c>
      <c r="AL126">
        <v>1.9905259999999998E-3</v>
      </c>
      <c r="AM126">
        <v>1.9905259999999998E-3</v>
      </c>
      <c r="AN126">
        <v>1.9905259999999998E-3</v>
      </c>
      <c r="AO126">
        <v>1.9905259999999998E-3</v>
      </c>
      <c r="AP126">
        <v>3.283158E-3</v>
      </c>
      <c r="AQ126">
        <v>3.283158E-3</v>
      </c>
      <c r="AR126">
        <v>3.283158E-3</v>
      </c>
      <c r="AS126">
        <v>3.283158E-3</v>
      </c>
      <c r="AT126">
        <v>3.283158E-3</v>
      </c>
      <c r="AU126">
        <v>4.5542109999999998E-3</v>
      </c>
      <c r="AV126">
        <v>4.5542109999999998E-3</v>
      </c>
      <c r="AW126">
        <v>4.5542109999999998E-3</v>
      </c>
      <c r="AX126">
        <v>4.5542109999999998E-3</v>
      </c>
      <c r="AY126">
        <v>4.5542109999999998E-3</v>
      </c>
      <c r="AZ126">
        <v>6.844737E-3</v>
      </c>
      <c r="BA126">
        <v>6.844737E-3</v>
      </c>
      <c r="BB126">
        <v>6.844737E-3</v>
      </c>
      <c r="BC126">
        <v>6.844737E-3</v>
      </c>
      <c r="BD126">
        <v>6.844737E-3</v>
      </c>
      <c r="BE126">
        <v>1.0072105E-2</v>
      </c>
      <c r="BF126">
        <v>1.0072105E-2</v>
      </c>
      <c r="BG126">
        <v>1.0072105E-2</v>
      </c>
      <c r="BH126">
        <v>1.0072105E-2</v>
      </c>
      <c r="BI126">
        <v>1.0072105E-2</v>
      </c>
      <c r="BJ126">
        <v>1.6034211E-2</v>
      </c>
      <c r="BK126">
        <v>1.6034211E-2</v>
      </c>
      <c r="BL126">
        <v>1.6034211E-2</v>
      </c>
      <c r="BM126">
        <v>1.6034211E-2</v>
      </c>
      <c r="BN126">
        <v>1.6034211E-2</v>
      </c>
      <c r="BO126">
        <v>2.4366315999999999E-2</v>
      </c>
      <c r="BP126">
        <v>2.4366315999999999E-2</v>
      </c>
      <c r="BQ126">
        <v>2.4366315999999999E-2</v>
      </c>
      <c r="BR126">
        <v>2.4366315999999999E-2</v>
      </c>
      <c r="BS126">
        <v>2.4366315999999999E-2</v>
      </c>
      <c r="BT126">
        <v>3.6406842000000002E-2</v>
      </c>
      <c r="BU126">
        <v>3.6406842000000002E-2</v>
      </c>
      <c r="BV126">
        <v>3.6406842000000002E-2</v>
      </c>
      <c r="BW126">
        <v>3.6406842000000002E-2</v>
      </c>
      <c r="BX126">
        <v>3.6406842000000002E-2</v>
      </c>
      <c r="BY126">
        <v>6.3028421000000001E-2</v>
      </c>
      <c r="BZ126">
        <v>6.3028421000000001E-2</v>
      </c>
      <c r="CA126">
        <v>6.3028421000000001E-2</v>
      </c>
      <c r="CB126">
        <v>6.3028421000000001E-2</v>
      </c>
      <c r="CC126">
        <v>6.3028421000000001E-2</v>
      </c>
      <c r="CD126">
        <v>9.6411578999999997E-2</v>
      </c>
      <c r="CE126">
        <v>9.6411578999999997E-2</v>
      </c>
      <c r="CF126">
        <v>9.6411578999999997E-2</v>
      </c>
      <c r="CG126">
        <v>9.6411578999999997E-2</v>
      </c>
      <c r="CH126">
        <v>9.6411578999999997E-2</v>
      </c>
      <c r="CI126">
        <v>0.148308947</v>
      </c>
      <c r="CJ126">
        <v>0.148308947</v>
      </c>
      <c r="CK126">
        <v>0.148308947</v>
      </c>
      <c r="CL126">
        <v>0.148308947</v>
      </c>
      <c r="CM126">
        <v>0.148308947</v>
      </c>
      <c r="CN126">
        <v>0.225275789</v>
      </c>
      <c r="CO126">
        <v>0.225275789</v>
      </c>
      <c r="CP126">
        <v>0.225275789</v>
      </c>
      <c r="CQ126">
        <v>0.225275789</v>
      </c>
      <c r="CR126">
        <v>0.225275789</v>
      </c>
      <c r="CS126">
        <v>0.33575105300000002</v>
      </c>
      <c r="CT126">
        <v>0.33575105300000002</v>
      </c>
      <c r="CU126">
        <v>0.33575105300000002</v>
      </c>
      <c r="CV126">
        <v>0.33575105300000002</v>
      </c>
      <c r="CW126">
        <v>0.33575105300000002</v>
      </c>
      <c r="CX126">
        <v>1</v>
      </c>
    </row>
    <row r="127" spans="1:102" x14ac:dyDescent="0.25">
      <c r="A127" t="s">
        <v>319</v>
      </c>
      <c r="B127">
        <v>1.9029999999999998E-2</v>
      </c>
      <c r="C127">
        <v>1.08E-3</v>
      </c>
      <c r="D127">
        <v>1.08E-3</v>
      </c>
      <c r="E127">
        <v>1.08E-3</v>
      </c>
      <c r="F127">
        <v>1.08E-3</v>
      </c>
      <c r="G127">
        <v>2.3000000000000001E-4</v>
      </c>
      <c r="H127">
        <v>2.3000000000000001E-4</v>
      </c>
      <c r="I127">
        <v>2.3000000000000001E-4</v>
      </c>
      <c r="J127">
        <v>2.3000000000000001E-4</v>
      </c>
      <c r="K127">
        <v>2.3000000000000001E-4</v>
      </c>
      <c r="L127">
        <v>3.4000000000000002E-4</v>
      </c>
      <c r="M127">
        <v>3.4000000000000002E-4</v>
      </c>
      <c r="N127">
        <v>3.4000000000000002E-4</v>
      </c>
      <c r="O127">
        <v>3.4000000000000002E-4</v>
      </c>
      <c r="P127">
        <v>3.4000000000000002E-4</v>
      </c>
      <c r="Q127">
        <v>6.4999999999999997E-4</v>
      </c>
      <c r="R127">
        <v>6.4999999999999997E-4</v>
      </c>
      <c r="S127">
        <v>6.4999999999999997E-4</v>
      </c>
      <c r="T127">
        <v>6.4999999999999997E-4</v>
      </c>
      <c r="U127">
        <v>6.4999999999999997E-4</v>
      </c>
      <c r="V127">
        <v>8.4000000000000003E-4</v>
      </c>
      <c r="W127">
        <v>8.4000000000000003E-4</v>
      </c>
      <c r="X127">
        <v>8.4000000000000003E-4</v>
      </c>
      <c r="Y127">
        <v>8.4000000000000003E-4</v>
      </c>
      <c r="Z127">
        <v>8.4000000000000003E-4</v>
      </c>
      <c r="AA127">
        <v>7.6999999999999996E-4</v>
      </c>
      <c r="AB127">
        <v>7.6999999999999996E-4</v>
      </c>
      <c r="AC127">
        <v>7.6999999999999996E-4</v>
      </c>
      <c r="AD127">
        <v>7.6999999999999996E-4</v>
      </c>
      <c r="AE127">
        <v>7.6999999999999996E-4</v>
      </c>
      <c r="AF127">
        <v>1.07E-3</v>
      </c>
      <c r="AG127">
        <v>1.07E-3</v>
      </c>
      <c r="AH127">
        <v>1.07E-3</v>
      </c>
      <c r="AI127">
        <v>1.07E-3</v>
      </c>
      <c r="AJ127">
        <v>1.07E-3</v>
      </c>
      <c r="AK127">
        <v>1.7799999999999999E-3</v>
      </c>
      <c r="AL127">
        <v>1.7799999999999999E-3</v>
      </c>
      <c r="AM127">
        <v>1.7799999999999999E-3</v>
      </c>
      <c r="AN127">
        <v>1.7799999999999999E-3</v>
      </c>
      <c r="AO127">
        <v>1.7799999999999999E-3</v>
      </c>
      <c r="AP127">
        <v>2.3E-3</v>
      </c>
      <c r="AQ127">
        <v>2.3E-3</v>
      </c>
      <c r="AR127">
        <v>2.3E-3</v>
      </c>
      <c r="AS127">
        <v>2.3E-3</v>
      </c>
      <c r="AT127">
        <v>2.3E-3</v>
      </c>
      <c r="AU127">
        <v>3.4499999999999999E-3</v>
      </c>
      <c r="AV127">
        <v>3.4499999999999999E-3</v>
      </c>
      <c r="AW127">
        <v>3.4499999999999999E-3</v>
      </c>
      <c r="AX127">
        <v>3.4499999999999999E-3</v>
      </c>
      <c r="AY127">
        <v>3.4499999999999999E-3</v>
      </c>
      <c r="AZ127">
        <v>5.3499999999999997E-3</v>
      </c>
      <c r="BA127">
        <v>5.3499999999999997E-3</v>
      </c>
      <c r="BB127">
        <v>5.3499999999999997E-3</v>
      </c>
      <c r="BC127">
        <v>5.3499999999999997E-3</v>
      </c>
      <c r="BD127">
        <v>5.3499999999999997E-3</v>
      </c>
      <c r="BE127">
        <v>9.7699999999999992E-3</v>
      </c>
      <c r="BF127">
        <v>9.7699999999999992E-3</v>
      </c>
      <c r="BG127">
        <v>9.7699999999999992E-3</v>
      </c>
      <c r="BH127">
        <v>9.7699999999999992E-3</v>
      </c>
      <c r="BI127">
        <v>9.7699999999999992E-3</v>
      </c>
      <c r="BJ127">
        <v>1.312E-2</v>
      </c>
      <c r="BK127">
        <v>1.312E-2</v>
      </c>
      <c r="BL127">
        <v>1.312E-2</v>
      </c>
      <c r="BM127">
        <v>1.312E-2</v>
      </c>
      <c r="BN127">
        <v>1.312E-2</v>
      </c>
      <c r="BO127">
        <v>1.916E-2</v>
      </c>
      <c r="BP127">
        <v>1.916E-2</v>
      </c>
      <c r="BQ127">
        <v>1.916E-2</v>
      </c>
      <c r="BR127">
        <v>1.916E-2</v>
      </c>
      <c r="BS127">
        <v>1.916E-2</v>
      </c>
      <c r="BT127">
        <v>2.495E-2</v>
      </c>
      <c r="BU127">
        <v>2.495E-2</v>
      </c>
      <c r="BV127">
        <v>2.495E-2</v>
      </c>
      <c r="BW127">
        <v>2.495E-2</v>
      </c>
      <c r="BX127">
        <v>2.495E-2</v>
      </c>
      <c r="BY127">
        <v>4.011E-2</v>
      </c>
      <c r="BZ127">
        <v>4.011E-2</v>
      </c>
      <c r="CA127">
        <v>4.011E-2</v>
      </c>
      <c r="CB127">
        <v>4.011E-2</v>
      </c>
      <c r="CC127">
        <v>4.011E-2</v>
      </c>
      <c r="CD127">
        <v>5.2769999999999997E-2</v>
      </c>
      <c r="CE127">
        <v>5.2769999999999997E-2</v>
      </c>
      <c r="CF127">
        <v>5.2769999999999997E-2</v>
      </c>
      <c r="CG127">
        <v>5.2769999999999997E-2</v>
      </c>
      <c r="CH127">
        <v>5.2769999999999997E-2</v>
      </c>
      <c r="CI127">
        <v>7.5270000000000004E-2</v>
      </c>
      <c r="CJ127">
        <v>7.5270000000000004E-2</v>
      </c>
      <c r="CK127">
        <v>7.5270000000000004E-2</v>
      </c>
      <c r="CL127">
        <v>7.5270000000000004E-2</v>
      </c>
      <c r="CM127">
        <v>7.5270000000000004E-2</v>
      </c>
      <c r="CN127">
        <v>0.11642</v>
      </c>
      <c r="CO127">
        <v>0.11642</v>
      </c>
      <c r="CP127">
        <v>0.11642</v>
      </c>
      <c r="CQ127">
        <v>0.11642</v>
      </c>
      <c r="CR127">
        <v>0.11642</v>
      </c>
      <c r="CS127">
        <v>0.19525999999999999</v>
      </c>
      <c r="CT127">
        <v>0.19525999999999999</v>
      </c>
      <c r="CU127">
        <v>0.19525999999999999</v>
      </c>
      <c r="CV127">
        <v>0.19525999999999999</v>
      </c>
      <c r="CW127">
        <v>0.19525999999999999</v>
      </c>
      <c r="CX127">
        <v>1</v>
      </c>
    </row>
    <row r="128" spans="1:102" x14ac:dyDescent="0.25">
      <c r="A128" t="s">
        <v>321</v>
      </c>
      <c r="B128">
        <v>7.7410000000000007E-2</v>
      </c>
      <c r="C128">
        <v>2.4060000000000002E-2</v>
      </c>
      <c r="D128">
        <v>2.4060000000000002E-2</v>
      </c>
      <c r="E128">
        <v>2.4060000000000002E-2</v>
      </c>
      <c r="F128">
        <v>2.4060000000000002E-2</v>
      </c>
      <c r="G128">
        <v>2.6199999999999999E-3</v>
      </c>
      <c r="H128">
        <v>2.6199999999999999E-3</v>
      </c>
      <c r="I128">
        <v>2.6199999999999999E-3</v>
      </c>
      <c r="J128">
        <v>2.6199999999999999E-3</v>
      </c>
      <c r="K128">
        <v>2.6199999999999999E-3</v>
      </c>
      <c r="L128">
        <v>1.23E-3</v>
      </c>
      <c r="M128">
        <v>1.23E-3</v>
      </c>
      <c r="N128">
        <v>1.23E-3</v>
      </c>
      <c r="O128">
        <v>1.23E-3</v>
      </c>
      <c r="P128">
        <v>1.23E-3</v>
      </c>
      <c r="Q128">
        <v>1.2700000000000001E-3</v>
      </c>
      <c r="R128">
        <v>1.2700000000000001E-3</v>
      </c>
      <c r="S128">
        <v>1.2700000000000001E-3</v>
      </c>
      <c r="T128">
        <v>1.2700000000000001E-3</v>
      </c>
      <c r="U128">
        <v>1.2700000000000001E-3</v>
      </c>
      <c r="V128">
        <v>2.3999999999999998E-3</v>
      </c>
      <c r="W128">
        <v>2.3999999999999998E-3</v>
      </c>
      <c r="X128">
        <v>2.3999999999999998E-3</v>
      </c>
      <c r="Y128">
        <v>2.3999999999999998E-3</v>
      </c>
      <c r="Z128">
        <v>2.3999999999999998E-3</v>
      </c>
      <c r="AA128">
        <v>3.32E-3</v>
      </c>
      <c r="AB128">
        <v>3.32E-3</v>
      </c>
      <c r="AC128">
        <v>3.32E-3</v>
      </c>
      <c r="AD128">
        <v>3.32E-3</v>
      </c>
      <c r="AE128">
        <v>3.32E-3</v>
      </c>
      <c r="AF128">
        <v>4.0000000000000001E-3</v>
      </c>
      <c r="AG128">
        <v>4.0000000000000001E-3</v>
      </c>
      <c r="AH128">
        <v>4.0000000000000001E-3</v>
      </c>
      <c r="AI128">
        <v>4.0000000000000001E-3</v>
      </c>
      <c r="AJ128">
        <v>4.0000000000000001E-3</v>
      </c>
      <c r="AK128">
        <v>4.4400000000000004E-3</v>
      </c>
      <c r="AL128">
        <v>4.4400000000000004E-3</v>
      </c>
      <c r="AM128">
        <v>4.4400000000000004E-3</v>
      </c>
      <c r="AN128">
        <v>4.4400000000000004E-3</v>
      </c>
      <c r="AO128">
        <v>4.4400000000000004E-3</v>
      </c>
      <c r="AP128">
        <v>4.9399999999999999E-3</v>
      </c>
      <c r="AQ128">
        <v>4.9399999999999999E-3</v>
      </c>
      <c r="AR128">
        <v>4.9399999999999999E-3</v>
      </c>
      <c r="AS128">
        <v>4.9399999999999999E-3</v>
      </c>
      <c r="AT128">
        <v>4.9399999999999999E-3</v>
      </c>
      <c r="AU128">
        <v>6.3099999999999996E-3</v>
      </c>
      <c r="AV128">
        <v>6.3099999999999996E-3</v>
      </c>
      <c r="AW128">
        <v>6.3099999999999996E-3</v>
      </c>
      <c r="AX128">
        <v>6.3099999999999996E-3</v>
      </c>
      <c r="AY128">
        <v>6.3099999999999996E-3</v>
      </c>
      <c r="AZ128">
        <v>9.2700000000000005E-3</v>
      </c>
      <c r="BA128">
        <v>9.2700000000000005E-3</v>
      </c>
      <c r="BB128">
        <v>9.2700000000000005E-3</v>
      </c>
      <c r="BC128">
        <v>9.2700000000000005E-3</v>
      </c>
      <c r="BD128">
        <v>9.2700000000000005E-3</v>
      </c>
      <c r="BE128">
        <v>1.4749999999999999E-2</v>
      </c>
      <c r="BF128">
        <v>1.4749999999999999E-2</v>
      </c>
      <c r="BG128">
        <v>1.4749999999999999E-2</v>
      </c>
      <c r="BH128">
        <v>1.4749999999999999E-2</v>
      </c>
      <c r="BI128">
        <v>1.4749999999999999E-2</v>
      </c>
      <c r="BJ128">
        <v>2.111E-2</v>
      </c>
      <c r="BK128">
        <v>2.111E-2</v>
      </c>
      <c r="BL128">
        <v>2.111E-2</v>
      </c>
      <c r="BM128">
        <v>2.111E-2</v>
      </c>
      <c r="BN128">
        <v>2.111E-2</v>
      </c>
      <c r="BO128">
        <v>3.576E-2</v>
      </c>
      <c r="BP128">
        <v>3.576E-2</v>
      </c>
      <c r="BQ128">
        <v>3.576E-2</v>
      </c>
      <c r="BR128">
        <v>3.576E-2</v>
      </c>
      <c r="BS128">
        <v>3.576E-2</v>
      </c>
      <c r="BT128">
        <v>5.9249999999999997E-2</v>
      </c>
      <c r="BU128">
        <v>5.9249999999999997E-2</v>
      </c>
      <c r="BV128">
        <v>5.9249999999999997E-2</v>
      </c>
      <c r="BW128">
        <v>5.9249999999999997E-2</v>
      </c>
      <c r="BX128">
        <v>5.9249999999999997E-2</v>
      </c>
      <c r="BY128">
        <v>9.5039999999999999E-2</v>
      </c>
      <c r="BZ128">
        <v>9.5039999999999999E-2</v>
      </c>
      <c r="CA128">
        <v>9.5039999999999999E-2</v>
      </c>
      <c r="CB128">
        <v>9.5039999999999999E-2</v>
      </c>
      <c r="CC128">
        <v>9.5039999999999999E-2</v>
      </c>
      <c r="CD128">
        <v>0.14535000000000001</v>
      </c>
      <c r="CE128">
        <v>0.14535000000000001</v>
      </c>
      <c r="CF128">
        <v>0.14535000000000001</v>
      </c>
      <c r="CG128">
        <v>0.14535000000000001</v>
      </c>
      <c r="CH128">
        <v>0.14535000000000001</v>
      </c>
      <c r="CI128">
        <v>0.21532999999999999</v>
      </c>
      <c r="CJ128">
        <v>0.21532999999999999</v>
      </c>
      <c r="CK128">
        <v>0.21532999999999999</v>
      </c>
      <c r="CL128">
        <v>0.21532999999999999</v>
      </c>
      <c r="CM128">
        <v>0.21532999999999999</v>
      </c>
      <c r="CN128">
        <v>0.30904999999999999</v>
      </c>
      <c r="CO128">
        <v>0.30904999999999999</v>
      </c>
      <c r="CP128">
        <v>0.30904999999999999</v>
      </c>
      <c r="CQ128">
        <v>0.30904999999999999</v>
      </c>
      <c r="CR128">
        <v>0.30904999999999999</v>
      </c>
      <c r="CS128">
        <v>0.42968000000000001</v>
      </c>
      <c r="CT128">
        <v>0.42968000000000001</v>
      </c>
      <c r="CU128">
        <v>0.42968000000000001</v>
      </c>
      <c r="CV128">
        <v>0.42968000000000001</v>
      </c>
      <c r="CW128">
        <v>0.42968000000000001</v>
      </c>
      <c r="CX128">
        <v>1</v>
      </c>
    </row>
    <row r="129" spans="1:102" x14ac:dyDescent="0.25">
      <c r="A129" t="s">
        <v>323</v>
      </c>
      <c r="B129">
        <v>8.4290000000000004E-2</v>
      </c>
      <c r="C129">
        <v>1.537E-2</v>
      </c>
      <c r="D129">
        <v>1.537E-2</v>
      </c>
      <c r="E129">
        <v>1.537E-2</v>
      </c>
      <c r="F129">
        <v>1.537E-2</v>
      </c>
      <c r="G129">
        <v>3.0500000000000002E-3</v>
      </c>
      <c r="H129">
        <v>3.0500000000000002E-3</v>
      </c>
      <c r="I129">
        <v>3.0500000000000002E-3</v>
      </c>
      <c r="J129">
        <v>3.0500000000000002E-3</v>
      </c>
      <c r="K129">
        <v>3.0500000000000002E-3</v>
      </c>
      <c r="L129">
        <v>2.0899999999999998E-3</v>
      </c>
      <c r="M129">
        <v>2.0899999999999998E-3</v>
      </c>
      <c r="N129">
        <v>2.0899999999999998E-3</v>
      </c>
      <c r="O129">
        <v>2.0899999999999998E-3</v>
      </c>
      <c r="P129">
        <v>2.0899999999999998E-3</v>
      </c>
      <c r="Q129">
        <v>2.8E-3</v>
      </c>
      <c r="R129">
        <v>2.8E-3</v>
      </c>
      <c r="S129">
        <v>2.8E-3</v>
      </c>
      <c r="T129">
        <v>2.8E-3</v>
      </c>
      <c r="U129">
        <v>2.8E-3</v>
      </c>
      <c r="V129">
        <v>4.8399999999999997E-3</v>
      </c>
      <c r="W129">
        <v>4.8399999999999997E-3</v>
      </c>
      <c r="X129">
        <v>4.8399999999999997E-3</v>
      </c>
      <c r="Y129">
        <v>4.8399999999999997E-3</v>
      </c>
      <c r="Z129">
        <v>4.8399999999999997E-3</v>
      </c>
      <c r="AA129">
        <v>6.7400000000000003E-3</v>
      </c>
      <c r="AB129">
        <v>6.7400000000000003E-3</v>
      </c>
      <c r="AC129">
        <v>6.7400000000000003E-3</v>
      </c>
      <c r="AD129">
        <v>6.7400000000000003E-3</v>
      </c>
      <c r="AE129">
        <v>6.7400000000000003E-3</v>
      </c>
      <c r="AF129">
        <v>8.8800000000000007E-3</v>
      </c>
      <c r="AG129">
        <v>8.8800000000000007E-3</v>
      </c>
      <c r="AH129">
        <v>8.8800000000000007E-3</v>
      </c>
      <c r="AI129">
        <v>8.8800000000000007E-3</v>
      </c>
      <c r="AJ129">
        <v>8.8800000000000007E-3</v>
      </c>
      <c r="AK129">
        <v>1.073E-2</v>
      </c>
      <c r="AL129">
        <v>1.073E-2</v>
      </c>
      <c r="AM129">
        <v>1.073E-2</v>
      </c>
      <c r="AN129">
        <v>1.073E-2</v>
      </c>
      <c r="AO129">
        <v>1.073E-2</v>
      </c>
      <c r="AP129">
        <v>1.112E-2</v>
      </c>
      <c r="AQ129">
        <v>1.112E-2</v>
      </c>
      <c r="AR129">
        <v>1.112E-2</v>
      </c>
      <c r="AS129">
        <v>1.112E-2</v>
      </c>
      <c r="AT129">
        <v>1.112E-2</v>
      </c>
      <c r="AU129">
        <v>1.187E-2</v>
      </c>
      <c r="AV129">
        <v>1.187E-2</v>
      </c>
      <c r="AW129">
        <v>1.187E-2</v>
      </c>
      <c r="AX129">
        <v>1.187E-2</v>
      </c>
      <c r="AY129">
        <v>1.187E-2</v>
      </c>
      <c r="AZ129">
        <v>1.4279999999999999E-2</v>
      </c>
      <c r="BA129">
        <v>1.4279999999999999E-2</v>
      </c>
      <c r="BB129">
        <v>1.4279999999999999E-2</v>
      </c>
      <c r="BC129">
        <v>1.4279999999999999E-2</v>
      </c>
      <c r="BD129">
        <v>1.4279999999999999E-2</v>
      </c>
      <c r="BE129">
        <v>1.9429999999999999E-2</v>
      </c>
      <c r="BF129">
        <v>1.9429999999999999E-2</v>
      </c>
      <c r="BG129">
        <v>1.9429999999999999E-2</v>
      </c>
      <c r="BH129">
        <v>1.9429999999999999E-2</v>
      </c>
      <c r="BI129">
        <v>1.9429999999999999E-2</v>
      </c>
      <c r="BJ129">
        <v>2.579E-2</v>
      </c>
      <c r="BK129">
        <v>2.579E-2</v>
      </c>
      <c r="BL129">
        <v>2.579E-2</v>
      </c>
      <c r="BM129">
        <v>2.579E-2</v>
      </c>
      <c r="BN129">
        <v>2.579E-2</v>
      </c>
      <c r="BO129">
        <v>3.9649999999999998E-2</v>
      </c>
      <c r="BP129">
        <v>3.9649999999999998E-2</v>
      </c>
      <c r="BQ129">
        <v>3.9649999999999998E-2</v>
      </c>
      <c r="BR129">
        <v>3.9649999999999998E-2</v>
      </c>
      <c r="BS129">
        <v>3.9649999999999998E-2</v>
      </c>
      <c r="BT129">
        <v>6.2080000000000003E-2</v>
      </c>
      <c r="BU129">
        <v>6.2080000000000003E-2</v>
      </c>
      <c r="BV129">
        <v>6.2080000000000003E-2</v>
      </c>
      <c r="BW129">
        <v>6.2080000000000003E-2</v>
      </c>
      <c r="BX129">
        <v>6.2080000000000003E-2</v>
      </c>
      <c r="BY129">
        <v>9.5490000000000005E-2</v>
      </c>
      <c r="BZ129">
        <v>9.5490000000000005E-2</v>
      </c>
      <c r="CA129">
        <v>9.5490000000000005E-2</v>
      </c>
      <c r="CB129">
        <v>9.5490000000000005E-2</v>
      </c>
      <c r="CC129">
        <v>9.5490000000000005E-2</v>
      </c>
      <c r="CD129">
        <v>0.14444000000000001</v>
      </c>
      <c r="CE129">
        <v>0.14444000000000001</v>
      </c>
      <c r="CF129">
        <v>0.14444000000000001</v>
      </c>
      <c r="CG129">
        <v>0.14444000000000001</v>
      </c>
      <c r="CH129">
        <v>0.14444000000000001</v>
      </c>
      <c r="CI129">
        <v>0.21267</v>
      </c>
      <c r="CJ129">
        <v>0.21267</v>
      </c>
      <c r="CK129">
        <v>0.21267</v>
      </c>
      <c r="CL129">
        <v>0.21267</v>
      </c>
      <c r="CM129">
        <v>0.21267</v>
      </c>
      <c r="CN129">
        <v>0.30453999999999998</v>
      </c>
      <c r="CO129">
        <v>0.30453999999999998</v>
      </c>
      <c r="CP129">
        <v>0.30453999999999998</v>
      </c>
      <c r="CQ129">
        <v>0.30453999999999998</v>
      </c>
      <c r="CR129">
        <v>0.30453999999999998</v>
      </c>
      <c r="CS129">
        <v>0.42398999999999998</v>
      </c>
      <c r="CT129">
        <v>0.42398999999999998</v>
      </c>
      <c r="CU129">
        <v>0.42398999999999998</v>
      </c>
      <c r="CV129">
        <v>0.42398999999999998</v>
      </c>
      <c r="CW129">
        <v>0.42398999999999998</v>
      </c>
      <c r="CX129">
        <v>1</v>
      </c>
    </row>
    <row r="130" spans="1:102" x14ac:dyDescent="0.25">
      <c r="A130" t="s">
        <v>325</v>
      </c>
      <c r="B130">
        <v>2.0693684E-2</v>
      </c>
      <c r="C130">
        <v>1.3699999999999999E-3</v>
      </c>
      <c r="D130">
        <v>1.3699999999999999E-3</v>
      </c>
      <c r="E130">
        <v>1.3699999999999999E-3</v>
      </c>
      <c r="F130">
        <v>1.3699999999999999E-3</v>
      </c>
      <c r="G130">
        <v>5.1000000000000004E-4</v>
      </c>
      <c r="H130">
        <v>5.1000000000000004E-4</v>
      </c>
      <c r="I130">
        <v>5.1000000000000004E-4</v>
      </c>
      <c r="J130">
        <v>5.1000000000000004E-4</v>
      </c>
      <c r="K130">
        <v>5.1000000000000004E-4</v>
      </c>
      <c r="L130">
        <v>5.9315799999999999E-4</v>
      </c>
      <c r="M130">
        <v>5.9315799999999999E-4</v>
      </c>
      <c r="N130">
        <v>5.9315799999999999E-4</v>
      </c>
      <c r="O130">
        <v>5.9315799999999999E-4</v>
      </c>
      <c r="P130">
        <v>5.9315799999999999E-4</v>
      </c>
      <c r="Q130">
        <v>9.81579E-4</v>
      </c>
      <c r="R130">
        <v>9.81579E-4</v>
      </c>
      <c r="S130">
        <v>9.81579E-4</v>
      </c>
      <c r="T130">
        <v>9.81579E-4</v>
      </c>
      <c r="U130">
        <v>9.81579E-4</v>
      </c>
      <c r="V130">
        <v>8.9421100000000001E-4</v>
      </c>
      <c r="W130">
        <v>8.9421100000000001E-4</v>
      </c>
      <c r="X130">
        <v>8.9421100000000001E-4</v>
      </c>
      <c r="Y130">
        <v>8.9421100000000001E-4</v>
      </c>
      <c r="Z130">
        <v>8.9421100000000001E-4</v>
      </c>
      <c r="AA130">
        <v>1.1073680000000001E-3</v>
      </c>
      <c r="AB130">
        <v>1.1073680000000001E-3</v>
      </c>
      <c r="AC130">
        <v>1.1073680000000001E-3</v>
      </c>
      <c r="AD130">
        <v>1.1073680000000001E-3</v>
      </c>
      <c r="AE130">
        <v>1.1073680000000001E-3</v>
      </c>
      <c r="AF130">
        <v>1.6073680000000001E-3</v>
      </c>
      <c r="AG130">
        <v>1.6073680000000001E-3</v>
      </c>
      <c r="AH130">
        <v>1.6073680000000001E-3</v>
      </c>
      <c r="AI130">
        <v>1.6073680000000001E-3</v>
      </c>
      <c r="AJ130">
        <v>1.6073680000000001E-3</v>
      </c>
      <c r="AK130">
        <v>1.9905259999999998E-3</v>
      </c>
      <c r="AL130">
        <v>1.9905259999999998E-3</v>
      </c>
      <c r="AM130">
        <v>1.9905259999999998E-3</v>
      </c>
      <c r="AN130">
        <v>1.9905259999999998E-3</v>
      </c>
      <c r="AO130">
        <v>1.9905259999999998E-3</v>
      </c>
      <c r="AP130">
        <v>3.283158E-3</v>
      </c>
      <c r="AQ130">
        <v>3.283158E-3</v>
      </c>
      <c r="AR130">
        <v>3.283158E-3</v>
      </c>
      <c r="AS130">
        <v>3.283158E-3</v>
      </c>
      <c r="AT130">
        <v>3.283158E-3</v>
      </c>
      <c r="AU130">
        <v>4.5542109999999998E-3</v>
      </c>
      <c r="AV130">
        <v>4.5542109999999998E-3</v>
      </c>
      <c r="AW130">
        <v>4.5542109999999998E-3</v>
      </c>
      <c r="AX130">
        <v>4.5542109999999998E-3</v>
      </c>
      <c r="AY130">
        <v>4.5542109999999998E-3</v>
      </c>
      <c r="AZ130">
        <v>6.844737E-3</v>
      </c>
      <c r="BA130">
        <v>6.844737E-3</v>
      </c>
      <c r="BB130">
        <v>6.844737E-3</v>
      </c>
      <c r="BC130">
        <v>6.844737E-3</v>
      </c>
      <c r="BD130">
        <v>6.844737E-3</v>
      </c>
      <c r="BE130">
        <v>1.0072105E-2</v>
      </c>
      <c r="BF130">
        <v>1.0072105E-2</v>
      </c>
      <c r="BG130">
        <v>1.0072105E-2</v>
      </c>
      <c r="BH130">
        <v>1.0072105E-2</v>
      </c>
      <c r="BI130">
        <v>1.0072105E-2</v>
      </c>
      <c r="BJ130">
        <v>1.6034211E-2</v>
      </c>
      <c r="BK130">
        <v>1.6034211E-2</v>
      </c>
      <c r="BL130">
        <v>1.6034211E-2</v>
      </c>
      <c r="BM130">
        <v>1.6034211E-2</v>
      </c>
      <c r="BN130">
        <v>1.6034211E-2</v>
      </c>
      <c r="BO130">
        <v>2.4366315999999999E-2</v>
      </c>
      <c r="BP130">
        <v>2.4366315999999999E-2</v>
      </c>
      <c r="BQ130">
        <v>2.4366315999999999E-2</v>
      </c>
      <c r="BR130">
        <v>2.4366315999999999E-2</v>
      </c>
      <c r="BS130">
        <v>2.4366315999999999E-2</v>
      </c>
      <c r="BT130">
        <v>3.6406842000000002E-2</v>
      </c>
      <c r="BU130">
        <v>3.6406842000000002E-2</v>
      </c>
      <c r="BV130">
        <v>3.6406842000000002E-2</v>
      </c>
      <c r="BW130">
        <v>3.6406842000000002E-2</v>
      </c>
      <c r="BX130">
        <v>3.6406842000000002E-2</v>
      </c>
      <c r="BY130">
        <v>6.3028421000000001E-2</v>
      </c>
      <c r="BZ130">
        <v>6.3028421000000001E-2</v>
      </c>
      <c r="CA130">
        <v>6.3028421000000001E-2</v>
      </c>
      <c r="CB130">
        <v>6.3028421000000001E-2</v>
      </c>
      <c r="CC130">
        <v>6.3028421000000001E-2</v>
      </c>
      <c r="CD130">
        <v>9.6411578999999997E-2</v>
      </c>
      <c r="CE130">
        <v>9.6411578999999997E-2</v>
      </c>
      <c r="CF130">
        <v>9.6411578999999997E-2</v>
      </c>
      <c r="CG130">
        <v>9.6411578999999997E-2</v>
      </c>
      <c r="CH130">
        <v>9.6411578999999997E-2</v>
      </c>
      <c r="CI130">
        <v>0.148308947</v>
      </c>
      <c r="CJ130">
        <v>0.148308947</v>
      </c>
      <c r="CK130">
        <v>0.148308947</v>
      </c>
      <c r="CL130">
        <v>0.148308947</v>
      </c>
      <c r="CM130">
        <v>0.148308947</v>
      </c>
      <c r="CN130">
        <v>0.225275789</v>
      </c>
      <c r="CO130">
        <v>0.225275789</v>
      </c>
      <c r="CP130">
        <v>0.225275789</v>
      </c>
      <c r="CQ130">
        <v>0.225275789</v>
      </c>
      <c r="CR130">
        <v>0.225275789</v>
      </c>
      <c r="CS130">
        <v>0.33575105300000002</v>
      </c>
      <c r="CT130">
        <v>0.33575105300000002</v>
      </c>
      <c r="CU130">
        <v>0.33575105300000002</v>
      </c>
      <c r="CV130">
        <v>0.33575105300000002</v>
      </c>
      <c r="CW130">
        <v>0.33575105300000002</v>
      </c>
      <c r="CX130">
        <v>1</v>
      </c>
    </row>
    <row r="131" spans="1:102" x14ac:dyDescent="0.25">
      <c r="A131" t="s">
        <v>327</v>
      </c>
      <c r="B131">
        <v>2.6199999999999999E-3</v>
      </c>
      <c r="C131">
        <v>1.4999999999999999E-4</v>
      </c>
      <c r="D131">
        <v>1.4999999999999999E-4</v>
      </c>
      <c r="E131">
        <v>1.4999999999999999E-4</v>
      </c>
      <c r="F131">
        <v>1.4999999999999999E-4</v>
      </c>
      <c r="G131">
        <v>1E-4</v>
      </c>
      <c r="H131">
        <v>1E-4</v>
      </c>
      <c r="I131">
        <v>1E-4</v>
      </c>
      <c r="J131">
        <v>1E-4</v>
      </c>
      <c r="K131">
        <v>1E-4</v>
      </c>
      <c r="L131">
        <v>1E-4</v>
      </c>
      <c r="M131">
        <v>1E-4</v>
      </c>
      <c r="N131">
        <v>1E-4</v>
      </c>
      <c r="O131">
        <v>1E-4</v>
      </c>
      <c r="P131">
        <v>1E-4</v>
      </c>
      <c r="Q131">
        <v>2.5999999999999998E-4</v>
      </c>
      <c r="R131">
        <v>2.5999999999999998E-4</v>
      </c>
      <c r="S131">
        <v>2.5999999999999998E-4</v>
      </c>
      <c r="T131">
        <v>2.5999999999999998E-4</v>
      </c>
      <c r="U131">
        <v>2.5999999999999998E-4</v>
      </c>
      <c r="V131">
        <v>2.7E-4</v>
      </c>
      <c r="W131">
        <v>2.7E-4</v>
      </c>
      <c r="X131">
        <v>2.7E-4</v>
      </c>
      <c r="Y131">
        <v>2.7E-4</v>
      </c>
      <c r="Z131">
        <v>2.7E-4</v>
      </c>
      <c r="AA131">
        <v>3.5E-4</v>
      </c>
      <c r="AB131">
        <v>3.5E-4</v>
      </c>
      <c r="AC131">
        <v>3.5E-4</v>
      </c>
      <c r="AD131">
        <v>3.5E-4</v>
      </c>
      <c r="AE131">
        <v>3.5E-4</v>
      </c>
      <c r="AF131">
        <v>3.8000000000000002E-4</v>
      </c>
      <c r="AG131">
        <v>3.8000000000000002E-4</v>
      </c>
      <c r="AH131">
        <v>3.8000000000000002E-4</v>
      </c>
      <c r="AI131">
        <v>3.8000000000000002E-4</v>
      </c>
      <c r="AJ131">
        <v>3.8000000000000002E-4</v>
      </c>
      <c r="AK131">
        <v>5.8E-4</v>
      </c>
      <c r="AL131">
        <v>5.8E-4</v>
      </c>
      <c r="AM131">
        <v>5.8E-4</v>
      </c>
      <c r="AN131">
        <v>5.8E-4</v>
      </c>
      <c r="AO131">
        <v>5.8E-4</v>
      </c>
      <c r="AP131">
        <v>7.6000000000000004E-4</v>
      </c>
      <c r="AQ131">
        <v>7.6000000000000004E-4</v>
      </c>
      <c r="AR131">
        <v>7.6000000000000004E-4</v>
      </c>
      <c r="AS131">
        <v>7.6000000000000004E-4</v>
      </c>
      <c r="AT131">
        <v>7.6000000000000004E-4</v>
      </c>
      <c r="AU131">
        <v>1.4599999999999999E-3</v>
      </c>
      <c r="AV131">
        <v>1.4599999999999999E-3</v>
      </c>
      <c r="AW131">
        <v>1.4599999999999999E-3</v>
      </c>
      <c r="AX131">
        <v>1.4599999999999999E-3</v>
      </c>
      <c r="AY131">
        <v>1.4599999999999999E-3</v>
      </c>
      <c r="AZ131">
        <v>2.66E-3</v>
      </c>
      <c r="BA131">
        <v>2.66E-3</v>
      </c>
      <c r="BB131">
        <v>2.66E-3</v>
      </c>
      <c r="BC131">
        <v>2.66E-3</v>
      </c>
      <c r="BD131">
        <v>2.66E-3</v>
      </c>
      <c r="BE131">
        <v>3.49E-3</v>
      </c>
      <c r="BF131">
        <v>3.49E-3</v>
      </c>
      <c r="BG131">
        <v>3.49E-3</v>
      </c>
      <c r="BH131">
        <v>3.49E-3</v>
      </c>
      <c r="BI131">
        <v>3.49E-3</v>
      </c>
      <c r="BJ131">
        <v>5.9899999999999997E-3</v>
      </c>
      <c r="BK131">
        <v>5.9899999999999997E-3</v>
      </c>
      <c r="BL131">
        <v>5.9899999999999997E-3</v>
      </c>
      <c r="BM131">
        <v>5.9899999999999997E-3</v>
      </c>
      <c r="BN131">
        <v>5.9899999999999997E-3</v>
      </c>
      <c r="BO131">
        <v>9.3100000000000006E-3</v>
      </c>
      <c r="BP131">
        <v>9.3100000000000006E-3</v>
      </c>
      <c r="BQ131">
        <v>9.3100000000000006E-3</v>
      </c>
      <c r="BR131">
        <v>9.3100000000000006E-3</v>
      </c>
      <c r="BS131">
        <v>9.3100000000000006E-3</v>
      </c>
      <c r="BT131">
        <v>1.5169999999999999E-2</v>
      </c>
      <c r="BU131">
        <v>1.5169999999999999E-2</v>
      </c>
      <c r="BV131">
        <v>1.5169999999999999E-2</v>
      </c>
      <c r="BW131">
        <v>1.5169999999999999E-2</v>
      </c>
      <c r="BX131">
        <v>1.5169999999999999E-2</v>
      </c>
      <c r="BY131">
        <v>2.734E-2</v>
      </c>
      <c r="BZ131">
        <v>2.734E-2</v>
      </c>
      <c r="CA131">
        <v>2.734E-2</v>
      </c>
      <c r="CB131">
        <v>2.734E-2</v>
      </c>
      <c r="CC131">
        <v>2.734E-2</v>
      </c>
      <c r="CD131">
        <v>5.4640000000000001E-2</v>
      </c>
      <c r="CE131">
        <v>5.4640000000000001E-2</v>
      </c>
      <c r="CF131">
        <v>5.4640000000000001E-2</v>
      </c>
      <c r="CG131">
        <v>5.4640000000000001E-2</v>
      </c>
      <c r="CH131">
        <v>5.4640000000000001E-2</v>
      </c>
      <c r="CI131">
        <v>0.10263</v>
      </c>
      <c r="CJ131">
        <v>0.10263</v>
      </c>
      <c r="CK131">
        <v>0.10263</v>
      </c>
      <c r="CL131">
        <v>0.10263</v>
      </c>
      <c r="CM131">
        <v>0.10263</v>
      </c>
      <c r="CN131">
        <v>0.1812</v>
      </c>
      <c r="CO131">
        <v>0.1812</v>
      </c>
      <c r="CP131">
        <v>0.1812</v>
      </c>
      <c r="CQ131">
        <v>0.1812</v>
      </c>
      <c r="CR131">
        <v>0.1812</v>
      </c>
      <c r="CS131">
        <v>0.30066999999999999</v>
      </c>
      <c r="CT131">
        <v>0.30066999999999999</v>
      </c>
      <c r="CU131">
        <v>0.30066999999999999</v>
      </c>
      <c r="CV131">
        <v>0.30066999999999999</v>
      </c>
      <c r="CW131">
        <v>0.30066999999999999</v>
      </c>
      <c r="CX131">
        <v>1</v>
      </c>
    </row>
    <row r="132" spans="1:102" x14ac:dyDescent="0.25">
      <c r="A132" t="s">
        <v>329</v>
      </c>
      <c r="B132">
        <v>8.6599999999999993E-3</v>
      </c>
      <c r="C132">
        <v>7.5000000000000002E-4</v>
      </c>
      <c r="D132">
        <v>7.5000000000000002E-4</v>
      </c>
      <c r="E132">
        <v>7.5000000000000002E-4</v>
      </c>
      <c r="F132">
        <v>7.5000000000000002E-4</v>
      </c>
      <c r="G132">
        <v>2.2000000000000001E-4</v>
      </c>
      <c r="H132">
        <v>2.2000000000000001E-4</v>
      </c>
      <c r="I132">
        <v>2.2000000000000001E-4</v>
      </c>
      <c r="J132">
        <v>2.2000000000000001E-4</v>
      </c>
      <c r="K132">
        <v>2.2000000000000001E-4</v>
      </c>
      <c r="L132">
        <v>2.1000000000000001E-4</v>
      </c>
      <c r="M132">
        <v>2.1000000000000001E-4</v>
      </c>
      <c r="N132">
        <v>2.1000000000000001E-4</v>
      </c>
      <c r="O132">
        <v>2.1000000000000001E-4</v>
      </c>
      <c r="P132">
        <v>2.1000000000000001E-4</v>
      </c>
      <c r="Q132">
        <v>3.8000000000000002E-4</v>
      </c>
      <c r="R132">
        <v>3.8000000000000002E-4</v>
      </c>
      <c r="S132">
        <v>3.8000000000000002E-4</v>
      </c>
      <c r="T132">
        <v>3.8000000000000002E-4</v>
      </c>
      <c r="U132">
        <v>3.8000000000000002E-4</v>
      </c>
      <c r="V132">
        <v>4.4999999999999999E-4</v>
      </c>
      <c r="W132">
        <v>4.4999999999999999E-4</v>
      </c>
      <c r="X132">
        <v>4.4999999999999999E-4</v>
      </c>
      <c r="Y132">
        <v>4.4999999999999999E-4</v>
      </c>
      <c r="Z132">
        <v>4.4999999999999999E-4</v>
      </c>
      <c r="AA132">
        <v>5.2999999999999998E-4</v>
      </c>
      <c r="AB132">
        <v>5.2999999999999998E-4</v>
      </c>
      <c r="AC132">
        <v>5.2999999999999998E-4</v>
      </c>
      <c r="AD132">
        <v>5.2999999999999998E-4</v>
      </c>
      <c r="AE132">
        <v>5.2999999999999998E-4</v>
      </c>
      <c r="AF132">
        <v>7.2000000000000005E-4</v>
      </c>
      <c r="AG132">
        <v>7.2000000000000005E-4</v>
      </c>
      <c r="AH132">
        <v>7.2000000000000005E-4</v>
      </c>
      <c r="AI132">
        <v>7.2000000000000005E-4</v>
      </c>
      <c r="AJ132">
        <v>7.2000000000000005E-4</v>
      </c>
      <c r="AK132">
        <v>1.08E-3</v>
      </c>
      <c r="AL132">
        <v>1.08E-3</v>
      </c>
      <c r="AM132">
        <v>1.08E-3</v>
      </c>
      <c r="AN132">
        <v>1.08E-3</v>
      </c>
      <c r="AO132">
        <v>1.08E-3</v>
      </c>
      <c r="AP132">
        <v>1.66E-3</v>
      </c>
      <c r="AQ132">
        <v>1.66E-3</v>
      </c>
      <c r="AR132">
        <v>1.66E-3</v>
      </c>
      <c r="AS132">
        <v>1.66E-3</v>
      </c>
      <c r="AT132">
        <v>1.66E-3</v>
      </c>
      <c r="AU132">
        <v>2.63E-3</v>
      </c>
      <c r="AV132">
        <v>2.63E-3</v>
      </c>
      <c r="AW132">
        <v>2.63E-3</v>
      </c>
      <c r="AX132">
        <v>2.63E-3</v>
      </c>
      <c r="AY132">
        <v>2.63E-3</v>
      </c>
      <c r="AZ132">
        <v>4.0899999999999999E-3</v>
      </c>
      <c r="BA132">
        <v>4.0899999999999999E-3</v>
      </c>
      <c r="BB132">
        <v>4.0899999999999999E-3</v>
      </c>
      <c r="BC132">
        <v>4.0899999999999999E-3</v>
      </c>
      <c r="BD132">
        <v>4.0899999999999999E-3</v>
      </c>
      <c r="BE132">
        <v>6.2199999999999998E-3</v>
      </c>
      <c r="BF132">
        <v>6.2199999999999998E-3</v>
      </c>
      <c r="BG132">
        <v>6.2199999999999998E-3</v>
      </c>
      <c r="BH132">
        <v>6.2199999999999998E-3</v>
      </c>
      <c r="BI132">
        <v>6.2199999999999998E-3</v>
      </c>
      <c r="BJ132">
        <v>1.0189999999999999E-2</v>
      </c>
      <c r="BK132">
        <v>1.0189999999999999E-2</v>
      </c>
      <c r="BL132">
        <v>1.0189999999999999E-2</v>
      </c>
      <c r="BM132">
        <v>1.0189999999999999E-2</v>
      </c>
      <c r="BN132">
        <v>1.0189999999999999E-2</v>
      </c>
      <c r="BO132">
        <v>1.6719999999999999E-2</v>
      </c>
      <c r="BP132">
        <v>1.6719999999999999E-2</v>
      </c>
      <c r="BQ132">
        <v>1.6719999999999999E-2</v>
      </c>
      <c r="BR132">
        <v>1.6719999999999999E-2</v>
      </c>
      <c r="BS132">
        <v>1.6719999999999999E-2</v>
      </c>
      <c r="BT132">
        <v>2.9219999999999999E-2</v>
      </c>
      <c r="BU132">
        <v>2.9219999999999999E-2</v>
      </c>
      <c r="BV132">
        <v>2.9219999999999999E-2</v>
      </c>
      <c r="BW132">
        <v>2.9219999999999999E-2</v>
      </c>
      <c r="BX132">
        <v>2.9219999999999999E-2</v>
      </c>
      <c r="BY132">
        <v>5.1769999999999997E-2</v>
      </c>
      <c r="BZ132">
        <v>5.1769999999999997E-2</v>
      </c>
      <c r="CA132">
        <v>5.1769999999999997E-2</v>
      </c>
      <c r="CB132">
        <v>5.1769999999999997E-2</v>
      </c>
      <c r="CC132">
        <v>5.1769999999999997E-2</v>
      </c>
      <c r="CD132">
        <v>9.3350000000000002E-2</v>
      </c>
      <c r="CE132">
        <v>9.3350000000000002E-2</v>
      </c>
      <c r="CF132">
        <v>9.3350000000000002E-2</v>
      </c>
      <c r="CG132">
        <v>9.3350000000000002E-2</v>
      </c>
      <c r="CH132">
        <v>9.3350000000000002E-2</v>
      </c>
      <c r="CI132">
        <v>0.15837000000000001</v>
      </c>
      <c r="CJ132">
        <v>0.15837000000000001</v>
      </c>
      <c r="CK132">
        <v>0.15837000000000001</v>
      </c>
      <c r="CL132">
        <v>0.15837000000000001</v>
      </c>
      <c r="CM132">
        <v>0.15837000000000001</v>
      </c>
      <c r="CN132">
        <v>0.25273000000000001</v>
      </c>
      <c r="CO132">
        <v>0.25273000000000001</v>
      </c>
      <c r="CP132">
        <v>0.25273000000000001</v>
      </c>
      <c r="CQ132">
        <v>0.25273000000000001</v>
      </c>
      <c r="CR132">
        <v>0.25273000000000001</v>
      </c>
      <c r="CS132">
        <v>0.37940000000000002</v>
      </c>
      <c r="CT132">
        <v>0.37940000000000002</v>
      </c>
      <c r="CU132">
        <v>0.37940000000000002</v>
      </c>
      <c r="CV132">
        <v>0.37940000000000002</v>
      </c>
      <c r="CW132">
        <v>0.37940000000000002</v>
      </c>
      <c r="CX132">
        <v>1</v>
      </c>
    </row>
    <row r="133" spans="1:102" x14ac:dyDescent="0.25">
      <c r="A133" t="s">
        <v>331</v>
      </c>
      <c r="B133">
        <v>7.0480000000000001E-2</v>
      </c>
      <c r="C133">
        <v>5.4099999999999999E-3</v>
      </c>
      <c r="D133">
        <v>5.4099999999999999E-3</v>
      </c>
      <c r="E133">
        <v>5.4099999999999999E-3</v>
      </c>
      <c r="F133">
        <v>5.4099999999999999E-3</v>
      </c>
      <c r="G133">
        <v>1.5200000000000001E-3</v>
      </c>
      <c r="H133">
        <v>1.5200000000000001E-3</v>
      </c>
      <c r="I133">
        <v>1.5200000000000001E-3</v>
      </c>
      <c r="J133">
        <v>1.5200000000000001E-3</v>
      </c>
      <c r="K133">
        <v>1.5200000000000001E-3</v>
      </c>
      <c r="L133">
        <v>9.1E-4</v>
      </c>
      <c r="M133">
        <v>9.1E-4</v>
      </c>
      <c r="N133">
        <v>9.1E-4</v>
      </c>
      <c r="O133">
        <v>9.1E-4</v>
      </c>
      <c r="P133">
        <v>9.1E-4</v>
      </c>
      <c r="Q133">
        <v>1.24E-3</v>
      </c>
      <c r="R133">
        <v>1.24E-3</v>
      </c>
      <c r="S133">
        <v>1.24E-3</v>
      </c>
      <c r="T133">
        <v>1.24E-3</v>
      </c>
      <c r="U133">
        <v>1.24E-3</v>
      </c>
      <c r="V133">
        <v>1.7600000000000001E-3</v>
      </c>
      <c r="W133">
        <v>1.7600000000000001E-3</v>
      </c>
      <c r="X133">
        <v>1.7600000000000001E-3</v>
      </c>
      <c r="Y133">
        <v>1.7600000000000001E-3</v>
      </c>
      <c r="Z133">
        <v>1.7600000000000001E-3</v>
      </c>
      <c r="AA133">
        <v>2.0999999999999999E-3</v>
      </c>
      <c r="AB133">
        <v>2.0999999999999999E-3</v>
      </c>
      <c r="AC133">
        <v>2.0999999999999999E-3</v>
      </c>
      <c r="AD133">
        <v>2.0999999999999999E-3</v>
      </c>
      <c r="AE133">
        <v>2.0999999999999999E-3</v>
      </c>
      <c r="AF133">
        <v>2.5000000000000001E-3</v>
      </c>
      <c r="AG133">
        <v>2.5000000000000001E-3</v>
      </c>
      <c r="AH133">
        <v>2.5000000000000001E-3</v>
      </c>
      <c r="AI133">
        <v>2.5000000000000001E-3</v>
      </c>
      <c r="AJ133">
        <v>2.5000000000000001E-3</v>
      </c>
      <c r="AK133">
        <v>3.16E-3</v>
      </c>
      <c r="AL133">
        <v>3.16E-3</v>
      </c>
      <c r="AM133">
        <v>3.16E-3</v>
      </c>
      <c r="AN133">
        <v>3.16E-3</v>
      </c>
      <c r="AO133">
        <v>3.16E-3</v>
      </c>
      <c r="AP133">
        <v>4.1099999999999999E-3</v>
      </c>
      <c r="AQ133">
        <v>4.1099999999999999E-3</v>
      </c>
      <c r="AR133">
        <v>4.1099999999999999E-3</v>
      </c>
      <c r="AS133">
        <v>4.1099999999999999E-3</v>
      </c>
      <c r="AT133">
        <v>4.1099999999999999E-3</v>
      </c>
      <c r="AU133">
        <v>5.7099999999999998E-3</v>
      </c>
      <c r="AV133">
        <v>5.7099999999999998E-3</v>
      </c>
      <c r="AW133">
        <v>5.7099999999999998E-3</v>
      </c>
      <c r="AX133">
        <v>5.7099999999999998E-3</v>
      </c>
      <c r="AY133">
        <v>5.7099999999999998E-3</v>
      </c>
      <c r="AZ133">
        <v>8.3999999999999995E-3</v>
      </c>
      <c r="BA133">
        <v>8.3999999999999995E-3</v>
      </c>
      <c r="BB133">
        <v>8.3999999999999995E-3</v>
      </c>
      <c r="BC133">
        <v>8.3999999999999995E-3</v>
      </c>
      <c r="BD133">
        <v>8.3999999999999995E-3</v>
      </c>
      <c r="BE133">
        <v>1.2880000000000001E-2</v>
      </c>
      <c r="BF133">
        <v>1.2880000000000001E-2</v>
      </c>
      <c r="BG133">
        <v>1.2880000000000001E-2</v>
      </c>
      <c r="BH133">
        <v>1.2880000000000001E-2</v>
      </c>
      <c r="BI133">
        <v>1.2880000000000001E-2</v>
      </c>
      <c r="BJ133">
        <v>1.898E-2</v>
      </c>
      <c r="BK133">
        <v>1.898E-2</v>
      </c>
      <c r="BL133">
        <v>1.898E-2</v>
      </c>
      <c r="BM133">
        <v>1.898E-2</v>
      </c>
      <c r="BN133">
        <v>1.898E-2</v>
      </c>
      <c r="BO133">
        <v>3.1359999999999999E-2</v>
      </c>
      <c r="BP133">
        <v>3.1359999999999999E-2</v>
      </c>
      <c r="BQ133">
        <v>3.1359999999999999E-2</v>
      </c>
      <c r="BR133">
        <v>3.1359999999999999E-2</v>
      </c>
      <c r="BS133">
        <v>3.1359999999999999E-2</v>
      </c>
      <c r="BT133">
        <v>5.2350000000000001E-2</v>
      </c>
      <c r="BU133">
        <v>5.2350000000000001E-2</v>
      </c>
      <c r="BV133">
        <v>5.2350000000000001E-2</v>
      </c>
      <c r="BW133">
        <v>5.2350000000000001E-2</v>
      </c>
      <c r="BX133">
        <v>5.2350000000000001E-2</v>
      </c>
      <c r="BY133">
        <v>8.566E-2</v>
      </c>
      <c r="BZ133">
        <v>8.566E-2</v>
      </c>
      <c r="CA133">
        <v>8.566E-2</v>
      </c>
      <c r="CB133">
        <v>8.566E-2</v>
      </c>
      <c r="CC133">
        <v>8.566E-2</v>
      </c>
      <c r="CD133">
        <v>0.13522999999999999</v>
      </c>
      <c r="CE133">
        <v>0.13522999999999999</v>
      </c>
      <c r="CF133">
        <v>0.13522999999999999</v>
      </c>
      <c r="CG133">
        <v>0.13522999999999999</v>
      </c>
      <c r="CH133">
        <v>0.13522999999999999</v>
      </c>
      <c r="CI133">
        <v>0.20549999999999999</v>
      </c>
      <c r="CJ133">
        <v>0.20549999999999999</v>
      </c>
      <c r="CK133">
        <v>0.20549999999999999</v>
      </c>
      <c r="CL133">
        <v>0.20549999999999999</v>
      </c>
      <c r="CM133">
        <v>0.20549999999999999</v>
      </c>
      <c r="CN133">
        <v>0.30019000000000001</v>
      </c>
      <c r="CO133">
        <v>0.30019000000000001</v>
      </c>
      <c r="CP133">
        <v>0.30019000000000001</v>
      </c>
      <c r="CQ133">
        <v>0.30019000000000001</v>
      </c>
      <c r="CR133">
        <v>0.30019000000000001</v>
      </c>
      <c r="CS133">
        <v>0.42242000000000002</v>
      </c>
      <c r="CT133">
        <v>0.42242000000000002</v>
      </c>
      <c r="CU133">
        <v>0.42242000000000002</v>
      </c>
      <c r="CV133">
        <v>0.42242000000000002</v>
      </c>
      <c r="CW133">
        <v>0.42242000000000002</v>
      </c>
      <c r="CX133">
        <v>1</v>
      </c>
    </row>
    <row r="134" spans="1:102" x14ac:dyDescent="0.25">
      <c r="A134" t="s">
        <v>333</v>
      </c>
      <c r="B134">
        <v>1.09E-2</v>
      </c>
      <c r="C134">
        <v>9.0000000000000006E-5</v>
      </c>
      <c r="D134">
        <v>9.0000000000000006E-5</v>
      </c>
      <c r="E134">
        <v>9.0000000000000006E-5</v>
      </c>
      <c r="F134">
        <v>9.0000000000000006E-5</v>
      </c>
      <c r="G134">
        <v>2.1000000000000001E-4</v>
      </c>
      <c r="H134">
        <v>2.1000000000000001E-4</v>
      </c>
      <c r="I134">
        <v>2.1000000000000001E-4</v>
      </c>
      <c r="J134">
        <v>2.1000000000000001E-4</v>
      </c>
      <c r="K134">
        <v>2.1000000000000001E-4</v>
      </c>
      <c r="L134">
        <v>1.9000000000000001E-4</v>
      </c>
      <c r="M134">
        <v>1.9000000000000001E-4</v>
      </c>
      <c r="N134">
        <v>1.9000000000000001E-4</v>
      </c>
      <c r="O134">
        <v>1.9000000000000001E-4</v>
      </c>
      <c r="P134">
        <v>1.9000000000000001E-4</v>
      </c>
      <c r="Q134">
        <v>5.1000000000000004E-4</v>
      </c>
      <c r="R134">
        <v>5.1000000000000004E-4</v>
      </c>
      <c r="S134">
        <v>5.1000000000000004E-4</v>
      </c>
      <c r="T134">
        <v>5.1000000000000004E-4</v>
      </c>
      <c r="U134">
        <v>5.1000000000000004E-4</v>
      </c>
      <c r="V134">
        <v>7.5000000000000002E-4</v>
      </c>
      <c r="W134">
        <v>7.5000000000000002E-4</v>
      </c>
      <c r="X134">
        <v>7.5000000000000002E-4</v>
      </c>
      <c r="Y134">
        <v>7.5000000000000002E-4</v>
      </c>
      <c r="Z134">
        <v>7.5000000000000002E-4</v>
      </c>
      <c r="AA134">
        <v>1.08E-3</v>
      </c>
      <c r="AB134">
        <v>1.08E-3</v>
      </c>
      <c r="AC134">
        <v>1.08E-3</v>
      </c>
      <c r="AD134">
        <v>1.08E-3</v>
      </c>
      <c r="AE134">
        <v>1.08E-3</v>
      </c>
      <c r="AF134">
        <v>1.4499999999999999E-3</v>
      </c>
      <c r="AG134">
        <v>1.4499999999999999E-3</v>
      </c>
      <c r="AH134">
        <v>1.4499999999999999E-3</v>
      </c>
      <c r="AI134">
        <v>1.4499999999999999E-3</v>
      </c>
      <c r="AJ134">
        <v>1.4499999999999999E-3</v>
      </c>
      <c r="AK134">
        <v>1.57E-3</v>
      </c>
      <c r="AL134">
        <v>1.57E-3</v>
      </c>
      <c r="AM134">
        <v>1.57E-3</v>
      </c>
      <c r="AN134">
        <v>1.57E-3</v>
      </c>
      <c r="AO134">
        <v>1.57E-3</v>
      </c>
      <c r="AP134">
        <v>2.5400000000000002E-3</v>
      </c>
      <c r="AQ134">
        <v>2.5400000000000002E-3</v>
      </c>
      <c r="AR134">
        <v>2.5400000000000002E-3</v>
      </c>
      <c r="AS134">
        <v>2.5400000000000002E-3</v>
      </c>
      <c r="AT134">
        <v>2.5400000000000002E-3</v>
      </c>
      <c r="AU134">
        <v>2.7899999999999999E-3</v>
      </c>
      <c r="AV134">
        <v>2.7899999999999999E-3</v>
      </c>
      <c r="AW134">
        <v>2.7899999999999999E-3</v>
      </c>
      <c r="AX134">
        <v>2.7899999999999999E-3</v>
      </c>
      <c r="AY134">
        <v>2.7899999999999999E-3</v>
      </c>
      <c r="AZ134">
        <v>4.4799999999999996E-3</v>
      </c>
      <c r="BA134">
        <v>4.4799999999999996E-3</v>
      </c>
      <c r="BB134">
        <v>4.4799999999999996E-3</v>
      </c>
      <c r="BC134">
        <v>4.4799999999999996E-3</v>
      </c>
      <c r="BD134">
        <v>4.4799999999999996E-3</v>
      </c>
      <c r="BE134">
        <v>8.2000000000000007E-3</v>
      </c>
      <c r="BF134">
        <v>8.2000000000000007E-3</v>
      </c>
      <c r="BG134">
        <v>8.2000000000000007E-3</v>
      </c>
      <c r="BH134">
        <v>8.2000000000000007E-3</v>
      </c>
      <c r="BI134">
        <v>8.2000000000000007E-3</v>
      </c>
      <c r="BJ134">
        <v>2.273E-2</v>
      </c>
      <c r="BK134">
        <v>2.273E-2</v>
      </c>
      <c r="BL134">
        <v>2.273E-2</v>
      </c>
      <c r="BM134">
        <v>2.273E-2</v>
      </c>
      <c r="BN134">
        <v>2.273E-2</v>
      </c>
      <c r="BO134">
        <v>2.7130000000000001E-2</v>
      </c>
      <c r="BP134">
        <v>2.7130000000000001E-2</v>
      </c>
      <c r="BQ134">
        <v>2.7130000000000001E-2</v>
      </c>
      <c r="BR134">
        <v>2.7130000000000001E-2</v>
      </c>
      <c r="BS134">
        <v>2.7130000000000001E-2</v>
      </c>
      <c r="BT134">
        <v>2.1829999999999999E-2</v>
      </c>
      <c r="BU134">
        <v>2.1829999999999999E-2</v>
      </c>
      <c r="BV134">
        <v>2.1829999999999999E-2</v>
      </c>
      <c r="BW134">
        <v>2.1829999999999999E-2</v>
      </c>
      <c r="BX134">
        <v>2.1829999999999999E-2</v>
      </c>
      <c r="BY134">
        <v>4.5629999999999997E-2</v>
      </c>
      <c r="BZ134">
        <v>4.5629999999999997E-2</v>
      </c>
      <c r="CA134">
        <v>4.5629999999999997E-2</v>
      </c>
      <c r="CB134">
        <v>4.5629999999999997E-2</v>
      </c>
      <c r="CC134">
        <v>4.5629999999999997E-2</v>
      </c>
      <c r="CD134">
        <v>5.475E-2</v>
      </c>
      <c r="CE134">
        <v>5.475E-2</v>
      </c>
      <c r="CF134">
        <v>5.475E-2</v>
      </c>
      <c r="CG134">
        <v>5.475E-2</v>
      </c>
      <c r="CH134">
        <v>5.475E-2</v>
      </c>
      <c r="CI134">
        <v>7.331E-2</v>
      </c>
      <c r="CJ134">
        <v>7.331E-2</v>
      </c>
      <c r="CK134">
        <v>7.331E-2</v>
      </c>
      <c r="CL134">
        <v>7.331E-2</v>
      </c>
      <c r="CM134">
        <v>7.331E-2</v>
      </c>
      <c r="CN134">
        <v>0.10953</v>
      </c>
      <c r="CO134">
        <v>0.10953</v>
      </c>
      <c r="CP134">
        <v>0.10953</v>
      </c>
      <c r="CQ134">
        <v>0.10953</v>
      </c>
      <c r="CR134">
        <v>0.10953</v>
      </c>
      <c r="CS134">
        <v>0.18264</v>
      </c>
      <c r="CT134">
        <v>0.18264</v>
      </c>
      <c r="CU134">
        <v>0.18264</v>
      </c>
      <c r="CV134">
        <v>0.18264</v>
      </c>
      <c r="CW134">
        <v>0.18264</v>
      </c>
      <c r="CX134">
        <v>1</v>
      </c>
    </row>
    <row r="135" spans="1:102" x14ac:dyDescent="0.25">
      <c r="A135" t="s">
        <v>335</v>
      </c>
      <c r="B135">
        <v>1.4670000000000001E-2</v>
      </c>
      <c r="C135">
        <v>1.8E-3</v>
      </c>
      <c r="D135">
        <v>1.8E-3</v>
      </c>
      <c r="E135">
        <v>1.8E-3</v>
      </c>
      <c r="F135">
        <v>1.8E-3</v>
      </c>
      <c r="G135">
        <v>2.9E-4</v>
      </c>
      <c r="H135">
        <v>2.9E-4</v>
      </c>
      <c r="I135">
        <v>2.9E-4</v>
      </c>
      <c r="J135">
        <v>2.9E-4</v>
      </c>
      <c r="K135">
        <v>2.9E-4</v>
      </c>
      <c r="L135">
        <v>3.2000000000000003E-4</v>
      </c>
      <c r="M135">
        <v>3.2000000000000003E-4</v>
      </c>
      <c r="N135">
        <v>3.2000000000000003E-4</v>
      </c>
      <c r="O135">
        <v>3.2000000000000003E-4</v>
      </c>
      <c r="P135">
        <v>3.2000000000000003E-4</v>
      </c>
      <c r="Q135">
        <v>5.9000000000000003E-4</v>
      </c>
      <c r="R135">
        <v>5.9000000000000003E-4</v>
      </c>
      <c r="S135">
        <v>5.9000000000000003E-4</v>
      </c>
      <c r="T135">
        <v>5.9000000000000003E-4</v>
      </c>
      <c r="U135">
        <v>5.9000000000000003E-4</v>
      </c>
      <c r="V135">
        <v>7.5000000000000002E-4</v>
      </c>
      <c r="W135">
        <v>7.5000000000000002E-4</v>
      </c>
      <c r="X135">
        <v>7.5000000000000002E-4</v>
      </c>
      <c r="Y135">
        <v>7.5000000000000002E-4</v>
      </c>
      <c r="Z135">
        <v>7.5000000000000002E-4</v>
      </c>
      <c r="AA135">
        <v>8.3000000000000001E-4</v>
      </c>
      <c r="AB135">
        <v>8.3000000000000001E-4</v>
      </c>
      <c r="AC135">
        <v>8.3000000000000001E-4</v>
      </c>
      <c r="AD135">
        <v>8.3000000000000001E-4</v>
      </c>
      <c r="AE135">
        <v>8.3000000000000001E-4</v>
      </c>
      <c r="AF135">
        <v>1.0499999999999999E-3</v>
      </c>
      <c r="AG135">
        <v>1.0499999999999999E-3</v>
      </c>
      <c r="AH135">
        <v>1.0499999999999999E-3</v>
      </c>
      <c r="AI135">
        <v>1.0499999999999999E-3</v>
      </c>
      <c r="AJ135">
        <v>1.0499999999999999E-3</v>
      </c>
      <c r="AK135">
        <v>1.06E-3</v>
      </c>
      <c r="AL135">
        <v>1.06E-3</v>
      </c>
      <c r="AM135">
        <v>1.06E-3</v>
      </c>
      <c r="AN135">
        <v>1.06E-3</v>
      </c>
      <c r="AO135">
        <v>1.06E-3</v>
      </c>
      <c r="AP135">
        <v>1.64E-3</v>
      </c>
      <c r="AQ135">
        <v>1.64E-3</v>
      </c>
      <c r="AR135">
        <v>1.64E-3</v>
      </c>
      <c r="AS135">
        <v>1.64E-3</v>
      </c>
      <c r="AT135">
        <v>1.64E-3</v>
      </c>
      <c r="AU135">
        <v>2.47E-3</v>
      </c>
      <c r="AV135">
        <v>2.47E-3</v>
      </c>
      <c r="AW135">
        <v>2.47E-3</v>
      </c>
      <c r="AX135">
        <v>2.47E-3</v>
      </c>
      <c r="AY135">
        <v>2.47E-3</v>
      </c>
      <c r="AZ135">
        <v>3.3999999999999998E-3</v>
      </c>
      <c r="BA135">
        <v>3.3999999999999998E-3</v>
      </c>
      <c r="BB135">
        <v>3.3999999999999998E-3</v>
      </c>
      <c r="BC135">
        <v>3.3999999999999998E-3</v>
      </c>
      <c r="BD135">
        <v>3.3999999999999998E-3</v>
      </c>
      <c r="BE135">
        <v>5.2399999999999999E-3</v>
      </c>
      <c r="BF135">
        <v>5.2399999999999999E-3</v>
      </c>
      <c r="BG135">
        <v>5.2399999999999999E-3</v>
      </c>
      <c r="BH135">
        <v>5.2399999999999999E-3</v>
      </c>
      <c r="BI135">
        <v>5.2399999999999999E-3</v>
      </c>
      <c r="BJ135">
        <v>7.11E-3</v>
      </c>
      <c r="BK135">
        <v>7.11E-3</v>
      </c>
      <c r="BL135">
        <v>7.11E-3</v>
      </c>
      <c r="BM135">
        <v>7.11E-3</v>
      </c>
      <c r="BN135">
        <v>7.11E-3</v>
      </c>
      <c r="BO135">
        <v>1.192E-2</v>
      </c>
      <c r="BP135">
        <v>1.192E-2</v>
      </c>
      <c r="BQ135">
        <v>1.192E-2</v>
      </c>
      <c r="BR135">
        <v>1.192E-2</v>
      </c>
      <c r="BS135">
        <v>1.192E-2</v>
      </c>
      <c r="BT135">
        <v>2.2190000000000001E-2</v>
      </c>
      <c r="BU135">
        <v>2.2190000000000001E-2</v>
      </c>
      <c r="BV135">
        <v>2.2190000000000001E-2</v>
      </c>
      <c r="BW135">
        <v>2.2190000000000001E-2</v>
      </c>
      <c r="BX135">
        <v>2.2190000000000001E-2</v>
      </c>
      <c r="BY135">
        <v>3.3980000000000003E-2</v>
      </c>
      <c r="BZ135">
        <v>3.3980000000000003E-2</v>
      </c>
      <c r="CA135">
        <v>3.3980000000000003E-2</v>
      </c>
      <c r="CB135">
        <v>3.3980000000000003E-2</v>
      </c>
      <c r="CC135">
        <v>3.3980000000000003E-2</v>
      </c>
      <c r="CD135">
        <v>5.5030000000000003E-2</v>
      </c>
      <c r="CE135">
        <v>5.5030000000000003E-2</v>
      </c>
      <c r="CF135">
        <v>5.5030000000000003E-2</v>
      </c>
      <c r="CG135">
        <v>5.5030000000000003E-2</v>
      </c>
      <c r="CH135">
        <v>5.5030000000000003E-2</v>
      </c>
      <c r="CI135">
        <v>8.9849999999999999E-2</v>
      </c>
      <c r="CJ135">
        <v>8.9849999999999999E-2</v>
      </c>
      <c r="CK135">
        <v>8.9849999999999999E-2</v>
      </c>
      <c r="CL135">
        <v>8.9849999999999999E-2</v>
      </c>
      <c r="CM135">
        <v>8.9849999999999999E-2</v>
      </c>
      <c r="CN135">
        <v>0.14793000000000001</v>
      </c>
      <c r="CO135">
        <v>0.14793000000000001</v>
      </c>
      <c r="CP135">
        <v>0.14793000000000001</v>
      </c>
      <c r="CQ135">
        <v>0.14793000000000001</v>
      </c>
      <c r="CR135">
        <v>0.14793000000000001</v>
      </c>
      <c r="CS135">
        <v>0.24559</v>
      </c>
      <c r="CT135">
        <v>0.24559</v>
      </c>
      <c r="CU135">
        <v>0.24559</v>
      </c>
      <c r="CV135">
        <v>0.24559</v>
      </c>
      <c r="CW135">
        <v>0.24559</v>
      </c>
      <c r="CX135">
        <v>1</v>
      </c>
    </row>
    <row r="136" spans="1:102" x14ac:dyDescent="0.25">
      <c r="A136" t="s">
        <v>337</v>
      </c>
      <c r="B136">
        <v>5.2470000000000003E-2</v>
      </c>
      <c r="C136">
        <v>3.9300000000000003E-3</v>
      </c>
      <c r="D136">
        <v>3.9300000000000003E-3</v>
      </c>
      <c r="E136">
        <v>3.9300000000000003E-3</v>
      </c>
      <c r="F136">
        <v>3.9300000000000003E-3</v>
      </c>
      <c r="G136">
        <v>1.39E-3</v>
      </c>
      <c r="H136">
        <v>1.39E-3</v>
      </c>
      <c r="I136">
        <v>1.39E-3</v>
      </c>
      <c r="J136">
        <v>1.39E-3</v>
      </c>
      <c r="K136">
        <v>1.39E-3</v>
      </c>
      <c r="L136">
        <v>9.8999999999999999E-4</v>
      </c>
      <c r="M136">
        <v>9.8999999999999999E-4</v>
      </c>
      <c r="N136">
        <v>9.8999999999999999E-4</v>
      </c>
      <c r="O136">
        <v>9.8999999999999999E-4</v>
      </c>
      <c r="P136">
        <v>9.8999999999999999E-4</v>
      </c>
      <c r="Q136">
        <v>1.6299999999999999E-3</v>
      </c>
      <c r="R136">
        <v>1.6299999999999999E-3</v>
      </c>
      <c r="S136">
        <v>1.6299999999999999E-3</v>
      </c>
      <c r="T136">
        <v>1.6299999999999999E-3</v>
      </c>
      <c r="U136">
        <v>1.6299999999999999E-3</v>
      </c>
      <c r="V136">
        <v>2.14E-3</v>
      </c>
      <c r="W136">
        <v>2.14E-3</v>
      </c>
      <c r="X136">
        <v>2.14E-3</v>
      </c>
      <c r="Y136">
        <v>2.14E-3</v>
      </c>
      <c r="Z136">
        <v>2.14E-3</v>
      </c>
      <c r="AA136">
        <v>2.4399999999999999E-3</v>
      </c>
      <c r="AB136">
        <v>2.4399999999999999E-3</v>
      </c>
      <c r="AC136">
        <v>2.4399999999999999E-3</v>
      </c>
      <c r="AD136">
        <v>2.4399999999999999E-3</v>
      </c>
      <c r="AE136">
        <v>2.4399999999999999E-3</v>
      </c>
      <c r="AF136">
        <v>2.96E-3</v>
      </c>
      <c r="AG136">
        <v>2.96E-3</v>
      </c>
      <c r="AH136">
        <v>2.96E-3</v>
      </c>
      <c r="AI136">
        <v>2.96E-3</v>
      </c>
      <c r="AJ136">
        <v>2.96E-3</v>
      </c>
      <c r="AK136">
        <v>3.8700000000000002E-3</v>
      </c>
      <c r="AL136">
        <v>3.8700000000000002E-3</v>
      </c>
      <c r="AM136">
        <v>3.8700000000000002E-3</v>
      </c>
      <c r="AN136">
        <v>3.8700000000000002E-3</v>
      </c>
      <c r="AO136">
        <v>3.8700000000000002E-3</v>
      </c>
      <c r="AP136">
        <v>5.1700000000000001E-3</v>
      </c>
      <c r="AQ136">
        <v>5.1700000000000001E-3</v>
      </c>
      <c r="AR136">
        <v>5.1700000000000001E-3</v>
      </c>
      <c r="AS136">
        <v>5.1700000000000001E-3</v>
      </c>
      <c r="AT136">
        <v>5.1700000000000001E-3</v>
      </c>
      <c r="AU136">
        <v>7.0600000000000003E-3</v>
      </c>
      <c r="AV136">
        <v>7.0600000000000003E-3</v>
      </c>
      <c r="AW136">
        <v>7.0600000000000003E-3</v>
      </c>
      <c r="AX136">
        <v>7.0600000000000003E-3</v>
      </c>
      <c r="AY136">
        <v>7.0600000000000003E-3</v>
      </c>
      <c r="AZ136">
        <v>0.01</v>
      </c>
      <c r="BA136">
        <v>0.01</v>
      </c>
      <c r="BB136">
        <v>0.01</v>
      </c>
      <c r="BC136">
        <v>0.01</v>
      </c>
      <c r="BD136">
        <v>0.01</v>
      </c>
      <c r="BE136">
        <v>1.455E-2</v>
      </c>
      <c r="BF136">
        <v>1.455E-2</v>
      </c>
      <c r="BG136">
        <v>1.455E-2</v>
      </c>
      <c r="BH136">
        <v>1.455E-2</v>
      </c>
      <c r="BI136">
        <v>1.455E-2</v>
      </c>
      <c r="BJ136">
        <v>2.0920000000000001E-2</v>
      </c>
      <c r="BK136">
        <v>2.0920000000000001E-2</v>
      </c>
      <c r="BL136">
        <v>2.0920000000000001E-2</v>
      </c>
      <c r="BM136">
        <v>2.0920000000000001E-2</v>
      </c>
      <c r="BN136">
        <v>2.0920000000000001E-2</v>
      </c>
      <c r="BO136">
        <v>3.2809999999999999E-2</v>
      </c>
      <c r="BP136">
        <v>3.2809999999999999E-2</v>
      </c>
      <c r="BQ136">
        <v>3.2809999999999999E-2</v>
      </c>
      <c r="BR136">
        <v>3.2809999999999999E-2</v>
      </c>
      <c r="BS136">
        <v>3.2809999999999999E-2</v>
      </c>
      <c r="BT136">
        <v>5.2940000000000001E-2</v>
      </c>
      <c r="BU136">
        <v>5.2940000000000001E-2</v>
      </c>
      <c r="BV136">
        <v>5.2940000000000001E-2</v>
      </c>
      <c r="BW136">
        <v>5.2940000000000001E-2</v>
      </c>
      <c r="BX136">
        <v>5.2940000000000001E-2</v>
      </c>
      <c r="BY136">
        <v>8.4370000000000001E-2</v>
      </c>
      <c r="BZ136">
        <v>8.4370000000000001E-2</v>
      </c>
      <c r="CA136">
        <v>8.4370000000000001E-2</v>
      </c>
      <c r="CB136">
        <v>8.4370000000000001E-2</v>
      </c>
      <c r="CC136">
        <v>8.4370000000000001E-2</v>
      </c>
      <c r="CD136">
        <v>0.13272999999999999</v>
      </c>
      <c r="CE136">
        <v>0.13272999999999999</v>
      </c>
      <c r="CF136">
        <v>0.13272999999999999</v>
      </c>
      <c r="CG136">
        <v>0.13272999999999999</v>
      </c>
      <c r="CH136">
        <v>0.13272999999999999</v>
      </c>
      <c r="CI136">
        <v>0.20141000000000001</v>
      </c>
      <c r="CJ136">
        <v>0.20141000000000001</v>
      </c>
      <c r="CK136">
        <v>0.20141000000000001</v>
      </c>
      <c r="CL136">
        <v>0.20141000000000001</v>
      </c>
      <c r="CM136">
        <v>0.20141000000000001</v>
      </c>
      <c r="CN136">
        <v>0.29479</v>
      </c>
      <c r="CO136">
        <v>0.29479</v>
      </c>
      <c r="CP136">
        <v>0.29479</v>
      </c>
      <c r="CQ136">
        <v>0.29479</v>
      </c>
      <c r="CR136">
        <v>0.29479</v>
      </c>
      <c r="CS136">
        <v>0.41616999999999998</v>
      </c>
      <c r="CT136">
        <v>0.41616999999999998</v>
      </c>
      <c r="CU136">
        <v>0.41616999999999998</v>
      </c>
      <c r="CV136">
        <v>0.41616999999999998</v>
      </c>
      <c r="CW136">
        <v>0.41616999999999998</v>
      </c>
      <c r="CX136">
        <v>1</v>
      </c>
    </row>
    <row r="137" spans="1:102" x14ac:dyDescent="0.25">
      <c r="A137" t="s">
        <v>339</v>
      </c>
      <c r="B137">
        <v>1.754E-2</v>
      </c>
      <c r="C137">
        <v>7.9000000000000001E-4</v>
      </c>
      <c r="D137">
        <v>7.9000000000000001E-4</v>
      </c>
      <c r="E137">
        <v>7.9000000000000001E-4</v>
      </c>
      <c r="F137">
        <v>7.9000000000000001E-4</v>
      </c>
      <c r="G137">
        <v>2.9999999999999997E-4</v>
      </c>
      <c r="H137">
        <v>2.9999999999999997E-4</v>
      </c>
      <c r="I137">
        <v>2.9999999999999997E-4</v>
      </c>
      <c r="J137">
        <v>2.9999999999999997E-4</v>
      </c>
      <c r="K137">
        <v>2.9999999999999997E-4</v>
      </c>
      <c r="L137">
        <v>3.6999999999999999E-4</v>
      </c>
      <c r="M137">
        <v>3.6999999999999999E-4</v>
      </c>
      <c r="N137">
        <v>3.6999999999999999E-4</v>
      </c>
      <c r="O137">
        <v>3.6999999999999999E-4</v>
      </c>
      <c r="P137">
        <v>3.6999999999999999E-4</v>
      </c>
      <c r="Q137">
        <v>5.5000000000000003E-4</v>
      </c>
      <c r="R137">
        <v>5.5000000000000003E-4</v>
      </c>
      <c r="S137">
        <v>5.5000000000000003E-4</v>
      </c>
      <c r="T137">
        <v>5.5000000000000003E-4</v>
      </c>
      <c r="U137">
        <v>5.5000000000000003E-4</v>
      </c>
      <c r="V137">
        <v>6.2E-4</v>
      </c>
      <c r="W137">
        <v>6.2E-4</v>
      </c>
      <c r="X137">
        <v>6.2E-4</v>
      </c>
      <c r="Y137">
        <v>6.2E-4</v>
      </c>
      <c r="Z137">
        <v>6.2E-4</v>
      </c>
      <c r="AA137">
        <v>7.1000000000000002E-4</v>
      </c>
      <c r="AB137">
        <v>7.1000000000000002E-4</v>
      </c>
      <c r="AC137">
        <v>7.1000000000000002E-4</v>
      </c>
      <c r="AD137">
        <v>7.1000000000000002E-4</v>
      </c>
      <c r="AE137">
        <v>7.1000000000000002E-4</v>
      </c>
      <c r="AF137">
        <v>9.3000000000000005E-4</v>
      </c>
      <c r="AG137">
        <v>9.3000000000000005E-4</v>
      </c>
      <c r="AH137">
        <v>9.3000000000000005E-4</v>
      </c>
      <c r="AI137">
        <v>9.3000000000000005E-4</v>
      </c>
      <c r="AJ137">
        <v>9.3000000000000005E-4</v>
      </c>
      <c r="AK137">
        <v>1.47E-3</v>
      </c>
      <c r="AL137">
        <v>1.47E-3</v>
      </c>
      <c r="AM137">
        <v>1.47E-3</v>
      </c>
      <c r="AN137">
        <v>1.47E-3</v>
      </c>
      <c r="AO137">
        <v>1.47E-3</v>
      </c>
      <c r="AP137">
        <v>2.1800000000000001E-3</v>
      </c>
      <c r="AQ137">
        <v>2.1800000000000001E-3</v>
      </c>
      <c r="AR137">
        <v>2.1800000000000001E-3</v>
      </c>
      <c r="AS137">
        <v>2.1800000000000001E-3</v>
      </c>
      <c r="AT137">
        <v>2.1800000000000001E-3</v>
      </c>
      <c r="AU137">
        <v>2.96E-3</v>
      </c>
      <c r="AV137">
        <v>2.96E-3</v>
      </c>
      <c r="AW137">
        <v>2.96E-3</v>
      </c>
      <c r="AX137">
        <v>2.96E-3</v>
      </c>
      <c r="AY137">
        <v>2.96E-3</v>
      </c>
      <c r="AZ137">
        <v>4.7000000000000002E-3</v>
      </c>
      <c r="BA137">
        <v>4.7000000000000002E-3</v>
      </c>
      <c r="BB137">
        <v>4.7000000000000002E-3</v>
      </c>
      <c r="BC137">
        <v>4.7000000000000002E-3</v>
      </c>
      <c r="BD137">
        <v>4.7000000000000002E-3</v>
      </c>
      <c r="BE137">
        <v>6.45E-3</v>
      </c>
      <c r="BF137">
        <v>6.45E-3</v>
      </c>
      <c r="BG137">
        <v>6.45E-3</v>
      </c>
      <c r="BH137">
        <v>6.45E-3</v>
      </c>
      <c r="BI137">
        <v>6.45E-3</v>
      </c>
      <c r="BJ137">
        <v>1.112E-2</v>
      </c>
      <c r="BK137">
        <v>1.112E-2</v>
      </c>
      <c r="BL137">
        <v>1.112E-2</v>
      </c>
      <c r="BM137">
        <v>1.112E-2</v>
      </c>
      <c r="BN137">
        <v>1.112E-2</v>
      </c>
      <c r="BO137">
        <v>1.6209999999999999E-2</v>
      </c>
      <c r="BP137">
        <v>1.6209999999999999E-2</v>
      </c>
      <c r="BQ137">
        <v>1.6209999999999999E-2</v>
      </c>
      <c r="BR137">
        <v>1.6209999999999999E-2</v>
      </c>
      <c r="BS137">
        <v>1.6209999999999999E-2</v>
      </c>
      <c r="BT137">
        <v>2.4060000000000002E-2</v>
      </c>
      <c r="BU137">
        <v>2.4060000000000002E-2</v>
      </c>
      <c r="BV137">
        <v>2.4060000000000002E-2</v>
      </c>
      <c r="BW137">
        <v>2.4060000000000002E-2</v>
      </c>
      <c r="BX137">
        <v>2.4060000000000002E-2</v>
      </c>
      <c r="BY137">
        <v>4.1419999999999998E-2</v>
      </c>
      <c r="BZ137">
        <v>4.1419999999999998E-2</v>
      </c>
      <c r="CA137">
        <v>4.1419999999999998E-2</v>
      </c>
      <c r="CB137">
        <v>4.1419999999999998E-2</v>
      </c>
      <c r="CC137">
        <v>4.1419999999999998E-2</v>
      </c>
      <c r="CD137">
        <v>6.8229999999999999E-2</v>
      </c>
      <c r="CE137">
        <v>6.8229999999999999E-2</v>
      </c>
      <c r="CF137">
        <v>6.8229999999999999E-2</v>
      </c>
      <c r="CG137">
        <v>6.8229999999999999E-2</v>
      </c>
      <c r="CH137">
        <v>6.8229999999999999E-2</v>
      </c>
      <c r="CI137">
        <v>0.11117</v>
      </c>
      <c r="CJ137">
        <v>0.11117</v>
      </c>
      <c r="CK137">
        <v>0.11117</v>
      </c>
      <c r="CL137">
        <v>0.11117</v>
      </c>
      <c r="CM137">
        <v>0.11117</v>
      </c>
      <c r="CN137">
        <v>0.17913999999999999</v>
      </c>
      <c r="CO137">
        <v>0.17913999999999999</v>
      </c>
      <c r="CP137">
        <v>0.17913999999999999</v>
      </c>
      <c r="CQ137">
        <v>0.17913999999999999</v>
      </c>
      <c r="CR137">
        <v>0.17913999999999999</v>
      </c>
      <c r="CS137">
        <v>0.28549000000000002</v>
      </c>
      <c r="CT137">
        <v>0.28549000000000002</v>
      </c>
      <c r="CU137">
        <v>0.28549000000000002</v>
      </c>
      <c r="CV137">
        <v>0.28549000000000002</v>
      </c>
      <c r="CW137">
        <v>0.28549000000000002</v>
      </c>
      <c r="CX137">
        <v>1</v>
      </c>
    </row>
    <row r="138" spans="1:102" x14ac:dyDescent="0.25">
      <c r="A138" t="s">
        <v>341</v>
      </c>
      <c r="B138">
        <v>1.736E-2</v>
      </c>
      <c r="C138">
        <v>4.6000000000000001E-4</v>
      </c>
      <c r="D138">
        <v>4.6000000000000001E-4</v>
      </c>
      <c r="E138">
        <v>4.6000000000000001E-4</v>
      </c>
      <c r="F138">
        <v>4.6000000000000001E-4</v>
      </c>
      <c r="G138">
        <v>3.2000000000000003E-4</v>
      </c>
      <c r="H138">
        <v>3.2000000000000003E-4</v>
      </c>
      <c r="I138">
        <v>3.2000000000000003E-4</v>
      </c>
      <c r="J138">
        <v>3.2000000000000003E-4</v>
      </c>
      <c r="K138">
        <v>3.2000000000000003E-4</v>
      </c>
      <c r="L138">
        <v>3.4000000000000002E-4</v>
      </c>
      <c r="M138">
        <v>3.4000000000000002E-4</v>
      </c>
      <c r="N138">
        <v>3.4000000000000002E-4</v>
      </c>
      <c r="O138">
        <v>3.4000000000000002E-4</v>
      </c>
      <c r="P138">
        <v>3.4000000000000002E-4</v>
      </c>
      <c r="Q138">
        <v>6.3000000000000003E-4</v>
      </c>
      <c r="R138">
        <v>6.3000000000000003E-4</v>
      </c>
      <c r="S138">
        <v>6.3000000000000003E-4</v>
      </c>
      <c r="T138">
        <v>6.3000000000000003E-4</v>
      </c>
      <c r="U138">
        <v>6.3000000000000003E-4</v>
      </c>
      <c r="V138">
        <v>7.7999999999999999E-4</v>
      </c>
      <c r="W138">
        <v>7.7999999999999999E-4</v>
      </c>
      <c r="X138">
        <v>7.7999999999999999E-4</v>
      </c>
      <c r="Y138">
        <v>7.7999999999999999E-4</v>
      </c>
      <c r="Z138">
        <v>7.7999999999999999E-4</v>
      </c>
      <c r="AA138">
        <v>7.6000000000000004E-4</v>
      </c>
      <c r="AB138">
        <v>7.6000000000000004E-4</v>
      </c>
      <c r="AC138">
        <v>7.6000000000000004E-4</v>
      </c>
      <c r="AD138">
        <v>7.6000000000000004E-4</v>
      </c>
      <c r="AE138">
        <v>7.6000000000000004E-4</v>
      </c>
      <c r="AF138">
        <v>9.7999999999999997E-4</v>
      </c>
      <c r="AG138">
        <v>9.7999999999999997E-4</v>
      </c>
      <c r="AH138">
        <v>9.7999999999999997E-4</v>
      </c>
      <c r="AI138">
        <v>9.7999999999999997E-4</v>
      </c>
      <c r="AJ138">
        <v>9.7999999999999997E-4</v>
      </c>
      <c r="AK138">
        <v>1.4599999999999999E-3</v>
      </c>
      <c r="AL138">
        <v>1.4599999999999999E-3</v>
      </c>
      <c r="AM138">
        <v>1.4599999999999999E-3</v>
      </c>
      <c r="AN138">
        <v>1.4599999999999999E-3</v>
      </c>
      <c r="AO138">
        <v>1.4599999999999999E-3</v>
      </c>
      <c r="AP138">
        <v>2.0699999999999998E-3</v>
      </c>
      <c r="AQ138">
        <v>2.0699999999999998E-3</v>
      </c>
      <c r="AR138">
        <v>2.0699999999999998E-3</v>
      </c>
      <c r="AS138">
        <v>2.0699999999999998E-3</v>
      </c>
      <c r="AT138">
        <v>2.0699999999999998E-3</v>
      </c>
      <c r="AU138">
        <v>2.8800000000000002E-3</v>
      </c>
      <c r="AV138">
        <v>2.8800000000000002E-3</v>
      </c>
      <c r="AW138">
        <v>2.8800000000000002E-3</v>
      </c>
      <c r="AX138">
        <v>2.8800000000000002E-3</v>
      </c>
      <c r="AY138">
        <v>2.8800000000000002E-3</v>
      </c>
      <c r="AZ138">
        <v>4.5399999999999998E-3</v>
      </c>
      <c r="BA138">
        <v>4.5399999999999998E-3</v>
      </c>
      <c r="BB138">
        <v>4.5399999999999998E-3</v>
      </c>
      <c r="BC138">
        <v>4.5399999999999998E-3</v>
      </c>
      <c r="BD138">
        <v>4.5399999999999998E-3</v>
      </c>
      <c r="BE138">
        <v>6.0800000000000003E-3</v>
      </c>
      <c r="BF138">
        <v>6.0800000000000003E-3</v>
      </c>
      <c r="BG138">
        <v>6.0800000000000003E-3</v>
      </c>
      <c r="BH138">
        <v>6.0800000000000003E-3</v>
      </c>
      <c r="BI138">
        <v>6.0800000000000003E-3</v>
      </c>
      <c r="BJ138">
        <v>9.9299999999999996E-3</v>
      </c>
      <c r="BK138">
        <v>9.9299999999999996E-3</v>
      </c>
      <c r="BL138">
        <v>9.9299999999999996E-3</v>
      </c>
      <c r="BM138">
        <v>9.9299999999999996E-3</v>
      </c>
      <c r="BN138">
        <v>9.9299999999999996E-3</v>
      </c>
      <c r="BO138">
        <v>1.4019999999999999E-2</v>
      </c>
      <c r="BP138">
        <v>1.4019999999999999E-2</v>
      </c>
      <c r="BQ138">
        <v>1.4019999999999999E-2</v>
      </c>
      <c r="BR138">
        <v>1.4019999999999999E-2</v>
      </c>
      <c r="BS138">
        <v>1.4019999999999999E-2</v>
      </c>
      <c r="BT138">
        <v>2.333E-2</v>
      </c>
      <c r="BU138">
        <v>2.333E-2</v>
      </c>
      <c r="BV138">
        <v>2.333E-2</v>
      </c>
      <c r="BW138">
        <v>2.333E-2</v>
      </c>
      <c r="BX138">
        <v>2.333E-2</v>
      </c>
      <c r="BY138">
        <v>4.0689999999999997E-2</v>
      </c>
      <c r="BZ138">
        <v>4.0689999999999997E-2</v>
      </c>
      <c r="CA138">
        <v>4.0689999999999997E-2</v>
      </c>
      <c r="CB138">
        <v>4.0689999999999997E-2</v>
      </c>
      <c r="CC138">
        <v>4.0689999999999997E-2</v>
      </c>
      <c r="CD138">
        <v>7.6139999999999999E-2</v>
      </c>
      <c r="CE138">
        <v>7.6139999999999999E-2</v>
      </c>
      <c r="CF138">
        <v>7.6139999999999999E-2</v>
      </c>
      <c r="CG138">
        <v>7.6139999999999999E-2</v>
      </c>
      <c r="CH138">
        <v>7.6139999999999999E-2</v>
      </c>
      <c r="CI138">
        <v>0.13406000000000001</v>
      </c>
      <c r="CJ138">
        <v>0.13406000000000001</v>
      </c>
      <c r="CK138">
        <v>0.13406000000000001</v>
      </c>
      <c r="CL138">
        <v>0.13406000000000001</v>
      </c>
      <c r="CM138">
        <v>0.13406000000000001</v>
      </c>
      <c r="CN138">
        <v>0.22209000000000001</v>
      </c>
      <c r="CO138">
        <v>0.22209000000000001</v>
      </c>
      <c r="CP138">
        <v>0.22209000000000001</v>
      </c>
      <c r="CQ138">
        <v>0.22209000000000001</v>
      </c>
      <c r="CR138">
        <v>0.22209000000000001</v>
      </c>
      <c r="CS138">
        <v>0.34617999999999999</v>
      </c>
      <c r="CT138">
        <v>0.34617999999999999</v>
      </c>
      <c r="CU138">
        <v>0.34617999999999999</v>
      </c>
      <c r="CV138">
        <v>0.34617999999999999</v>
      </c>
      <c r="CW138">
        <v>0.34617999999999999</v>
      </c>
      <c r="CX138">
        <v>1</v>
      </c>
    </row>
    <row r="139" spans="1:102" x14ac:dyDescent="0.25">
      <c r="A139" t="s">
        <v>343</v>
      </c>
      <c r="B139">
        <v>2.0693684E-2</v>
      </c>
      <c r="C139">
        <v>1.3699999999999999E-3</v>
      </c>
      <c r="D139">
        <v>1.3699999999999999E-3</v>
      </c>
      <c r="E139">
        <v>1.3699999999999999E-3</v>
      </c>
      <c r="F139">
        <v>1.3699999999999999E-3</v>
      </c>
      <c r="G139">
        <v>5.1000000000000004E-4</v>
      </c>
      <c r="H139">
        <v>5.1000000000000004E-4</v>
      </c>
      <c r="I139">
        <v>5.1000000000000004E-4</v>
      </c>
      <c r="J139">
        <v>5.1000000000000004E-4</v>
      </c>
      <c r="K139">
        <v>5.1000000000000004E-4</v>
      </c>
      <c r="L139">
        <v>5.9315799999999999E-4</v>
      </c>
      <c r="M139">
        <v>5.9315799999999999E-4</v>
      </c>
      <c r="N139">
        <v>5.9315799999999999E-4</v>
      </c>
      <c r="O139">
        <v>5.9315799999999999E-4</v>
      </c>
      <c r="P139">
        <v>5.9315799999999999E-4</v>
      </c>
      <c r="Q139">
        <v>9.81579E-4</v>
      </c>
      <c r="R139">
        <v>9.81579E-4</v>
      </c>
      <c r="S139">
        <v>9.81579E-4</v>
      </c>
      <c r="T139">
        <v>9.81579E-4</v>
      </c>
      <c r="U139">
        <v>9.81579E-4</v>
      </c>
      <c r="V139">
        <v>8.9421100000000001E-4</v>
      </c>
      <c r="W139">
        <v>8.9421100000000001E-4</v>
      </c>
      <c r="X139">
        <v>8.9421100000000001E-4</v>
      </c>
      <c r="Y139">
        <v>8.9421100000000001E-4</v>
      </c>
      <c r="Z139">
        <v>8.9421100000000001E-4</v>
      </c>
      <c r="AA139">
        <v>1.1073680000000001E-3</v>
      </c>
      <c r="AB139">
        <v>1.1073680000000001E-3</v>
      </c>
      <c r="AC139">
        <v>1.1073680000000001E-3</v>
      </c>
      <c r="AD139">
        <v>1.1073680000000001E-3</v>
      </c>
      <c r="AE139">
        <v>1.1073680000000001E-3</v>
      </c>
      <c r="AF139">
        <v>1.6073680000000001E-3</v>
      </c>
      <c r="AG139">
        <v>1.6073680000000001E-3</v>
      </c>
      <c r="AH139">
        <v>1.6073680000000001E-3</v>
      </c>
      <c r="AI139">
        <v>1.6073680000000001E-3</v>
      </c>
      <c r="AJ139">
        <v>1.6073680000000001E-3</v>
      </c>
      <c r="AK139">
        <v>1.9905259999999998E-3</v>
      </c>
      <c r="AL139">
        <v>1.9905259999999998E-3</v>
      </c>
      <c r="AM139">
        <v>1.9905259999999998E-3</v>
      </c>
      <c r="AN139">
        <v>1.9905259999999998E-3</v>
      </c>
      <c r="AO139">
        <v>1.9905259999999998E-3</v>
      </c>
      <c r="AP139">
        <v>3.283158E-3</v>
      </c>
      <c r="AQ139">
        <v>3.283158E-3</v>
      </c>
      <c r="AR139">
        <v>3.283158E-3</v>
      </c>
      <c r="AS139">
        <v>3.283158E-3</v>
      </c>
      <c r="AT139">
        <v>3.283158E-3</v>
      </c>
      <c r="AU139">
        <v>4.5542109999999998E-3</v>
      </c>
      <c r="AV139">
        <v>4.5542109999999998E-3</v>
      </c>
      <c r="AW139">
        <v>4.5542109999999998E-3</v>
      </c>
      <c r="AX139">
        <v>4.5542109999999998E-3</v>
      </c>
      <c r="AY139">
        <v>4.5542109999999998E-3</v>
      </c>
      <c r="AZ139">
        <v>6.844737E-3</v>
      </c>
      <c r="BA139">
        <v>6.844737E-3</v>
      </c>
      <c r="BB139">
        <v>6.844737E-3</v>
      </c>
      <c r="BC139">
        <v>6.844737E-3</v>
      </c>
      <c r="BD139">
        <v>6.844737E-3</v>
      </c>
      <c r="BE139">
        <v>1.0072105E-2</v>
      </c>
      <c r="BF139">
        <v>1.0072105E-2</v>
      </c>
      <c r="BG139">
        <v>1.0072105E-2</v>
      </c>
      <c r="BH139">
        <v>1.0072105E-2</v>
      </c>
      <c r="BI139">
        <v>1.0072105E-2</v>
      </c>
      <c r="BJ139">
        <v>1.6034211E-2</v>
      </c>
      <c r="BK139">
        <v>1.6034211E-2</v>
      </c>
      <c r="BL139">
        <v>1.6034211E-2</v>
      </c>
      <c r="BM139">
        <v>1.6034211E-2</v>
      </c>
      <c r="BN139">
        <v>1.6034211E-2</v>
      </c>
      <c r="BO139">
        <v>2.4366315999999999E-2</v>
      </c>
      <c r="BP139">
        <v>2.4366315999999999E-2</v>
      </c>
      <c r="BQ139">
        <v>2.4366315999999999E-2</v>
      </c>
      <c r="BR139">
        <v>2.4366315999999999E-2</v>
      </c>
      <c r="BS139">
        <v>2.4366315999999999E-2</v>
      </c>
      <c r="BT139">
        <v>3.6406842000000002E-2</v>
      </c>
      <c r="BU139">
        <v>3.6406842000000002E-2</v>
      </c>
      <c r="BV139">
        <v>3.6406842000000002E-2</v>
      </c>
      <c r="BW139">
        <v>3.6406842000000002E-2</v>
      </c>
      <c r="BX139">
        <v>3.6406842000000002E-2</v>
      </c>
      <c r="BY139">
        <v>6.3028421000000001E-2</v>
      </c>
      <c r="BZ139">
        <v>6.3028421000000001E-2</v>
      </c>
      <c r="CA139">
        <v>6.3028421000000001E-2</v>
      </c>
      <c r="CB139">
        <v>6.3028421000000001E-2</v>
      </c>
      <c r="CC139">
        <v>6.3028421000000001E-2</v>
      </c>
      <c r="CD139">
        <v>9.6411578999999997E-2</v>
      </c>
      <c r="CE139">
        <v>9.6411578999999997E-2</v>
      </c>
      <c r="CF139">
        <v>9.6411578999999997E-2</v>
      </c>
      <c r="CG139">
        <v>9.6411578999999997E-2</v>
      </c>
      <c r="CH139">
        <v>9.6411578999999997E-2</v>
      </c>
      <c r="CI139">
        <v>0.148308947</v>
      </c>
      <c r="CJ139">
        <v>0.148308947</v>
      </c>
      <c r="CK139">
        <v>0.148308947</v>
      </c>
      <c r="CL139">
        <v>0.148308947</v>
      </c>
      <c r="CM139">
        <v>0.148308947</v>
      </c>
      <c r="CN139">
        <v>0.225275789</v>
      </c>
      <c r="CO139">
        <v>0.225275789</v>
      </c>
      <c r="CP139">
        <v>0.225275789</v>
      </c>
      <c r="CQ139">
        <v>0.225275789</v>
      </c>
      <c r="CR139">
        <v>0.225275789</v>
      </c>
      <c r="CS139">
        <v>0.33575105300000002</v>
      </c>
      <c r="CT139">
        <v>0.33575105300000002</v>
      </c>
      <c r="CU139">
        <v>0.33575105300000002</v>
      </c>
      <c r="CV139">
        <v>0.33575105300000002</v>
      </c>
      <c r="CW139">
        <v>0.33575105300000002</v>
      </c>
      <c r="CX139">
        <v>1</v>
      </c>
    </row>
    <row r="140" spans="1:102" x14ac:dyDescent="0.25">
      <c r="A140" t="s">
        <v>345</v>
      </c>
      <c r="B140">
        <v>9.7912499999999996E-3</v>
      </c>
      <c r="C140">
        <v>3.5649999999999999E-4</v>
      </c>
      <c r="D140">
        <v>3.5649999999999999E-4</v>
      </c>
      <c r="E140">
        <v>3.5649999999999999E-4</v>
      </c>
      <c r="F140">
        <v>3.5649999999999999E-4</v>
      </c>
      <c r="G140">
        <v>1.7899999999999999E-4</v>
      </c>
      <c r="H140">
        <v>1.7899999999999999E-4</v>
      </c>
      <c r="I140">
        <v>1.7899999999999999E-4</v>
      </c>
      <c r="J140">
        <v>1.7899999999999999E-4</v>
      </c>
      <c r="K140">
        <v>1.7899999999999999E-4</v>
      </c>
      <c r="L140">
        <v>1.8075E-4</v>
      </c>
      <c r="M140">
        <v>1.8075E-4</v>
      </c>
      <c r="N140">
        <v>1.8075E-4</v>
      </c>
      <c r="O140">
        <v>1.8075E-4</v>
      </c>
      <c r="P140">
        <v>1.8075E-4</v>
      </c>
      <c r="Q140">
        <v>3.0775000000000003E-4</v>
      </c>
      <c r="R140">
        <v>3.0775000000000003E-4</v>
      </c>
      <c r="S140">
        <v>3.0775000000000003E-4</v>
      </c>
      <c r="T140">
        <v>3.0775000000000003E-4</v>
      </c>
      <c r="U140">
        <v>3.0775000000000003E-4</v>
      </c>
      <c r="V140">
        <v>4.2025E-4</v>
      </c>
      <c r="W140">
        <v>4.2025E-4</v>
      </c>
      <c r="X140">
        <v>4.2025E-4</v>
      </c>
      <c r="Y140">
        <v>4.2025E-4</v>
      </c>
      <c r="Z140">
        <v>4.2025E-4</v>
      </c>
      <c r="AA140">
        <v>5.2674999999999998E-4</v>
      </c>
      <c r="AB140">
        <v>5.2674999999999998E-4</v>
      </c>
      <c r="AC140">
        <v>5.2674999999999998E-4</v>
      </c>
      <c r="AD140">
        <v>5.2674999999999998E-4</v>
      </c>
      <c r="AE140">
        <v>5.2674999999999998E-4</v>
      </c>
      <c r="AF140">
        <v>7.3850000000000001E-4</v>
      </c>
      <c r="AG140">
        <v>7.3850000000000001E-4</v>
      </c>
      <c r="AH140">
        <v>7.3850000000000001E-4</v>
      </c>
      <c r="AI140">
        <v>7.3850000000000001E-4</v>
      </c>
      <c r="AJ140">
        <v>7.3850000000000001E-4</v>
      </c>
      <c r="AK140">
        <v>1.0690000000000001E-3</v>
      </c>
      <c r="AL140">
        <v>1.0690000000000001E-3</v>
      </c>
      <c r="AM140">
        <v>1.0690000000000001E-3</v>
      </c>
      <c r="AN140">
        <v>1.0690000000000001E-3</v>
      </c>
      <c r="AO140">
        <v>1.0690000000000001E-3</v>
      </c>
      <c r="AP140">
        <v>1.622E-3</v>
      </c>
      <c r="AQ140">
        <v>1.622E-3</v>
      </c>
      <c r="AR140">
        <v>1.622E-3</v>
      </c>
      <c r="AS140">
        <v>1.622E-3</v>
      </c>
      <c r="AT140">
        <v>1.622E-3</v>
      </c>
      <c r="AU140">
        <v>2.5685E-3</v>
      </c>
      <c r="AV140">
        <v>2.5685E-3</v>
      </c>
      <c r="AW140">
        <v>2.5685E-3</v>
      </c>
      <c r="AX140">
        <v>2.5685E-3</v>
      </c>
      <c r="AY140">
        <v>2.5685E-3</v>
      </c>
      <c r="AZ140">
        <v>4.117E-3</v>
      </c>
      <c r="BA140">
        <v>4.117E-3</v>
      </c>
      <c r="BB140">
        <v>4.117E-3</v>
      </c>
      <c r="BC140">
        <v>4.117E-3</v>
      </c>
      <c r="BD140">
        <v>4.117E-3</v>
      </c>
      <c r="BE140">
        <v>6.4475000000000001E-3</v>
      </c>
      <c r="BF140">
        <v>6.4475000000000001E-3</v>
      </c>
      <c r="BG140">
        <v>6.4475000000000001E-3</v>
      </c>
      <c r="BH140">
        <v>6.4475000000000001E-3</v>
      </c>
      <c r="BI140">
        <v>6.4475000000000001E-3</v>
      </c>
      <c r="BJ140">
        <v>9.7327500000000001E-3</v>
      </c>
      <c r="BK140">
        <v>9.7327500000000001E-3</v>
      </c>
      <c r="BL140">
        <v>9.7327500000000001E-3</v>
      </c>
      <c r="BM140">
        <v>9.7327500000000001E-3</v>
      </c>
      <c r="BN140">
        <v>9.7327500000000001E-3</v>
      </c>
      <c r="BO140">
        <v>1.5950249999999999E-2</v>
      </c>
      <c r="BP140">
        <v>1.5950249999999999E-2</v>
      </c>
      <c r="BQ140">
        <v>1.5950249999999999E-2</v>
      </c>
      <c r="BR140">
        <v>1.5950249999999999E-2</v>
      </c>
      <c r="BS140">
        <v>1.5950249999999999E-2</v>
      </c>
      <c r="BT140">
        <v>2.6643500000000001E-2</v>
      </c>
      <c r="BU140">
        <v>2.6643500000000001E-2</v>
      </c>
      <c r="BV140">
        <v>2.6643500000000001E-2</v>
      </c>
      <c r="BW140">
        <v>2.6643500000000001E-2</v>
      </c>
      <c r="BX140">
        <v>2.6643500000000001E-2</v>
      </c>
      <c r="BY140">
        <v>4.6877250000000002E-2</v>
      </c>
      <c r="BZ140">
        <v>4.6877250000000002E-2</v>
      </c>
      <c r="CA140">
        <v>4.6877250000000002E-2</v>
      </c>
      <c r="CB140">
        <v>4.6877250000000002E-2</v>
      </c>
      <c r="CC140">
        <v>4.6877250000000002E-2</v>
      </c>
      <c r="CD140">
        <v>8.3014249999999998E-2</v>
      </c>
      <c r="CE140">
        <v>8.3014249999999998E-2</v>
      </c>
      <c r="CF140">
        <v>8.3014249999999998E-2</v>
      </c>
      <c r="CG140">
        <v>8.3014249999999998E-2</v>
      </c>
      <c r="CH140">
        <v>8.3014249999999998E-2</v>
      </c>
      <c r="CI140">
        <v>0.14132575</v>
      </c>
      <c r="CJ140">
        <v>0.14132575</v>
      </c>
      <c r="CK140">
        <v>0.14132575</v>
      </c>
      <c r="CL140">
        <v>0.14132575</v>
      </c>
      <c r="CM140">
        <v>0.14132575</v>
      </c>
      <c r="CN140">
        <v>0.22859225</v>
      </c>
      <c r="CO140">
        <v>0.22859225</v>
      </c>
      <c r="CP140">
        <v>0.22859225</v>
      </c>
      <c r="CQ140">
        <v>0.22859225</v>
      </c>
      <c r="CR140">
        <v>0.22859225</v>
      </c>
      <c r="CS140">
        <v>0.34928749999999997</v>
      </c>
      <c r="CT140">
        <v>0.34928749999999997</v>
      </c>
      <c r="CU140">
        <v>0.34928749999999997</v>
      </c>
      <c r="CV140">
        <v>0.34928749999999997</v>
      </c>
      <c r="CW140">
        <v>0.34928749999999997</v>
      </c>
      <c r="CX140">
        <v>1</v>
      </c>
    </row>
    <row r="141" spans="1:102" x14ac:dyDescent="0.25">
      <c r="A141" t="s">
        <v>347</v>
      </c>
      <c r="B141">
        <v>3.0699999999999998E-3</v>
      </c>
      <c r="C141">
        <v>1.9000000000000001E-4</v>
      </c>
      <c r="D141">
        <v>1.9000000000000001E-4</v>
      </c>
      <c r="E141">
        <v>1.9000000000000001E-4</v>
      </c>
      <c r="F141">
        <v>1.9000000000000001E-4</v>
      </c>
      <c r="G141">
        <v>1E-4</v>
      </c>
      <c r="H141">
        <v>1E-4</v>
      </c>
      <c r="I141">
        <v>1E-4</v>
      </c>
      <c r="J141">
        <v>1E-4</v>
      </c>
      <c r="K141">
        <v>1E-4</v>
      </c>
      <c r="L141">
        <v>1.2E-4</v>
      </c>
      <c r="M141">
        <v>1.2E-4</v>
      </c>
      <c r="N141">
        <v>1.2E-4</v>
      </c>
      <c r="O141">
        <v>1.2E-4</v>
      </c>
      <c r="P141">
        <v>1.2E-4</v>
      </c>
      <c r="Q141">
        <v>2.1000000000000001E-4</v>
      </c>
      <c r="R141">
        <v>2.1000000000000001E-4</v>
      </c>
      <c r="S141">
        <v>2.1000000000000001E-4</v>
      </c>
      <c r="T141">
        <v>2.1000000000000001E-4</v>
      </c>
      <c r="U141">
        <v>2.1000000000000001E-4</v>
      </c>
      <c r="V141">
        <v>2.9999999999999997E-4</v>
      </c>
      <c r="W141">
        <v>2.9999999999999997E-4</v>
      </c>
      <c r="X141">
        <v>2.9999999999999997E-4</v>
      </c>
      <c r="Y141">
        <v>2.9999999999999997E-4</v>
      </c>
      <c r="Z141">
        <v>2.9999999999999997E-4</v>
      </c>
      <c r="AA141">
        <v>2.7999999999999998E-4</v>
      </c>
      <c r="AB141">
        <v>2.7999999999999998E-4</v>
      </c>
      <c r="AC141">
        <v>2.7999999999999998E-4</v>
      </c>
      <c r="AD141">
        <v>2.7999999999999998E-4</v>
      </c>
      <c r="AE141">
        <v>2.7999999999999998E-4</v>
      </c>
      <c r="AF141">
        <v>4.4000000000000002E-4</v>
      </c>
      <c r="AG141">
        <v>4.4000000000000002E-4</v>
      </c>
      <c r="AH141">
        <v>4.4000000000000002E-4</v>
      </c>
      <c r="AI141">
        <v>4.4000000000000002E-4</v>
      </c>
      <c r="AJ141">
        <v>4.4000000000000002E-4</v>
      </c>
      <c r="AK141">
        <v>8.0000000000000004E-4</v>
      </c>
      <c r="AL141">
        <v>8.0000000000000004E-4</v>
      </c>
      <c r="AM141">
        <v>8.0000000000000004E-4</v>
      </c>
      <c r="AN141">
        <v>8.0000000000000004E-4</v>
      </c>
      <c r="AO141">
        <v>8.0000000000000004E-4</v>
      </c>
      <c r="AP141">
        <v>1.17E-3</v>
      </c>
      <c r="AQ141">
        <v>1.17E-3</v>
      </c>
      <c r="AR141">
        <v>1.17E-3</v>
      </c>
      <c r="AS141">
        <v>1.17E-3</v>
      </c>
      <c r="AT141">
        <v>1.17E-3</v>
      </c>
      <c r="AU141">
        <v>1.7700000000000001E-3</v>
      </c>
      <c r="AV141">
        <v>1.7700000000000001E-3</v>
      </c>
      <c r="AW141">
        <v>1.7700000000000001E-3</v>
      </c>
      <c r="AX141">
        <v>1.7700000000000001E-3</v>
      </c>
      <c r="AY141">
        <v>1.7700000000000001E-3</v>
      </c>
      <c r="AZ141">
        <v>2.6700000000000001E-3</v>
      </c>
      <c r="BA141">
        <v>2.6700000000000001E-3</v>
      </c>
      <c r="BB141">
        <v>2.6700000000000001E-3</v>
      </c>
      <c r="BC141">
        <v>2.6700000000000001E-3</v>
      </c>
      <c r="BD141">
        <v>2.6700000000000001E-3</v>
      </c>
      <c r="BE141">
        <v>3.3700000000000002E-3</v>
      </c>
      <c r="BF141">
        <v>3.3700000000000002E-3</v>
      </c>
      <c r="BG141">
        <v>3.3700000000000002E-3</v>
      </c>
      <c r="BH141">
        <v>3.3700000000000002E-3</v>
      </c>
      <c r="BI141">
        <v>3.3700000000000002E-3</v>
      </c>
      <c r="BJ141">
        <v>5.3600000000000002E-3</v>
      </c>
      <c r="BK141">
        <v>5.3600000000000002E-3</v>
      </c>
      <c r="BL141">
        <v>5.3600000000000002E-3</v>
      </c>
      <c r="BM141">
        <v>5.3600000000000002E-3</v>
      </c>
      <c r="BN141">
        <v>5.3600000000000002E-3</v>
      </c>
      <c r="BO141">
        <v>8.4499999999999992E-3</v>
      </c>
      <c r="BP141">
        <v>8.4499999999999992E-3</v>
      </c>
      <c r="BQ141">
        <v>8.4499999999999992E-3</v>
      </c>
      <c r="BR141">
        <v>8.4499999999999992E-3</v>
      </c>
      <c r="BS141">
        <v>8.4499999999999992E-3</v>
      </c>
      <c r="BT141">
        <v>1.485E-2</v>
      </c>
      <c r="BU141">
        <v>1.485E-2</v>
      </c>
      <c r="BV141">
        <v>1.485E-2</v>
      </c>
      <c r="BW141">
        <v>1.485E-2</v>
      </c>
      <c r="BX141">
        <v>1.485E-2</v>
      </c>
      <c r="BY141">
        <v>2.8879999999999999E-2</v>
      </c>
      <c r="BZ141">
        <v>2.8879999999999999E-2</v>
      </c>
      <c r="CA141">
        <v>2.8879999999999999E-2</v>
      </c>
      <c r="CB141">
        <v>2.8879999999999999E-2</v>
      </c>
      <c r="CC141">
        <v>2.8879999999999999E-2</v>
      </c>
      <c r="CD141">
        <v>6.1280000000000001E-2</v>
      </c>
      <c r="CE141">
        <v>6.1280000000000001E-2</v>
      </c>
      <c r="CF141">
        <v>6.1280000000000001E-2</v>
      </c>
      <c r="CG141">
        <v>6.1280000000000001E-2</v>
      </c>
      <c r="CH141">
        <v>6.1280000000000001E-2</v>
      </c>
      <c r="CI141">
        <v>0.11889</v>
      </c>
      <c r="CJ141">
        <v>0.11889</v>
      </c>
      <c r="CK141">
        <v>0.11889</v>
      </c>
      <c r="CL141">
        <v>0.11889</v>
      </c>
      <c r="CM141">
        <v>0.11889</v>
      </c>
      <c r="CN141">
        <v>0.21093999999999999</v>
      </c>
      <c r="CO141">
        <v>0.21093999999999999</v>
      </c>
      <c r="CP141">
        <v>0.21093999999999999</v>
      </c>
      <c r="CQ141">
        <v>0.21093999999999999</v>
      </c>
      <c r="CR141">
        <v>0.21093999999999999</v>
      </c>
      <c r="CS141">
        <v>0.34223999999999999</v>
      </c>
      <c r="CT141">
        <v>0.34223999999999999</v>
      </c>
      <c r="CU141">
        <v>0.34223999999999999</v>
      </c>
      <c r="CV141">
        <v>0.34223999999999999</v>
      </c>
      <c r="CW141">
        <v>0.34223999999999999</v>
      </c>
      <c r="CX141">
        <v>1</v>
      </c>
    </row>
    <row r="142" spans="1:102" x14ac:dyDescent="0.25">
      <c r="A142" t="s">
        <v>349</v>
      </c>
      <c r="B142">
        <v>7.43E-3</v>
      </c>
      <c r="C142">
        <v>4.4999999999999999E-4</v>
      </c>
      <c r="D142">
        <v>4.4999999999999999E-4</v>
      </c>
      <c r="E142">
        <v>4.4999999999999999E-4</v>
      </c>
      <c r="F142">
        <v>4.4999999999999999E-4</v>
      </c>
      <c r="G142">
        <v>1.7000000000000001E-4</v>
      </c>
      <c r="H142">
        <v>1.7000000000000001E-4</v>
      </c>
      <c r="I142">
        <v>1.7000000000000001E-4</v>
      </c>
      <c r="J142">
        <v>1.7000000000000001E-4</v>
      </c>
      <c r="K142">
        <v>1.7000000000000001E-4</v>
      </c>
      <c r="L142">
        <v>2.0000000000000001E-4</v>
      </c>
      <c r="M142">
        <v>2.0000000000000001E-4</v>
      </c>
      <c r="N142">
        <v>2.0000000000000001E-4</v>
      </c>
      <c r="O142">
        <v>2.0000000000000001E-4</v>
      </c>
      <c r="P142">
        <v>2.0000000000000001E-4</v>
      </c>
      <c r="Q142">
        <v>2.7E-4</v>
      </c>
      <c r="R142">
        <v>2.7E-4</v>
      </c>
      <c r="S142">
        <v>2.7E-4</v>
      </c>
      <c r="T142">
        <v>2.7E-4</v>
      </c>
      <c r="U142">
        <v>2.7E-4</v>
      </c>
      <c r="V142">
        <v>2.1000000000000001E-4</v>
      </c>
      <c r="W142">
        <v>2.1000000000000001E-4</v>
      </c>
      <c r="X142">
        <v>2.1000000000000001E-4</v>
      </c>
      <c r="Y142">
        <v>2.1000000000000001E-4</v>
      </c>
      <c r="Z142">
        <v>2.1000000000000001E-4</v>
      </c>
      <c r="AA142">
        <v>2.4000000000000001E-4</v>
      </c>
      <c r="AB142">
        <v>2.4000000000000001E-4</v>
      </c>
      <c r="AC142">
        <v>2.4000000000000001E-4</v>
      </c>
      <c r="AD142">
        <v>2.4000000000000001E-4</v>
      </c>
      <c r="AE142">
        <v>2.4000000000000001E-4</v>
      </c>
      <c r="AF142">
        <v>2.9999999999999997E-4</v>
      </c>
      <c r="AG142">
        <v>2.9999999999999997E-4</v>
      </c>
      <c r="AH142">
        <v>2.9999999999999997E-4</v>
      </c>
      <c r="AI142">
        <v>2.9999999999999997E-4</v>
      </c>
      <c r="AJ142">
        <v>2.9999999999999997E-4</v>
      </c>
      <c r="AK142">
        <v>3.6999999999999999E-4</v>
      </c>
      <c r="AL142">
        <v>3.6999999999999999E-4</v>
      </c>
      <c r="AM142">
        <v>3.6999999999999999E-4</v>
      </c>
      <c r="AN142">
        <v>3.6999999999999999E-4</v>
      </c>
      <c r="AO142">
        <v>3.6999999999999999E-4</v>
      </c>
      <c r="AP142">
        <v>7.6000000000000004E-4</v>
      </c>
      <c r="AQ142">
        <v>7.6000000000000004E-4</v>
      </c>
      <c r="AR142">
        <v>7.6000000000000004E-4</v>
      </c>
      <c r="AS142">
        <v>7.6000000000000004E-4</v>
      </c>
      <c r="AT142">
        <v>7.6000000000000004E-4</v>
      </c>
      <c r="AU142">
        <v>1.1999999999999999E-3</v>
      </c>
      <c r="AV142">
        <v>1.1999999999999999E-3</v>
      </c>
      <c r="AW142">
        <v>1.1999999999999999E-3</v>
      </c>
      <c r="AX142">
        <v>1.1999999999999999E-3</v>
      </c>
      <c r="AY142">
        <v>1.1999999999999999E-3</v>
      </c>
      <c r="AZ142">
        <v>2.1199999999999999E-3</v>
      </c>
      <c r="BA142">
        <v>2.1199999999999999E-3</v>
      </c>
      <c r="BB142">
        <v>2.1199999999999999E-3</v>
      </c>
      <c r="BC142">
        <v>2.1199999999999999E-3</v>
      </c>
      <c r="BD142">
        <v>2.1199999999999999E-3</v>
      </c>
      <c r="BE142">
        <v>4.4099999999999999E-3</v>
      </c>
      <c r="BF142">
        <v>4.4099999999999999E-3</v>
      </c>
      <c r="BG142">
        <v>4.4099999999999999E-3</v>
      </c>
      <c r="BH142">
        <v>4.4099999999999999E-3</v>
      </c>
      <c r="BI142">
        <v>4.4099999999999999E-3</v>
      </c>
      <c r="BJ142">
        <v>1.11E-2</v>
      </c>
      <c r="BK142">
        <v>1.11E-2</v>
      </c>
      <c r="BL142">
        <v>1.11E-2</v>
      </c>
      <c r="BM142">
        <v>1.11E-2</v>
      </c>
      <c r="BN142">
        <v>1.11E-2</v>
      </c>
      <c r="BO142">
        <v>2.1530000000000001E-2</v>
      </c>
      <c r="BP142">
        <v>2.1530000000000001E-2</v>
      </c>
      <c r="BQ142">
        <v>2.1530000000000001E-2</v>
      </c>
      <c r="BR142">
        <v>2.1530000000000001E-2</v>
      </c>
      <c r="BS142">
        <v>2.1530000000000001E-2</v>
      </c>
      <c r="BT142">
        <v>3.4020000000000002E-2</v>
      </c>
      <c r="BU142">
        <v>3.4020000000000002E-2</v>
      </c>
      <c r="BV142">
        <v>3.4020000000000002E-2</v>
      </c>
      <c r="BW142">
        <v>3.4020000000000002E-2</v>
      </c>
      <c r="BX142">
        <v>3.4020000000000002E-2</v>
      </c>
      <c r="BY142">
        <v>5.1549999999999999E-2</v>
      </c>
      <c r="BZ142">
        <v>5.1549999999999999E-2</v>
      </c>
      <c r="CA142">
        <v>5.1549999999999999E-2</v>
      </c>
      <c r="CB142">
        <v>5.1549999999999999E-2</v>
      </c>
      <c r="CC142">
        <v>5.1549999999999999E-2</v>
      </c>
      <c r="CD142">
        <v>8.0329999999999999E-2</v>
      </c>
      <c r="CE142">
        <v>8.0329999999999999E-2</v>
      </c>
      <c r="CF142">
        <v>8.0329999999999999E-2</v>
      </c>
      <c r="CG142">
        <v>8.0329999999999999E-2</v>
      </c>
      <c r="CH142">
        <v>8.0329999999999999E-2</v>
      </c>
      <c r="CI142">
        <v>0.12429999999999999</v>
      </c>
      <c r="CJ142">
        <v>0.12429999999999999</v>
      </c>
      <c r="CK142">
        <v>0.12429999999999999</v>
      </c>
      <c r="CL142">
        <v>0.12429999999999999</v>
      </c>
      <c r="CM142">
        <v>0.12429999999999999</v>
      </c>
      <c r="CN142">
        <v>0.19234999999999999</v>
      </c>
      <c r="CO142">
        <v>0.19234999999999999</v>
      </c>
      <c r="CP142">
        <v>0.19234999999999999</v>
      </c>
      <c r="CQ142">
        <v>0.19234999999999999</v>
      </c>
      <c r="CR142">
        <v>0.19234999999999999</v>
      </c>
      <c r="CS142">
        <v>0.29765000000000003</v>
      </c>
      <c r="CT142">
        <v>0.29765000000000003</v>
      </c>
      <c r="CU142">
        <v>0.29765000000000003</v>
      </c>
      <c r="CV142">
        <v>0.29765000000000003</v>
      </c>
      <c r="CW142">
        <v>0.29765000000000003</v>
      </c>
      <c r="CX142">
        <v>1</v>
      </c>
    </row>
    <row r="143" spans="1:102" x14ac:dyDescent="0.25">
      <c r="A143" t="s">
        <v>351</v>
      </c>
      <c r="B143">
        <v>9.0900000000000009E-3</v>
      </c>
      <c r="C143">
        <v>4.2999999999999999E-4</v>
      </c>
      <c r="D143">
        <v>4.2999999999999999E-4</v>
      </c>
      <c r="E143">
        <v>4.2999999999999999E-4</v>
      </c>
      <c r="F143">
        <v>4.2999999999999999E-4</v>
      </c>
      <c r="G143">
        <v>2.1000000000000001E-4</v>
      </c>
      <c r="H143">
        <v>2.1000000000000001E-4</v>
      </c>
      <c r="I143">
        <v>2.1000000000000001E-4</v>
      </c>
      <c r="J143">
        <v>2.1000000000000001E-4</v>
      </c>
      <c r="K143">
        <v>2.1000000000000001E-4</v>
      </c>
      <c r="L143">
        <v>2.1000000000000001E-4</v>
      </c>
      <c r="M143">
        <v>2.1000000000000001E-4</v>
      </c>
      <c r="N143">
        <v>2.1000000000000001E-4</v>
      </c>
      <c r="O143">
        <v>2.1000000000000001E-4</v>
      </c>
      <c r="P143">
        <v>2.1000000000000001E-4</v>
      </c>
      <c r="Q143">
        <v>3.4000000000000002E-4</v>
      </c>
      <c r="R143">
        <v>3.4000000000000002E-4</v>
      </c>
      <c r="S143">
        <v>3.4000000000000002E-4</v>
      </c>
      <c r="T143">
        <v>3.4000000000000002E-4</v>
      </c>
      <c r="U143">
        <v>3.4000000000000002E-4</v>
      </c>
      <c r="V143">
        <v>3.8999999999999999E-4</v>
      </c>
      <c r="W143">
        <v>3.8999999999999999E-4</v>
      </c>
      <c r="X143">
        <v>3.8999999999999999E-4</v>
      </c>
      <c r="Y143">
        <v>3.8999999999999999E-4</v>
      </c>
      <c r="Z143">
        <v>3.8999999999999999E-4</v>
      </c>
      <c r="AA143">
        <v>3.6000000000000002E-4</v>
      </c>
      <c r="AB143">
        <v>3.6000000000000002E-4</v>
      </c>
      <c r="AC143">
        <v>3.6000000000000002E-4</v>
      </c>
      <c r="AD143">
        <v>3.6000000000000002E-4</v>
      </c>
      <c r="AE143">
        <v>3.6000000000000002E-4</v>
      </c>
      <c r="AF143">
        <v>5.5000000000000003E-4</v>
      </c>
      <c r="AG143">
        <v>5.5000000000000003E-4</v>
      </c>
      <c r="AH143">
        <v>5.5000000000000003E-4</v>
      </c>
      <c r="AI143">
        <v>5.5000000000000003E-4</v>
      </c>
      <c r="AJ143">
        <v>5.5000000000000003E-4</v>
      </c>
      <c r="AK143">
        <v>9.3999999999999997E-4</v>
      </c>
      <c r="AL143">
        <v>9.3999999999999997E-4</v>
      </c>
      <c r="AM143">
        <v>9.3999999999999997E-4</v>
      </c>
      <c r="AN143">
        <v>9.3999999999999997E-4</v>
      </c>
      <c r="AO143">
        <v>9.3999999999999997E-4</v>
      </c>
      <c r="AP143">
        <v>1.65E-3</v>
      </c>
      <c r="AQ143">
        <v>1.65E-3</v>
      </c>
      <c r="AR143">
        <v>1.65E-3</v>
      </c>
      <c r="AS143">
        <v>1.65E-3</v>
      </c>
      <c r="AT143">
        <v>1.65E-3</v>
      </c>
      <c r="AU143">
        <v>3.0500000000000002E-3</v>
      </c>
      <c r="AV143">
        <v>3.0500000000000002E-3</v>
      </c>
      <c r="AW143">
        <v>3.0500000000000002E-3</v>
      </c>
      <c r="AX143">
        <v>3.0500000000000002E-3</v>
      </c>
      <c r="AY143">
        <v>3.0500000000000002E-3</v>
      </c>
      <c r="AZ143">
        <v>4.6100000000000004E-3</v>
      </c>
      <c r="BA143">
        <v>4.6100000000000004E-3</v>
      </c>
      <c r="BB143">
        <v>4.6100000000000004E-3</v>
      </c>
      <c r="BC143">
        <v>4.6100000000000004E-3</v>
      </c>
      <c r="BD143">
        <v>4.6100000000000004E-3</v>
      </c>
      <c r="BE143">
        <v>7.0600000000000003E-3</v>
      </c>
      <c r="BF143">
        <v>7.0600000000000003E-3</v>
      </c>
      <c r="BG143">
        <v>7.0600000000000003E-3</v>
      </c>
      <c r="BH143">
        <v>7.0600000000000003E-3</v>
      </c>
      <c r="BI143">
        <v>7.0600000000000003E-3</v>
      </c>
      <c r="BJ143">
        <v>1.034E-2</v>
      </c>
      <c r="BK143">
        <v>1.034E-2</v>
      </c>
      <c r="BL143">
        <v>1.034E-2</v>
      </c>
      <c r="BM143">
        <v>1.034E-2</v>
      </c>
      <c r="BN143">
        <v>1.034E-2</v>
      </c>
      <c r="BO143">
        <v>1.6619999999999999E-2</v>
      </c>
      <c r="BP143">
        <v>1.6619999999999999E-2</v>
      </c>
      <c r="BQ143">
        <v>1.6619999999999999E-2</v>
      </c>
      <c r="BR143">
        <v>1.6619999999999999E-2</v>
      </c>
      <c r="BS143">
        <v>1.6619999999999999E-2</v>
      </c>
      <c r="BT143">
        <v>2.835E-2</v>
      </c>
      <c r="BU143">
        <v>2.835E-2</v>
      </c>
      <c r="BV143">
        <v>2.835E-2</v>
      </c>
      <c r="BW143">
        <v>2.835E-2</v>
      </c>
      <c r="BX143">
        <v>2.835E-2</v>
      </c>
      <c r="BY143">
        <v>5.0770000000000003E-2</v>
      </c>
      <c r="BZ143">
        <v>5.0770000000000003E-2</v>
      </c>
      <c r="CA143">
        <v>5.0770000000000003E-2</v>
      </c>
      <c r="CB143">
        <v>5.0770000000000003E-2</v>
      </c>
      <c r="CC143">
        <v>5.0770000000000003E-2</v>
      </c>
      <c r="CD143">
        <v>9.3340000000000006E-2</v>
      </c>
      <c r="CE143">
        <v>9.3340000000000006E-2</v>
      </c>
      <c r="CF143">
        <v>9.3340000000000006E-2</v>
      </c>
      <c r="CG143">
        <v>9.3340000000000006E-2</v>
      </c>
      <c r="CH143">
        <v>9.3340000000000006E-2</v>
      </c>
      <c r="CI143">
        <v>0.16037000000000001</v>
      </c>
      <c r="CJ143">
        <v>0.16037000000000001</v>
      </c>
      <c r="CK143">
        <v>0.16037000000000001</v>
      </c>
      <c r="CL143">
        <v>0.16037000000000001</v>
      </c>
      <c r="CM143">
        <v>0.16037000000000001</v>
      </c>
      <c r="CN143">
        <v>0.25752999999999998</v>
      </c>
      <c r="CO143">
        <v>0.25752999999999998</v>
      </c>
      <c r="CP143">
        <v>0.25752999999999998</v>
      </c>
      <c r="CQ143">
        <v>0.25752999999999998</v>
      </c>
      <c r="CR143">
        <v>0.25752999999999998</v>
      </c>
      <c r="CS143">
        <v>0.38651999999999997</v>
      </c>
      <c r="CT143">
        <v>0.38651999999999997</v>
      </c>
      <c r="CU143">
        <v>0.38651999999999997</v>
      </c>
      <c r="CV143">
        <v>0.38651999999999997</v>
      </c>
      <c r="CW143">
        <v>0.38651999999999997</v>
      </c>
      <c r="CX143">
        <v>1</v>
      </c>
    </row>
    <row r="144" spans="1:102" x14ac:dyDescent="0.25">
      <c r="A144" t="s">
        <v>353</v>
      </c>
      <c r="B144">
        <v>9.8799999999999999E-3</v>
      </c>
      <c r="C144">
        <v>2.7999999999999998E-4</v>
      </c>
      <c r="D144">
        <v>2.7999999999999998E-4</v>
      </c>
      <c r="E144">
        <v>2.7999999999999998E-4</v>
      </c>
      <c r="F144">
        <v>2.7999999999999998E-4</v>
      </c>
      <c r="G144">
        <v>2.4000000000000001E-4</v>
      </c>
      <c r="H144">
        <v>2.4000000000000001E-4</v>
      </c>
      <c r="I144">
        <v>2.4000000000000001E-4</v>
      </c>
      <c r="J144">
        <v>2.4000000000000001E-4</v>
      </c>
      <c r="K144">
        <v>2.4000000000000001E-4</v>
      </c>
      <c r="L144">
        <v>2.3000000000000001E-4</v>
      </c>
      <c r="M144">
        <v>2.3000000000000001E-4</v>
      </c>
      <c r="N144">
        <v>2.3000000000000001E-4</v>
      </c>
      <c r="O144">
        <v>2.3000000000000001E-4</v>
      </c>
      <c r="P144">
        <v>2.3000000000000001E-4</v>
      </c>
      <c r="Q144">
        <v>5.9999999999999995E-4</v>
      </c>
      <c r="R144">
        <v>5.9999999999999995E-4</v>
      </c>
      <c r="S144">
        <v>5.9999999999999995E-4</v>
      </c>
      <c r="T144">
        <v>5.9999999999999995E-4</v>
      </c>
      <c r="U144">
        <v>5.9999999999999995E-4</v>
      </c>
      <c r="V144">
        <v>8.0000000000000004E-4</v>
      </c>
      <c r="W144">
        <v>8.0000000000000004E-4</v>
      </c>
      <c r="X144">
        <v>8.0000000000000004E-4</v>
      </c>
      <c r="Y144">
        <v>8.0000000000000004E-4</v>
      </c>
      <c r="Z144">
        <v>8.0000000000000004E-4</v>
      </c>
      <c r="AA144">
        <v>1.3600000000000001E-3</v>
      </c>
      <c r="AB144">
        <v>1.3600000000000001E-3</v>
      </c>
      <c r="AC144">
        <v>1.3600000000000001E-3</v>
      </c>
      <c r="AD144">
        <v>1.3600000000000001E-3</v>
      </c>
      <c r="AE144">
        <v>1.3600000000000001E-3</v>
      </c>
      <c r="AF144">
        <v>1.91E-3</v>
      </c>
      <c r="AG144">
        <v>1.91E-3</v>
      </c>
      <c r="AH144">
        <v>1.91E-3</v>
      </c>
      <c r="AI144">
        <v>1.91E-3</v>
      </c>
      <c r="AJ144">
        <v>1.91E-3</v>
      </c>
      <c r="AK144">
        <v>2.4499999999999999E-3</v>
      </c>
      <c r="AL144">
        <v>2.4499999999999999E-3</v>
      </c>
      <c r="AM144">
        <v>2.4499999999999999E-3</v>
      </c>
      <c r="AN144">
        <v>2.4499999999999999E-3</v>
      </c>
      <c r="AO144">
        <v>2.4499999999999999E-3</v>
      </c>
      <c r="AP144">
        <v>3.2699999999999999E-3</v>
      </c>
      <c r="AQ144">
        <v>3.2699999999999999E-3</v>
      </c>
      <c r="AR144">
        <v>3.2699999999999999E-3</v>
      </c>
      <c r="AS144">
        <v>3.2699999999999999E-3</v>
      </c>
      <c r="AT144">
        <v>3.2699999999999999E-3</v>
      </c>
      <c r="AU144">
        <v>4.47E-3</v>
      </c>
      <c r="AV144">
        <v>4.47E-3</v>
      </c>
      <c r="AW144">
        <v>4.47E-3</v>
      </c>
      <c r="AX144">
        <v>4.47E-3</v>
      </c>
      <c r="AY144">
        <v>4.47E-3</v>
      </c>
      <c r="AZ144">
        <v>6.43E-3</v>
      </c>
      <c r="BA144">
        <v>6.43E-3</v>
      </c>
      <c r="BB144">
        <v>6.43E-3</v>
      </c>
      <c r="BC144">
        <v>6.43E-3</v>
      </c>
      <c r="BD144">
        <v>6.43E-3</v>
      </c>
      <c r="BE144">
        <v>9.92E-3</v>
      </c>
      <c r="BF144">
        <v>9.92E-3</v>
      </c>
      <c r="BG144">
        <v>9.92E-3</v>
      </c>
      <c r="BH144">
        <v>9.92E-3</v>
      </c>
      <c r="BI144">
        <v>9.92E-3</v>
      </c>
      <c r="BJ144">
        <v>1.3339999999999999E-2</v>
      </c>
      <c r="BK144">
        <v>1.3339999999999999E-2</v>
      </c>
      <c r="BL144">
        <v>1.3339999999999999E-2</v>
      </c>
      <c r="BM144">
        <v>1.3339999999999999E-2</v>
      </c>
      <c r="BN144">
        <v>1.3339999999999999E-2</v>
      </c>
      <c r="BO144">
        <v>2.1080000000000002E-2</v>
      </c>
      <c r="BP144">
        <v>2.1080000000000002E-2</v>
      </c>
      <c r="BQ144">
        <v>2.1080000000000002E-2</v>
      </c>
      <c r="BR144">
        <v>2.1080000000000002E-2</v>
      </c>
      <c r="BS144">
        <v>2.1080000000000002E-2</v>
      </c>
      <c r="BT144">
        <v>3.2820000000000002E-2</v>
      </c>
      <c r="BU144">
        <v>3.2820000000000002E-2</v>
      </c>
      <c r="BV144">
        <v>3.2820000000000002E-2</v>
      </c>
      <c r="BW144">
        <v>3.2820000000000002E-2</v>
      </c>
      <c r="BX144">
        <v>3.2820000000000002E-2</v>
      </c>
      <c r="BY144">
        <v>5.969E-2</v>
      </c>
      <c r="BZ144">
        <v>5.969E-2</v>
      </c>
      <c r="CA144">
        <v>5.969E-2</v>
      </c>
      <c r="CB144">
        <v>5.969E-2</v>
      </c>
      <c r="CC144">
        <v>5.969E-2</v>
      </c>
      <c r="CD144">
        <v>0.10117</v>
      </c>
      <c r="CE144">
        <v>0.10117</v>
      </c>
      <c r="CF144">
        <v>0.10117</v>
      </c>
      <c r="CG144">
        <v>0.10117</v>
      </c>
      <c r="CH144">
        <v>0.10117</v>
      </c>
      <c r="CI144">
        <v>0.16391</v>
      </c>
      <c r="CJ144">
        <v>0.16391</v>
      </c>
      <c r="CK144">
        <v>0.16391</v>
      </c>
      <c r="CL144">
        <v>0.16391</v>
      </c>
      <c r="CM144">
        <v>0.16391</v>
      </c>
      <c r="CN144">
        <v>0.25385999999999997</v>
      </c>
      <c r="CO144">
        <v>0.25385999999999997</v>
      </c>
      <c r="CP144">
        <v>0.25385999999999997</v>
      </c>
      <c r="CQ144">
        <v>0.25385999999999997</v>
      </c>
      <c r="CR144">
        <v>0.25385999999999997</v>
      </c>
      <c r="CS144">
        <v>0.37585000000000002</v>
      </c>
      <c r="CT144">
        <v>0.37585000000000002</v>
      </c>
      <c r="CU144">
        <v>0.37585000000000002</v>
      </c>
      <c r="CV144">
        <v>0.37585000000000002</v>
      </c>
      <c r="CW144">
        <v>0.37585000000000002</v>
      </c>
      <c r="CX144">
        <v>1</v>
      </c>
    </row>
    <row r="145" spans="1:102" x14ac:dyDescent="0.25">
      <c r="A145" t="s">
        <v>355</v>
      </c>
      <c r="B145">
        <v>6.7970000000000003E-2</v>
      </c>
      <c r="C145">
        <v>9.9799999999999993E-3</v>
      </c>
      <c r="D145">
        <v>9.9799999999999993E-3</v>
      </c>
      <c r="E145">
        <v>9.9799999999999993E-3</v>
      </c>
      <c r="F145">
        <v>9.9799999999999993E-3</v>
      </c>
      <c r="G145">
        <v>2.16E-3</v>
      </c>
      <c r="H145">
        <v>2.16E-3</v>
      </c>
      <c r="I145">
        <v>2.16E-3</v>
      </c>
      <c r="J145">
        <v>2.16E-3</v>
      </c>
      <c r="K145">
        <v>2.16E-3</v>
      </c>
      <c r="L145">
        <v>1.5299999999999999E-3</v>
      </c>
      <c r="M145">
        <v>1.5299999999999999E-3</v>
      </c>
      <c r="N145">
        <v>1.5299999999999999E-3</v>
      </c>
      <c r="O145">
        <v>1.5299999999999999E-3</v>
      </c>
      <c r="P145">
        <v>1.5299999999999999E-3</v>
      </c>
      <c r="Q145">
        <v>1.9E-3</v>
      </c>
      <c r="R145">
        <v>1.9E-3</v>
      </c>
      <c r="S145">
        <v>1.9E-3</v>
      </c>
      <c r="T145">
        <v>1.9E-3</v>
      </c>
      <c r="U145">
        <v>1.9E-3</v>
      </c>
      <c r="V145">
        <v>2.7000000000000001E-3</v>
      </c>
      <c r="W145">
        <v>2.7000000000000001E-3</v>
      </c>
      <c r="X145">
        <v>2.7000000000000001E-3</v>
      </c>
      <c r="Y145">
        <v>2.7000000000000001E-3</v>
      </c>
      <c r="Z145">
        <v>2.7000000000000001E-3</v>
      </c>
      <c r="AA145">
        <v>3.4499999999999999E-3</v>
      </c>
      <c r="AB145">
        <v>3.4499999999999999E-3</v>
      </c>
      <c r="AC145">
        <v>3.4499999999999999E-3</v>
      </c>
      <c r="AD145">
        <v>3.4499999999999999E-3</v>
      </c>
      <c r="AE145">
        <v>3.4499999999999999E-3</v>
      </c>
      <c r="AF145">
        <v>4.4600000000000004E-3</v>
      </c>
      <c r="AG145">
        <v>4.4600000000000004E-3</v>
      </c>
      <c r="AH145">
        <v>4.4600000000000004E-3</v>
      </c>
      <c r="AI145">
        <v>4.4600000000000004E-3</v>
      </c>
      <c r="AJ145">
        <v>4.4600000000000004E-3</v>
      </c>
      <c r="AK145">
        <v>5.5100000000000001E-3</v>
      </c>
      <c r="AL145">
        <v>5.5100000000000001E-3</v>
      </c>
      <c r="AM145">
        <v>5.5100000000000001E-3</v>
      </c>
      <c r="AN145">
        <v>5.5100000000000001E-3</v>
      </c>
      <c r="AO145">
        <v>5.5100000000000001E-3</v>
      </c>
      <c r="AP145">
        <v>6.6499999999999997E-3</v>
      </c>
      <c r="AQ145">
        <v>6.6499999999999997E-3</v>
      </c>
      <c r="AR145">
        <v>6.6499999999999997E-3</v>
      </c>
      <c r="AS145">
        <v>6.6499999999999997E-3</v>
      </c>
      <c r="AT145">
        <v>6.6499999999999997E-3</v>
      </c>
      <c r="AU145">
        <v>8.1399999999999997E-3</v>
      </c>
      <c r="AV145">
        <v>8.1399999999999997E-3</v>
      </c>
      <c r="AW145">
        <v>8.1399999999999997E-3</v>
      </c>
      <c r="AX145">
        <v>8.1399999999999997E-3</v>
      </c>
      <c r="AY145">
        <v>8.1399999999999997E-3</v>
      </c>
      <c r="AZ145">
        <v>1.093E-2</v>
      </c>
      <c r="BA145">
        <v>1.093E-2</v>
      </c>
      <c r="BB145">
        <v>1.093E-2</v>
      </c>
      <c r="BC145">
        <v>1.093E-2</v>
      </c>
      <c r="BD145">
        <v>1.093E-2</v>
      </c>
      <c r="BE145">
        <v>1.593E-2</v>
      </c>
      <c r="BF145">
        <v>1.593E-2</v>
      </c>
      <c r="BG145">
        <v>1.593E-2</v>
      </c>
      <c r="BH145">
        <v>1.593E-2</v>
      </c>
      <c r="BI145">
        <v>1.593E-2</v>
      </c>
      <c r="BJ145">
        <v>2.2339999999999999E-2</v>
      </c>
      <c r="BK145">
        <v>2.2339999999999999E-2</v>
      </c>
      <c r="BL145">
        <v>2.2339999999999999E-2</v>
      </c>
      <c r="BM145">
        <v>2.2339999999999999E-2</v>
      </c>
      <c r="BN145">
        <v>2.2339999999999999E-2</v>
      </c>
      <c r="BO145">
        <v>3.5319999999999997E-2</v>
      </c>
      <c r="BP145">
        <v>3.5319999999999997E-2</v>
      </c>
      <c r="BQ145">
        <v>3.5319999999999997E-2</v>
      </c>
      <c r="BR145">
        <v>3.5319999999999997E-2</v>
      </c>
      <c r="BS145">
        <v>3.5319999999999997E-2</v>
      </c>
      <c r="BT145">
        <v>5.688E-2</v>
      </c>
      <c r="BU145">
        <v>5.688E-2</v>
      </c>
      <c r="BV145">
        <v>5.688E-2</v>
      </c>
      <c r="BW145">
        <v>5.688E-2</v>
      </c>
      <c r="BX145">
        <v>5.688E-2</v>
      </c>
      <c r="BY145">
        <v>9.0079999999999993E-2</v>
      </c>
      <c r="BZ145">
        <v>9.0079999999999993E-2</v>
      </c>
      <c r="CA145">
        <v>9.0079999999999993E-2</v>
      </c>
      <c r="CB145">
        <v>9.0079999999999993E-2</v>
      </c>
      <c r="CC145">
        <v>9.0079999999999993E-2</v>
      </c>
      <c r="CD145">
        <v>0.13919000000000001</v>
      </c>
      <c r="CE145">
        <v>0.13919000000000001</v>
      </c>
      <c r="CF145">
        <v>0.13919000000000001</v>
      </c>
      <c r="CG145">
        <v>0.13919000000000001</v>
      </c>
      <c r="CH145">
        <v>0.13919000000000001</v>
      </c>
      <c r="CI145">
        <v>0.20818999999999999</v>
      </c>
      <c r="CJ145">
        <v>0.20818999999999999</v>
      </c>
      <c r="CK145">
        <v>0.20818999999999999</v>
      </c>
      <c r="CL145">
        <v>0.20818999999999999</v>
      </c>
      <c r="CM145">
        <v>0.20818999999999999</v>
      </c>
      <c r="CN145">
        <v>0.30136000000000002</v>
      </c>
      <c r="CO145">
        <v>0.30136000000000002</v>
      </c>
      <c r="CP145">
        <v>0.30136000000000002</v>
      </c>
      <c r="CQ145">
        <v>0.30136000000000002</v>
      </c>
      <c r="CR145">
        <v>0.30136000000000002</v>
      </c>
      <c r="CS145">
        <v>0.42208000000000001</v>
      </c>
      <c r="CT145">
        <v>0.42208000000000001</v>
      </c>
      <c r="CU145">
        <v>0.42208000000000001</v>
      </c>
      <c r="CV145">
        <v>0.42208000000000001</v>
      </c>
      <c r="CW145">
        <v>0.42208000000000001</v>
      </c>
      <c r="CX145">
        <v>1</v>
      </c>
    </row>
    <row r="146" spans="1:102" x14ac:dyDescent="0.25">
      <c r="A146" t="s">
        <v>357</v>
      </c>
      <c r="B146">
        <v>1.6713667000000001E-2</v>
      </c>
      <c r="C146">
        <v>9.1033300000000004E-4</v>
      </c>
      <c r="D146">
        <v>9.1033300000000004E-4</v>
      </c>
      <c r="E146">
        <v>9.1033300000000004E-4</v>
      </c>
      <c r="F146">
        <v>9.1033300000000004E-4</v>
      </c>
      <c r="G146">
        <v>3.0566700000000003E-4</v>
      </c>
      <c r="H146">
        <v>3.0566700000000003E-4</v>
      </c>
      <c r="I146">
        <v>3.0566700000000003E-4</v>
      </c>
      <c r="J146">
        <v>3.0566700000000003E-4</v>
      </c>
      <c r="K146">
        <v>3.0566700000000003E-4</v>
      </c>
      <c r="L146">
        <v>3.2699999999999998E-4</v>
      </c>
      <c r="M146">
        <v>3.2699999999999998E-4</v>
      </c>
      <c r="N146">
        <v>3.2699999999999998E-4</v>
      </c>
      <c r="O146">
        <v>3.2699999999999998E-4</v>
      </c>
      <c r="P146">
        <v>3.2699999999999998E-4</v>
      </c>
      <c r="Q146">
        <v>5.5366699999999998E-4</v>
      </c>
      <c r="R146">
        <v>5.5366699999999998E-4</v>
      </c>
      <c r="S146">
        <v>5.5366699999999998E-4</v>
      </c>
      <c r="T146">
        <v>5.5366699999999998E-4</v>
      </c>
      <c r="U146">
        <v>5.5366699999999998E-4</v>
      </c>
      <c r="V146">
        <v>7.8866699999999995E-4</v>
      </c>
      <c r="W146">
        <v>7.8866699999999995E-4</v>
      </c>
      <c r="X146">
        <v>7.8866699999999995E-4</v>
      </c>
      <c r="Y146">
        <v>7.8866699999999995E-4</v>
      </c>
      <c r="Z146">
        <v>7.8866699999999995E-4</v>
      </c>
      <c r="AA146">
        <v>1.018333E-3</v>
      </c>
      <c r="AB146">
        <v>1.018333E-3</v>
      </c>
      <c r="AC146">
        <v>1.018333E-3</v>
      </c>
      <c r="AD146">
        <v>1.018333E-3</v>
      </c>
      <c r="AE146">
        <v>1.018333E-3</v>
      </c>
      <c r="AF146">
        <v>1.351E-3</v>
      </c>
      <c r="AG146">
        <v>1.351E-3</v>
      </c>
      <c r="AH146">
        <v>1.351E-3</v>
      </c>
      <c r="AI146">
        <v>1.351E-3</v>
      </c>
      <c r="AJ146">
        <v>1.351E-3</v>
      </c>
      <c r="AK146">
        <v>1.8489999999999999E-3</v>
      </c>
      <c r="AL146">
        <v>1.8489999999999999E-3</v>
      </c>
      <c r="AM146">
        <v>1.8489999999999999E-3</v>
      </c>
      <c r="AN146">
        <v>1.8489999999999999E-3</v>
      </c>
      <c r="AO146">
        <v>1.8489999999999999E-3</v>
      </c>
      <c r="AP146">
        <v>2.4580000000000001E-3</v>
      </c>
      <c r="AQ146">
        <v>2.4580000000000001E-3</v>
      </c>
      <c r="AR146">
        <v>2.4580000000000001E-3</v>
      </c>
      <c r="AS146">
        <v>2.4580000000000001E-3</v>
      </c>
      <c r="AT146">
        <v>2.4580000000000001E-3</v>
      </c>
      <c r="AU146">
        <v>3.637333E-3</v>
      </c>
      <c r="AV146">
        <v>3.637333E-3</v>
      </c>
      <c r="AW146">
        <v>3.637333E-3</v>
      </c>
      <c r="AX146">
        <v>3.637333E-3</v>
      </c>
      <c r="AY146">
        <v>3.637333E-3</v>
      </c>
      <c r="AZ146">
        <v>5.4383330000000001E-3</v>
      </c>
      <c r="BA146">
        <v>5.4383330000000001E-3</v>
      </c>
      <c r="BB146">
        <v>5.4383330000000001E-3</v>
      </c>
      <c r="BC146">
        <v>5.4383330000000001E-3</v>
      </c>
      <c r="BD146">
        <v>5.4383330000000001E-3</v>
      </c>
      <c r="BE146">
        <v>7.6373329999999996E-3</v>
      </c>
      <c r="BF146">
        <v>7.6373329999999996E-3</v>
      </c>
      <c r="BG146">
        <v>7.6373329999999996E-3</v>
      </c>
      <c r="BH146">
        <v>7.6373329999999996E-3</v>
      </c>
      <c r="BI146">
        <v>7.6373329999999996E-3</v>
      </c>
      <c r="BJ146">
        <v>1.1368333E-2</v>
      </c>
      <c r="BK146">
        <v>1.1368333E-2</v>
      </c>
      <c r="BL146">
        <v>1.1368333E-2</v>
      </c>
      <c r="BM146">
        <v>1.1368333E-2</v>
      </c>
      <c r="BN146">
        <v>1.1368333E-2</v>
      </c>
      <c r="BO146">
        <v>1.6976333E-2</v>
      </c>
      <c r="BP146">
        <v>1.6976333E-2</v>
      </c>
      <c r="BQ146">
        <v>1.6976333E-2</v>
      </c>
      <c r="BR146">
        <v>1.6976333E-2</v>
      </c>
      <c r="BS146">
        <v>1.6976333E-2</v>
      </c>
      <c r="BT146">
        <v>2.7087666999999999E-2</v>
      </c>
      <c r="BU146">
        <v>2.7087666999999999E-2</v>
      </c>
      <c r="BV146">
        <v>2.7087666999999999E-2</v>
      </c>
      <c r="BW146">
        <v>2.7087666999999999E-2</v>
      </c>
      <c r="BX146">
        <v>2.7087666999999999E-2</v>
      </c>
      <c r="BY146">
        <v>4.3817666999999998E-2</v>
      </c>
      <c r="BZ146">
        <v>4.3817666999999998E-2</v>
      </c>
      <c r="CA146">
        <v>4.3817666999999998E-2</v>
      </c>
      <c r="CB146">
        <v>4.3817666999999998E-2</v>
      </c>
      <c r="CC146">
        <v>4.3817666999999998E-2</v>
      </c>
      <c r="CD146">
        <v>7.3869000000000004E-2</v>
      </c>
      <c r="CE146">
        <v>7.3869000000000004E-2</v>
      </c>
      <c r="CF146">
        <v>7.3869000000000004E-2</v>
      </c>
      <c r="CG146">
        <v>7.3869000000000004E-2</v>
      </c>
      <c r="CH146">
        <v>7.3869000000000004E-2</v>
      </c>
      <c r="CI146">
        <v>0.122025333</v>
      </c>
      <c r="CJ146">
        <v>0.122025333</v>
      </c>
      <c r="CK146">
        <v>0.122025333</v>
      </c>
      <c r="CL146">
        <v>0.122025333</v>
      </c>
      <c r="CM146">
        <v>0.122025333</v>
      </c>
      <c r="CN146">
        <v>0.19647200000000001</v>
      </c>
      <c r="CO146">
        <v>0.19647200000000001</v>
      </c>
      <c r="CP146">
        <v>0.19647200000000001</v>
      </c>
      <c r="CQ146">
        <v>0.19647200000000001</v>
      </c>
      <c r="CR146">
        <v>0.19647200000000001</v>
      </c>
      <c r="CS146">
        <v>0.30780433299999999</v>
      </c>
      <c r="CT146">
        <v>0.30780433299999999</v>
      </c>
      <c r="CU146">
        <v>0.30780433299999999</v>
      </c>
      <c r="CV146">
        <v>0.30780433299999999</v>
      </c>
      <c r="CW146">
        <v>0.30780433299999999</v>
      </c>
      <c r="CX146">
        <v>1</v>
      </c>
    </row>
    <row r="147" spans="1:102" x14ac:dyDescent="0.25">
      <c r="A147" t="s">
        <v>359</v>
      </c>
      <c r="B147">
        <v>1.6713667000000001E-2</v>
      </c>
      <c r="C147">
        <v>9.1033300000000004E-4</v>
      </c>
      <c r="D147">
        <v>9.1033300000000004E-4</v>
      </c>
      <c r="E147">
        <v>9.1033300000000004E-4</v>
      </c>
      <c r="F147">
        <v>9.1033300000000004E-4</v>
      </c>
      <c r="G147">
        <v>3.0566700000000003E-4</v>
      </c>
      <c r="H147">
        <v>3.0566700000000003E-4</v>
      </c>
      <c r="I147">
        <v>3.0566700000000003E-4</v>
      </c>
      <c r="J147">
        <v>3.0566700000000003E-4</v>
      </c>
      <c r="K147">
        <v>3.0566700000000003E-4</v>
      </c>
      <c r="L147">
        <v>3.2699999999999998E-4</v>
      </c>
      <c r="M147">
        <v>3.2699999999999998E-4</v>
      </c>
      <c r="N147">
        <v>3.2699999999999998E-4</v>
      </c>
      <c r="O147">
        <v>3.2699999999999998E-4</v>
      </c>
      <c r="P147">
        <v>3.2699999999999998E-4</v>
      </c>
      <c r="Q147">
        <v>5.5366699999999998E-4</v>
      </c>
      <c r="R147">
        <v>5.5366699999999998E-4</v>
      </c>
      <c r="S147">
        <v>5.5366699999999998E-4</v>
      </c>
      <c r="T147">
        <v>5.5366699999999998E-4</v>
      </c>
      <c r="U147">
        <v>5.5366699999999998E-4</v>
      </c>
      <c r="V147">
        <v>7.8866699999999995E-4</v>
      </c>
      <c r="W147">
        <v>7.8866699999999995E-4</v>
      </c>
      <c r="X147">
        <v>7.8866699999999995E-4</v>
      </c>
      <c r="Y147">
        <v>7.8866699999999995E-4</v>
      </c>
      <c r="Z147">
        <v>7.8866699999999995E-4</v>
      </c>
      <c r="AA147">
        <v>1.018333E-3</v>
      </c>
      <c r="AB147">
        <v>1.018333E-3</v>
      </c>
      <c r="AC147">
        <v>1.018333E-3</v>
      </c>
      <c r="AD147">
        <v>1.018333E-3</v>
      </c>
      <c r="AE147">
        <v>1.018333E-3</v>
      </c>
      <c r="AF147">
        <v>1.351E-3</v>
      </c>
      <c r="AG147">
        <v>1.351E-3</v>
      </c>
      <c r="AH147">
        <v>1.351E-3</v>
      </c>
      <c r="AI147">
        <v>1.351E-3</v>
      </c>
      <c r="AJ147">
        <v>1.351E-3</v>
      </c>
      <c r="AK147">
        <v>1.8489999999999999E-3</v>
      </c>
      <c r="AL147">
        <v>1.8489999999999999E-3</v>
      </c>
      <c r="AM147">
        <v>1.8489999999999999E-3</v>
      </c>
      <c r="AN147">
        <v>1.8489999999999999E-3</v>
      </c>
      <c r="AO147">
        <v>1.8489999999999999E-3</v>
      </c>
      <c r="AP147">
        <v>2.4580000000000001E-3</v>
      </c>
      <c r="AQ147">
        <v>2.4580000000000001E-3</v>
      </c>
      <c r="AR147">
        <v>2.4580000000000001E-3</v>
      </c>
      <c r="AS147">
        <v>2.4580000000000001E-3</v>
      </c>
      <c r="AT147">
        <v>2.4580000000000001E-3</v>
      </c>
      <c r="AU147">
        <v>3.637333E-3</v>
      </c>
      <c r="AV147">
        <v>3.637333E-3</v>
      </c>
      <c r="AW147">
        <v>3.637333E-3</v>
      </c>
      <c r="AX147">
        <v>3.637333E-3</v>
      </c>
      <c r="AY147">
        <v>3.637333E-3</v>
      </c>
      <c r="AZ147">
        <v>5.4383330000000001E-3</v>
      </c>
      <c r="BA147">
        <v>5.4383330000000001E-3</v>
      </c>
      <c r="BB147">
        <v>5.4383330000000001E-3</v>
      </c>
      <c r="BC147">
        <v>5.4383330000000001E-3</v>
      </c>
      <c r="BD147">
        <v>5.4383330000000001E-3</v>
      </c>
      <c r="BE147">
        <v>7.6373329999999996E-3</v>
      </c>
      <c r="BF147">
        <v>7.6373329999999996E-3</v>
      </c>
      <c r="BG147">
        <v>7.6373329999999996E-3</v>
      </c>
      <c r="BH147">
        <v>7.6373329999999996E-3</v>
      </c>
      <c r="BI147">
        <v>7.6373329999999996E-3</v>
      </c>
      <c r="BJ147">
        <v>1.1368333E-2</v>
      </c>
      <c r="BK147">
        <v>1.1368333E-2</v>
      </c>
      <c r="BL147">
        <v>1.1368333E-2</v>
      </c>
      <c r="BM147">
        <v>1.1368333E-2</v>
      </c>
      <c r="BN147">
        <v>1.1368333E-2</v>
      </c>
      <c r="BO147">
        <v>1.6976333E-2</v>
      </c>
      <c r="BP147">
        <v>1.6976333E-2</v>
      </c>
      <c r="BQ147">
        <v>1.6976333E-2</v>
      </c>
      <c r="BR147">
        <v>1.6976333E-2</v>
      </c>
      <c r="BS147">
        <v>1.6976333E-2</v>
      </c>
      <c r="BT147">
        <v>2.7087666999999999E-2</v>
      </c>
      <c r="BU147">
        <v>2.7087666999999999E-2</v>
      </c>
      <c r="BV147">
        <v>2.7087666999999999E-2</v>
      </c>
      <c r="BW147">
        <v>2.7087666999999999E-2</v>
      </c>
      <c r="BX147">
        <v>2.7087666999999999E-2</v>
      </c>
      <c r="BY147">
        <v>4.3817666999999998E-2</v>
      </c>
      <c r="BZ147">
        <v>4.3817666999999998E-2</v>
      </c>
      <c r="CA147">
        <v>4.3817666999999998E-2</v>
      </c>
      <c r="CB147">
        <v>4.3817666999999998E-2</v>
      </c>
      <c r="CC147">
        <v>4.3817666999999998E-2</v>
      </c>
      <c r="CD147">
        <v>7.3869000000000004E-2</v>
      </c>
      <c r="CE147">
        <v>7.3869000000000004E-2</v>
      </c>
      <c r="CF147">
        <v>7.3869000000000004E-2</v>
      </c>
      <c r="CG147">
        <v>7.3869000000000004E-2</v>
      </c>
      <c r="CH147">
        <v>7.3869000000000004E-2</v>
      </c>
      <c r="CI147">
        <v>0.122025333</v>
      </c>
      <c r="CJ147">
        <v>0.122025333</v>
      </c>
      <c r="CK147">
        <v>0.122025333</v>
      </c>
      <c r="CL147">
        <v>0.122025333</v>
      </c>
      <c r="CM147">
        <v>0.122025333</v>
      </c>
      <c r="CN147">
        <v>0.19647200000000001</v>
      </c>
      <c r="CO147">
        <v>0.19647200000000001</v>
      </c>
      <c r="CP147">
        <v>0.19647200000000001</v>
      </c>
      <c r="CQ147">
        <v>0.19647200000000001</v>
      </c>
      <c r="CR147">
        <v>0.19647200000000001</v>
      </c>
      <c r="CS147">
        <v>0.30780433299999999</v>
      </c>
      <c r="CT147">
        <v>0.30780433299999999</v>
      </c>
      <c r="CU147">
        <v>0.30780433299999999</v>
      </c>
      <c r="CV147">
        <v>0.30780433299999999</v>
      </c>
      <c r="CW147">
        <v>0.30780433299999999</v>
      </c>
      <c r="CX147">
        <v>1</v>
      </c>
    </row>
    <row r="148" spans="1:102" x14ac:dyDescent="0.25">
      <c r="A148" t="s">
        <v>361</v>
      </c>
      <c r="B148">
        <v>1.0580000000000001E-2</v>
      </c>
      <c r="C148">
        <v>3.3E-4</v>
      </c>
      <c r="D148">
        <v>3.3E-4</v>
      </c>
      <c r="E148">
        <v>3.3E-4</v>
      </c>
      <c r="F148">
        <v>3.3E-4</v>
      </c>
      <c r="G148">
        <v>1.9000000000000001E-4</v>
      </c>
      <c r="H148">
        <v>1.9000000000000001E-4</v>
      </c>
      <c r="I148">
        <v>1.9000000000000001E-4</v>
      </c>
      <c r="J148">
        <v>1.9000000000000001E-4</v>
      </c>
      <c r="K148">
        <v>1.9000000000000001E-4</v>
      </c>
      <c r="L148">
        <v>5.1999999999999995E-4</v>
      </c>
      <c r="M148">
        <v>5.1999999999999995E-4</v>
      </c>
      <c r="N148">
        <v>5.1999999999999995E-4</v>
      </c>
      <c r="O148">
        <v>5.1999999999999995E-4</v>
      </c>
      <c r="P148">
        <v>5.1999999999999995E-4</v>
      </c>
      <c r="Q148">
        <v>2.4000000000000001E-4</v>
      </c>
      <c r="R148">
        <v>2.4000000000000001E-4</v>
      </c>
      <c r="S148">
        <v>2.4000000000000001E-4</v>
      </c>
      <c r="T148">
        <v>2.4000000000000001E-4</v>
      </c>
      <c r="U148">
        <v>2.4000000000000001E-4</v>
      </c>
      <c r="V148">
        <v>5.5999999999999995E-4</v>
      </c>
      <c r="W148">
        <v>5.5999999999999995E-4</v>
      </c>
      <c r="X148">
        <v>5.5999999999999995E-4</v>
      </c>
      <c r="Y148">
        <v>5.5999999999999995E-4</v>
      </c>
      <c r="Z148">
        <v>5.5999999999999995E-4</v>
      </c>
      <c r="AA148">
        <v>5.9000000000000003E-4</v>
      </c>
      <c r="AB148">
        <v>5.9000000000000003E-4</v>
      </c>
      <c r="AC148">
        <v>5.9000000000000003E-4</v>
      </c>
      <c r="AD148">
        <v>5.9000000000000003E-4</v>
      </c>
      <c r="AE148">
        <v>5.9000000000000003E-4</v>
      </c>
      <c r="AF148">
        <v>1.3500000000000001E-3</v>
      </c>
      <c r="AG148">
        <v>1.3500000000000001E-3</v>
      </c>
      <c r="AH148">
        <v>1.3500000000000001E-3</v>
      </c>
      <c r="AI148">
        <v>1.3500000000000001E-3</v>
      </c>
      <c r="AJ148">
        <v>1.3500000000000001E-3</v>
      </c>
      <c r="AK148">
        <v>1.8E-3</v>
      </c>
      <c r="AL148">
        <v>1.8E-3</v>
      </c>
      <c r="AM148">
        <v>1.8E-3</v>
      </c>
      <c r="AN148">
        <v>1.8E-3</v>
      </c>
      <c r="AO148">
        <v>1.8E-3</v>
      </c>
      <c r="AP148">
        <v>2.4099999999999998E-3</v>
      </c>
      <c r="AQ148">
        <v>2.4099999999999998E-3</v>
      </c>
      <c r="AR148">
        <v>2.4099999999999998E-3</v>
      </c>
      <c r="AS148">
        <v>2.4099999999999998E-3</v>
      </c>
      <c r="AT148">
        <v>2.4099999999999998E-3</v>
      </c>
      <c r="AU148">
        <v>3.79E-3</v>
      </c>
      <c r="AV148">
        <v>3.79E-3</v>
      </c>
      <c r="AW148">
        <v>3.79E-3</v>
      </c>
      <c r="AX148">
        <v>3.79E-3</v>
      </c>
      <c r="AY148">
        <v>3.79E-3</v>
      </c>
      <c r="AZ148">
        <v>4.9699999999999996E-3</v>
      </c>
      <c r="BA148">
        <v>4.9699999999999996E-3</v>
      </c>
      <c r="BB148">
        <v>4.9699999999999996E-3</v>
      </c>
      <c r="BC148">
        <v>4.9699999999999996E-3</v>
      </c>
      <c r="BD148">
        <v>4.9699999999999996E-3</v>
      </c>
      <c r="BE148">
        <v>7.6800000000000002E-3</v>
      </c>
      <c r="BF148">
        <v>7.6800000000000002E-3</v>
      </c>
      <c r="BG148">
        <v>7.6800000000000002E-3</v>
      </c>
      <c r="BH148">
        <v>7.6800000000000002E-3</v>
      </c>
      <c r="BI148">
        <v>7.6800000000000002E-3</v>
      </c>
      <c r="BJ148">
        <v>1.325E-2</v>
      </c>
      <c r="BK148">
        <v>1.325E-2</v>
      </c>
      <c r="BL148">
        <v>1.325E-2</v>
      </c>
      <c r="BM148">
        <v>1.325E-2</v>
      </c>
      <c r="BN148">
        <v>1.325E-2</v>
      </c>
      <c r="BO148">
        <v>1.6650000000000002E-2</v>
      </c>
      <c r="BP148">
        <v>1.6650000000000002E-2</v>
      </c>
      <c r="BQ148">
        <v>1.6650000000000002E-2</v>
      </c>
      <c r="BR148">
        <v>1.6650000000000002E-2</v>
      </c>
      <c r="BS148">
        <v>1.6650000000000002E-2</v>
      </c>
      <c r="BT148">
        <v>2.954E-2</v>
      </c>
      <c r="BU148">
        <v>2.954E-2</v>
      </c>
      <c r="BV148">
        <v>2.954E-2</v>
      </c>
      <c r="BW148">
        <v>2.954E-2</v>
      </c>
      <c r="BX148">
        <v>2.954E-2</v>
      </c>
      <c r="BY148">
        <v>5.2560000000000003E-2</v>
      </c>
      <c r="BZ148">
        <v>5.2560000000000003E-2</v>
      </c>
      <c r="CA148">
        <v>5.2560000000000003E-2</v>
      </c>
      <c r="CB148">
        <v>5.2560000000000003E-2</v>
      </c>
      <c r="CC148">
        <v>5.2560000000000003E-2</v>
      </c>
      <c r="CD148">
        <v>9.5750000000000002E-2</v>
      </c>
      <c r="CE148">
        <v>9.5750000000000002E-2</v>
      </c>
      <c r="CF148">
        <v>9.5750000000000002E-2</v>
      </c>
      <c r="CG148">
        <v>9.5750000000000002E-2</v>
      </c>
      <c r="CH148">
        <v>9.5750000000000002E-2</v>
      </c>
      <c r="CI148">
        <v>0.16327</v>
      </c>
      <c r="CJ148">
        <v>0.16327</v>
      </c>
      <c r="CK148">
        <v>0.16327</v>
      </c>
      <c r="CL148">
        <v>0.16327</v>
      </c>
      <c r="CM148">
        <v>0.16327</v>
      </c>
      <c r="CN148">
        <v>0.26058999999999999</v>
      </c>
      <c r="CO148">
        <v>0.26058999999999999</v>
      </c>
      <c r="CP148">
        <v>0.26058999999999999</v>
      </c>
      <c r="CQ148">
        <v>0.26058999999999999</v>
      </c>
      <c r="CR148">
        <v>0.26058999999999999</v>
      </c>
      <c r="CS148">
        <v>0.38930999999999999</v>
      </c>
      <c r="CT148">
        <v>0.38930999999999999</v>
      </c>
      <c r="CU148">
        <v>0.38930999999999999</v>
      </c>
      <c r="CV148">
        <v>0.38930999999999999</v>
      </c>
      <c r="CW148">
        <v>0.38930999999999999</v>
      </c>
      <c r="CX148">
        <v>1</v>
      </c>
    </row>
    <row r="149" spans="1:102" x14ac:dyDescent="0.25">
      <c r="A149" t="s">
        <v>363</v>
      </c>
      <c r="B149">
        <v>8.0000000000000002E-3</v>
      </c>
      <c r="C149">
        <v>1.5100000000000001E-3</v>
      </c>
      <c r="D149">
        <v>1.5100000000000001E-3</v>
      </c>
      <c r="E149">
        <v>1.5100000000000001E-3</v>
      </c>
      <c r="F149">
        <v>1.5100000000000001E-3</v>
      </c>
      <c r="G149">
        <v>3.8999999999999999E-4</v>
      </c>
      <c r="H149">
        <v>3.8999999999999999E-4</v>
      </c>
      <c r="I149">
        <v>3.8999999999999999E-4</v>
      </c>
      <c r="J149">
        <v>3.8999999999999999E-4</v>
      </c>
      <c r="K149">
        <v>3.8999999999999999E-4</v>
      </c>
      <c r="L149">
        <v>3.8999999999999999E-4</v>
      </c>
      <c r="M149">
        <v>3.8999999999999999E-4</v>
      </c>
      <c r="N149">
        <v>3.8999999999999999E-4</v>
      </c>
      <c r="O149">
        <v>3.8999999999999999E-4</v>
      </c>
      <c r="P149">
        <v>3.8999999999999999E-4</v>
      </c>
      <c r="Q149">
        <v>7.7999999999999999E-4</v>
      </c>
      <c r="R149">
        <v>7.7999999999999999E-4</v>
      </c>
      <c r="S149">
        <v>7.7999999999999999E-4</v>
      </c>
      <c r="T149">
        <v>7.7999999999999999E-4</v>
      </c>
      <c r="U149">
        <v>7.7999999999999999E-4</v>
      </c>
      <c r="V149">
        <v>1E-3</v>
      </c>
      <c r="W149">
        <v>1E-3</v>
      </c>
      <c r="X149">
        <v>1E-3</v>
      </c>
      <c r="Y149">
        <v>1E-3</v>
      </c>
      <c r="Z149">
        <v>1E-3</v>
      </c>
      <c r="AA149">
        <v>1.16E-3</v>
      </c>
      <c r="AB149">
        <v>1.16E-3</v>
      </c>
      <c r="AC149">
        <v>1.16E-3</v>
      </c>
      <c r="AD149">
        <v>1.16E-3</v>
      </c>
      <c r="AE149">
        <v>1.16E-3</v>
      </c>
      <c r="AF149">
        <v>1.57E-3</v>
      </c>
      <c r="AG149">
        <v>1.57E-3</v>
      </c>
      <c r="AH149">
        <v>1.57E-3</v>
      </c>
      <c r="AI149">
        <v>1.57E-3</v>
      </c>
      <c r="AJ149">
        <v>1.57E-3</v>
      </c>
      <c r="AK149">
        <v>2.3500000000000001E-3</v>
      </c>
      <c r="AL149">
        <v>2.3500000000000001E-3</v>
      </c>
      <c r="AM149">
        <v>2.3500000000000001E-3</v>
      </c>
      <c r="AN149">
        <v>2.3500000000000001E-3</v>
      </c>
      <c r="AO149">
        <v>2.3500000000000001E-3</v>
      </c>
      <c r="AP149">
        <v>3.6700000000000001E-3</v>
      </c>
      <c r="AQ149">
        <v>3.6700000000000001E-3</v>
      </c>
      <c r="AR149">
        <v>3.6700000000000001E-3</v>
      </c>
      <c r="AS149">
        <v>3.6700000000000001E-3</v>
      </c>
      <c r="AT149">
        <v>3.6700000000000001E-3</v>
      </c>
      <c r="AU149">
        <v>5.5999999999999999E-3</v>
      </c>
      <c r="AV149">
        <v>5.5999999999999999E-3</v>
      </c>
      <c r="AW149">
        <v>5.5999999999999999E-3</v>
      </c>
      <c r="AX149">
        <v>5.5999999999999999E-3</v>
      </c>
      <c r="AY149">
        <v>5.5999999999999999E-3</v>
      </c>
      <c r="AZ149">
        <v>8.3700000000000007E-3</v>
      </c>
      <c r="BA149">
        <v>8.3700000000000007E-3</v>
      </c>
      <c r="BB149">
        <v>8.3700000000000007E-3</v>
      </c>
      <c r="BC149">
        <v>8.3700000000000007E-3</v>
      </c>
      <c r="BD149">
        <v>8.3700000000000007E-3</v>
      </c>
      <c r="BE149">
        <v>1.1979999999999999E-2</v>
      </c>
      <c r="BF149">
        <v>1.1979999999999999E-2</v>
      </c>
      <c r="BG149">
        <v>1.1979999999999999E-2</v>
      </c>
      <c r="BH149">
        <v>1.1979999999999999E-2</v>
      </c>
      <c r="BI149">
        <v>1.1979999999999999E-2</v>
      </c>
      <c r="BJ149">
        <v>1.8069999999999999E-2</v>
      </c>
      <c r="BK149">
        <v>1.8069999999999999E-2</v>
      </c>
      <c r="BL149">
        <v>1.8069999999999999E-2</v>
      </c>
      <c r="BM149">
        <v>1.8069999999999999E-2</v>
      </c>
      <c r="BN149">
        <v>1.8069999999999999E-2</v>
      </c>
      <c r="BO149">
        <v>2.6530000000000001E-2</v>
      </c>
      <c r="BP149">
        <v>2.6530000000000001E-2</v>
      </c>
      <c r="BQ149">
        <v>2.6530000000000001E-2</v>
      </c>
      <c r="BR149">
        <v>2.6530000000000001E-2</v>
      </c>
      <c r="BS149">
        <v>2.6530000000000001E-2</v>
      </c>
      <c r="BT149">
        <v>4.1610000000000001E-2</v>
      </c>
      <c r="BU149">
        <v>4.1610000000000001E-2</v>
      </c>
      <c r="BV149">
        <v>4.1610000000000001E-2</v>
      </c>
      <c r="BW149">
        <v>4.1610000000000001E-2</v>
      </c>
      <c r="BX149">
        <v>4.1610000000000001E-2</v>
      </c>
      <c r="BY149">
        <v>6.5839999999999996E-2</v>
      </c>
      <c r="BZ149">
        <v>6.5839999999999996E-2</v>
      </c>
      <c r="CA149">
        <v>6.5839999999999996E-2</v>
      </c>
      <c r="CB149">
        <v>6.5839999999999996E-2</v>
      </c>
      <c r="CC149">
        <v>6.5839999999999996E-2</v>
      </c>
      <c r="CD149">
        <v>0.10934000000000001</v>
      </c>
      <c r="CE149">
        <v>0.10934000000000001</v>
      </c>
      <c r="CF149">
        <v>0.10934000000000001</v>
      </c>
      <c r="CG149">
        <v>0.10934000000000001</v>
      </c>
      <c r="CH149">
        <v>0.10934000000000001</v>
      </c>
      <c r="CI149">
        <v>0.17396</v>
      </c>
      <c r="CJ149">
        <v>0.17396</v>
      </c>
      <c r="CK149">
        <v>0.17396</v>
      </c>
      <c r="CL149">
        <v>0.17396</v>
      </c>
      <c r="CM149">
        <v>0.17396</v>
      </c>
      <c r="CN149">
        <v>0.26515</v>
      </c>
      <c r="CO149">
        <v>0.26515</v>
      </c>
      <c r="CP149">
        <v>0.26515</v>
      </c>
      <c r="CQ149">
        <v>0.26515</v>
      </c>
      <c r="CR149">
        <v>0.26515</v>
      </c>
      <c r="CS149">
        <v>0.38717000000000001</v>
      </c>
      <c r="CT149">
        <v>0.38717000000000001</v>
      </c>
      <c r="CU149">
        <v>0.38717000000000001</v>
      </c>
      <c r="CV149">
        <v>0.38717000000000001</v>
      </c>
      <c r="CW149">
        <v>0.38717000000000001</v>
      </c>
      <c r="CX149">
        <v>1</v>
      </c>
    </row>
    <row r="150" spans="1:102" x14ac:dyDescent="0.25">
      <c r="A150" t="s">
        <v>365</v>
      </c>
      <c r="B150">
        <v>3.8000000000000002E-4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2.4000000000000001E-4</v>
      </c>
      <c r="M150">
        <v>2.4000000000000001E-4</v>
      </c>
      <c r="N150">
        <v>2.4000000000000001E-4</v>
      </c>
      <c r="O150">
        <v>2.4000000000000001E-4</v>
      </c>
      <c r="P150">
        <v>2.4000000000000001E-4</v>
      </c>
      <c r="Q150">
        <v>1.0000000000000001E-5</v>
      </c>
      <c r="R150">
        <v>1.0000000000000001E-5</v>
      </c>
      <c r="S150">
        <v>1.0000000000000001E-5</v>
      </c>
      <c r="T150">
        <v>1.0000000000000001E-5</v>
      </c>
      <c r="U150">
        <v>1.0000000000000001E-5</v>
      </c>
      <c r="V150">
        <v>2.5999999999999998E-4</v>
      </c>
      <c r="W150">
        <v>2.5999999999999998E-4</v>
      </c>
      <c r="X150">
        <v>2.5999999999999998E-4</v>
      </c>
      <c r="Y150">
        <v>2.5999999999999998E-4</v>
      </c>
      <c r="Z150">
        <v>2.5999999999999998E-4</v>
      </c>
      <c r="AA150">
        <v>1E-4</v>
      </c>
      <c r="AB150">
        <v>1E-4</v>
      </c>
      <c r="AC150">
        <v>1E-4</v>
      </c>
      <c r="AD150">
        <v>1E-4</v>
      </c>
      <c r="AE150">
        <v>1E-4</v>
      </c>
      <c r="AF150">
        <v>2.4000000000000001E-4</v>
      </c>
      <c r="AG150">
        <v>2.4000000000000001E-4</v>
      </c>
      <c r="AH150">
        <v>2.4000000000000001E-4</v>
      </c>
      <c r="AI150">
        <v>2.4000000000000001E-4</v>
      </c>
      <c r="AJ150">
        <v>2.4000000000000001E-4</v>
      </c>
      <c r="AK150">
        <v>8.0000000000000007E-5</v>
      </c>
      <c r="AL150">
        <v>8.0000000000000007E-5</v>
      </c>
      <c r="AM150">
        <v>8.0000000000000007E-5</v>
      </c>
      <c r="AN150">
        <v>8.0000000000000007E-5</v>
      </c>
      <c r="AO150">
        <v>8.0000000000000007E-5</v>
      </c>
      <c r="AP150">
        <v>1.2700000000000001E-3</v>
      </c>
      <c r="AQ150">
        <v>1.2700000000000001E-3</v>
      </c>
      <c r="AR150">
        <v>1.2700000000000001E-3</v>
      </c>
      <c r="AS150">
        <v>1.2700000000000001E-3</v>
      </c>
      <c r="AT150">
        <v>1.2700000000000001E-3</v>
      </c>
      <c r="AU150">
        <v>1.17E-3</v>
      </c>
      <c r="AV150">
        <v>1.17E-3</v>
      </c>
      <c r="AW150">
        <v>1.17E-3</v>
      </c>
      <c r="AX150">
        <v>1.17E-3</v>
      </c>
      <c r="AY150">
        <v>1.17E-3</v>
      </c>
      <c r="AZ150">
        <v>3.4299999999999999E-3</v>
      </c>
      <c r="BA150">
        <v>3.4299999999999999E-3</v>
      </c>
      <c r="BB150">
        <v>3.4299999999999999E-3</v>
      </c>
      <c r="BC150">
        <v>3.4299999999999999E-3</v>
      </c>
      <c r="BD150">
        <v>3.4299999999999999E-3</v>
      </c>
      <c r="BE150">
        <v>3.3500000000000001E-3</v>
      </c>
      <c r="BF150">
        <v>3.3500000000000001E-3</v>
      </c>
      <c r="BG150">
        <v>3.3500000000000001E-3</v>
      </c>
      <c r="BH150">
        <v>3.3500000000000001E-3</v>
      </c>
      <c r="BI150">
        <v>3.3500000000000001E-3</v>
      </c>
      <c r="BJ150">
        <v>4.1900000000000001E-3</v>
      </c>
      <c r="BK150">
        <v>4.1900000000000001E-3</v>
      </c>
      <c r="BL150">
        <v>4.1900000000000001E-3</v>
      </c>
      <c r="BM150">
        <v>4.1900000000000001E-3</v>
      </c>
      <c r="BN150">
        <v>4.1900000000000001E-3</v>
      </c>
      <c r="BO150">
        <v>6.4599999999999996E-3</v>
      </c>
      <c r="BP150">
        <v>6.4599999999999996E-3</v>
      </c>
      <c r="BQ150">
        <v>6.4599999999999996E-3</v>
      </c>
      <c r="BR150">
        <v>6.4599999999999996E-3</v>
      </c>
      <c r="BS150">
        <v>6.4599999999999996E-3</v>
      </c>
      <c r="BT150">
        <v>1.11E-2</v>
      </c>
      <c r="BU150">
        <v>1.11E-2</v>
      </c>
      <c r="BV150">
        <v>1.11E-2</v>
      </c>
      <c r="BW150">
        <v>1.11E-2</v>
      </c>
      <c r="BX150">
        <v>1.11E-2</v>
      </c>
      <c r="BY150">
        <v>1.4999999999999999E-2</v>
      </c>
      <c r="BZ150">
        <v>1.4999999999999999E-2</v>
      </c>
      <c r="CA150">
        <v>1.4999999999999999E-2</v>
      </c>
      <c r="CB150">
        <v>1.4999999999999999E-2</v>
      </c>
      <c r="CC150">
        <v>1.4999999999999999E-2</v>
      </c>
      <c r="CD150">
        <v>4.3430000000000003E-2</v>
      </c>
      <c r="CE150">
        <v>4.3430000000000003E-2</v>
      </c>
      <c r="CF150">
        <v>4.3430000000000003E-2</v>
      </c>
      <c r="CG150">
        <v>4.3430000000000003E-2</v>
      </c>
      <c r="CH150">
        <v>4.3430000000000003E-2</v>
      </c>
      <c r="CI150">
        <v>0.10595</v>
      </c>
      <c r="CJ150">
        <v>0.10595</v>
      </c>
      <c r="CK150">
        <v>0.10595</v>
      </c>
      <c r="CL150">
        <v>0.10595</v>
      </c>
      <c r="CM150">
        <v>0.10595</v>
      </c>
      <c r="CN150">
        <v>0.21772</v>
      </c>
      <c r="CO150">
        <v>0.21772</v>
      </c>
      <c r="CP150">
        <v>0.21772</v>
      </c>
      <c r="CQ150">
        <v>0.21772</v>
      </c>
      <c r="CR150">
        <v>0.21772</v>
      </c>
      <c r="CS150">
        <v>0.37686999999999998</v>
      </c>
      <c r="CT150">
        <v>0.37686999999999998</v>
      </c>
      <c r="CU150">
        <v>0.37686999999999998</v>
      </c>
      <c r="CV150">
        <v>0.37686999999999998</v>
      </c>
      <c r="CW150">
        <v>0.37686999999999998</v>
      </c>
      <c r="CX150">
        <v>1</v>
      </c>
    </row>
    <row r="151" spans="1:102" x14ac:dyDescent="0.25">
      <c r="A151" t="s">
        <v>367</v>
      </c>
      <c r="B151">
        <v>5.0500000000000003E-2</v>
      </c>
      <c r="C151">
        <v>7.0000000000000001E-3</v>
      </c>
      <c r="D151">
        <v>7.0000000000000001E-3</v>
      </c>
      <c r="E151">
        <v>7.0000000000000001E-3</v>
      </c>
      <c r="F151">
        <v>7.0000000000000001E-3</v>
      </c>
      <c r="G151">
        <v>8.0999999999999996E-4</v>
      </c>
      <c r="H151">
        <v>8.0999999999999996E-4</v>
      </c>
      <c r="I151">
        <v>8.0999999999999996E-4</v>
      </c>
      <c r="J151">
        <v>8.0999999999999996E-4</v>
      </c>
      <c r="K151">
        <v>8.0999999999999996E-4</v>
      </c>
      <c r="L151">
        <v>3.3E-4</v>
      </c>
      <c r="M151">
        <v>3.3E-4</v>
      </c>
      <c r="N151">
        <v>3.3E-4</v>
      </c>
      <c r="O151">
        <v>3.3E-4</v>
      </c>
      <c r="P151">
        <v>3.3E-4</v>
      </c>
      <c r="Q151">
        <v>1.9000000000000001E-4</v>
      </c>
      <c r="R151">
        <v>1.9000000000000001E-4</v>
      </c>
      <c r="S151">
        <v>1.9000000000000001E-4</v>
      </c>
      <c r="T151">
        <v>1.9000000000000001E-4</v>
      </c>
      <c r="U151">
        <v>1.9000000000000001E-4</v>
      </c>
      <c r="V151">
        <v>4.6999999999999999E-4</v>
      </c>
      <c r="W151">
        <v>4.6999999999999999E-4</v>
      </c>
      <c r="X151">
        <v>4.6999999999999999E-4</v>
      </c>
      <c r="Y151">
        <v>4.6999999999999999E-4</v>
      </c>
      <c r="Z151">
        <v>4.6999999999999999E-4</v>
      </c>
      <c r="AA151">
        <v>7.6999999999999996E-4</v>
      </c>
      <c r="AB151">
        <v>7.6999999999999996E-4</v>
      </c>
      <c r="AC151">
        <v>7.6999999999999996E-4</v>
      </c>
      <c r="AD151">
        <v>7.6999999999999996E-4</v>
      </c>
      <c r="AE151">
        <v>7.6999999999999996E-4</v>
      </c>
      <c r="AF151">
        <v>1.01E-3</v>
      </c>
      <c r="AG151">
        <v>1.01E-3</v>
      </c>
      <c r="AH151">
        <v>1.01E-3</v>
      </c>
      <c r="AI151">
        <v>1.01E-3</v>
      </c>
      <c r="AJ151">
        <v>1.01E-3</v>
      </c>
      <c r="AK151">
        <v>1.34E-3</v>
      </c>
      <c r="AL151">
        <v>1.34E-3</v>
      </c>
      <c r="AM151">
        <v>1.34E-3</v>
      </c>
      <c r="AN151">
        <v>1.34E-3</v>
      </c>
      <c r="AO151">
        <v>1.34E-3</v>
      </c>
      <c r="AP151">
        <v>1.9E-3</v>
      </c>
      <c r="AQ151">
        <v>1.9E-3</v>
      </c>
      <c r="AR151">
        <v>1.9E-3</v>
      </c>
      <c r="AS151">
        <v>1.9E-3</v>
      </c>
      <c r="AT151">
        <v>1.9E-3</v>
      </c>
      <c r="AU151">
        <v>3.0400000000000002E-3</v>
      </c>
      <c r="AV151">
        <v>3.0400000000000002E-3</v>
      </c>
      <c r="AW151">
        <v>3.0400000000000002E-3</v>
      </c>
      <c r="AX151">
        <v>3.0400000000000002E-3</v>
      </c>
      <c r="AY151">
        <v>3.0400000000000002E-3</v>
      </c>
      <c r="AZ151">
        <v>4.9300000000000004E-3</v>
      </c>
      <c r="BA151">
        <v>4.9300000000000004E-3</v>
      </c>
      <c r="BB151">
        <v>4.9300000000000004E-3</v>
      </c>
      <c r="BC151">
        <v>4.9300000000000004E-3</v>
      </c>
      <c r="BD151">
        <v>4.9300000000000004E-3</v>
      </c>
      <c r="BE151">
        <v>8.2199999999999999E-3</v>
      </c>
      <c r="BF151">
        <v>8.2199999999999999E-3</v>
      </c>
      <c r="BG151">
        <v>8.2199999999999999E-3</v>
      </c>
      <c r="BH151">
        <v>8.2199999999999999E-3</v>
      </c>
      <c r="BI151">
        <v>8.2199999999999999E-3</v>
      </c>
      <c r="BJ151">
        <v>1.308E-2</v>
      </c>
      <c r="BK151">
        <v>1.308E-2</v>
      </c>
      <c r="BL151">
        <v>1.308E-2</v>
      </c>
      <c r="BM151">
        <v>1.308E-2</v>
      </c>
      <c r="BN151">
        <v>1.308E-2</v>
      </c>
      <c r="BO151">
        <v>2.3439999999999999E-2</v>
      </c>
      <c r="BP151">
        <v>2.3439999999999999E-2</v>
      </c>
      <c r="BQ151">
        <v>2.3439999999999999E-2</v>
      </c>
      <c r="BR151">
        <v>2.3439999999999999E-2</v>
      </c>
      <c r="BS151">
        <v>2.3439999999999999E-2</v>
      </c>
      <c r="BT151">
        <v>4.2299999999999997E-2</v>
      </c>
      <c r="BU151">
        <v>4.2299999999999997E-2</v>
      </c>
      <c r="BV151">
        <v>4.2299999999999997E-2</v>
      </c>
      <c r="BW151">
        <v>4.2299999999999997E-2</v>
      </c>
      <c r="BX151">
        <v>4.2299999999999997E-2</v>
      </c>
      <c r="BY151">
        <v>7.5139999999999998E-2</v>
      </c>
      <c r="BZ151">
        <v>7.5139999999999998E-2</v>
      </c>
      <c r="CA151">
        <v>7.5139999999999998E-2</v>
      </c>
      <c r="CB151">
        <v>7.5139999999999998E-2</v>
      </c>
      <c r="CC151">
        <v>7.5139999999999998E-2</v>
      </c>
      <c r="CD151">
        <v>0.12559999999999999</v>
      </c>
      <c r="CE151">
        <v>0.12559999999999999</v>
      </c>
      <c r="CF151">
        <v>0.12559999999999999</v>
      </c>
      <c r="CG151">
        <v>0.12559999999999999</v>
      </c>
      <c r="CH151">
        <v>0.12559999999999999</v>
      </c>
      <c r="CI151">
        <v>0.19903000000000001</v>
      </c>
      <c r="CJ151">
        <v>0.19903000000000001</v>
      </c>
      <c r="CK151">
        <v>0.19903000000000001</v>
      </c>
      <c r="CL151">
        <v>0.19903000000000001</v>
      </c>
      <c r="CM151">
        <v>0.19903000000000001</v>
      </c>
      <c r="CN151">
        <v>0.29894999999999999</v>
      </c>
      <c r="CO151">
        <v>0.29894999999999999</v>
      </c>
      <c r="CP151">
        <v>0.29894999999999999</v>
      </c>
      <c r="CQ151">
        <v>0.29894999999999999</v>
      </c>
      <c r="CR151">
        <v>0.29894999999999999</v>
      </c>
      <c r="CS151">
        <v>0.42566999999999999</v>
      </c>
      <c r="CT151">
        <v>0.42566999999999999</v>
      </c>
      <c r="CU151">
        <v>0.42566999999999999</v>
      </c>
      <c r="CV151">
        <v>0.42566999999999999</v>
      </c>
      <c r="CW151">
        <v>0.42566999999999999</v>
      </c>
      <c r="CX151">
        <v>1</v>
      </c>
    </row>
    <row r="152" spans="1:102" x14ac:dyDescent="0.25">
      <c r="A152" t="s">
        <v>369</v>
      </c>
      <c r="B152">
        <v>1.7600000000000001E-2</v>
      </c>
      <c r="C152">
        <v>4.6999999999999999E-4</v>
      </c>
      <c r="D152">
        <v>4.6999999999999999E-4</v>
      </c>
      <c r="E152">
        <v>4.6999999999999999E-4</v>
      </c>
      <c r="F152">
        <v>4.6999999999999999E-4</v>
      </c>
      <c r="G152">
        <v>3.4000000000000002E-4</v>
      </c>
      <c r="H152">
        <v>3.4000000000000002E-4</v>
      </c>
      <c r="I152">
        <v>3.4000000000000002E-4</v>
      </c>
      <c r="J152">
        <v>3.4000000000000002E-4</v>
      </c>
      <c r="K152">
        <v>3.4000000000000002E-4</v>
      </c>
      <c r="L152">
        <v>2.9E-4</v>
      </c>
      <c r="M152">
        <v>2.9E-4</v>
      </c>
      <c r="N152">
        <v>2.9E-4</v>
      </c>
      <c r="O152">
        <v>2.9E-4</v>
      </c>
      <c r="P152">
        <v>2.9E-4</v>
      </c>
      <c r="Q152">
        <v>5.1000000000000004E-4</v>
      </c>
      <c r="R152">
        <v>5.1000000000000004E-4</v>
      </c>
      <c r="S152">
        <v>5.1000000000000004E-4</v>
      </c>
      <c r="T152">
        <v>5.1000000000000004E-4</v>
      </c>
      <c r="U152">
        <v>5.1000000000000004E-4</v>
      </c>
      <c r="V152">
        <v>6.0999999999999997E-4</v>
      </c>
      <c r="W152">
        <v>6.0999999999999997E-4</v>
      </c>
      <c r="X152">
        <v>6.0999999999999997E-4</v>
      </c>
      <c r="Y152">
        <v>6.0999999999999997E-4</v>
      </c>
      <c r="Z152">
        <v>6.0999999999999997E-4</v>
      </c>
      <c r="AA152">
        <v>7.1000000000000002E-4</v>
      </c>
      <c r="AB152">
        <v>7.1000000000000002E-4</v>
      </c>
      <c r="AC152">
        <v>7.1000000000000002E-4</v>
      </c>
      <c r="AD152">
        <v>7.1000000000000002E-4</v>
      </c>
      <c r="AE152">
        <v>7.1000000000000002E-4</v>
      </c>
      <c r="AF152">
        <v>9.3999999999999997E-4</v>
      </c>
      <c r="AG152">
        <v>9.3999999999999997E-4</v>
      </c>
      <c r="AH152">
        <v>9.3999999999999997E-4</v>
      </c>
      <c r="AI152">
        <v>9.3999999999999997E-4</v>
      </c>
      <c r="AJ152">
        <v>9.3999999999999997E-4</v>
      </c>
      <c r="AK152">
        <v>1.3699999999999999E-3</v>
      </c>
      <c r="AL152">
        <v>1.3699999999999999E-3</v>
      </c>
      <c r="AM152">
        <v>1.3699999999999999E-3</v>
      </c>
      <c r="AN152">
        <v>1.3699999999999999E-3</v>
      </c>
      <c r="AO152">
        <v>1.3699999999999999E-3</v>
      </c>
      <c r="AP152">
        <v>2.0600000000000002E-3</v>
      </c>
      <c r="AQ152">
        <v>2.0600000000000002E-3</v>
      </c>
      <c r="AR152">
        <v>2.0600000000000002E-3</v>
      </c>
      <c r="AS152">
        <v>2.0600000000000002E-3</v>
      </c>
      <c r="AT152">
        <v>2.0600000000000002E-3</v>
      </c>
      <c r="AU152">
        <v>3.1700000000000001E-3</v>
      </c>
      <c r="AV152">
        <v>3.1700000000000001E-3</v>
      </c>
      <c r="AW152">
        <v>3.1700000000000001E-3</v>
      </c>
      <c r="AX152">
        <v>3.1700000000000001E-3</v>
      </c>
      <c r="AY152">
        <v>3.1700000000000001E-3</v>
      </c>
      <c r="AZ152">
        <v>4.8500000000000001E-3</v>
      </c>
      <c r="BA152">
        <v>4.8500000000000001E-3</v>
      </c>
      <c r="BB152">
        <v>4.8500000000000001E-3</v>
      </c>
      <c r="BC152">
        <v>4.8500000000000001E-3</v>
      </c>
      <c r="BD152">
        <v>4.8500000000000001E-3</v>
      </c>
      <c r="BE152">
        <v>7.3499999999999998E-3</v>
      </c>
      <c r="BF152">
        <v>7.3499999999999998E-3</v>
      </c>
      <c r="BG152">
        <v>7.3499999999999998E-3</v>
      </c>
      <c r="BH152">
        <v>7.3499999999999998E-3</v>
      </c>
      <c r="BI152">
        <v>7.3499999999999998E-3</v>
      </c>
      <c r="BJ152">
        <v>1.179E-2</v>
      </c>
      <c r="BK152">
        <v>1.179E-2</v>
      </c>
      <c r="BL152">
        <v>1.179E-2</v>
      </c>
      <c r="BM152">
        <v>1.179E-2</v>
      </c>
      <c r="BN152">
        <v>1.179E-2</v>
      </c>
      <c r="BO152">
        <v>1.942E-2</v>
      </c>
      <c r="BP152">
        <v>1.942E-2</v>
      </c>
      <c r="BQ152">
        <v>1.942E-2</v>
      </c>
      <c r="BR152">
        <v>1.942E-2</v>
      </c>
      <c r="BS152">
        <v>1.942E-2</v>
      </c>
      <c r="BT152">
        <v>3.3799999999999997E-2</v>
      </c>
      <c r="BU152">
        <v>3.3799999999999997E-2</v>
      </c>
      <c r="BV152">
        <v>3.3799999999999997E-2</v>
      </c>
      <c r="BW152">
        <v>3.3799999999999997E-2</v>
      </c>
      <c r="BX152">
        <v>3.3799999999999997E-2</v>
      </c>
      <c r="BY152">
        <v>5.9240000000000001E-2</v>
      </c>
      <c r="BZ152">
        <v>5.9240000000000001E-2</v>
      </c>
      <c r="CA152">
        <v>5.9240000000000001E-2</v>
      </c>
      <c r="CB152">
        <v>5.9240000000000001E-2</v>
      </c>
      <c r="CC152">
        <v>5.9240000000000001E-2</v>
      </c>
      <c r="CD152">
        <v>0.10378</v>
      </c>
      <c r="CE152">
        <v>0.10378</v>
      </c>
      <c r="CF152">
        <v>0.10378</v>
      </c>
      <c r="CG152">
        <v>0.10378</v>
      </c>
      <c r="CH152">
        <v>0.10378</v>
      </c>
      <c r="CI152">
        <v>0.17158999999999999</v>
      </c>
      <c r="CJ152">
        <v>0.17158999999999999</v>
      </c>
      <c r="CK152">
        <v>0.17158999999999999</v>
      </c>
      <c r="CL152">
        <v>0.17158999999999999</v>
      </c>
      <c r="CM152">
        <v>0.17158999999999999</v>
      </c>
      <c r="CN152">
        <v>0.26776</v>
      </c>
      <c r="CO152">
        <v>0.26776</v>
      </c>
      <c r="CP152">
        <v>0.26776</v>
      </c>
      <c r="CQ152">
        <v>0.26776</v>
      </c>
      <c r="CR152">
        <v>0.26776</v>
      </c>
      <c r="CS152">
        <v>0.39437</v>
      </c>
      <c r="CT152">
        <v>0.39437</v>
      </c>
      <c r="CU152">
        <v>0.39437</v>
      </c>
      <c r="CV152">
        <v>0.39437</v>
      </c>
      <c r="CW152">
        <v>0.39437</v>
      </c>
      <c r="CX152">
        <v>1</v>
      </c>
    </row>
    <row r="153" spans="1:102" x14ac:dyDescent="0.25">
      <c r="A153" t="s">
        <v>371</v>
      </c>
      <c r="B153">
        <v>4.7969999999999999E-2</v>
      </c>
      <c r="C153">
        <v>1.068E-2</v>
      </c>
      <c r="D153">
        <v>1.068E-2</v>
      </c>
      <c r="E153">
        <v>1.068E-2</v>
      </c>
      <c r="F153">
        <v>1.068E-2</v>
      </c>
      <c r="G153">
        <v>1.6299999999999999E-3</v>
      </c>
      <c r="H153">
        <v>1.6299999999999999E-3</v>
      </c>
      <c r="I153">
        <v>1.6299999999999999E-3</v>
      </c>
      <c r="J153">
        <v>1.6299999999999999E-3</v>
      </c>
      <c r="K153">
        <v>1.6299999999999999E-3</v>
      </c>
      <c r="L153">
        <v>1.0300000000000001E-3</v>
      </c>
      <c r="M153">
        <v>1.0300000000000001E-3</v>
      </c>
      <c r="N153">
        <v>1.0300000000000001E-3</v>
      </c>
      <c r="O153">
        <v>1.0300000000000001E-3</v>
      </c>
      <c r="P153">
        <v>1.0300000000000001E-3</v>
      </c>
      <c r="Q153">
        <v>1.49E-3</v>
      </c>
      <c r="R153">
        <v>1.49E-3</v>
      </c>
      <c r="S153">
        <v>1.49E-3</v>
      </c>
      <c r="T153">
        <v>1.49E-3</v>
      </c>
      <c r="U153">
        <v>1.49E-3</v>
      </c>
      <c r="V153">
        <v>2.2300000000000002E-3</v>
      </c>
      <c r="W153">
        <v>2.2300000000000002E-3</v>
      </c>
      <c r="X153">
        <v>2.2300000000000002E-3</v>
      </c>
      <c r="Y153">
        <v>2.2300000000000002E-3</v>
      </c>
      <c r="Z153">
        <v>2.2300000000000002E-3</v>
      </c>
      <c r="AA153">
        <v>2.82E-3</v>
      </c>
      <c r="AB153">
        <v>2.82E-3</v>
      </c>
      <c r="AC153">
        <v>2.82E-3</v>
      </c>
      <c r="AD153">
        <v>2.82E-3</v>
      </c>
      <c r="AE153">
        <v>2.82E-3</v>
      </c>
      <c r="AF153">
        <v>3.3800000000000002E-3</v>
      </c>
      <c r="AG153">
        <v>3.3800000000000002E-3</v>
      </c>
      <c r="AH153">
        <v>3.3800000000000002E-3</v>
      </c>
      <c r="AI153">
        <v>3.3800000000000002E-3</v>
      </c>
      <c r="AJ153">
        <v>3.3800000000000002E-3</v>
      </c>
      <c r="AK153">
        <v>4.1099999999999999E-3</v>
      </c>
      <c r="AL153">
        <v>4.1099999999999999E-3</v>
      </c>
      <c r="AM153">
        <v>4.1099999999999999E-3</v>
      </c>
      <c r="AN153">
        <v>4.1099999999999999E-3</v>
      </c>
      <c r="AO153">
        <v>4.1099999999999999E-3</v>
      </c>
      <c r="AP153">
        <v>5.0699999999999999E-3</v>
      </c>
      <c r="AQ153">
        <v>5.0699999999999999E-3</v>
      </c>
      <c r="AR153">
        <v>5.0699999999999999E-3</v>
      </c>
      <c r="AS153">
        <v>5.0699999999999999E-3</v>
      </c>
      <c r="AT153">
        <v>5.0699999999999999E-3</v>
      </c>
      <c r="AU153">
        <v>6.6800000000000002E-3</v>
      </c>
      <c r="AV153">
        <v>6.6800000000000002E-3</v>
      </c>
      <c r="AW153">
        <v>6.6800000000000002E-3</v>
      </c>
      <c r="AX153">
        <v>6.6800000000000002E-3</v>
      </c>
      <c r="AY153">
        <v>6.6800000000000002E-3</v>
      </c>
      <c r="AZ153">
        <v>9.4000000000000004E-3</v>
      </c>
      <c r="BA153">
        <v>9.4000000000000004E-3</v>
      </c>
      <c r="BB153">
        <v>9.4000000000000004E-3</v>
      </c>
      <c r="BC153">
        <v>9.4000000000000004E-3</v>
      </c>
      <c r="BD153">
        <v>9.4000000000000004E-3</v>
      </c>
      <c r="BE153">
        <v>1.396E-2</v>
      </c>
      <c r="BF153">
        <v>1.396E-2</v>
      </c>
      <c r="BG153">
        <v>1.396E-2</v>
      </c>
      <c r="BH153">
        <v>1.396E-2</v>
      </c>
      <c r="BI153">
        <v>1.396E-2</v>
      </c>
      <c r="BJ153">
        <v>2.0160000000000001E-2</v>
      </c>
      <c r="BK153">
        <v>2.0160000000000001E-2</v>
      </c>
      <c r="BL153">
        <v>2.0160000000000001E-2</v>
      </c>
      <c r="BM153">
        <v>2.0160000000000001E-2</v>
      </c>
      <c r="BN153">
        <v>2.0160000000000001E-2</v>
      </c>
      <c r="BO153">
        <v>3.2620000000000003E-2</v>
      </c>
      <c r="BP153">
        <v>3.2620000000000003E-2</v>
      </c>
      <c r="BQ153">
        <v>3.2620000000000003E-2</v>
      </c>
      <c r="BR153">
        <v>3.2620000000000003E-2</v>
      </c>
      <c r="BS153">
        <v>3.2620000000000003E-2</v>
      </c>
      <c r="BT153">
        <v>5.3589999999999999E-2</v>
      </c>
      <c r="BU153">
        <v>5.3589999999999999E-2</v>
      </c>
      <c r="BV153">
        <v>5.3589999999999999E-2</v>
      </c>
      <c r="BW153">
        <v>5.3589999999999999E-2</v>
      </c>
      <c r="BX153">
        <v>5.3589999999999999E-2</v>
      </c>
      <c r="BY153">
        <v>8.6510000000000004E-2</v>
      </c>
      <c r="BZ153">
        <v>8.6510000000000004E-2</v>
      </c>
      <c r="CA153">
        <v>8.6510000000000004E-2</v>
      </c>
      <c r="CB153">
        <v>8.6510000000000004E-2</v>
      </c>
      <c r="CC153">
        <v>8.6510000000000004E-2</v>
      </c>
      <c r="CD153">
        <v>0.13572000000000001</v>
      </c>
      <c r="CE153">
        <v>0.13572000000000001</v>
      </c>
      <c r="CF153">
        <v>0.13572000000000001</v>
      </c>
      <c r="CG153">
        <v>0.13572000000000001</v>
      </c>
      <c r="CH153">
        <v>0.13572000000000001</v>
      </c>
      <c r="CI153">
        <v>0.20530000000000001</v>
      </c>
      <c r="CJ153">
        <v>0.20530000000000001</v>
      </c>
      <c r="CK153">
        <v>0.20530000000000001</v>
      </c>
      <c r="CL153">
        <v>0.20530000000000001</v>
      </c>
      <c r="CM153">
        <v>0.20530000000000001</v>
      </c>
      <c r="CN153">
        <v>0.29943999999999998</v>
      </c>
      <c r="CO153">
        <v>0.29943999999999998</v>
      </c>
      <c r="CP153">
        <v>0.29943999999999998</v>
      </c>
      <c r="CQ153">
        <v>0.29943999999999998</v>
      </c>
      <c r="CR153">
        <v>0.29943999999999998</v>
      </c>
      <c r="CS153">
        <v>0.42110999999999998</v>
      </c>
      <c r="CT153">
        <v>0.42110999999999998</v>
      </c>
      <c r="CU153">
        <v>0.42110999999999998</v>
      </c>
      <c r="CV153">
        <v>0.42110999999999998</v>
      </c>
      <c r="CW153">
        <v>0.42110999999999998</v>
      </c>
      <c r="CX153">
        <v>1</v>
      </c>
    </row>
    <row r="154" spans="1:102" x14ac:dyDescent="0.25">
      <c r="A154" t="s">
        <v>373</v>
      </c>
      <c r="B154">
        <v>5.3299999999999997E-3</v>
      </c>
      <c r="C154">
        <v>2.7999999999999998E-4</v>
      </c>
      <c r="D154">
        <v>2.7999999999999998E-4</v>
      </c>
      <c r="E154">
        <v>2.7999999999999998E-4</v>
      </c>
      <c r="F154">
        <v>2.7999999999999998E-4</v>
      </c>
      <c r="G154">
        <v>1E-4</v>
      </c>
      <c r="H154">
        <v>1E-4</v>
      </c>
      <c r="I154">
        <v>1E-4</v>
      </c>
      <c r="J154">
        <v>1E-4</v>
      </c>
      <c r="K154">
        <v>1E-4</v>
      </c>
      <c r="L154">
        <v>9.0000000000000006E-5</v>
      </c>
      <c r="M154">
        <v>9.0000000000000006E-5</v>
      </c>
      <c r="N154">
        <v>9.0000000000000006E-5</v>
      </c>
      <c r="O154">
        <v>9.0000000000000006E-5</v>
      </c>
      <c r="P154">
        <v>9.0000000000000006E-5</v>
      </c>
      <c r="Q154">
        <v>2.1000000000000001E-4</v>
      </c>
      <c r="R154">
        <v>2.1000000000000001E-4</v>
      </c>
      <c r="S154">
        <v>2.1000000000000001E-4</v>
      </c>
      <c r="T154">
        <v>2.1000000000000001E-4</v>
      </c>
      <c r="U154">
        <v>2.1000000000000001E-4</v>
      </c>
      <c r="V154">
        <v>3.2000000000000003E-4</v>
      </c>
      <c r="W154">
        <v>3.2000000000000003E-4</v>
      </c>
      <c r="X154">
        <v>3.2000000000000003E-4</v>
      </c>
      <c r="Y154">
        <v>3.2000000000000003E-4</v>
      </c>
      <c r="Z154">
        <v>3.2000000000000003E-4</v>
      </c>
      <c r="AA154">
        <v>3.8999999999999999E-4</v>
      </c>
      <c r="AB154">
        <v>3.8999999999999999E-4</v>
      </c>
      <c r="AC154">
        <v>3.8999999999999999E-4</v>
      </c>
      <c r="AD154">
        <v>3.8999999999999999E-4</v>
      </c>
      <c r="AE154">
        <v>3.8999999999999999E-4</v>
      </c>
      <c r="AF154">
        <v>5.2999999999999998E-4</v>
      </c>
      <c r="AG154">
        <v>5.2999999999999998E-4</v>
      </c>
      <c r="AH154">
        <v>5.2999999999999998E-4</v>
      </c>
      <c r="AI154">
        <v>5.2999999999999998E-4</v>
      </c>
      <c r="AJ154">
        <v>5.2999999999999998E-4</v>
      </c>
      <c r="AK154">
        <v>8.8000000000000003E-4</v>
      </c>
      <c r="AL154">
        <v>8.8000000000000003E-4</v>
      </c>
      <c r="AM154">
        <v>8.8000000000000003E-4</v>
      </c>
      <c r="AN154">
        <v>8.8000000000000003E-4</v>
      </c>
      <c r="AO154">
        <v>8.8000000000000003E-4</v>
      </c>
      <c r="AP154">
        <v>1.5200000000000001E-3</v>
      </c>
      <c r="AQ154">
        <v>1.5200000000000001E-3</v>
      </c>
      <c r="AR154">
        <v>1.5200000000000001E-3</v>
      </c>
      <c r="AS154">
        <v>1.5200000000000001E-3</v>
      </c>
      <c r="AT154">
        <v>1.5200000000000001E-3</v>
      </c>
      <c r="AU154">
        <v>2.9199999999999999E-3</v>
      </c>
      <c r="AV154">
        <v>2.9199999999999999E-3</v>
      </c>
      <c r="AW154">
        <v>2.9199999999999999E-3</v>
      </c>
      <c r="AX154">
        <v>2.9199999999999999E-3</v>
      </c>
      <c r="AY154">
        <v>2.9199999999999999E-3</v>
      </c>
      <c r="AZ154">
        <v>4.7499999999999999E-3</v>
      </c>
      <c r="BA154">
        <v>4.7499999999999999E-3</v>
      </c>
      <c r="BB154">
        <v>4.7499999999999999E-3</v>
      </c>
      <c r="BC154">
        <v>4.7499999999999999E-3</v>
      </c>
      <c r="BD154">
        <v>4.7499999999999999E-3</v>
      </c>
      <c r="BE154">
        <v>7.3099999999999997E-3</v>
      </c>
      <c r="BF154">
        <v>7.3099999999999997E-3</v>
      </c>
      <c r="BG154">
        <v>7.3099999999999997E-3</v>
      </c>
      <c r="BH154">
        <v>7.3099999999999997E-3</v>
      </c>
      <c r="BI154">
        <v>7.3099999999999997E-3</v>
      </c>
      <c r="BJ154">
        <v>1.171E-2</v>
      </c>
      <c r="BK154">
        <v>1.171E-2</v>
      </c>
      <c r="BL154">
        <v>1.171E-2</v>
      </c>
      <c r="BM154">
        <v>1.171E-2</v>
      </c>
      <c r="BN154">
        <v>1.171E-2</v>
      </c>
      <c r="BO154">
        <v>1.8599999999999998E-2</v>
      </c>
      <c r="BP154">
        <v>1.8599999999999998E-2</v>
      </c>
      <c r="BQ154">
        <v>1.8599999999999998E-2</v>
      </c>
      <c r="BR154">
        <v>1.8599999999999998E-2</v>
      </c>
      <c r="BS154">
        <v>1.8599999999999998E-2</v>
      </c>
      <c r="BT154">
        <v>3.4759999999999999E-2</v>
      </c>
      <c r="BU154">
        <v>3.4759999999999999E-2</v>
      </c>
      <c r="BV154">
        <v>3.4759999999999999E-2</v>
      </c>
      <c r="BW154">
        <v>3.4759999999999999E-2</v>
      </c>
      <c r="BX154">
        <v>3.4759999999999999E-2</v>
      </c>
      <c r="BY154">
        <v>6.5869999999999998E-2</v>
      </c>
      <c r="BZ154">
        <v>6.5869999999999998E-2</v>
      </c>
      <c r="CA154">
        <v>6.5869999999999998E-2</v>
      </c>
      <c r="CB154">
        <v>6.5869999999999998E-2</v>
      </c>
      <c r="CC154">
        <v>6.5869999999999998E-2</v>
      </c>
      <c r="CD154">
        <v>0.11957</v>
      </c>
      <c r="CE154">
        <v>0.11957</v>
      </c>
      <c r="CF154">
        <v>0.11957</v>
      </c>
      <c r="CG154">
        <v>0.11957</v>
      </c>
      <c r="CH154">
        <v>0.11957</v>
      </c>
      <c r="CI154">
        <v>0.20066999999999999</v>
      </c>
      <c r="CJ154">
        <v>0.20066999999999999</v>
      </c>
      <c r="CK154">
        <v>0.20066999999999999</v>
      </c>
      <c r="CL154">
        <v>0.20066999999999999</v>
      </c>
      <c r="CM154">
        <v>0.20066999999999999</v>
      </c>
      <c r="CN154">
        <v>0.31134000000000001</v>
      </c>
      <c r="CO154">
        <v>0.31134000000000001</v>
      </c>
      <c r="CP154">
        <v>0.31134000000000001</v>
      </c>
      <c r="CQ154">
        <v>0.31134000000000001</v>
      </c>
      <c r="CR154">
        <v>0.31134000000000001</v>
      </c>
      <c r="CS154">
        <v>0.44656000000000001</v>
      </c>
      <c r="CT154">
        <v>0.44656000000000001</v>
      </c>
      <c r="CU154">
        <v>0.44656000000000001</v>
      </c>
      <c r="CV154">
        <v>0.44656000000000001</v>
      </c>
      <c r="CW154">
        <v>0.44656000000000001</v>
      </c>
      <c r="CX154">
        <v>1</v>
      </c>
    </row>
    <row r="155" spans="1:102" x14ac:dyDescent="0.25">
      <c r="A155" t="s">
        <v>375</v>
      </c>
      <c r="B155">
        <v>6.7200000000000003E-3</v>
      </c>
      <c r="C155">
        <v>3.5E-4</v>
      </c>
      <c r="D155">
        <v>3.5E-4</v>
      </c>
      <c r="E155">
        <v>3.5E-4</v>
      </c>
      <c r="F155">
        <v>3.5E-4</v>
      </c>
      <c r="G155">
        <v>3.6000000000000002E-4</v>
      </c>
      <c r="H155">
        <v>3.6000000000000002E-4</v>
      </c>
      <c r="I155">
        <v>3.6000000000000002E-4</v>
      </c>
      <c r="J155">
        <v>3.6000000000000002E-4</v>
      </c>
      <c r="K155">
        <v>3.6000000000000002E-4</v>
      </c>
      <c r="L155">
        <v>4.6999999999999999E-4</v>
      </c>
      <c r="M155">
        <v>4.6999999999999999E-4</v>
      </c>
      <c r="N155">
        <v>4.6999999999999999E-4</v>
      </c>
      <c r="O155">
        <v>4.6999999999999999E-4</v>
      </c>
      <c r="P155">
        <v>4.6999999999999999E-4</v>
      </c>
      <c r="Q155">
        <v>3.6999999999999999E-4</v>
      </c>
      <c r="R155">
        <v>3.6999999999999999E-4</v>
      </c>
      <c r="S155">
        <v>3.6999999999999999E-4</v>
      </c>
      <c r="T155">
        <v>3.6999999999999999E-4</v>
      </c>
      <c r="U155">
        <v>3.6999999999999999E-4</v>
      </c>
      <c r="V155">
        <v>6.8999999999999997E-4</v>
      </c>
      <c r="W155">
        <v>6.8999999999999997E-4</v>
      </c>
      <c r="X155">
        <v>6.8999999999999997E-4</v>
      </c>
      <c r="Y155">
        <v>6.8999999999999997E-4</v>
      </c>
      <c r="Z155">
        <v>6.8999999999999997E-4</v>
      </c>
      <c r="AA155">
        <v>7.5000000000000002E-4</v>
      </c>
      <c r="AB155">
        <v>7.5000000000000002E-4</v>
      </c>
      <c r="AC155">
        <v>7.5000000000000002E-4</v>
      </c>
      <c r="AD155">
        <v>7.5000000000000002E-4</v>
      </c>
      <c r="AE155">
        <v>7.5000000000000002E-4</v>
      </c>
      <c r="AF155">
        <v>1.14E-3</v>
      </c>
      <c r="AG155">
        <v>1.14E-3</v>
      </c>
      <c r="AH155">
        <v>1.14E-3</v>
      </c>
      <c r="AI155">
        <v>1.14E-3</v>
      </c>
      <c r="AJ155">
        <v>1.14E-3</v>
      </c>
      <c r="AK155">
        <v>1.3600000000000001E-3</v>
      </c>
      <c r="AL155">
        <v>1.3600000000000001E-3</v>
      </c>
      <c r="AM155">
        <v>1.3600000000000001E-3</v>
      </c>
      <c r="AN155">
        <v>1.3600000000000001E-3</v>
      </c>
      <c r="AO155">
        <v>1.3600000000000001E-3</v>
      </c>
      <c r="AP155">
        <v>3.2000000000000002E-3</v>
      </c>
      <c r="AQ155">
        <v>3.2000000000000002E-3</v>
      </c>
      <c r="AR155">
        <v>3.2000000000000002E-3</v>
      </c>
      <c r="AS155">
        <v>3.2000000000000002E-3</v>
      </c>
      <c r="AT155">
        <v>3.2000000000000002E-3</v>
      </c>
      <c r="AU155">
        <v>4.0400000000000002E-3</v>
      </c>
      <c r="AV155">
        <v>4.0400000000000002E-3</v>
      </c>
      <c r="AW155">
        <v>4.0400000000000002E-3</v>
      </c>
      <c r="AX155">
        <v>4.0400000000000002E-3</v>
      </c>
      <c r="AY155">
        <v>4.0400000000000002E-3</v>
      </c>
      <c r="AZ155">
        <v>4.6299999999999996E-3</v>
      </c>
      <c r="BA155">
        <v>4.6299999999999996E-3</v>
      </c>
      <c r="BB155">
        <v>4.6299999999999996E-3</v>
      </c>
      <c r="BC155">
        <v>4.6299999999999996E-3</v>
      </c>
      <c r="BD155">
        <v>4.6299999999999996E-3</v>
      </c>
      <c r="BE155">
        <v>6.5599999999999999E-3</v>
      </c>
      <c r="BF155">
        <v>6.5599999999999999E-3</v>
      </c>
      <c r="BG155">
        <v>6.5599999999999999E-3</v>
      </c>
      <c r="BH155">
        <v>6.5599999999999999E-3</v>
      </c>
      <c r="BI155">
        <v>6.5599999999999999E-3</v>
      </c>
      <c r="BJ155">
        <v>1.1209999999999999E-2</v>
      </c>
      <c r="BK155">
        <v>1.1209999999999999E-2</v>
      </c>
      <c r="BL155">
        <v>1.1209999999999999E-2</v>
      </c>
      <c r="BM155">
        <v>1.1209999999999999E-2</v>
      </c>
      <c r="BN155">
        <v>1.1209999999999999E-2</v>
      </c>
      <c r="BO155">
        <v>1.6979999999999999E-2</v>
      </c>
      <c r="BP155">
        <v>1.6979999999999999E-2</v>
      </c>
      <c r="BQ155">
        <v>1.6979999999999999E-2</v>
      </c>
      <c r="BR155">
        <v>1.6979999999999999E-2</v>
      </c>
      <c r="BS155">
        <v>1.6979999999999999E-2</v>
      </c>
      <c r="BT155">
        <v>2.717E-2</v>
      </c>
      <c r="BU155">
        <v>2.717E-2</v>
      </c>
      <c r="BV155">
        <v>2.717E-2</v>
      </c>
      <c r="BW155">
        <v>2.717E-2</v>
      </c>
      <c r="BX155">
        <v>2.717E-2</v>
      </c>
      <c r="BY155">
        <v>4.1730000000000003E-2</v>
      </c>
      <c r="BZ155">
        <v>4.1730000000000003E-2</v>
      </c>
      <c r="CA155">
        <v>4.1730000000000003E-2</v>
      </c>
      <c r="CB155">
        <v>4.1730000000000003E-2</v>
      </c>
      <c r="CC155">
        <v>4.1730000000000003E-2</v>
      </c>
      <c r="CD155">
        <v>7.9250000000000001E-2</v>
      </c>
      <c r="CE155">
        <v>7.9250000000000001E-2</v>
      </c>
      <c r="CF155">
        <v>7.9250000000000001E-2</v>
      </c>
      <c r="CG155">
        <v>7.9250000000000001E-2</v>
      </c>
      <c r="CH155">
        <v>7.9250000000000001E-2</v>
      </c>
      <c r="CI155">
        <v>0.14055000000000001</v>
      </c>
      <c r="CJ155">
        <v>0.14055000000000001</v>
      </c>
      <c r="CK155">
        <v>0.14055000000000001</v>
      </c>
      <c r="CL155">
        <v>0.14055000000000001</v>
      </c>
      <c r="CM155">
        <v>0.14055000000000001</v>
      </c>
      <c r="CN155">
        <v>0.23280000000000001</v>
      </c>
      <c r="CO155">
        <v>0.23280000000000001</v>
      </c>
      <c r="CP155">
        <v>0.23280000000000001</v>
      </c>
      <c r="CQ155">
        <v>0.23280000000000001</v>
      </c>
      <c r="CR155">
        <v>0.23280000000000001</v>
      </c>
      <c r="CS155">
        <v>0.36009999999999998</v>
      </c>
      <c r="CT155">
        <v>0.36009999999999998</v>
      </c>
      <c r="CU155">
        <v>0.36009999999999998</v>
      </c>
      <c r="CV155">
        <v>0.36009999999999998</v>
      </c>
      <c r="CW155">
        <v>0.36009999999999998</v>
      </c>
      <c r="CX155">
        <v>1</v>
      </c>
    </row>
    <row r="156" spans="1:102" x14ac:dyDescent="0.25">
      <c r="A156" t="s">
        <v>377</v>
      </c>
      <c r="B156">
        <v>0.1258</v>
      </c>
      <c r="C156">
        <v>1.968E-2</v>
      </c>
      <c r="D156">
        <v>1.968E-2</v>
      </c>
      <c r="E156">
        <v>1.968E-2</v>
      </c>
      <c r="F156">
        <v>1.968E-2</v>
      </c>
      <c r="G156">
        <v>4.2300000000000003E-3</v>
      </c>
      <c r="H156">
        <v>4.2300000000000003E-3</v>
      </c>
      <c r="I156">
        <v>4.2300000000000003E-3</v>
      </c>
      <c r="J156">
        <v>4.2300000000000003E-3</v>
      </c>
      <c r="K156">
        <v>4.2300000000000003E-3</v>
      </c>
      <c r="L156">
        <v>2.49E-3</v>
      </c>
      <c r="M156">
        <v>2.49E-3</v>
      </c>
      <c r="N156">
        <v>2.49E-3</v>
      </c>
      <c r="O156">
        <v>2.49E-3</v>
      </c>
      <c r="P156">
        <v>2.49E-3</v>
      </c>
      <c r="Q156">
        <v>3.7499999999999999E-3</v>
      </c>
      <c r="R156">
        <v>3.7499999999999999E-3</v>
      </c>
      <c r="S156">
        <v>3.7499999999999999E-3</v>
      </c>
      <c r="T156">
        <v>3.7499999999999999E-3</v>
      </c>
      <c r="U156">
        <v>3.7499999999999999E-3</v>
      </c>
      <c r="V156">
        <v>5.96E-3</v>
      </c>
      <c r="W156">
        <v>5.96E-3</v>
      </c>
      <c r="X156">
        <v>5.96E-3</v>
      </c>
      <c r="Y156">
        <v>5.96E-3</v>
      </c>
      <c r="Z156">
        <v>5.96E-3</v>
      </c>
      <c r="AA156">
        <v>7.3400000000000002E-3</v>
      </c>
      <c r="AB156">
        <v>7.3400000000000002E-3</v>
      </c>
      <c r="AC156">
        <v>7.3400000000000002E-3</v>
      </c>
      <c r="AD156">
        <v>7.3400000000000002E-3</v>
      </c>
      <c r="AE156">
        <v>7.3400000000000002E-3</v>
      </c>
      <c r="AF156">
        <v>8.0499999999999999E-3</v>
      </c>
      <c r="AG156">
        <v>8.0499999999999999E-3</v>
      </c>
      <c r="AH156">
        <v>8.0499999999999999E-3</v>
      </c>
      <c r="AI156">
        <v>8.0499999999999999E-3</v>
      </c>
      <c r="AJ156">
        <v>8.0499999999999999E-3</v>
      </c>
      <c r="AK156">
        <v>8.8500000000000002E-3</v>
      </c>
      <c r="AL156">
        <v>8.8500000000000002E-3</v>
      </c>
      <c r="AM156">
        <v>8.8500000000000002E-3</v>
      </c>
      <c r="AN156">
        <v>8.8500000000000002E-3</v>
      </c>
      <c r="AO156">
        <v>8.8500000000000002E-3</v>
      </c>
      <c r="AP156">
        <v>9.6299999999999997E-3</v>
      </c>
      <c r="AQ156">
        <v>9.6299999999999997E-3</v>
      </c>
      <c r="AR156">
        <v>9.6299999999999997E-3</v>
      </c>
      <c r="AS156">
        <v>9.6299999999999997E-3</v>
      </c>
      <c r="AT156">
        <v>9.6299999999999997E-3</v>
      </c>
      <c r="AU156">
        <v>1.1089999999999999E-2</v>
      </c>
      <c r="AV156">
        <v>1.1089999999999999E-2</v>
      </c>
      <c r="AW156">
        <v>1.1089999999999999E-2</v>
      </c>
      <c r="AX156">
        <v>1.1089999999999999E-2</v>
      </c>
      <c r="AY156">
        <v>1.1089999999999999E-2</v>
      </c>
      <c r="AZ156">
        <v>1.46E-2</v>
      </c>
      <c r="BA156">
        <v>1.46E-2</v>
      </c>
      <c r="BB156">
        <v>1.46E-2</v>
      </c>
      <c r="BC156">
        <v>1.46E-2</v>
      </c>
      <c r="BD156">
        <v>1.46E-2</v>
      </c>
      <c r="BE156">
        <v>2.1010000000000001E-2</v>
      </c>
      <c r="BF156">
        <v>2.1010000000000001E-2</v>
      </c>
      <c r="BG156">
        <v>2.1010000000000001E-2</v>
      </c>
      <c r="BH156">
        <v>2.1010000000000001E-2</v>
      </c>
      <c r="BI156">
        <v>2.1010000000000001E-2</v>
      </c>
      <c r="BJ156">
        <v>2.7619999999999999E-2</v>
      </c>
      <c r="BK156">
        <v>2.7619999999999999E-2</v>
      </c>
      <c r="BL156">
        <v>2.7619999999999999E-2</v>
      </c>
      <c r="BM156">
        <v>2.7619999999999999E-2</v>
      </c>
      <c r="BN156">
        <v>2.7619999999999999E-2</v>
      </c>
      <c r="BO156">
        <v>4.3040000000000002E-2</v>
      </c>
      <c r="BP156">
        <v>4.3040000000000002E-2</v>
      </c>
      <c r="BQ156">
        <v>4.3040000000000002E-2</v>
      </c>
      <c r="BR156">
        <v>4.3040000000000002E-2</v>
      </c>
      <c r="BS156">
        <v>4.3040000000000002E-2</v>
      </c>
      <c r="BT156">
        <v>6.6600000000000006E-2</v>
      </c>
      <c r="BU156">
        <v>6.6600000000000006E-2</v>
      </c>
      <c r="BV156">
        <v>6.6600000000000006E-2</v>
      </c>
      <c r="BW156">
        <v>6.6600000000000006E-2</v>
      </c>
      <c r="BX156">
        <v>6.6600000000000006E-2</v>
      </c>
      <c r="BY156">
        <v>0.10070999999999999</v>
      </c>
      <c r="BZ156">
        <v>0.10070999999999999</v>
      </c>
      <c r="CA156">
        <v>0.10070999999999999</v>
      </c>
      <c r="CB156">
        <v>0.10070999999999999</v>
      </c>
      <c r="CC156">
        <v>0.10070999999999999</v>
      </c>
      <c r="CD156">
        <v>0.14993999999999999</v>
      </c>
      <c r="CE156">
        <v>0.14993999999999999</v>
      </c>
      <c r="CF156">
        <v>0.14993999999999999</v>
      </c>
      <c r="CG156">
        <v>0.14993999999999999</v>
      </c>
      <c r="CH156">
        <v>0.14993999999999999</v>
      </c>
      <c r="CI156">
        <v>0.21772</v>
      </c>
      <c r="CJ156">
        <v>0.21772</v>
      </c>
      <c r="CK156">
        <v>0.21772</v>
      </c>
      <c r="CL156">
        <v>0.21772</v>
      </c>
      <c r="CM156">
        <v>0.21772</v>
      </c>
      <c r="CN156">
        <v>0.30870999999999998</v>
      </c>
      <c r="CO156">
        <v>0.30870999999999998</v>
      </c>
      <c r="CP156">
        <v>0.30870999999999998</v>
      </c>
      <c r="CQ156">
        <v>0.30870999999999998</v>
      </c>
      <c r="CR156">
        <v>0.30870999999999998</v>
      </c>
      <c r="CS156">
        <v>0.42720999999999998</v>
      </c>
      <c r="CT156">
        <v>0.42720999999999998</v>
      </c>
      <c r="CU156">
        <v>0.42720999999999998</v>
      </c>
      <c r="CV156">
        <v>0.42720999999999998</v>
      </c>
      <c r="CW156">
        <v>0.42720999999999998</v>
      </c>
      <c r="CX156">
        <v>1</v>
      </c>
    </row>
    <row r="157" spans="1:102" x14ac:dyDescent="0.25">
      <c r="A157" t="s">
        <v>379</v>
      </c>
      <c r="B157">
        <v>1.66E-3</v>
      </c>
      <c r="C157">
        <v>1.8000000000000001E-4</v>
      </c>
      <c r="D157">
        <v>1.8000000000000001E-4</v>
      </c>
      <c r="E157">
        <v>1.8000000000000001E-4</v>
      </c>
      <c r="F157">
        <v>1.8000000000000001E-4</v>
      </c>
      <c r="G157">
        <v>5.0000000000000002E-5</v>
      </c>
      <c r="H157">
        <v>5.0000000000000002E-5</v>
      </c>
      <c r="I157">
        <v>5.0000000000000002E-5</v>
      </c>
      <c r="J157">
        <v>5.0000000000000002E-5</v>
      </c>
      <c r="K157">
        <v>5.0000000000000002E-5</v>
      </c>
      <c r="L157">
        <v>1.2E-4</v>
      </c>
      <c r="M157">
        <v>1.2E-4</v>
      </c>
      <c r="N157">
        <v>1.2E-4</v>
      </c>
      <c r="O157">
        <v>1.2E-4</v>
      </c>
      <c r="P157">
        <v>1.2E-4</v>
      </c>
      <c r="Q157">
        <v>1.4999999999999999E-4</v>
      </c>
      <c r="R157">
        <v>1.4999999999999999E-4</v>
      </c>
      <c r="S157">
        <v>1.4999999999999999E-4</v>
      </c>
      <c r="T157">
        <v>1.4999999999999999E-4</v>
      </c>
      <c r="U157">
        <v>1.4999999999999999E-4</v>
      </c>
      <c r="V157">
        <v>2.2000000000000001E-4</v>
      </c>
      <c r="W157">
        <v>2.2000000000000001E-4</v>
      </c>
      <c r="X157">
        <v>2.2000000000000001E-4</v>
      </c>
      <c r="Y157">
        <v>2.2000000000000001E-4</v>
      </c>
      <c r="Z157">
        <v>2.2000000000000001E-4</v>
      </c>
      <c r="AA157">
        <v>1.6000000000000001E-4</v>
      </c>
      <c r="AB157">
        <v>1.6000000000000001E-4</v>
      </c>
      <c r="AC157">
        <v>1.6000000000000001E-4</v>
      </c>
      <c r="AD157">
        <v>1.6000000000000001E-4</v>
      </c>
      <c r="AE157">
        <v>1.6000000000000001E-4</v>
      </c>
      <c r="AF157">
        <v>2.9E-4</v>
      </c>
      <c r="AG157">
        <v>2.9E-4</v>
      </c>
      <c r="AH157">
        <v>2.9E-4</v>
      </c>
      <c r="AI157">
        <v>2.9E-4</v>
      </c>
      <c r="AJ157">
        <v>2.9E-4</v>
      </c>
      <c r="AK157">
        <v>3.8000000000000002E-4</v>
      </c>
      <c r="AL157">
        <v>3.8000000000000002E-4</v>
      </c>
      <c r="AM157">
        <v>3.8000000000000002E-4</v>
      </c>
      <c r="AN157">
        <v>3.8000000000000002E-4</v>
      </c>
      <c r="AO157">
        <v>3.8000000000000002E-4</v>
      </c>
      <c r="AP157">
        <v>7.1000000000000002E-4</v>
      </c>
      <c r="AQ157">
        <v>7.1000000000000002E-4</v>
      </c>
      <c r="AR157">
        <v>7.1000000000000002E-4</v>
      </c>
      <c r="AS157">
        <v>7.1000000000000002E-4</v>
      </c>
      <c r="AT157">
        <v>7.1000000000000002E-4</v>
      </c>
      <c r="AU157">
        <v>1.2800000000000001E-3</v>
      </c>
      <c r="AV157">
        <v>1.2800000000000001E-3</v>
      </c>
      <c r="AW157">
        <v>1.2800000000000001E-3</v>
      </c>
      <c r="AX157">
        <v>1.2800000000000001E-3</v>
      </c>
      <c r="AY157">
        <v>1.2800000000000001E-3</v>
      </c>
      <c r="AZ157">
        <v>2.1700000000000001E-3</v>
      </c>
      <c r="BA157">
        <v>2.1700000000000001E-3</v>
      </c>
      <c r="BB157">
        <v>2.1700000000000001E-3</v>
      </c>
      <c r="BC157">
        <v>2.1700000000000001E-3</v>
      </c>
      <c r="BD157">
        <v>2.1700000000000001E-3</v>
      </c>
      <c r="BE157">
        <v>3.29E-3</v>
      </c>
      <c r="BF157">
        <v>3.29E-3</v>
      </c>
      <c r="BG157">
        <v>3.29E-3</v>
      </c>
      <c r="BH157">
        <v>3.29E-3</v>
      </c>
      <c r="BI157">
        <v>3.29E-3</v>
      </c>
      <c r="BJ157">
        <v>4.9699999999999996E-3</v>
      </c>
      <c r="BK157">
        <v>4.9699999999999996E-3</v>
      </c>
      <c r="BL157">
        <v>4.9699999999999996E-3</v>
      </c>
      <c r="BM157">
        <v>4.9699999999999996E-3</v>
      </c>
      <c r="BN157">
        <v>4.9699999999999996E-3</v>
      </c>
      <c r="BO157">
        <v>9.6900000000000007E-3</v>
      </c>
      <c r="BP157">
        <v>9.6900000000000007E-3</v>
      </c>
      <c r="BQ157">
        <v>9.6900000000000007E-3</v>
      </c>
      <c r="BR157">
        <v>9.6900000000000007E-3</v>
      </c>
      <c r="BS157">
        <v>9.6900000000000007E-3</v>
      </c>
      <c r="BT157">
        <v>1.575E-2</v>
      </c>
      <c r="BU157">
        <v>1.575E-2</v>
      </c>
      <c r="BV157">
        <v>1.575E-2</v>
      </c>
      <c r="BW157">
        <v>1.575E-2</v>
      </c>
      <c r="BX157">
        <v>1.575E-2</v>
      </c>
      <c r="BY157">
        <v>3.006E-2</v>
      </c>
      <c r="BZ157">
        <v>3.006E-2</v>
      </c>
      <c r="CA157">
        <v>3.006E-2</v>
      </c>
      <c r="CB157">
        <v>3.006E-2</v>
      </c>
      <c r="CC157">
        <v>3.006E-2</v>
      </c>
      <c r="CD157">
        <v>4.863E-2</v>
      </c>
      <c r="CE157">
        <v>4.863E-2</v>
      </c>
      <c r="CF157">
        <v>4.863E-2</v>
      </c>
      <c r="CG157">
        <v>4.863E-2</v>
      </c>
      <c r="CH157">
        <v>4.863E-2</v>
      </c>
      <c r="CI157">
        <v>7.9979999999999996E-2</v>
      </c>
      <c r="CJ157">
        <v>7.9979999999999996E-2</v>
      </c>
      <c r="CK157">
        <v>7.9979999999999996E-2</v>
      </c>
      <c r="CL157">
        <v>7.9979999999999996E-2</v>
      </c>
      <c r="CM157">
        <v>7.9979999999999996E-2</v>
      </c>
      <c r="CN157">
        <v>0.13372999999999999</v>
      </c>
      <c r="CO157">
        <v>0.13372999999999999</v>
      </c>
      <c r="CP157">
        <v>0.13372999999999999</v>
      </c>
      <c r="CQ157">
        <v>0.13372999999999999</v>
      </c>
      <c r="CR157">
        <v>0.13372999999999999</v>
      </c>
      <c r="CS157">
        <v>0.22731000000000001</v>
      </c>
      <c r="CT157">
        <v>0.22731000000000001</v>
      </c>
      <c r="CU157">
        <v>0.22731000000000001</v>
      </c>
      <c r="CV157">
        <v>0.22731000000000001</v>
      </c>
      <c r="CW157">
        <v>0.22731000000000001</v>
      </c>
      <c r="CX157">
        <v>1</v>
      </c>
    </row>
    <row r="158" spans="1:102" x14ac:dyDescent="0.25">
      <c r="A158" t="s">
        <v>381</v>
      </c>
      <c r="B158">
        <v>4.7600000000000003E-3</v>
      </c>
      <c r="C158">
        <v>3.6999999999999999E-4</v>
      </c>
      <c r="D158">
        <v>3.6999999999999999E-4</v>
      </c>
      <c r="E158">
        <v>3.6999999999999999E-4</v>
      </c>
      <c r="F158">
        <v>3.6999999999999999E-4</v>
      </c>
      <c r="G158">
        <v>1.1E-4</v>
      </c>
      <c r="H158">
        <v>1.1E-4</v>
      </c>
      <c r="I158">
        <v>1.1E-4</v>
      </c>
      <c r="J158">
        <v>1.1E-4</v>
      </c>
      <c r="K158">
        <v>1.1E-4</v>
      </c>
      <c r="L158">
        <v>1.9000000000000001E-4</v>
      </c>
      <c r="M158">
        <v>1.9000000000000001E-4</v>
      </c>
      <c r="N158">
        <v>1.9000000000000001E-4</v>
      </c>
      <c r="O158">
        <v>1.9000000000000001E-4</v>
      </c>
      <c r="P158">
        <v>1.9000000000000001E-4</v>
      </c>
      <c r="Q158">
        <v>2.2000000000000001E-4</v>
      </c>
      <c r="R158">
        <v>2.2000000000000001E-4</v>
      </c>
      <c r="S158">
        <v>2.2000000000000001E-4</v>
      </c>
      <c r="T158">
        <v>2.2000000000000001E-4</v>
      </c>
      <c r="U158">
        <v>2.2000000000000001E-4</v>
      </c>
      <c r="V158">
        <v>2.0000000000000001E-4</v>
      </c>
      <c r="W158">
        <v>2.0000000000000001E-4</v>
      </c>
      <c r="X158">
        <v>2.0000000000000001E-4</v>
      </c>
      <c r="Y158">
        <v>2.0000000000000001E-4</v>
      </c>
      <c r="Z158">
        <v>2.0000000000000001E-4</v>
      </c>
      <c r="AA158">
        <v>3.1E-4</v>
      </c>
      <c r="AB158">
        <v>3.1E-4</v>
      </c>
      <c r="AC158">
        <v>3.1E-4</v>
      </c>
      <c r="AD158">
        <v>3.1E-4</v>
      </c>
      <c r="AE158">
        <v>3.1E-4</v>
      </c>
      <c r="AF158">
        <v>4.2000000000000002E-4</v>
      </c>
      <c r="AG158">
        <v>4.2000000000000002E-4</v>
      </c>
      <c r="AH158">
        <v>4.2000000000000002E-4</v>
      </c>
      <c r="AI158">
        <v>4.2000000000000002E-4</v>
      </c>
      <c r="AJ158">
        <v>4.2000000000000002E-4</v>
      </c>
      <c r="AK158">
        <v>7.1000000000000002E-4</v>
      </c>
      <c r="AL158">
        <v>7.1000000000000002E-4</v>
      </c>
      <c r="AM158">
        <v>7.1000000000000002E-4</v>
      </c>
      <c r="AN158">
        <v>7.1000000000000002E-4</v>
      </c>
      <c r="AO158">
        <v>7.1000000000000002E-4</v>
      </c>
      <c r="AP158">
        <v>1.4300000000000001E-3</v>
      </c>
      <c r="AQ158">
        <v>1.4300000000000001E-3</v>
      </c>
      <c r="AR158">
        <v>1.4300000000000001E-3</v>
      </c>
      <c r="AS158">
        <v>1.4300000000000001E-3</v>
      </c>
      <c r="AT158">
        <v>1.4300000000000001E-3</v>
      </c>
      <c r="AU158">
        <v>2.2799999999999999E-3</v>
      </c>
      <c r="AV158">
        <v>2.2799999999999999E-3</v>
      </c>
      <c r="AW158">
        <v>2.2799999999999999E-3</v>
      </c>
      <c r="AX158">
        <v>2.2799999999999999E-3</v>
      </c>
      <c r="AY158">
        <v>2.2799999999999999E-3</v>
      </c>
      <c r="AZ158">
        <v>3.8500000000000001E-3</v>
      </c>
      <c r="BA158">
        <v>3.8500000000000001E-3</v>
      </c>
      <c r="BB158">
        <v>3.8500000000000001E-3</v>
      </c>
      <c r="BC158">
        <v>3.8500000000000001E-3</v>
      </c>
      <c r="BD158">
        <v>3.8500000000000001E-3</v>
      </c>
      <c r="BE158">
        <v>5.9899999999999997E-3</v>
      </c>
      <c r="BF158">
        <v>5.9899999999999997E-3</v>
      </c>
      <c r="BG158">
        <v>5.9899999999999997E-3</v>
      </c>
      <c r="BH158">
        <v>5.9899999999999997E-3</v>
      </c>
      <c r="BI158">
        <v>5.9899999999999997E-3</v>
      </c>
      <c r="BJ158">
        <v>9.0100000000000006E-3</v>
      </c>
      <c r="BK158">
        <v>9.0100000000000006E-3</v>
      </c>
      <c r="BL158">
        <v>9.0100000000000006E-3</v>
      </c>
      <c r="BM158">
        <v>9.0100000000000006E-3</v>
      </c>
      <c r="BN158">
        <v>9.0100000000000006E-3</v>
      </c>
      <c r="BO158">
        <v>1.3769999999999999E-2</v>
      </c>
      <c r="BP158">
        <v>1.3769999999999999E-2</v>
      </c>
      <c r="BQ158">
        <v>1.3769999999999999E-2</v>
      </c>
      <c r="BR158">
        <v>1.3769999999999999E-2</v>
      </c>
      <c r="BS158">
        <v>1.3769999999999999E-2</v>
      </c>
      <c r="BT158">
        <v>2.5440000000000001E-2</v>
      </c>
      <c r="BU158">
        <v>2.5440000000000001E-2</v>
      </c>
      <c r="BV158">
        <v>2.5440000000000001E-2</v>
      </c>
      <c r="BW158">
        <v>2.5440000000000001E-2</v>
      </c>
      <c r="BX158">
        <v>2.5440000000000001E-2</v>
      </c>
      <c r="BY158">
        <v>4.5760000000000002E-2</v>
      </c>
      <c r="BZ158">
        <v>4.5760000000000002E-2</v>
      </c>
      <c r="CA158">
        <v>4.5760000000000002E-2</v>
      </c>
      <c r="CB158">
        <v>4.5760000000000002E-2</v>
      </c>
      <c r="CC158">
        <v>4.5760000000000002E-2</v>
      </c>
      <c r="CD158">
        <v>8.8139999999999996E-2</v>
      </c>
      <c r="CE158">
        <v>8.8139999999999996E-2</v>
      </c>
      <c r="CF158">
        <v>8.8139999999999996E-2</v>
      </c>
      <c r="CG158">
        <v>8.8139999999999996E-2</v>
      </c>
      <c r="CH158">
        <v>8.8139999999999996E-2</v>
      </c>
      <c r="CI158">
        <v>0.15675</v>
      </c>
      <c r="CJ158">
        <v>0.15675</v>
      </c>
      <c r="CK158">
        <v>0.15675</v>
      </c>
      <c r="CL158">
        <v>0.15675</v>
      </c>
      <c r="CM158">
        <v>0.15675</v>
      </c>
      <c r="CN158">
        <v>0.25738</v>
      </c>
      <c r="CO158">
        <v>0.25738</v>
      </c>
      <c r="CP158">
        <v>0.25738</v>
      </c>
      <c r="CQ158">
        <v>0.25738</v>
      </c>
      <c r="CR158">
        <v>0.25738</v>
      </c>
      <c r="CS158">
        <v>0.39018999999999998</v>
      </c>
      <c r="CT158">
        <v>0.39018999999999998</v>
      </c>
      <c r="CU158">
        <v>0.39018999999999998</v>
      </c>
      <c r="CV158">
        <v>0.39018999999999998</v>
      </c>
      <c r="CW158">
        <v>0.39018999999999998</v>
      </c>
      <c r="CX158">
        <v>1</v>
      </c>
    </row>
    <row r="159" spans="1:102" x14ac:dyDescent="0.25">
      <c r="A159" t="s">
        <v>383</v>
      </c>
      <c r="B159">
        <v>2.3800000000000002E-3</v>
      </c>
      <c r="C159">
        <v>6.0000000000000002E-5</v>
      </c>
      <c r="D159">
        <v>6.0000000000000002E-5</v>
      </c>
      <c r="E159">
        <v>6.0000000000000002E-5</v>
      </c>
      <c r="F159">
        <v>6.0000000000000002E-5</v>
      </c>
      <c r="G159">
        <v>2.2000000000000001E-4</v>
      </c>
      <c r="H159">
        <v>2.2000000000000001E-4</v>
      </c>
      <c r="I159">
        <v>2.2000000000000001E-4</v>
      </c>
      <c r="J159">
        <v>2.2000000000000001E-4</v>
      </c>
      <c r="K159">
        <v>2.2000000000000001E-4</v>
      </c>
      <c r="L159">
        <v>9.0000000000000006E-5</v>
      </c>
      <c r="M159">
        <v>9.0000000000000006E-5</v>
      </c>
      <c r="N159">
        <v>9.0000000000000006E-5</v>
      </c>
      <c r="O159">
        <v>9.0000000000000006E-5</v>
      </c>
      <c r="P159">
        <v>9.0000000000000006E-5</v>
      </c>
      <c r="Q159">
        <v>2.5000000000000001E-4</v>
      </c>
      <c r="R159">
        <v>2.5000000000000001E-4</v>
      </c>
      <c r="S159">
        <v>2.5000000000000001E-4</v>
      </c>
      <c r="T159">
        <v>2.5000000000000001E-4</v>
      </c>
      <c r="U159">
        <v>2.5000000000000001E-4</v>
      </c>
      <c r="V159">
        <v>1.7000000000000001E-4</v>
      </c>
      <c r="W159">
        <v>1.7000000000000001E-4</v>
      </c>
      <c r="X159">
        <v>1.7000000000000001E-4</v>
      </c>
      <c r="Y159">
        <v>1.7000000000000001E-4</v>
      </c>
      <c r="Z159">
        <v>1.7000000000000001E-4</v>
      </c>
      <c r="AA159">
        <v>2.7999999999999998E-4</v>
      </c>
      <c r="AB159">
        <v>2.7999999999999998E-4</v>
      </c>
      <c r="AC159">
        <v>2.7999999999999998E-4</v>
      </c>
      <c r="AD159">
        <v>2.7999999999999998E-4</v>
      </c>
      <c r="AE159">
        <v>2.7999999999999998E-4</v>
      </c>
      <c r="AF159">
        <v>3.8000000000000002E-4</v>
      </c>
      <c r="AG159">
        <v>3.8000000000000002E-4</v>
      </c>
      <c r="AH159">
        <v>3.8000000000000002E-4</v>
      </c>
      <c r="AI159">
        <v>3.8000000000000002E-4</v>
      </c>
      <c r="AJ159">
        <v>3.8000000000000002E-4</v>
      </c>
      <c r="AK159">
        <v>5.1999999999999995E-4</v>
      </c>
      <c r="AL159">
        <v>5.1999999999999995E-4</v>
      </c>
      <c r="AM159">
        <v>5.1999999999999995E-4</v>
      </c>
      <c r="AN159">
        <v>5.1999999999999995E-4</v>
      </c>
      <c r="AO159">
        <v>5.1999999999999995E-4</v>
      </c>
      <c r="AP159">
        <v>9.3000000000000005E-4</v>
      </c>
      <c r="AQ159">
        <v>9.3000000000000005E-4</v>
      </c>
      <c r="AR159">
        <v>9.3000000000000005E-4</v>
      </c>
      <c r="AS159">
        <v>9.3000000000000005E-4</v>
      </c>
      <c r="AT159">
        <v>9.3000000000000005E-4</v>
      </c>
      <c r="AU159">
        <v>1.5299999999999999E-3</v>
      </c>
      <c r="AV159">
        <v>1.5299999999999999E-3</v>
      </c>
      <c r="AW159">
        <v>1.5299999999999999E-3</v>
      </c>
      <c r="AX159">
        <v>1.5299999999999999E-3</v>
      </c>
      <c r="AY159">
        <v>1.5299999999999999E-3</v>
      </c>
      <c r="AZ159">
        <v>3.1800000000000001E-3</v>
      </c>
      <c r="BA159">
        <v>3.1800000000000001E-3</v>
      </c>
      <c r="BB159">
        <v>3.1800000000000001E-3</v>
      </c>
      <c r="BC159">
        <v>3.1800000000000001E-3</v>
      </c>
      <c r="BD159">
        <v>3.1800000000000001E-3</v>
      </c>
      <c r="BE159">
        <v>3.9699999999999996E-3</v>
      </c>
      <c r="BF159">
        <v>3.9699999999999996E-3</v>
      </c>
      <c r="BG159">
        <v>3.9699999999999996E-3</v>
      </c>
      <c r="BH159">
        <v>3.9699999999999996E-3</v>
      </c>
      <c r="BI159">
        <v>3.9699999999999996E-3</v>
      </c>
      <c r="BJ159">
        <v>6.1900000000000002E-3</v>
      </c>
      <c r="BK159">
        <v>6.1900000000000002E-3</v>
      </c>
      <c r="BL159">
        <v>6.1900000000000002E-3</v>
      </c>
      <c r="BM159">
        <v>6.1900000000000002E-3</v>
      </c>
      <c r="BN159">
        <v>6.1900000000000002E-3</v>
      </c>
      <c r="BO159">
        <v>9.3699999999999999E-3</v>
      </c>
      <c r="BP159">
        <v>9.3699999999999999E-3</v>
      </c>
      <c r="BQ159">
        <v>9.3699999999999999E-3</v>
      </c>
      <c r="BR159">
        <v>9.3699999999999999E-3</v>
      </c>
      <c r="BS159">
        <v>9.3699999999999999E-3</v>
      </c>
      <c r="BT159">
        <v>1.6650000000000002E-2</v>
      </c>
      <c r="BU159">
        <v>1.6650000000000002E-2</v>
      </c>
      <c r="BV159">
        <v>1.6650000000000002E-2</v>
      </c>
      <c r="BW159">
        <v>1.6650000000000002E-2</v>
      </c>
      <c r="BX159">
        <v>1.6650000000000002E-2</v>
      </c>
      <c r="BY159">
        <v>3.2530000000000003E-2</v>
      </c>
      <c r="BZ159">
        <v>3.2530000000000003E-2</v>
      </c>
      <c r="CA159">
        <v>3.2530000000000003E-2</v>
      </c>
      <c r="CB159">
        <v>3.2530000000000003E-2</v>
      </c>
      <c r="CC159">
        <v>3.2530000000000003E-2</v>
      </c>
      <c r="CD159">
        <v>6.3189999999999996E-2</v>
      </c>
      <c r="CE159">
        <v>6.3189999999999996E-2</v>
      </c>
      <c r="CF159">
        <v>6.3189999999999996E-2</v>
      </c>
      <c r="CG159">
        <v>6.3189999999999996E-2</v>
      </c>
      <c r="CH159">
        <v>6.3189999999999996E-2</v>
      </c>
      <c r="CI159">
        <v>0.11539000000000001</v>
      </c>
      <c r="CJ159">
        <v>0.11539000000000001</v>
      </c>
      <c r="CK159">
        <v>0.11539000000000001</v>
      </c>
      <c r="CL159">
        <v>0.11539000000000001</v>
      </c>
      <c r="CM159">
        <v>0.11539000000000001</v>
      </c>
      <c r="CN159">
        <v>0.19811999999999999</v>
      </c>
      <c r="CO159">
        <v>0.19811999999999999</v>
      </c>
      <c r="CP159">
        <v>0.19811999999999999</v>
      </c>
      <c r="CQ159">
        <v>0.19811999999999999</v>
      </c>
      <c r="CR159">
        <v>0.19811999999999999</v>
      </c>
      <c r="CS159">
        <v>0.31979999999999997</v>
      </c>
      <c r="CT159">
        <v>0.31979999999999997</v>
      </c>
      <c r="CU159">
        <v>0.31979999999999997</v>
      </c>
      <c r="CV159">
        <v>0.31979999999999997</v>
      </c>
      <c r="CW159">
        <v>0.31979999999999997</v>
      </c>
      <c r="CX159">
        <v>1</v>
      </c>
    </row>
    <row r="160" spans="1:102" x14ac:dyDescent="0.25">
      <c r="A160" t="s">
        <v>385</v>
      </c>
      <c r="B160">
        <v>2.9950000000000001E-2</v>
      </c>
      <c r="C160">
        <v>1.9E-3</v>
      </c>
      <c r="D160">
        <v>1.9E-3</v>
      </c>
      <c r="E160">
        <v>1.9E-3</v>
      </c>
      <c r="F160">
        <v>1.9E-3</v>
      </c>
      <c r="G160">
        <v>5.8E-4</v>
      </c>
      <c r="H160">
        <v>5.8E-4</v>
      </c>
      <c r="I160">
        <v>5.8E-4</v>
      </c>
      <c r="J160">
        <v>5.8E-4</v>
      </c>
      <c r="K160">
        <v>5.8E-4</v>
      </c>
      <c r="L160">
        <v>4.0999999999999999E-4</v>
      </c>
      <c r="M160">
        <v>4.0999999999999999E-4</v>
      </c>
      <c r="N160">
        <v>4.0999999999999999E-4</v>
      </c>
      <c r="O160">
        <v>4.0999999999999999E-4</v>
      </c>
      <c r="P160">
        <v>4.0999999999999999E-4</v>
      </c>
      <c r="Q160">
        <v>6.3000000000000003E-4</v>
      </c>
      <c r="R160">
        <v>6.3000000000000003E-4</v>
      </c>
      <c r="S160">
        <v>6.3000000000000003E-4</v>
      </c>
      <c r="T160">
        <v>6.3000000000000003E-4</v>
      </c>
      <c r="U160">
        <v>6.3000000000000003E-4</v>
      </c>
      <c r="V160">
        <v>8.0000000000000004E-4</v>
      </c>
      <c r="W160">
        <v>8.0000000000000004E-4</v>
      </c>
      <c r="X160">
        <v>8.0000000000000004E-4</v>
      </c>
      <c r="Y160">
        <v>8.0000000000000004E-4</v>
      </c>
      <c r="Z160">
        <v>8.0000000000000004E-4</v>
      </c>
      <c r="AA160">
        <v>9.5E-4</v>
      </c>
      <c r="AB160">
        <v>9.5E-4</v>
      </c>
      <c r="AC160">
        <v>9.5E-4</v>
      </c>
      <c r="AD160">
        <v>9.5E-4</v>
      </c>
      <c r="AE160">
        <v>9.5E-4</v>
      </c>
      <c r="AF160">
        <v>1.23E-3</v>
      </c>
      <c r="AG160">
        <v>1.23E-3</v>
      </c>
      <c r="AH160">
        <v>1.23E-3</v>
      </c>
      <c r="AI160">
        <v>1.23E-3</v>
      </c>
      <c r="AJ160">
        <v>1.23E-3</v>
      </c>
      <c r="AK160">
        <v>1.6999999999999999E-3</v>
      </c>
      <c r="AL160">
        <v>1.6999999999999999E-3</v>
      </c>
      <c r="AM160">
        <v>1.6999999999999999E-3</v>
      </c>
      <c r="AN160">
        <v>1.6999999999999999E-3</v>
      </c>
      <c r="AO160">
        <v>1.6999999999999999E-3</v>
      </c>
      <c r="AP160">
        <v>2.4399999999999999E-3</v>
      </c>
      <c r="AQ160">
        <v>2.4399999999999999E-3</v>
      </c>
      <c r="AR160">
        <v>2.4399999999999999E-3</v>
      </c>
      <c r="AS160">
        <v>2.4399999999999999E-3</v>
      </c>
      <c r="AT160">
        <v>2.4399999999999999E-3</v>
      </c>
      <c r="AU160">
        <v>3.6600000000000001E-3</v>
      </c>
      <c r="AV160">
        <v>3.6600000000000001E-3</v>
      </c>
      <c r="AW160">
        <v>3.6600000000000001E-3</v>
      </c>
      <c r="AX160">
        <v>3.6600000000000001E-3</v>
      </c>
      <c r="AY160">
        <v>3.6600000000000001E-3</v>
      </c>
      <c r="AZ160">
        <v>5.5300000000000002E-3</v>
      </c>
      <c r="BA160">
        <v>5.5300000000000002E-3</v>
      </c>
      <c r="BB160">
        <v>5.5300000000000002E-3</v>
      </c>
      <c r="BC160">
        <v>5.5300000000000002E-3</v>
      </c>
      <c r="BD160">
        <v>5.5300000000000002E-3</v>
      </c>
      <c r="BE160">
        <v>8.5000000000000006E-3</v>
      </c>
      <c r="BF160">
        <v>8.5000000000000006E-3</v>
      </c>
      <c r="BG160">
        <v>8.5000000000000006E-3</v>
      </c>
      <c r="BH160">
        <v>8.5000000000000006E-3</v>
      </c>
      <c r="BI160">
        <v>8.5000000000000006E-3</v>
      </c>
      <c r="BJ160">
        <v>1.3350000000000001E-2</v>
      </c>
      <c r="BK160">
        <v>1.3350000000000001E-2</v>
      </c>
      <c r="BL160">
        <v>1.3350000000000001E-2</v>
      </c>
      <c r="BM160">
        <v>1.3350000000000001E-2</v>
      </c>
      <c r="BN160">
        <v>1.3350000000000001E-2</v>
      </c>
      <c r="BO160">
        <v>2.2419999999999999E-2</v>
      </c>
      <c r="BP160">
        <v>2.2419999999999999E-2</v>
      </c>
      <c r="BQ160">
        <v>2.2419999999999999E-2</v>
      </c>
      <c r="BR160">
        <v>2.2419999999999999E-2</v>
      </c>
      <c r="BS160">
        <v>2.2419999999999999E-2</v>
      </c>
      <c r="BT160">
        <v>3.9149999999999997E-2</v>
      </c>
      <c r="BU160">
        <v>3.9149999999999997E-2</v>
      </c>
      <c r="BV160">
        <v>3.9149999999999997E-2</v>
      </c>
      <c r="BW160">
        <v>3.9149999999999997E-2</v>
      </c>
      <c r="BX160">
        <v>3.9149999999999997E-2</v>
      </c>
      <c r="BY160">
        <v>6.8129999999999996E-2</v>
      </c>
      <c r="BZ160">
        <v>6.8129999999999996E-2</v>
      </c>
      <c r="CA160">
        <v>6.8129999999999996E-2</v>
      </c>
      <c r="CB160">
        <v>6.8129999999999996E-2</v>
      </c>
      <c r="CC160">
        <v>6.8129999999999996E-2</v>
      </c>
      <c r="CD160">
        <v>0.11565</v>
      </c>
      <c r="CE160">
        <v>0.11565</v>
      </c>
      <c r="CF160">
        <v>0.11565</v>
      </c>
      <c r="CG160">
        <v>0.11565</v>
      </c>
      <c r="CH160">
        <v>0.11565</v>
      </c>
      <c r="CI160">
        <v>0.18603</v>
      </c>
      <c r="CJ160">
        <v>0.18603</v>
      </c>
      <c r="CK160">
        <v>0.18603</v>
      </c>
      <c r="CL160">
        <v>0.18603</v>
      </c>
      <c r="CM160">
        <v>0.18603</v>
      </c>
      <c r="CN160">
        <v>0.28361999999999998</v>
      </c>
      <c r="CO160">
        <v>0.28361999999999998</v>
      </c>
      <c r="CP160">
        <v>0.28361999999999998</v>
      </c>
      <c r="CQ160">
        <v>0.28361999999999998</v>
      </c>
      <c r="CR160">
        <v>0.28361999999999998</v>
      </c>
      <c r="CS160">
        <v>0.40977999999999998</v>
      </c>
      <c r="CT160">
        <v>0.40977999999999998</v>
      </c>
      <c r="CU160">
        <v>0.40977999999999998</v>
      </c>
      <c r="CV160">
        <v>0.40977999999999998</v>
      </c>
      <c r="CW160">
        <v>0.40977999999999998</v>
      </c>
      <c r="CX160">
        <v>1</v>
      </c>
    </row>
    <row r="161" spans="1:102" x14ac:dyDescent="0.25">
      <c r="A161" t="s">
        <v>387</v>
      </c>
      <c r="B161">
        <v>0.11552999999999999</v>
      </c>
      <c r="C161">
        <v>2.23E-2</v>
      </c>
      <c r="D161">
        <v>2.23E-2</v>
      </c>
      <c r="E161">
        <v>2.23E-2</v>
      </c>
      <c r="F161">
        <v>2.23E-2</v>
      </c>
      <c r="G161">
        <v>4.2599999999999999E-3</v>
      </c>
      <c r="H161">
        <v>4.2599999999999999E-3</v>
      </c>
      <c r="I161">
        <v>4.2599999999999999E-3</v>
      </c>
      <c r="J161">
        <v>4.2599999999999999E-3</v>
      </c>
      <c r="K161">
        <v>4.2599999999999999E-3</v>
      </c>
      <c r="L161">
        <v>2.5300000000000001E-3</v>
      </c>
      <c r="M161">
        <v>2.5300000000000001E-3</v>
      </c>
      <c r="N161">
        <v>2.5300000000000001E-3</v>
      </c>
      <c r="O161">
        <v>2.5300000000000001E-3</v>
      </c>
      <c r="P161">
        <v>2.5300000000000001E-3</v>
      </c>
      <c r="Q161">
        <v>3.7699999999999999E-3</v>
      </c>
      <c r="R161">
        <v>3.7699999999999999E-3</v>
      </c>
      <c r="S161">
        <v>3.7699999999999999E-3</v>
      </c>
      <c r="T161">
        <v>3.7699999999999999E-3</v>
      </c>
      <c r="U161">
        <v>3.7699999999999999E-3</v>
      </c>
      <c r="V161">
        <v>5.6299999999999996E-3</v>
      </c>
      <c r="W161">
        <v>5.6299999999999996E-3</v>
      </c>
      <c r="X161">
        <v>5.6299999999999996E-3</v>
      </c>
      <c r="Y161">
        <v>5.6299999999999996E-3</v>
      </c>
      <c r="Z161">
        <v>5.6299999999999996E-3</v>
      </c>
      <c r="AA161">
        <v>6.45E-3</v>
      </c>
      <c r="AB161">
        <v>6.45E-3</v>
      </c>
      <c r="AC161">
        <v>6.45E-3</v>
      </c>
      <c r="AD161">
        <v>6.45E-3</v>
      </c>
      <c r="AE161">
        <v>6.45E-3</v>
      </c>
      <c r="AF161">
        <v>7.0200000000000002E-3</v>
      </c>
      <c r="AG161">
        <v>7.0200000000000002E-3</v>
      </c>
      <c r="AH161">
        <v>7.0200000000000002E-3</v>
      </c>
      <c r="AI161">
        <v>7.0200000000000002E-3</v>
      </c>
      <c r="AJ161">
        <v>7.0200000000000002E-3</v>
      </c>
      <c r="AK161">
        <v>8.0400000000000003E-3</v>
      </c>
      <c r="AL161">
        <v>8.0400000000000003E-3</v>
      </c>
      <c r="AM161">
        <v>8.0400000000000003E-3</v>
      </c>
      <c r="AN161">
        <v>8.0400000000000003E-3</v>
      </c>
      <c r="AO161">
        <v>8.0400000000000003E-3</v>
      </c>
      <c r="AP161">
        <v>9.0900000000000009E-3</v>
      </c>
      <c r="AQ161">
        <v>9.0900000000000009E-3</v>
      </c>
      <c r="AR161">
        <v>9.0900000000000009E-3</v>
      </c>
      <c r="AS161">
        <v>9.0900000000000009E-3</v>
      </c>
      <c r="AT161">
        <v>9.0900000000000009E-3</v>
      </c>
      <c r="AU161">
        <v>1.077E-2</v>
      </c>
      <c r="AV161">
        <v>1.077E-2</v>
      </c>
      <c r="AW161">
        <v>1.077E-2</v>
      </c>
      <c r="AX161">
        <v>1.077E-2</v>
      </c>
      <c r="AY161">
        <v>1.077E-2</v>
      </c>
      <c r="AZ161">
        <v>1.443E-2</v>
      </c>
      <c r="BA161">
        <v>1.443E-2</v>
      </c>
      <c r="BB161">
        <v>1.443E-2</v>
      </c>
      <c r="BC161">
        <v>1.443E-2</v>
      </c>
      <c r="BD161">
        <v>1.443E-2</v>
      </c>
      <c r="BE161">
        <v>2.1010000000000001E-2</v>
      </c>
      <c r="BF161">
        <v>2.1010000000000001E-2</v>
      </c>
      <c r="BG161">
        <v>2.1010000000000001E-2</v>
      </c>
      <c r="BH161">
        <v>2.1010000000000001E-2</v>
      </c>
      <c r="BI161">
        <v>2.1010000000000001E-2</v>
      </c>
      <c r="BJ161">
        <v>2.7720000000000002E-2</v>
      </c>
      <c r="BK161">
        <v>2.7720000000000002E-2</v>
      </c>
      <c r="BL161">
        <v>2.7720000000000002E-2</v>
      </c>
      <c r="BM161">
        <v>2.7720000000000002E-2</v>
      </c>
      <c r="BN161">
        <v>2.7720000000000002E-2</v>
      </c>
      <c r="BO161">
        <v>4.3220000000000001E-2</v>
      </c>
      <c r="BP161">
        <v>4.3220000000000001E-2</v>
      </c>
      <c r="BQ161">
        <v>4.3220000000000001E-2</v>
      </c>
      <c r="BR161">
        <v>4.3220000000000001E-2</v>
      </c>
      <c r="BS161">
        <v>4.3220000000000001E-2</v>
      </c>
      <c r="BT161">
        <v>6.6879999999999995E-2</v>
      </c>
      <c r="BU161">
        <v>6.6879999999999995E-2</v>
      </c>
      <c r="BV161">
        <v>6.6879999999999995E-2</v>
      </c>
      <c r="BW161">
        <v>6.6879999999999995E-2</v>
      </c>
      <c r="BX161">
        <v>6.6879999999999995E-2</v>
      </c>
      <c r="BY161">
        <v>0.10116</v>
      </c>
      <c r="BZ161">
        <v>0.10116</v>
      </c>
      <c r="CA161">
        <v>0.10116</v>
      </c>
      <c r="CB161">
        <v>0.10116</v>
      </c>
      <c r="CC161">
        <v>0.10116</v>
      </c>
      <c r="CD161">
        <v>0.15064</v>
      </c>
      <c r="CE161">
        <v>0.15064</v>
      </c>
      <c r="CF161">
        <v>0.15064</v>
      </c>
      <c r="CG161">
        <v>0.15064</v>
      </c>
      <c r="CH161">
        <v>0.15064</v>
      </c>
      <c r="CI161">
        <v>0.21936</v>
      </c>
      <c r="CJ161">
        <v>0.21936</v>
      </c>
      <c r="CK161">
        <v>0.21936</v>
      </c>
      <c r="CL161">
        <v>0.21936</v>
      </c>
      <c r="CM161">
        <v>0.21936</v>
      </c>
      <c r="CN161">
        <v>0.30879000000000001</v>
      </c>
      <c r="CO161">
        <v>0.30879000000000001</v>
      </c>
      <c r="CP161">
        <v>0.30879000000000001</v>
      </c>
      <c r="CQ161">
        <v>0.30879000000000001</v>
      </c>
      <c r="CR161">
        <v>0.30879000000000001</v>
      </c>
      <c r="CS161">
        <v>0.42729</v>
      </c>
      <c r="CT161">
        <v>0.42729</v>
      </c>
      <c r="CU161">
        <v>0.42729</v>
      </c>
      <c r="CV161">
        <v>0.42729</v>
      </c>
      <c r="CW161">
        <v>0.42729</v>
      </c>
      <c r="CX161">
        <v>1</v>
      </c>
    </row>
    <row r="162" spans="1:102" x14ac:dyDescent="0.25">
      <c r="A162" t="s">
        <v>389</v>
      </c>
      <c r="B162">
        <v>3.85E-2</v>
      </c>
      <c r="C162">
        <v>4.0899999999999999E-3</v>
      </c>
      <c r="D162">
        <v>4.0899999999999999E-3</v>
      </c>
      <c r="E162">
        <v>4.0899999999999999E-3</v>
      </c>
      <c r="F162">
        <v>4.0899999999999999E-3</v>
      </c>
      <c r="G162">
        <v>1.6800000000000001E-3</v>
      </c>
      <c r="H162">
        <v>1.6800000000000001E-3</v>
      </c>
      <c r="I162">
        <v>1.6800000000000001E-3</v>
      </c>
      <c r="J162">
        <v>1.6800000000000001E-3</v>
      </c>
      <c r="K162">
        <v>1.6800000000000001E-3</v>
      </c>
      <c r="L162">
        <v>1.2899999999999999E-3</v>
      </c>
      <c r="M162">
        <v>1.2899999999999999E-3</v>
      </c>
      <c r="N162">
        <v>1.2899999999999999E-3</v>
      </c>
      <c r="O162">
        <v>1.2899999999999999E-3</v>
      </c>
      <c r="P162">
        <v>1.2899999999999999E-3</v>
      </c>
      <c r="Q162">
        <v>2.5500000000000002E-3</v>
      </c>
      <c r="R162">
        <v>2.5500000000000002E-3</v>
      </c>
      <c r="S162">
        <v>2.5500000000000002E-3</v>
      </c>
      <c r="T162">
        <v>2.5500000000000002E-3</v>
      </c>
      <c r="U162">
        <v>2.5500000000000002E-3</v>
      </c>
      <c r="V162">
        <v>9.1999999999999998E-3</v>
      </c>
      <c r="W162">
        <v>9.1999999999999998E-3</v>
      </c>
      <c r="X162">
        <v>9.1999999999999998E-3</v>
      </c>
      <c r="Y162">
        <v>9.1999999999999998E-3</v>
      </c>
      <c r="Z162">
        <v>9.1999999999999998E-3</v>
      </c>
      <c r="AA162">
        <v>1.8780000000000002E-2</v>
      </c>
      <c r="AB162">
        <v>1.8780000000000002E-2</v>
      </c>
      <c r="AC162">
        <v>1.8780000000000002E-2</v>
      </c>
      <c r="AD162">
        <v>1.8780000000000002E-2</v>
      </c>
      <c r="AE162">
        <v>1.8780000000000002E-2</v>
      </c>
      <c r="AF162">
        <v>2.2689999999999998E-2</v>
      </c>
      <c r="AG162">
        <v>2.2689999999999998E-2</v>
      </c>
      <c r="AH162">
        <v>2.2689999999999998E-2</v>
      </c>
      <c r="AI162">
        <v>2.2689999999999998E-2</v>
      </c>
      <c r="AJ162">
        <v>2.2689999999999998E-2</v>
      </c>
      <c r="AK162">
        <v>1.7569999999999999E-2</v>
      </c>
      <c r="AL162">
        <v>1.7569999999999999E-2</v>
      </c>
      <c r="AM162">
        <v>1.7569999999999999E-2</v>
      </c>
      <c r="AN162">
        <v>1.7569999999999999E-2</v>
      </c>
      <c r="AO162">
        <v>1.7569999999999999E-2</v>
      </c>
      <c r="AP162">
        <v>1.2070000000000001E-2</v>
      </c>
      <c r="AQ162">
        <v>1.2070000000000001E-2</v>
      </c>
      <c r="AR162">
        <v>1.2070000000000001E-2</v>
      </c>
      <c r="AS162">
        <v>1.2070000000000001E-2</v>
      </c>
      <c r="AT162">
        <v>1.2070000000000001E-2</v>
      </c>
      <c r="AU162">
        <v>1.3180000000000001E-2</v>
      </c>
      <c r="AV162">
        <v>1.3180000000000001E-2</v>
      </c>
      <c r="AW162">
        <v>1.3180000000000001E-2</v>
      </c>
      <c r="AX162">
        <v>1.3180000000000001E-2</v>
      </c>
      <c r="AY162">
        <v>1.3180000000000001E-2</v>
      </c>
      <c r="AZ162">
        <v>1.575E-2</v>
      </c>
      <c r="BA162">
        <v>1.575E-2</v>
      </c>
      <c r="BB162">
        <v>1.575E-2</v>
      </c>
      <c r="BC162">
        <v>1.575E-2</v>
      </c>
      <c r="BD162">
        <v>1.575E-2</v>
      </c>
      <c r="BE162">
        <v>1.8370000000000001E-2</v>
      </c>
      <c r="BF162">
        <v>1.8370000000000001E-2</v>
      </c>
      <c r="BG162">
        <v>1.8370000000000001E-2</v>
      </c>
      <c r="BH162">
        <v>1.8370000000000001E-2</v>
      </c>
      <c r="BI162">
        <v>1.8370000000000001E-2</v>
      </c>
      <c r="BJ162">
        <v>2.222E-2</v>
      </c>
      <c r="BK162">
        <v>2.222E-2</v>
      </c>
      <c r="BL162">
        <v>2.222E-2</v>
      </c>
      <c r="BM162">
        <v>2.222E-2</v>
      </c>
      <c r="BN162">
        <v>2.222E-2</v>
      </c>
      <c r="BO162">
        <v>3.5549999999999998E-2</v>
      </c>
      <c r="BP162">
        <v>3.5549999999999998E-2</v>
      </c>
      <c r="BQ162">
        <v>3.5549999999999998E-2</v>
      </c>
      <c r="BR162">
        <v>3.5549999999999998E-2</v>
      </c>
      <c r="BS162">
        <v>3.5549999999999998E-2</v>
      </c>
      <c r="BT162">
        <v>4.7320000000000001E-2</v>
      </c>
      <c r="BU162">
        <v>4.7320000000000001E-2</v>
      </c>
      <c r="BV162">
        <v>4.7320000000000001E-2</v>
      </c>
      <c r="BW162">
        <v>4.7320000000000001E-2</v>
      </c>
      <c r="BX162">
        <v>4.7320000000000001E-2</v>
      </c>
      <c r="BY162">
        <v>7.7469999999999997E-2</v>
      </c>
      <c r="BZ162">
        <v>7.7469999999999997E-2</v>
      </c>
      <c r="CA162">
        <v>7.7469999999999997E-2</v>
      </c>
      <c r="CB162">
        <v>7.7469999999999997E-2</v>
      </c>
      <c r="CC162">
        <v>7.7469999999999997E-2</v>
      </c>
      <c r="CD162">
        <v>9.6979999999999997E-2</v>
      </c>
      <c r="CE162">
        <v>9.6979999999999997E-2</v>
      </c>
      <c r="CF162">
        <v>9.6979999999999997E-2</v>
      </c>
      <c r="CG162">
        <v>9.6979999999999997E-2</v>
      </c>
      <c r="CH162">
        <v>9.6979999999999997E-2</v>
      </c>
      <c r="CI162">
        <v>0.1288</v>
      </c>
      <c r="CJ162">
        <v>0.1288</v>
      </c>
      <c r="CK162">
        <v>0.1288</v>
      </c>
      <c r="CL162">
        <v>0.1288</v>
      </c>
      <c r="CM162">
        <v>0.1288</v>
      </c>
      <c r="CN162">
        <v>0.18196999999999999</v>
      </c>
      <c r="CO162">
        <v>0.18196999999999999</v>
      </c>
      <c r="CP162">
        <v>0.18196999999999999</v>
      </c>
      <c r="CQ162">
        <v>0.18196999999999999</v>
      </c>
      <c r="CR162">
        <v>0.18196999999999999</v>
      </c>
      <c r="CS162">
        <v>0.27309</v>
      </c>
      <c r="CT162">
        <v>0.27309</v>
      </c>
      <c r="CU162">
        <v>0.27309</v>
      </c>
      <c r="CV162">
        <v>0.27309</v>
      </c>
      <c r="CW162">
        <v>0.27309</v>
      </c>
      <c r="CX162">
        <v>1</v>
      </c>
    </row>
    <row r="163" spans="1:102" x14ac:dyDescent="0.25">
      <c r="A163" t="s">
        <v>391</v>
      </c>
      <c r="B163">
        <v>9.7912499999999996E-3</v>
      </c>
      <c r="C163">
        <v>3.5649999999999999E-4</v>
      </c>
      <c r="D163">
        <v>3.5649999999999999E-4</v>
      </c>
      <c r="E163">
        <v>3.5649999999999999E-4</v>
      </c>
      <c r="F163">
        <v>3.5649999999999999E-4</v>
      </c>
      <c r="G163">
        <v>1.7899999999999999E-4</v>
      </c>
      <c r="H163">
        <v>1.7899999999999999E-4</v>
      </c>
      <c r="I163">
        <v>1.7899999999999999E-4</v>
      </c>
      <c r="J163">
        <v>1.7899999999999999E-4</v>
      </c>
      <c r="K163">
        <v>1.7899999999999999E-4</v>
      </c>
      <c r="L163">
        <v>1.8075E-4</v>
      </c>
      <c r="M163">
        <v>1.8075E-4</v>
      </c>
      <c r="N163">
        <v>1.8075E-4</v>
      </c>
      <c r="O163">
        <v>1.8075E-4</v>
      </c>
      <c r="P163">
        <v>1.8075E-4</v>
      </c>
      <c r="Q163">
        <v>3.0775000000000003E-4</v>
      </c>
      <c r="R163">
        <v>3.0775000000000003E-4</v>
      </c>
      <c r="S163">
        <v>3.0775000000000003E-4</v>
      </c>
      <c r="T163">
        <v>3.0775000000000003E-4</v>
      </c>
      <c r="U163">
        <v>3.0775000000000003E-4</v>
      </c>
      <c r="V163">
        <v>4.2025E-4</v>
      </c>
      <c r="W163">
        <v>4.2025E-4</v>
      </c>
      <c r="X163">
        <v>4.2025E-4</v>
      </c>
      <c r="Y163">
        <v>4.2025E-4</v>
      </c>
      <c r="Z163">
        <v>4.2025E-4</v>
      </c>
      <c r="AA163">
        <v>5.2674999999999998E-4</v>
      </c>
      <c r="AB163">
        <v>5.2674999999999998E-4</v>
      </c>
      <c r="AC163">
        <v>5.2674999999999998E-4</v>
      </c>
      <c r="AD163">
        <v>5.2674999999999998E-4</v>
      </c>
      <c r="AE163">
        <v>5.2674999999999998E-4</v>
      </c>
      <c r="AF163">
        <v>7.3850000000000001E-4</v>
      </c>
      <c r="AG163">
        <v>7.3850000000000001E-4</v>
      </c>
      <c r="AH163">
        <v>7.3850000000000001E-4</v>
      </c>
      <c r="AI163">
        <v>7.3850000000000001E-4</v>
      </c>
      <c r="AJ163">
        <v>7.3850000000000001E-4</v>
      </c>
      <c r="AK163">
        <v>1.0690000000000001E-3</v>
      </c>
      <c r="AL163">
        <v>1.0690000000000001E-3</v>
      </c>
      <c r="AM163">
        <v>1.0690000000000001E-3</v>
      </c>
      <c r="AN163">
        <v>1.0690000000000001E-3</v>
      </c>
      <c r="AO163">
        <v>1.0690000000000001E-3</v>
      </c>
      <c r="AP163">
        <v>1.622E-3</v>
      </c>
      <c r="AQ163">
        <v>1.622E-3</v>
      </c>
      <c r="AR163">
        <v>1.622E-3</v>
      </c>
      <c r="AS163">
        <v>1.622E-3</v>
      </c>
      <c r="AT163">
        <v>1.622E-3</v>
      </c>
      <c r="AU163">
        <v>2.5685E-3</v>
      </c>
      <c r="AV163">
        <v>2.5685E-3</v>
      </c>
      <c r="AW163">
        <v>2.5685E-3</v>
      </c>
      <c r="AX163">
        <v>2.5685E-3</v>
      </c>
      <c r="AY163">
        <v>2.5685E-3</v>
      </c>
      <c r="AZ163">
        <v>4.117E-3</v>
      </c>
      <c r="BA163">
        <v>4.117E-3</v>
      </c>
      <c r="BB163">
        <v>4.117E-3</v>
      </c>
      <c r="BC163">
        <v>4.117E-3</v>
      </c>
      <c r="BD163">
        <v>4.117E-3</v>
      </c>
      <c r="BE163">
        <v>6.4475000000000001E-3</v>
      </c>
      <c r="BF163">
        <v>6.4475000000000001E-3</v>
      </c>
      <c r="BG163">
        <v>6.4475000000000001E-3</v>
      </c>
      <c r="BH163">
        <v>6.4475000000000001E-3</v>
      </c>
      <c r="BI163">
        <v>6.4475000000000001E-3</v>
      </c>
      <c r="BJ163">
        <v>9.7327500000000001E-3</v>
      </c>
      <c r="BK163">
        <v>9.7327500000000001E-3</v>
      </c>
      <c r="BL163">
        <v>9.7327500000000001E-3</v>
      </c>
      <c r="BM163">
        <v>9.7327500000000001E-3</v>
      </c>
      <c r="BN163">
        <v>9.7327500000000001E-3</v>
      </c>
      <c r="BO163">
        <v>1.5950249999999999E-2</v>
      </c>
      <c r="BP163">
        <v>1.5950249999999999E-2</v>
      </c>
      <c r="BQ163">
        <v>1.5950249999999999E-2</v>
      </c>
      <c r="BR163">
        <v>1.5950249999999999E-2</v>
      </c>
      <c r="BS163">
        <v>1.5950249999999999E-2</v>
      </c>
      <c r="BT163">
        <v>2.6643500000000001E-2</v>
      </c>
      <c r="BU163">
        <v>2.6643500000000001E-2</v>
      </c>
      <c r="BV163">
        <v>2.6643500000000001E-2</v>
      </c>
      <c r="BW163">
        <v>2.6643500000000001E-2</v>
      </c>
      <c r="BX163">
        <v>2.6643500000000001E-2</v>
      </c>
      <c r="BY163">
        <v>4.6877250000000002E-2</v>
      </c>
      <c r="BZ163">
        <v>4.6877250000000002E-2</v>
      </c>
      <c r="CA163">
        <v>4.6877250000000002E-2</v>
      </c>
      <c r="CB163">
        <v>4.6877250000000002E-2</v>
      </c>
      <c r="CC163">
        <v>4.6877250000000002E-2</v>
      </c>
      <c r="CD163">
        <v>8.3014249999999998E-2</v>
      </c>
      <c r="CE163">
        <v>8.3014249999999998E-2</v>
      </c>
      <c r="CF163">
        <v>8.3014249999999998E-2</v>
      </c>
      <c r="CG163">
        <v>8.3014249999999998E-2</v>
      </c>
      <c r="CH163">
        <v>8.3014249999999998E-2</v>
      </c>
      <c r="CI163">
        <v>0.14132575</v>
      </c>
      <c r="CJ163">
        <v>0.14132575</v>
      </c>
      <c r="CK163">
        <v>0.14132575</v>
      </c>
      <c r="CL163">
        <v>0.14132575</v>
      </c>
      <c r="CM163">
        <v>0.14132575</v>
      </c>
      <c r="CN163">
        <v>0.22859225</v>
      </c>
      <c r="CO163">
        <v>0.22859225</v>
      </c>
      <c r="CP163">
        <v>0.22859225</v>
      </c>
      <c r="CQ163">
        <v>0.22859225</v>
      </c>
      <c r="CR163">
        <v>0.22859225</v>
      </c>
      <c r="CS163">
        <v>0.34928749999999997</v>
      </c>
      <c r="CT163">
        <v>0.34928749999999997</v>
      </c>
      <c r="CU163">
        <v>0.34928749999999997</v>
      </c>
      <c r="CV163">
        <v>0.34928749999999997</v>
      </c>
      <c r="CW163">
        <v>0.34928749999999997</v>
      </c>
      <c r="CX163">
        <v>1</v>
      </c>
    </row>
    <row r="164" spans="1:102" x14ac:dyDescent="0.25">
      <c r="A164" t="s">
        <v>393</v>
      </c>
      <c r="B164">
        <v>3.7046250000000003E-2</v>
      </c>
      <c r="C164">
        <v>3.16E-3</v>
      </c>
      <c r="D164">
        <v>3.16E-3</v>
      </c>
      <c r="E164">
        <v>3.16E-3</v>
      </c>
      <c r="F164">
        <v>3.16E-3</v>
      </c>
      <c r="G164">
        <v>9.4499999999999998E-4</v>
      </c>
      <c r="H164">
        <v>9.4499999999999998E-4</v>
      </c>
      <c r="I164">
        <v>9.4499999999999998E-4</v>
      </c>
      <c r="J164">
        <v>9.4499999999999998E-4</v>
      </c>
      <c r="K164">
        <v>9.4499999999999998E-4</v>
      </c>
      <c r="L164">
        <v>6.7750000000000004E-4</v>
      </c>
      <c r="M164">
        <v>6.7750000000000004E-4</v>
      </c>
      <c r="N164">
        <v>6.7750000000000004E-4</v>
      </c>
      <c r="O164">
        <v>6.7750000000000004E-4</v>
      </c>
      <c r="P164">
        <v>6.7750000000000004E-4</v>
      </c>
      <c r="Q164">
        <v>1.0425E-3</v>
      </c>
      <c r="R164">
        <v>1.0425E-3</v>
      </c>
      <c r="S164">
        <v>1.0425E-3</v>
      </c>
      <c r="T164">
        <v>1.0425E-3</v>
      </c>
      <c r="U164">
        <v>1.0425E-3</v>
      </c>
      <c r="V164">
        <v>1.39375E-3</v>
      </c>
      <c r="W164">
        <v>1.39375E-3</v>
      </c>
      <c r="X164">
        <v>1.39375E-3</v>
      </c>
      <c r="Y164">
        <v>1.39375E-3</v>
      </c>
      <c r="Z164">
        <v>1.39375E-3</v>
      </c>
      <c r="AA164">
        <v>1.5625000000000001E-3</v>
      </c>
      <c r="AB164">
        <v>1.5625000000000001E-3</v>
      </c>
      <c r="AC164">
        <v>1.5625000000000001E-3</v>
      </c>
      <c r="AD164">
        <v>1.5625000000000001E-3</v>
      </c>
      <c r="AE164">
        <v>1.5625000000000001E-3</v>
      </c>
      <c r="AF164">
        <v>1.9462500000000001E-3</v>
      </c>
      <c r="AG164">
        <v>1.9462500000000001E-3</v>
      </c>
      <c r="AH164">
        <v>1.9462500000000001E-3</v>
      </c>
      <c r="AI164">
        <v>1.9462500000000001E-3</v>
      </c>
      <c r="AJ164">
        <v>1.9462500000000001E-3</v>
      </c>
      <c r="AK164">
        <v>2.4875000000000001E-3</v>
      </c>
      <c r="AL164">
        <v>2.4875000000000001E-3</v>
      </c>
      <c r="AM164">
        <v>2.4875000000000001E-3</v>
      </c>
      <c r="AN164">
        <v>2.4875000000000001E-3</v>
      </c>
      <c r="AO164">
        <v>2.4875000000000001E-3</v>
      </c>
      <c r="AP164">
        <v>3.4312499999999998E-3</v>
      </c>
      <c r="AQ164">
        <v>3.4312499999999998E-3</v>
      </c>
      <c r="AR164">
        <v>3.4312499999999998E-3</v>
      </c>
      <c r="AS164">
        <v>3.4312499999999998E-3</v>
      </c>
      <c r="AT164">
        <v>3.4312499999999998E-3</v>
      </c>
      <c r="AU164">
        <v>4.8424999999999996E-3</v>
      </c>
      <c r="AV164">
        <v>4.8424999999999996E-3</v>
      </c>
      <c r="AW164">
        <v>4.8424999999999996E-3</v>
      </c>
      <c r="AX164">
        <v>4.8424999999999996E-3</v>
      </c>
      <c r="AY164">
        <v>4.8424999999999996E-3</v>
      </c>
      <c r="AZ164">
        <v>7.1687499999999998E-3</v>
      </c>
      <c r="BA164">
        <v>7.1687499999999998E-3</v>
      </c>
      <c r="BB164">
        <v>7.1687499999999998E-3</v>
      </c>
      <c r="BC164">
        <v>7.1687499999999998E-3</v>
      </c>
      <c r="BD164">
        <v>7.1687499999999998E-3</v>
      </c>
      <c r="BE164">
        <v>1.0838749999999999E-2</v>
      </c>
      <c r="BF164">
        <v>1.0838749999999999E-2</v>
      </c>
      <c r="BG164">
        <v>1.0838749999999999E-2</v>
      </c>
      <c r="BH164">
        <v>1.0838749999999999E-2</v>
      </c>
      <c r="BI164">
        <v>1.0838749999999999E-2</v>
      </c>
      <c r="BJ164">
        <v>1.6975000000000001E-2</v>
      </c>
      <c r="BK164">
        <v>1.6975000000000001E-2</v>
      </c>
      <c r="BL164">
        <v>1.6975000000000001E-2</v>
      </c>
      <c r="BM164">
        <v>1.6975000000000001E-2</v>
      </c>
      <c r="BN164">
        <v>1.6975000000000001E-2</v>
      </c>
      <c r="BO164">
        <v>2.7917500000000001E-2</v>
      </c>
      <c r="BP164">
        <v>2.7917500000000001E-2</v>
      </c>
      <c r="BQ164">
        <v>2.7917500000000001E-2</v>
      </c>
      <c r="BR164">
        <v>2.7917500000000001E-2</v>
      </c>
      <c r="BS164">
        <v>2.7917500000000001E-2</v>
      </c>
      <c r="BT164">
        <v>4.7142499999999997E-2</v>
      </c>
      <c r="BU164">
        <v>4.7142499999999997E-2</v>
      </c>
      <c r="BV164">
        <v>4.7142499999999997E-2</v>
      </c>
      <c r="BW164">
        <v>4.7142499999999997E-2</v>
      </c>
      <c r="BX164">
        <v>4.7142499999999997E-2</v>
      </c>
      <c r="BY164">
        <v>7.6598749999999993E-2</v>
      </c>
      <c r="BZ164">
        <v>7.6598749999999993E-2</v>
      </c>
      <c r="CA164">
        <v>7.6598749999999993E-2</v>
      </c>
      <c r="CB164">
        <v>7.6598749999999993E-2</v>
      </c>
      <c r="CC164">
        <v>7.6598749999999993E-2</v>
      </c>
      <c r="CD164">
        <v>0.1228325</v>
      </c>
      <c r="CE164">
        <v>0.1228325</v>
      </c>
      <c r="CF164">
        <v>0.1228325</v>
      </c>
      <c r="CG164">
        <v>0.1228325</v>
      </c>
      <c r="CH164">
        <v>0.1228325</v>
      </c>
      <c r="CI164">
        <v>0.189725</v>
      </c>
      <c r="CJ164">
        <v>0.189725</v>
      </c>
      <c r="CK164">
        <v>0.189725</v>
      </c>
      <c r="CL164">
        <v>0.189725</v>
      </c>
      <c r="CM164">
        <v>0.189725</v>
      </c>
      <c r="CN164">
        <v>0.28208624999999998</v>
      </c>
      <c r="CO164">
        <v>0.28208624999999998</v>
      </c>
      <c r="CP164">
        <v>0.28208624999999998</v>
      </c>
      <c r="CQ164">
        <v>0.28208624999999998</v>
      </c>
      <c r="CR164">
        <v>0.28208624999999998</v>
      </c>
      <c r="CS164">
        <v>0.40359499999999998</v>
      </c>
      <c r="CT164">
        <v>0.40359499999999998</v>
      </c>
      <c r="CU164">
        <v>0.40359499999999998</v>
      </c>
      <c r="CV164">
        <v>0.40359499999999998</v>
      </c>
      <c r="CW164">
        <v>0.40359499999999998</v>
      </c>
      <c r="CX164">
        <v>1</v>
      </c>
    </row>
    <row r="165" spans="1:102" x14ac:dyDescent="0.25">
      <c r="A165" t="s">
        <v>395</v>
      </c>
      <c r="B165">
        <v>7.5730000000000006E-2</v>
      </c>
      <c r="C165">
        <v>1.1860000000000001E-2</v>
      </c>
      <c r="D165">
        <v>1.1860000000000001E-2</v>
      </c>
      <c r="E165">
        <v>1.1860000000000001E-2</v>
      </c>
      <c r="F165">
        <v>1.1860000000000001E-2</v>
      </c>
      <c r="G165">
        <v>2.4299999999999999E-3</v>
      </c>
      <c r="H165">
        <v>2.4299999999999999E-3</v>
      </c>
      <c r="I165">
        <v>2.4299999999999999E-3</v>
      </c>
      <c r="J165">
        <v>2.4299999999999999E-3</v>
      </c>
      <c r="K165">
        <v>2.4299999999999999E-3</v>
      </c>
      <c r="L165">
        <v>1.5299999999999999E-3</v>
      </c>
      <c r="M165">
        <v>1.5299999999999999E-3</v>
      </c>
      <c r="N165">
        <v>1.5299999999999999E-3</v>
      </c>
      <c r="O165">
        <v>1.5299999999999999E-3</v>
      </c>
      <c r="P165">
        <v>1.5299999999999999E-3</v>
      </c>
      <c r="Q165">
        <v>2.2699999999999999E-3</v>
      </c>
      <c r="R165">
        <v>2.2699999999999999E-3</v>
      </c>
      <c r="S165">
        <v>2.2699999999999999E-3</v>
      </c>
      <c r="T165">
        <v>2.2699999999999999E-3</v>
      </c>
      <c r="U165">
        <v>2.2699999999999999E-3</v>
      </c>
      <c r="V165">
        <v>3.5100000000000001E-3</v>
      </c>
      <c r="W165">
        <v>3.5100000000000001E-3</v>
      </c>
      <c r="X165">
        <v>3.5100000000000001E-3</v>
      </c>
      <c r="Y165">
        <v>3.5100000000000001E-3</v>
      </c>
      <c r="Z165">
        <v>3.5100000000000001E-3</v>
      </c>
      <c r="AA165">
        <v>4.2300000000000003E-3</v>
      </c>
      <c r="AB165">
        <v>4.2300000000000003E-3</v>
      </c>
      <c r="AC165">
        <v>4.2300000000000003E-3</v>
      </c>
      <c r="AD165">
        <v>4.2300000000000003E-3</v>
      </c>
      <c r="AE165">
        <v>4.2300000000000003E-3</v>
      </c>
      <c r="AF165">
        <v>4.8199999999999996E-3</v>
      </c>
      <c r="AG165">
        <v>4.8199999999999996E-3</v>
      </c>
      <c r="AH165">
        <v>4.8199999999999996E-3</v>
      </c>
      <c r="AI165">
        <v>4.8199999999999996E-3</v>
      </c>
      <c r="AJ165">
        <v>4.8199999999999996E-3</v>
      </c>
      <c r="AK165">
        <v>5.6499999999999996E-3</v>
      </c>
      <c r="AL165">
        <v>5.6499999999999996E-3</v>
      </c>
      <c r="AM165">
        <v>5.6499999999999996E-3</v>
      </c>
      <c r="AN165">
        <v>5.6499999999999996E-3</v>
      </c>
      <c r="AO165">
        <v>5.6499999999999996E-3</v>
      </c>
      <c r="AP165">
        <v>6.7099999999999998E-3</v>
      </c>
      <c r="AQ165">
        <v>6.7099999999999998E-3</v>
      </c>
      <c r="AR165">
        <v>6.7099999999999998E-3</v>
      </c>
      <c r="AS165">
        <v>6.7099999999999998E-3</v>
      </c>
      <c r="AT165">
        <v>6.7099999999999998E-3</v>
      </c>
      <c r="AU165">
        <v>8.4600000000000005E-3</v>
      </c>
      <c r="AV165">
        <v>8.4600000000000005E-3</v>
      </c>
      <c r="AW165">
        <v>8.4600000000000005E-3</v>
      </c>
      <c r="AX165">
        <v>8.4600000000000005E-3</v>
      </c>
      <c r="AY165">
        <v>8.4600000000000005E-3</v>
      </c>
      <c r="AZ165">
        <v>1.1610000000000001E-2</v>
      </c>
      <c r="BA165">
        <v>1.1610000000000001E-2</v>
      </c>
      <c r="BB165">
        <v>1.1610000000000001E-2</v>
      </c>
      <c r="BC165">
        <v>1.1610000000000001E-2</v>
      </c>
      <c r="BD165">
        <v>1.1610000000000001E-2</v>
      </c>
      <c r="BE165">
        <v>1.695E-2</v>
      </c>
      <c r="BF165">
        <v>1.695E-2</v>
      </c>
      <c r="BG165">
        <v>1.695E-2</v>
      </c>
      <c r="BH165">
        <v>1.695E-2</v>
      </c>
      <c r="BI165">
        <v>1.695E-2</v>
      </c>
      <c r="BJ165">
        <v>2.3529999999999999E-2</v>
      </c>
      <c r="BK165">
        <v>2.3529999999999999E-2</v>
      </c>
      <c r="BL165">
        <v>2.3529999999999999E-2</v>
      </c>
      <c r="BM165">
        <v>2.3529999999999999E-2</v>
      </c>
      <c r="BN165">
        <v>2.3529999999999999E-2</v>
      </c>
      <c r="BO165">
        <v>3.7220000000000003E-2</v>
      </c>
      <c r="BP165">
        <v>3.7220000000000003E-2</v>
      </c>
      <c r="BQ165">
        <v>3.7220000000000003E-2</v>
      </c>
      <c r="BR165">
        <v>3.7220000000000003E-2</v>
      </c>
      <c r="BS165">
        <v>3.7220000000000003E-2</v>
      </c>
      <c r="BT165">
        <v>5.9389999999999998E-2</v>
      </c>
      <c r="BU165">
        <v>5.9389999999999998E-2</v>
      </c>
      <c r="BV165">
        <v>5.9389999999999998E-2</v>
      </c>
      <c r="BW165">
        <v>5.9389999999999998E-2</v>
      </c>
      <c r="BX165">
        <v>5.9389999999999998E-2</v>
      </c>
      <c r="BY165">
        <v>9.2899999999999996E-2</v>
      </c>
      <c r="BZ165">
        <v>9.2899999999999996E-2</v>
      </c>
      <c r="CA165">
        <v>9.2899999999999996E-2</v>
      </c>
      <c r="CB165">
        <v>9.2899999999999996E-2</v>
      </c>
      <c r="CC165">
        <v>9.2899999999999996E-2</v>
      </c>
      <c r="CD165">
        <v>0.14215</v>
      </c>
      <c r="CE165">
        <v>0.14215</v>
      </c>
      <c r="CF165">
        <v>0.14215</v>
      </c>
      <c r="CG165">
        <v>0.14215</v>
      </c>
      <c r="CH165">
        <v>0.14215</v>
      </c>
      <c r="CI165">
        <v>0.21110999999999999</v>
      </c>
      <c r="CJ165">
        <v>0.21110999999999999</v>
      </c>
      <c r="CK165">
        <v>0.21110999999999999</v>
      </c>
      <c r="CL165">
        <v>0.21110999999999999</v>
      </c>
      <c r="CM165">
        <v>0.21110999999999999</v>
      </c>
      <c r="CN165">
        <v>0.30302000000000001</v>
      </c>
      <c r="CO165">
        <v>0.30302000000000001</v>
      </c>
      <c r="CP165">
        <v>0.30302000000000001</v>
      </c>
      <c r="CQ165">
        <v>0.30302000000000001</v>
      </c>
      <c r="CR165">
        <v>0.30302000000000001</v>
      </c>
      <c r="CS165">
        <v>0.42308000000000001</v>
      </c>
      <c r="CT165">
        <v>0.42308000000000001</v>
      </c>
      <c r="CU165">
        <v>0.42308000000000001</v>
      </c>
      <c r="CV165">
        <v>0.42308000000000001</v>
      </c>
      <c r="CW165">
        <v>0.42308000000000001</v>
      </c>
      <c r="CX165">
        <v>1</v>
      </c>
    </row>
    <row r="166" spans="1:102" x14ac:dyDescent="0.25">
      <c r="A166" t="s">
        <v>397</v>
      </c>
      <c r="B166">
        <v>6.6841463000000004E-2</v>
      </c>
      <c r="C166">
        <v>1.0634390000000001E-2</v>
      </c>
      <c r="D166">
        <v>1.0634390000000001E-2</v>
      </c>
      <c r="E166">
        <v>1.0634390000000001E-2</v>
      </c>
      <c r="F166">
        <v>1.0634390000000001E-2</v>
      </c>
      <c r="G166">
        <v>2.2570730000000001E-3</v>
      </c>
      <c r="H166">
        <v>2.2570730000000001E-3</v>
      </c>
      <c r="I166">
        <v>2.2570730000000001E-3</v>
      </c>
      <c r="J166">
        <v>2.2570730000000001E-3</v>
      </c>
      <c r="K166">
        <v>2.2570730000000001E-3</v>
      </c>
      <c r="L166">
        <v>1.5885369999999999E-3</v>
      </c>
      <c r="M166">
        <v>1.5885369999999999E-3</v>
      </c>
      <c r="N166">
        <v>1.5885369999999999E-3</v>
      </c>
      <c r="O166">
        <v>1.5885369999999999E-3</v>
      </c>
      <c r="P166">
        <v>1.5885369999999999E-3</v>
      </c>
      <c r="Q166">
        <v>1.952683E-3</v>
      </c>
      <c r="R166">
        <v>1.952683E-3</v>
      </c>
      <c r="S166">
        <v>1.952683E-3</v>
      </c>
      <c r="T166">
        <v>1.952683E-3</v>
      </c>
      <c r="U166">
        <v>1.952683E-3</v>
      </c>
      <c r="V166">
        <v>3.7490240000000001E-3</v>
      </c>
      <c r="W166">
        <v>3.7490240000000001E-3</v>
      </c>
      <c r="X166">
        <v>3.7490240000000001E-3</v>
      </c>
      <c r="Y166">
        <v>3.7490240000000001E-3</v>
      </c>
      <c r="Z166">
        <v>3.7490240000000001E-3</v>
      </c>
      <c r="AA166">
        <v>6.1653660000000002E-3</v>
      </c>
      <c r="AB166">
        <v>6.1653660000000002E-3</v>
      </c>
      <c r="AC166">
        <v>6.1653660000000002E-3</v>
      </c>
      <c r="AD166">
        <v>6.1653660000000002E-3</v>
      </c>
      <c r="AE166">
        <v>6.1653660000000002E-3</v>
      </c>
      <c r="AF166">
        <v>8.7904880000000008E-3</v>
      </c>
      <c r="AG166">
        <v>8.7904880000000008E-3</v>
      </c>
      <c r="AH166">
        <v>8.7904880000000008E-3</v>
      </c>
      <c r="AI166">
        <v>8.7904880000000008E-3</v>
      </c>
      <c r="AJ166">
        <v>8.7904880000000008E-3</v>
      </c>
      <c r="AK166">
        <v>1.0272195E-2</v>
      </c>
      <c r="AL166">
        <v>1.0272195E-2</v>
      </c>
      <c r="AM166">
        <v>1.0272195E-2</v>
      </c>
      <c r="AN166">
        <v>1.0272195E-2</v>
      </c>
      <c r="AO166">
        <v>1.0272195E-2</v>
      </c>
      <c r="AP166">
        <v>1.0323659000000001E-2</v>
      </c>
      <c r="AQ166">
        <v>1.0323659000000001E-2</v>
      </c>
      <c r="AR166">
        <v>1.0323659000000001E-2</v>
      </c>
      <c r="AS166">
        <v>1.0323659000000001E-2</v>
      </c>
      <c r="AT166">
        <v>1.0323659000000001E-2</v>
      </c>
      <c r="AU166">
        <v>1.0378780000000001E-2</v>
      </c>
      <c r="AV166">
        <v>1.0378780000000001E-2</v>
      </c>
      <c r="AW166">
        <v>1.0378780000000001E-2</v>
      </c>
      <c r="AX166">
        <v>1.0378780000000001E-2</v>
      </c>
      <c r="AY166">
        <v>1.0378780000000001E-2</v>
      </c>
      <c r="AZ166">
        <v>1.2075122000000001E-2</v>
      </c>
      <c r="BA166">
        <v>1.2075122000000001E-2</v>
      </c>
      <c r="BB166">
        <v>1.2075122000000001E-2</v>
      </c>
      <c r="BC166">
        <v>1.2075122000000001E-2</v>
      </c>
      <c r="BD166">
        <v>1.2075122000000001E-2</v>
      </c>
      <c r="BE166">
        <v>1.6080000000000001E-2</v>
      </c>
      <c r="BF166">
        <v>1.6080000000000001E-2</v>
      </c>
      <c r="BG166">
        <v>1.6080000000000001E-2</v>
      </c>
      <c r="BH166">
        <v>1.6080000000000001E-2</v>
      </c>
      <c r="BI166">
        <v>1.6080000000000001E-2</v>
      </c>
      <c r="BJ166">
        <v>2.1788780000000001E-2</v>
      </c>
      <c r="BK166">
        <v>2.1788780000000001E-2</v>
      </c>
      <c r="BL166">
        <v>2.1788780000000001E-2</v>
      </c>
      <c r="BM166">
        <v>2.1788780000000001E-2</v>
      </c>
      <c r="BN166">
        <v>2.1788780000000001E-2</v>
      </c>
      <c r="BO166">
        <v>3.3969024E-2</v>
      </c>
      <c r="BP166">
        <v>3.3969024E-2</v>
      </c>
      <c r="BQ166">
        <v>3.3969024E-2</v>
      </c>
      <c r="BR166">
        <v>3.3969024E-2</v>
      </c>
      <c r="BS166">
        <v>3.3969024E-2</v>
      </c>
      <c r="BT166">
        <v>5.3909024E-2</v>
      </c>
      <c r="BU166">
        <v>5.3909024E-2</v>
      </c>
      <c r="BV166">
        <v>5.3909024E-2</v>
      </c>
      <c r="BW166">
        <v>5.3909024E-2</v>
      </c>
      <c r="BX166">
        <v>5.3909024E-2</v>
      </c>
      <c r="BY166">
        <v>8.5237561000000003E-2</v>
      </c>
      <c r="BZ166">
        <v>8.5237561000000003E-2</v>
      </c>
      <c r="CA166">
        <v>8.5237561000000003E-2</v>
      </c>
      <c r="CB166">
        <v>8.5237561000000003E-2</v>
      </c>
      <c r="CC166">
        <v>8.5237561000000003E-2</v>
      </c>
      <c r="CD166">
        <v>0.13244804900000001</v>
      </c>
      <c r="CE166">
        <v>0.13244804900000001</v>
      </c>
      <c r="CF166">
        <v>0.13244804900000001</v>
      </c>
      <c r="CG166">
        <v>0.13244804900000001</v>
      </c>
      <c r="CH166">
        <v>0.13244804900000001</v>
      </c>
      <c r="CI166">
        <v>0.19970122000000001</v>
      </c>
      <c r="CJ166">
        <v>0.19970122000000001</v>
      </c>
      <c r="CK166">
        <v>0.19970122000000001</v>
      </c>
      <c r="CL166">
        <v>0.19970122000000001</v>
      </c>
      <c r="CM166">
        <v>0.19970122000000001</v>
      </c>
      <c r="CN166">
        <v>0.29157146299999998</v>
      </c>
      <c r="CO166">
        <v>0.29157146299999998</v>
      </c>
      <c r="CP166">
        <v>0.29157146299999998</v>
      </c>
      <c r="CQ166">
        <v>0.29157146299999998</v>
      </c>
      <c r="CR166">
        <v>0.29157146299999998</v>
      </c>
      <c r="CS166">
        <v>0.41195365900000003</v>
      </c>
      <c r="CT166">
        <v>0.41195365900000003</v>
      </c>
      <c r="CU166">
        <v>0.41195365900000003</v>
      </c>
      <c r="CV166">
        <v>0.41195365900000003</v>
      </c>
      <c r="CW166">
        <v>0.41195365900000003</v>
      </c>
      <c r="CX166">
        <v>1</v>
      </c>
    </row>
    <row r="167" spans="1:102" x14ac:dyDescent="0.25">
      <c r="A167" t="s">
        <v>399</v>
      </c>
      <c r="B167">
        <v>2.3009999999999999E-2</v>
      </c>
      <c r="C167">
        <v>6.4000000000000005E-4</v>
      </c>
      <c r="D167">
        <v>6.4000000000000005E-4</v>
      </c>
      <c r="E167">
        <v>6.4000000000000005E-4</v>
      </c>
      <c r="F167">
        <v>6.4000000000000005E-4</v>
      </c>
      <c r="G167">
        <v>2.9999999999999997E-4</v>
      </c>
      <c r="H167">
        <v>2.9999999999999997E-4</v>
      </c>
      <c r="I167">
        <v>2.9999999999999997E-4</v>
      </c>
      <c r="J167">
        <v>2.9999999999999997E-4</v>
      </c>
      <c r="K167">
        <v>2.9999999999999997E-4</v>
      </c>
      <c r="L167">
        <v>4.0000000000000002E-4</v>
      </c>
      <c r="M167">
        <v>4.0000000000000002E-4</v>
      </c>
      <c r="N167">
        <v>4.0000000000000002E-4</v>
      </c>
      <c r="O167">
        <v>4.0000000000000002E-4</v>
      </c>
      <c r="P167">
        <v>4.0000000000000002E-4</v>
      </c>
      <c r="Q167">
        <v>8.0000000000000004E-4</v>
      </c>
      <c r="R167">
        <v>8.0000000000000004E-4</v>
      </c>
      <c r="S167">
        <v>8.0000000000000004E-4</v>
      </c>
      <c r="T167">
        <v>8.0000000000000004E-4</v>
      </c>
      <c r="U167">
        <v>8.0000000000000004E-4</v>
      </c>
      <c r="V167">
        <v>1.1199999999999999E-3</v>
      </c>
      <c r="W167">
        <v>1.1199999999999999E-3</v>
      </c>
      <c r="X167">
        <v>1.1199999999999999E-3</v>
      </c>
      <c r="Y167">
        <v>1.1199999999999999E-3</v>
      </c>
      <c r="Z167">
        <v>1.1199999999999999E-3</v>
      </c>
      <c r="AA167">
        <v>2E-3</v>
      </c>
      <c r="AB167">
        <v>2E-3</v>
      </c>
      <c r="AC167">
        <v>2E-3</v>
      </c>
      <c r="AD167">
        <v>2E-3</v>
      </c>
      <c r="AE167">
        <v>2E-3</v>
      </c>
      <c r="AF167">
        <v>1.9E-3</v>
      </c>
      <c r="AG167">
        <v>1.9E-3</v>
      </c>
      <c r="AH167">
        <v>1.9E-3</v>
      </c>
      <c r="AI167">
        <v>1.9E-3</v>
      </c>
      <c r="AJ167">
        <v>1.9E-3</v>
      </c>
      <c r="AK167">
        <v>1.8400000000000001E-3</v>
      </c>
      <c r="AL167">
        <v>1.8400000000000001E-3</v>
      </c>
      <c r="AM167">
        <v>1.8400000000000001E-3</v>
      </c>
      <c r="AN167">
        <v>1.8400000000000001E-3</v>
      </c>
      <c r="AO167">
        <v>1.8400000000000001E-3</v>
      </c>
      <c r="AP167">
        <v>2.4199999999999998E-3</v>
      </c>
      <c r="AQ167">
        <v>2.4199999999999998E-3</v>
      </c>
      <c r="AR167">
        <v>2.4199999999999998E-3</v>
      </c>
      <c r="AS167">
        <v>2.4199999999999998E-3</v>
      </c>
      <c r="AT167">
        <v>2.4199999999999998E-3</v>
      </c>
      <c r="AU167">
        <v>3.48E-3</v>
      </c>
      <c r="AV167">
        <v>3.48E-3</v>
      </c>
      <c r="AW167">
        <v>3.48E-3</v>
      </c>
      <c r="AX167">
        <v>3.48E-3</v>
      </c>
      <c r="AY167">
        <v>3.48E-3</v>
      </c>
      <c r="AZ167">
        <v>5.4900000000000001E-3</v>
      </c>
      <c r="BA167">
        <v>5.4900000000000001E-3</v>
      </c>
      <c r="BB167">
        <v>5.4900000000000001E-3</v>
      </c>
      <c r="BC167">
        <v>5.4900000000000001E-3</v>
      </c>
      <c r="BD167">
        <v>5.4900000000000001E-3</v>
      </c>
      <c r="BE167">
        <v>7.4099999999999999E-3</v>
      </c>
      <c r="BF167">
        <v>7.4099999999999999E-3</v>
      </c>
      <c r="BG167">
        <v>7.4099999999999999E-3</v>
      </c>
      <c r="BH167">
        <v>7.4099999999999999E-3</v>
      </c>
      <c r="BI167">
        <v>7.4099999999999999E-3</v>
      </c>
      <c r="BJ167">
        <v>1.391E-2</v>
      </c>
      <c r="BK167">
        <v>1.391E-2</v>
      </c>
      <c r="BL167">
        <v>1.391E-2</v>
      </c>
      <c r="BM167">
        <v>1.391E-2</v>
      </c>
      <c r="BN167">
        <v>1.391E-2</v>
      </c>
      <c r="BO167">
        <v>1.7829999999999999E-2</v>
      </c>
      <c r="BP167">
        <v>1.7829999999999999E-2</v>
      </c>
      <c r="BQ167">
        <v>1.7829999999999999E-2</v>
      </c>
      <c r="BR167">
        <v>1.7829999999999999E-2</v>
      </c>
      <c r="BS167">
        <v>1.7829999999999999E-2</v>
      </c>
      <c r="BT167">
        <v>3.2469999999999999E-2</v>
      </c>
      <c r="BU167">
        <v>3.2469999999999999E-2</v>
      </c>
      <c r="BV167">
        <v>3.2469999999999999E-2</v>
      </c>
      <c r="BW167">
        <v>3.2469999999999999E-2</v>
      </c>
      <c r="BX167">
        <v>3.2469999999999999E-2</v>
      </c>
      <c r="BY167">
        <v>4.3799999999999999E-2</v>
      </c>
      <c r="BZ167">
        <v>4.3799999999999999E-2</v>
      </c>
      <c r="CA167">
        <v>4.3799999999999999E-2</v>
      </c>
      <c r="CB167">
        <v>4.3799999999999999E-2</v>
      </c>
      <c r="CC167">
        <v>4.3799999999999999E-2</v>
      </c>
      <c r="CD167">
        <v>6.9639999999999994E-2</v>
      </c>
      <c r="CE167">
        <v>6.9639999999999994E-2</v>
      </c>
      <c r="CF167">
        <v>6.9639999999999994E-2</v>
      </c>
      <c r="CG167">
        <v>6.9639999999999994E-2</v>
      </c>
      <c r="CH167">
        <v>6.9639999999999994E-2</v>
      </c>
      <c r="CI167">
        <v>0.11069</v>
      </c>
      <c r="CJ167">
        <v>0.11069</v>
      </c>
      <c r="CK167">
        <v>0.11069</v>
      </c>
      <c r="CL167">
        <v>0.11069</v>
      </c>
      <c r="CM167">
        <v>0.11069</v>
      </c>
      <c r="CN167">
        <v>0.17585999999999999</v>
      </c>
      <c r="CO167">
        <v>0.17585999999999999</v>
      </c>
      <c r="CP167">
        <v>0.17585999999999999</v>
      </c>
      <c r="CQ167">
        <v>0.17585999999999999</v>
      </c>
      <c r="CR167">
        <v>0.17585999999999999</v>
      </c>
      <c r="CS167">
        <v>0.27932000000000001</v>
      </c>
      <c r="CT167">
        <v>0.27932000000000001</v>
      </c>
      <c r="CU167">
        <v>0.27932000000000001</v>
      </c>
      <c r="CV167">
        <v>0.27932000000000001</v>
      </c>
      <c r="CW167">
        <v>0.27932000000000001</v>
      </c>
      <c r="CX167">
        <v>1</v>
      </c>
    </row>
    <row r="168" spans="1:102" x14ac:dyDescent="0.25">
      <c r="A168" t="s">
        <v>401</v>
      </c>
      <c r="B168">
        <v>5.11E-2</v>
      </c>
      <c r="C168">
        <v>5.7800000000000004E-3</v>
      </c>
      <c r="D168">
        <v>5.7800000000000004E-3</v>
      </c>
      <c r="E168">
        <v>5.7800000000000004E-3</v>
      </c>
      <c r="F168">
        <v>5.7800000000000004E-3</v>
      </c>
      <c r="G168">
        <v>2.4599999999999999E-3</v>
      </c>
      <c r="H168">
        <v>2.4599999999999999E-3</v>
      </c>
      <c r="I168">
        <v>2.4599999999999999E-3</v>
      </c>
      <c r="J168">
        <v>2.4599999999999999E-3</v>
      </c>
      <c r="K168">
        <v>2.4599999999999999E-3</v>
      </c>
      <c r="L168">
        <v>1.99E-3</v>
      </c>
      <c r="M168">
        <v>1.99E-3</v>
      </c>
      <c r="N168">
        <v>1.99E-3</v>
      </c>
      <c r="O168">
        <v>1.99E-3</v>
      </c>
      <c r="P168">
        <v>1.99E-3</v>
      </c>
      <c r="Q168">
        <v>2.3E-3</v>
      </c>
      <c r="R168">
        <v>2.3E-3</v>
      </c>
      <c r="S168">
        <v>2.3E-3</v>
      </c>
      <c r="T168">
        <v>2.3E-3</v>
      </c>
      <c r="U168">
        <v>2.3E-3</v>
      </c>
      <c r="V168">
        <v>6.8100000000000001E-3</v>
      </c>
      <c r="W168">
        <v>6.8100000000000001E-3</v>
      </c>
      <c r="X168">
        <v>6.8100000000000001E-3</v>
      </c>
      <c r="Y168">
        <v>6.8100000000000001E-3</v>
      </c>
      <c r="Z168">
        <v>6.8100000000000001E-3</v>
      </c>
      <c r="AA168">
        <v>1.653E-2</v>
      </c>
      <c r="AB168">
        <v>1.653E-2</v>
      </c>
      <c r="AC168">
        <v>1.653E-2</v>
      </c>
      <c r="AD168">
        <v>1.653E-2</v>
      </c>
      <c r="AE168">
        <v>1.653E-2</v>
      </c>
      <c r="AF168">
        <v>2.7119999999999998E-2</v>
      </c>
      <c r="AG168">
        <v>2.7119999999999998E-2</v>
      </c>
      <c r="AH168">
        <v>2.7119999999999998E-2</v>
      </c>
      <c r="AI168">
        <v>2.7119999999999998E-2</v>
      </c>
      <c r="AJ168">
        <v>2.7119999999999998E-2</v>
      </c>
      <c r="AK168">
        <v>2.8629999999999999E-2</v>
      </c>
      <c r="AL168">
        <v>2.8629999999999999E-2</v>
      </c>
      <c r="AM168">
        <v>2.8629999999999999E-2</v>
      </c>
      <c r="AN168">
        <v>2.8629999999999999E-2</v>
      </c>
      <c r="AO168">
        <v>2.8629999999999999E-2</v>
      </c>
      <c r="AP168">
        <v>2.3650000000000001E-2</v>
      </c>
      <c r="AQ168">
        <v>2.3650000000000001E-2</v>
      </c>
      <c r="AR168">
        <v>2.3650000000000001E-2</v>
      </c>
      <c r="AS168">
        <v>2.3650000000000001E-2</v>
      </c>
      <c r="AT168">
        <v>2.3650000000000001E-2</v>
      </c>
      <c r="AU168">
        <v>1.9369999999999998E-2</v>
      </c>
      <c r="AV168">
        <v>1.9369999999999998E-2</v>
      </c>
      <c r="AW168">
        <v>1.9369999999999998E-2</v>
      </c>
      <c r="AX168">
        <v>1.9369999999999998E-2</v>
      </c>
      <c r="AY168">
        <v>1.9369999999999998E-2</v>
      </c>
      <c r="AZ168">
        <v>1.8780000000000002E-2</v>
      </c>
      <c r="BA168">
        <v>1.8780000000000002E-2</v>
      </c>
      <c r="BB168">
        <v>1.8780000000000002E-2</v>
      </c>
      <c r="BC168">
        <v>1.8780000000000002E-2</v>
      </c>
      <c r="BD168">
        <v>1.8780000000000002E-2</v>
      </c>
      <c r="BE168">
        <v>2.0979999999999999E-2</v>
      </c>
      <c r="BF168">
        <v>2.0979999999999999E-2</v>
      </c>
      <c r="BG168">
        <v>2.0979999999999999E-2</v>
      </c>
      <c r="BH168">
        <v>2.0979999999999999E-2</v>
      </c>
      <c r="BI168">
        <v>2.0979999999999999E-2</v>
      </c>
      <c r="BJ168">
        <v>2.63E-2</v>
      </c>
      <c r="BK168">
        <v>2.63E-2</v>
      </c>
      <c r="BL168">
        <v>2.63E-2</v>
      </c>
      <c r="BM168">
        <v>2.63E-2</v>
      </c>
      <c r="BN168">
        <v>2.63E-2</v>
      </c>
      <c r="BO168">
        <v>3.6920000000000001E-2</v>
      </c>
      <c r="BP168">
        <v>3.6920000000000001E-2</v>
      </c>
      <c r="BQ168">
        <v>3.6920000000000001E-2</v>
      </c>
      <c r="BR168">
        <v>3.6920000000000001E-2</v>
      </c>
      <c r="BS168">
        <v>3.6920000000000001E-2</v>
      </c>
      <c r="BT168">
        <v>5.4890000000000001E-2</v>
      </c>
      <c r="BU168">
        <v>5.4890000000000001E-2</v>
      </c>
      <c r="BV168">
        <v>5.4890000000000001E-2</v>
      </c>
      <c r="BW168">
        <v>5.4890000000000001E-2</v>
      </c>
      <c r="BX168">
        <v>5.4890000000000001E-2</v>
      </c>
      <c r="BY168">
        <v>8.3669999999999994E-2</v>
      </c>
      <c r="BZ168">
        <v>8.3669999999999994E-2</v>
      </c>
      <c r="CA168">
        <v>8.3669999999999994E-2</v>
      </c>
      <c r="CB168">
        <v>8.3669999999999994E-2</v>
      </c>
      <c r="CC168">
        <v>8.3669999999999994E-2</v>
      </c>
      <c r="CD168">
        <v>0.13099</v>
      </c>
      <c r="CE168">
        <v>0.13099</v>
      </c>
      <c r="CF168">
        <v>0.13099</v>
      </c>
      <c r="CG168">
        <v>0.13099</v>
      </c>
      <c r="CH168">
        <v>0.13099</v>
      </c>
      <c r="CI168">
        <v>0.19821</v>
      </c>
      <c r="CJ168">
        <v>0.19821</v>
      </c>
      <c r="CK168">
        <v>0.19821</v>
      </c>
      <c r="CL168">
        <v>0.19821</v>
      </c>
      <c r="CM168">
        <v>0.19821</v>
      </c>
      <c r="CN168">
        <v>0.2903</v>
      </c>
      <c r="CO168">
        <v>0.2903</v>
      </c>
      <c r="CP168">
        <v>0.2903</v>
      </c>
      <c r="CQ168">
        <v>0.2903</v>
      </c>
      <c r="CR168">
        <v>0.2903</v>
      </c>
      <c r="CS168">
        <v>0.41093000000000002</v>
      </c>
      <c r="CT168">
        <v>0.41093000000000002</v>
      </c>
      <c r="CU168">
        <v>0.41093000000000002</v>
      </c>
      <c r="CV168">
        <v>0.41093000000000002</v>
      </c>
      <c r="CW168">
        <v>0.41093000000000002</v>
      </c>
      <c r="CX168">
        <v>1</v>
      </c>
    </row>
    <row r="169" spans="1:102" x14ac:dyDescent="0.25">
      <c r="A169" t="s">
        <v>403</v>
      </c>
      <c r="B169">
        <v>2.33E-3</v>
      </c>
      <c r="C169">
        <v>1.2999999999999999E-4</v>
      </c>
      <c r="D169">
        <v>1.2999999999999999E-4</v>
      </c>
      <c r="E169">
        <v>1.2999999999999999E-4</v>
      </c>
      <c r="F169">
        <v>1.2999999999999999E-4</v>
      </c>
      <c r="G169">
        <v>5.0000000000000002E-5</v>
      </c>
      <c r="H169">
        <v>5.0000000000000002E-5</v>
      </c>
      <c r="I169">
        <v>5.0000000000000002E-5</v>
      </c>
      <c r="J169">
        <v>5.0000000000000002E-5</v>
      </c>
      <c r="K169">
        <v>5.0000000000000002E-5</v>
      </c>
      <c r="L169">
        <v>9.0000000000000006E-5</v>
      </c>
      <c r="M169">
        <v>9.0000000000000006E-5</v>
      </c>
      <c r="N169">
        <v>9.0000000000000006E-5</v>
      </c>
      <c r="O169">
        <v>9.0000000000000006E-5</v>
      </c>
      <c r="P169">
        <v>9.0000000000000006E-5</v>
      </c>
      <c r="Q169">
        <v>1.9000000000000001E-4</v>
      </c>
      <c r="R169">
        <v>1.9000000000000001E-4</v>
      </c>
      <c r="S169">
        <v>1.9000000000000001E-4</v>
      </c>
      <c r="T169">
        <v>1.9000000000000001E-4</v>
      </c>
      <c r="U169">
        <v>1.9000000000000001E-4</v>
      </c>
      <c r="V169">
        <v>2.3000000000000001E-4</v>
      </c>
      <c r="W169">
        <v>2.3000000000000001E-4</v>
      </c>
      <c r="X169">
        <v>2.3000000000000001E-4</v>
      </c>
      <c r="Y169">
        <v>2.3000000000000001E-4</v>
      </c>
      <c r="Z169">
        <v>2.3000000000000001E-4</v>
      </c>
      <c r="AA169">
        <v>3.3E-4</v>
      </c>
      <c r="AB169">
        <v>3.3E-4</v>
      </c>
      <c r="AC169">
        <v>3.3E-4</v>
      </c>
      <c r="AD169">
        <v>3.3E-4</v>
      </c>
      <c r="AE169">
        <v>3.3E-4</v>
      </c>
      <c r="AF169">
        <v>3.1E-4</v>
      </c>
      <c r="AG169">
        <v>3.1E-4</v>
      </c>
      <c r="AH169">
        <v>3.1E-4</v>
      </c>
      <c r="AI169">
        <v>3.1E-4</v>
      </c>
      <c r="AJ169">
        <v>3.1E-4</v>
      </c>
      <c r="AK169">
        <v>4.4999999999999999E-4</v>
      </c>
      <c r="AL169">
        <v>4.4999999999999999E-4</v>
      </c>
      <c r="AM169">
        <v>4.4999999999999999E-4</v>
      </c>
      <c r="AN169">
        <v>4.4999999999999999E-4</v>
      </c>
      <c r="AO169">
        <v>4.4999999999999999E-4</v>
      </c>
      <c r="AP169">
        <v>8.4999999999999995E-4</v>
      </c>
      <c r="AQ169">
        <v>8.4999999999999995E-4</v>
      </c>
      <c r="AR169">
        <v>8.4999999999999995E-4</v>
      </c>
      <c r="AS169">
        <v>8.4999999999999995E-4</v>
      </c>
      <c r="AT169">
        <v>8.4999999999999995E-4</v>
      </c>
      <c r="AU169">
        <v>1.33E-3</v>
      </c>
      <c r="AV169">
        <v>1.33E-3</v>
      </c>
      <c r="AW169">
        <v>1.33E-3</v>
      </c>
      <c r="AX169">
        <v>1.33E-3</v>
      </c>
      <c r="AY169">
        <v>1.33E-3</v>
      </c>
      <c r="AZ169">
        <v>2.31E-3</v>
      </c>
      <c r="BA169">
        <v>2.31E-3</v>
      </c>
      <c r="BB169">
        <v>2.31E-3</v>
      </c>
      <c r="BC169">
        <v>2.31E-3</v>
      </c>
      <c r="BD169">
        <v>2.31E-3</v>
      </c>
      <c r="BE169">
        <v>3.64E-3</v>
      </c>
      <c r="BF169">
        <v>3.64E-3</v>
      </c>
      <c r="BG169">
        <v>3.64E-3</v>
      </c>
      <c r="BH169">
        <v>3.64E-3</v>
      </c>
      <c r="BI169">
        <v>3.64E-3</v>
      </c>
      <c r="BJ169">
        <v>5.9899999999999997E-3</v>
      </c>
      <c r="BK169">
        <v>5.9899999999999997E-3</v>
      </c>
      <c r="BL169">
        <v>5.9899999999999997E-3</v>
      </c>
      <c r="BM169">
        <v>5.9899999999999997E-3</v>
      </c>
      <c r="BN169">
        <v>5.9899999999999997E-3</v>
      </c>
      <c r="BO169">
        <v>9.8499999999999994E-3</v>
      </c>
      <c r="BP169">
        <v>9.8499999999999994E-3</v>
      </c>
      <c r="BQ169">
        <v>9.8499999999999994E-3</v>
      </c>
      <c r="BR169">
        <v>9.8499999999999994E-3</v>
      </c>
      <c r="BS169">
        <v>9.8499999999999994E-3</v>
      </c>
      <c r="BT169">
        <v>1.4919999999999999E-2</v>
      </c>
      <c r="BU169">
        <v>1.4919999999999999E-2</v>
      </c>
      <c r="BV169">
        <v>1.4919999999999999E-2</v>
      </c>
      <c r="BW169">
        <v>1.4919999999999999E-2</v>
      </c>
      <c r="BX169">
        <v>1.4919999999999999E-2</v>
      </c>
      <c r="BY169">
        <v>2.6939999999999999E-2</v>
      </c>
      <c r="BZ169">
        <v>2.6939999999999999E-2</v>
      </c>
      <c r="CA169">
        <v>2.6939999999999999E-2</v>
      </c>
      <c r="CB169">
        <v>2.6939999999999999E-2</v>
      </c>
      <c r="CC169">
        <v>2.6939999999999999E-2</v>
      </c>
      <c r="CD169">
        <v>5.2949999999999997E-2</v>
      </c>
      <c r="CE169">
        <v>5.2949999999999997E-2</v>
      </c>
      <c r="CF169">
        <v>5.2949999999999997E-2</v>
      </c>
      <c r="CG169">
        <v>5.2949999999999997E-2</v>
      </c>
      <c r="CH169">
        <v>5.2949999999999997E-2</v>
      </c>
      <c r="CI169">
        <v>9.8570000000000005E-2</v>
      </c>
      <c r="CJ169">
        <v>9.8570000000000005E-2</v>
      </c>
      <c r="CK169">
        <v>9.8570000000000005E-2</v>
      </c>
      <c r="CL169">
        <v>9.8570000000000005E-2</v>
      </c>
      <c r="CM169">
        <v>9.8570000000000005E-2</v>
      </c>
      <c r="CN169">
        <v>0.17377000000000001</v>
      </c>
      <c r="CO169">
        <v>0.17377000000000001</v>
      </c>
      <c r="CP169">
        <v>0.17377000000000001</v>
      </c>
      <c r="CQ169">
        <v>0.17377000000000001</v>
      </c>
      <c r="CR169">
        <v>0.17377000000000001</v>
      </c>
      <c r="CS169">
        <v>0.29013</v>
      </c>
      <c r="CT169">
        <v>0.29013</v>
      </c>
      <c r="CU169">
        <v>0.29013</v>
      </c>
      <c r="CV169">
        <v>0.29013</v>
      </c>
      <c r="CW169">
        <v>0.29013</v>
      </c>
      <c r="CX169">
        <v>1</v>
      </c>
    </row>
    <row r="170" spans="1:102" x14ac:dyDescent="0.25">
      <c r="A170" t="s">
        <v>405</v>
      </c>
      <c r="B170">
        <v>9.7912499999999996E-3</v>
      </c>
      <c r="C170">
        <v>3.5649999999999999E-4</v>
      </c>
      <c r="D170">
        <v>3.5649999999999999E-4</v>
      </c>
      <c r="E170">
        <v>3.5649999999999999E-4</v>
      </c>
      <c r="F170">
        <v>3.5649999999999999E-4</v>
      </c>
      <c r="G170">
        <v>1.7899999999999999E-4</v>
      </c>
      <c r="H170">
        <v>1.7899999999999999E-4</v>
      </c>
      <c r="I170">
        <v>1.7899999999999999E-4</v>
      </c>
      <c r="J170">
        <v>1.7899999999999999E-4</v>
      </c>
      <c r="K170">
        <v>1.7899999999999999E-4</v>
      </c>
      <c r="L170">
        <v>1.8075E-4</v>
      </c>
      <c r="M170">
        <v>1.8075E-4</v>
      </c>
      <c r="N170">
        <v>1.8075E-4</v>
      </c>
      <c r="O170">
        <v>1.8075E-4</v>
      </c>
      <c r="P170">
        <v>1.8075E-4</v>
      </c>
      <c r="Q170">
        <v>3.0775000000000003E-4</v>
      </c>
      <c r="R170">
        <v>3.0775000000000003E-4</v>
      </c>
      <c r="S170">
        <v>3.0775000000000003E-4</v>
      </c>
      <c r="T170">
        <v>3.0775000000000003E-4</v>
      </c>
      <c r="U170">
        <v>3.0775000000000003E-4</v>
      </c>
      <c r="V170">
        <v>4.2025E-4</v>
      </c>
      <c r="W170">
        <v>4.2025E-4</v>
      </c>
      <c r="X170">
        <v>4.2025E-4</v>
      </c>
      <c r="Y170">
        <v>4.2025E-4</v>
      </c>
      <c r="Z170">
        <v>4.2025E-4</v>
      </c>
      <c r="AA170">
        <v>5.2674999999999998E-4</v>
      </c>
      <c r="AB170">
        <v>5.2674999999999998E-4</v>
      </c>
      <c r="AC170">
        <v>5.2674999999999998E-4</v>
      </c>
      <c r="AD170">
        <v>5.2674999999999998E-4</v>
      </c>
      <c r="AE170">
        <v>5.2674999999999998E-4</v>
      </c>
      <c r="AF170">
        <v>7.3850000000000001E-4</v>
      </c>
      <c r="AG170">
        <v>7.3850000000000001E-4</v>
      </c>
      <c r="AH170">
        <v>7.3850000000000001E-4</v>
      </c>
      <c r="AI170">
        <v>7.3850000000000001E-4</v>
      </c>
      <c r="AJ170">
        <v>7.3850000000000001E-4</v>
      </c>
      <c r="AK170">
        <v>1.0690000000000001E-3</v>
      </c>
      <c r="AL170">
        <v>1.0690000000000001E-3</v>
      </c>
      <c r="AM170">
        <v>1.0690000000000001E-3</v>
      </c>
      <c r="AN170">
        <v>1.0690000000000001E-3</v>
      </c>
      <c r="AO170">
        <v>1.0690000000000001E-3</v>
      </c>
      <c r="AP170">
        <v>1.622E-3</v>
      </c>
      <c r="AQ170">
        <v>1.622E-3</v>
      </c>
      <c r="AR170">
        <v>1.622E-3</v>
      </c>
      <c r="AS170">
        <v>1.622E-3</v>
      </c>
      <c r="AT170">
        <v>1.622E-3</v>
      </c>
      <c r="AU170">
        <v>2.5685E-3</v>
      </c>
      <c r="AV170">
        <v>2.5685E-3</v>
      </c>
      <c r="AW170">
        <v>2.5685E-3</v>
      </c>
      <c r="AX170">
        <v>2.5685E-3</v>
      </c>
      <c r="AY170">
        <v>2.5685E-3</v>
      </c>
      <c r="AZ170">
        <v>4.117E-3</v>
      </c>
      <c r="BA170">
        <v>4.117E-3</v>
      </c>
      <c r="BB170">
        <v>4.117E-3</v>
      </c>
      <c r="BC170">
        <v>4.117E-3</v>
      </c>
      <c r="BD170">
        <v>4.117E-3</v>
      </c>
      <c r="BE170">
        <v>6.4475000000000001E-3</v>
      </c>
      <c r="BF170">
        <v>6.4475000000000001E-3</v>
      </c>
      <c r="BG170">
        <v>6.4475000000000001E-3</v>
      </c>
      <c r="BH170">
        <v>6.4475000000000001E-3</v>
      </c>
      <c r="BI170">
        <v>6.4475000000000001E-3</v>
      </c>
      <c r="BJ170">
        <v>9.7327500000000001E-3</v>
      </c>
      <c r="BK170">
        <v>9.7327500000000001E-3</v>
      </c>
      <c r="BL170">
        <v>9.7327500000000001E-3</v>
      </c>
      <c r="BM170">
        <v>9.7327500000000001E-3</v>
      </c>
      <c r="BN170">
        <v>9.7327500000000001E-3</v>
      </c>
      <c r="BO170">
        <v>1.5950249999999999E-2</v>
      </c>
      <c r="BP170">
        <v>1.5950249999999999E-2</v>
      </c>
      <c r="BQ170">
        <v>1.5950249999999999E-2</v>
      </c>
      <c r="BR170">
        <v>1.5950249999999999E-2</v>
      </c>
      <c r="BS170">
        <v>1.5950249999999999E-2</v>
      </c>
      <c r="BT170">
        <v>2.6643500000000001E-2</v>
      </c>
      <c r="BU170">
        <v>2.6643500000000001E-2</v>
      </c>
      <c r="BV170">
        <v>2.6643500000000001E-2</v>
      </c>
      <c r="BW170">
        <v>2.6643500000000001E-2</v>
      </c>
      <c r="BX170">
        <v>2.6643500000000001E-2</v>
      </c>
      <c r="BY170">
        <v>4.6877250000000002E-2</v>
      </c>
      <c r="BZ170">
        <v>4.6877250000000002E-2</v>
      </c>
      <c r="CA170">
        <v>4.6877250000000002E-2</v>
      </c>
      <c r="CB170">
        <v>4.6877250000000002E-2</v>
      </c>
      <c r="CC170">
        <v>4.6877250000000002E-2</v>
      </c>
      <c r="CD170">
        <v>8.3014249999999998E-2</v>
      </c>
      <c r="CE170">
        <v>8.3014249999999998E-2</v>
      </c>
      <c r="CF170">
        <v>8.3014249999999998E-2</v>
      </c>
      <c r="CG170">
        <v>8.3014249999999998E-2</v>
      </c>
      <c r="CH170">
        <v>8.3014249999999998E-2</v>
      </c>
      <c r="CI170">
        <v>0.14132575</v>
      </c>
      <c r="CJ170">
        <v>0.14132575</v>
      </c>
      <c r="CK170">
        <v>0.14132575</v>
      </c>
      <c r="CL170">
        <v>0.14132575</v>
      </c>
      <c r="CM170">
        <v>0.14132575</v>
      </c>
      <c r="CN170">
        <v>0.22859225</v>
      </c>
      <c r="CO170">
        <v>0.22859225</v>
      </c>
      <c r="CP170">
        <v>0.22859225</v>
      </c>
      <c r="CQ170">
        <v>0.22859225</v>
      </c>
      <c r="CR170">
        <v>0.22859225</v>
      </c>
      <c r="CS170">
        <v>0.34928749999999997</v>
      </c>
      <c r="CT170">
        <v>0.34928749999999997</v>
      </c>
      <c r="CU170">
        <v>0.34928749999999997</v>
      </c>
      <c r="CV170">
        <v>0.34928749999999997</v>
      </c>
      <c r="CW170">
        <v>0.34928749999999997</v>
      </c>
      <c r="CX170">
        <v>1</v>
      </c>
    </row>
    <row r="171" spans="1:102" x14ac:dyDescent="0.25">
      <c r="A171" t="s">
        <v>407</v>
      </c>
      <c r="B171">
        <v>1.145E-2</v>
      </c>
      <c r="C171">
        <v>3.6000000000000002E-4</v>
      </c>
      <c r="D171">
        <v>3.6000000000000002E-4</v>
      </c>
      <c r="E171">
        <v>3.6000000000000002E-4</v>
      </c>
      <c r="F171">
        <v>3.6000000000000002E-4</v>
      </c>
      <c r="G171">
        <v>2.5000000000000001E-4</v>
      </c>
      <c r="H171">
        <v>2.5000000000000001E-4</v>
      </c>
      <c r="I171">
        <v>2.5000000000000001E-4</v>
      </c>
      <c r="J171">
        <v>2.5000000000000001E-4</v>
      </c>
      <c r="K171">
        <v>2.5000000000000001E-4</v>
      </c>
      <c r="L171">
        <v>2.4000000000000001E-4</v>
      </c>
      <c r="M171">
        <v>2.4000000000000001E-4</v>
      </c>
      <c r="N171">
        <v>2.4000000000000001E-4</v>
      </c>
      <c r="O171">
        <v>2.4000000000000001E-4</v>
      </c>
      <c r="P171">
        <v>2.4000000000000001E-4</v>
      </c>
      <c r="Q171">
        <v>4.4000000000000002E-4</v>
      </c>
      <c r="R171">
        <v>4.4000000000000002E-4</v>
      </c>
      <c r="S171">
        <v>4.4000000000000002E-4</v>
      </c>
      <c r="T171">
        <v>4.4000000000000002E-4</v>
      </c>
      <c r="U171">
        <v>4.4000000000000002E-4</v>
      </c>
      <c r="V171">
        <v>5.1999999999999995E-4</v>
      </c>
      <c r="W171">
        <v>5.1999999999999995E-4</v>
      </c>
      <c r="X171">
        <v>5.1999999999999995E-4</v>
      </c>
      <c r="Y171">
        <v>5.1999999999999995E-4</v>
      </c>
      <c r="Z171">
        <v>5.1999999999999995E-4</v>
      </c>
      <c r="AA171">
        <v>5.9999999999999995E-4</v>
      </c>
      <c r="AB171">
        <v>5.9999999999999995E-4</v>
      </c>
      <c r="AC171">
        <v>5.9999999999999995E-4</v>
      </c>
      <c r="AD171">
        <v>5.9999999999999995E-4</v>
      </c>
      <c r="AE171">
        <v>5.9999999999999995E-4</v>
      </c>
      <c r="AF171">
        <v>8.0999999999999996E-4</v>
      </c>
      <c r="AG171">
        <v>8.0999999999999996E-4</v>
      </c>
      <c r="AH171">
        <v>8.0999999999999996E-4</v>
      </c>
      <c r="AI171">
        <v>8.0999999999999996E-4</v>
      </c>
      <c r="AJ171">
        <v>8.0999999999999996E-4</v>
      </c>
      <c r="AK171">
        <v>1.2099999999999999E-3</v>
      </c>
      <c r="AL171">
        <v>1.2099999999999999E-3</v>
      </c>
      <c r="AM171">
        <v>1.2099999999999999E-3</v>
      </c>
      <c r="AN171">
        <v>1.2099999999999999E-3</v>
      </c>
      <c r="AO171">
        <v>1.2099999999999999E-3</v>
      </c>
      <c r="AP171">
        <v>1.89E-3</v>
      </c>
      <c r="AQ171">
        <v>1.89E-3</v>
      </c>
      <c r="AR171">
        <v>1.89E-3</v>
      </c>
      <c r="AS171">
        <v>1.89E-3</v>
      </c>
      <c r="AT171">
        <v>1.89E-3</v>
      </c>
      <c r="AU171">
        <v>2.96E-3</v>
      </c>
      <c r="AV171">
        <v>2.96E-3</v>
      </c>
      <c r="AW171">
        <v>2.96E-3</v>
      </c>
      <c r="AX171">
        <v>2.96E-3</v>
      </c>
      <c r="AY171">
        <v>2.96E-3</v>
      </c>
      <c r="AZ171">
        <v>4.5700000000000003E-3</v>
      </c>
      <c r="BA171">
        <v>4.5700000000000003E-3</v>
      </c>
      <c r="BB171">
        <v>4.5700000000000003E-3</v>
      </c>
      <c r="BC171">
        <v>4.5700000000000003E-3</v>
      </c>
      <c r="BD171">
        <v>4.5700000000000003E-3</v>
      </c>
      <c r="BE171">
        <v>6.9100000000000003E-3</v>
      </c>
      <c r="BF171">
        <v>6.9100000000000003E-3</v>
      </c>
      <c r="BG171">
        <v>6.9100000000000003E-3</v>
      </c>
      <c r="BH171">
        <v>6.9100000000000003E-3</v>
      </c>
      <c r="BI171">
        <v>6.9100000000000003E-3</v>
      </c>
      <c r="BJ171">
        <v>1.119E-2</v>
      </c>
      <c r="BK171">
        <v>1.119E-2</v>
      </c>
      <c r="BL171">
        <v>1.119E-2</v>
      </c>
      <c r="BM171">
        <v>1.119E-2</v>
      </c>
      <c r="BN171">
        <v>1.119E-2</v>
      </c>
      <c r="BO171">
        <v>1.8149999999999999E-2</v>
      </c>
      <c r="BP171">
        <v>1.8149999999999999E-2</v>
      </c>
      <c r="BQ171">
        <v>1.8149999999999999E-2</v>
      </c>
      <c r="BR171">
        <v>1.8149999999999999E-2</v>
      </c>
      <c r="BS171">
        <v>1.8149999999999999E-2</v>
      </c>
      <c r="BT171">
        <v>3.1329999999999997E-2</v>
      </c>
      <c r="BU171">
        <v>3.1329999999999997E-2</v>
      </c>
      <c r="BV171">
        <v>3.1329999999999997E-2</v>
      </c>
      <c r="BW171">
        <v>3.1329999999999997E-2</v>
      </c>
      <c r="BX171">
        <v>3.1329999999999997E-2</v>
      </c>
      <c r="BY171">
        <v>5.4679999999999999E-2</v>
      </c>
      <c r="BZ171">
        <v>5.4679999999999999E-2</v>
      </c>
      <c r="CA171">
        <v>5.4679999999999999E-2</v>
      </c>
      <c r="CB171">
        <v>5.4679999999999999E-2</v>
      </c>
      <c r="CC171">
        <v>5.4679999999999999E-2</v>
      </c>
      <c r="CD171">
        <v>9.7100000000000006E-2</v>
      </c>
      <c r="CE171">
        <v>9.7100000000000006E-2</v>
      </c>
      <c r="CF171">
        <v>9.7100000000000006E-2</v>
      </c>
      <c r="CG171">
        <v>9.7100000000000006E-2</v>
      </c>
      <c r="CH171">
        <v>9.7100000000000006E-2</v>
      </c>
      <c r="CI171">
        <v>0.16267000000000001</v>
      </c>
      <c r="CJ171">
        <v>0.16267000000000001</v>
      </c>
      <c r="CK171">
        <v>0.16267000000000001</v>
      </c>
      <c r="CL171">
        <v>0.16267000000000001</v>
      </c>
      <c r="CM171">
        <v>0.16267000000000001</v>
      </c>
      <c r="CN171">
        <v>0.25706000000000001</v>
      </c>
      <c r="CO171">
        <v>0.25706000000000001</v>
      </c>
      <c r="CP171">
        <v>0.25706000000000001</v>
      </c>
      <c r="CQ171">
        <v>0.25706000000000001</v>
      </c>
      <c r="CR171">
        <v>0.25706000000000001</v>
      </c>
      <c r="CS171">
        <v>0.38318999999999998</v>
      </c>
      <c r="CT171">
        <v>0.38318999999999998</v>
      </c>
      <c r="CU171">
        <v>0.38318999999999998</v>
      </c>
      <c r="CV171">
        <v>0.38318999999999998</v>
      </c>
      <c r="CW171">
        <v>0.38318999999999998</v>
      </c>
      <c r="CX171">
        <v>1</v>
      </c>
    </row>
    <row r="172" spans="1:102" x14ac:dyDescent="0.25">
      <c r="A172" t="s">
        <v>409</v>
      </c>
      <c r="B172">
        <v>4.4519999999999997E-2</v>
      </c>
      <c r="C172">
        <v>2.0300000000000001E-3</v>
      </c>
      <c r="D172">
        <v>2.0300000000000001E-3</v>
      </c>
      <c r="E172">
        <v>2.0300000000000001E-3</v>
      </c>
      <c r="F172">
        <v>2.0300000000000001E-3</v>
      </c>
      <c r="G172">
        <v>2.4000000000000001E-4</v>
      </c>
      <c r="H172">
        <v>2.4000000000000001E-4</v>
      </c>
      <c r="I172">
        <v>2.4000000000000001E-4</v>
      </c>
      <c r="J172">
        <v>2.4000000000000001E-4</v>
      </c>
      <c r="K172">
        <v>2.4000000000000001E-4</v>
      </c>
      <c r="L172">
        <v>2.5999999999999998E-4</v>
      </c>
      <c r="M172">
        <v>2.5999999999999998E-4</v>
      </c>
      <c r="N172">
        <v>2.5999999999999998E-4</v>
      </c>
      <c r="O172">
        <v>2.5999999999999998E-4</v>
      </c>
      <c r="P172">
        <v>2.5999999999999998E-4</v>
      </c>
      <c r="Q172">
        <v>4.6999999999999999E-4</v>
      </c>
      <c r="R172">
        <v>4.6999999999999999E-4</v>
      </c>
      <c r="S172">
        <v>4.6999999999999999E-4</v>
      </c>
      <c r="T172">
        <v>4.6999999999999999E-4</v>
      </c>
      <c r="U172">
        <v>4.6999999999999999E-4</v>
      </c>
      <c r="V172">
        <v>6.9999999999999999E-4</v>
      </c>
      <c r="W172">
        <v>6.9999999999999999E-4</v>
      </c>
      <c r="X172">
        <v>6.9999999999999999E-4</v>
      </c>
      <c r="Y172">
        <v>6.9999999999999999E-4</v>
      </c>
      <c r="Z172">
        <v>6.9999999999999999E-4</v>
      </c>
      <c r="AA172">
        <v>9.5E-4</v>
      </c>
      <c r="AB172">
        <v>9.5E-4</v>
      </c>
      <c r="AC172">
        <v>9.5E-4</v>
      </c>
      <c r="AD172">
        <v>9.5E-4</v>
      </c>
      <c r="AE172">
        <v>9.5E-4</v>
      </c>
      <c r="AF172">
        <v>1.34E-3</v>
      </c>
      <c r="AG172">
        <v>1.34E-3</v>
      </c>
      <c r="AH172">
        <v>1.34E-3</v>
      </c>
      <c r="AI172">
        <v>1.34E-3</v>
      </c>
      <c r="AJ172">
        <v>1.34E-3</v>
      </c>
      <c r="AK172">
        <v>1.5499999999999999E-3</v>
      </c>
      <c r="AL172">
        <v>1.5499999999999999E-3</v>
      </c>
      <c r="AM172">
        <v>1.5499999999999999E-3</v>
      </c>
      <c r="AN172">
        <v>1.5499999999999999E-3</v>
      </c>
      <c r="AO172">
        <v>1.5499999999999999E-3</v>
      </c>
      <c r="AP172">
        <v>2.3600000000000001E-3</v>
      </c>
      <c r="AQ172">
        <v>2.3600000000000001E-3</v>
      </c>
      <c r="AR172">
        <v>2.3600000000000001E-3</v>
      </c>
      <c r="AS172">
        <v>2.3600000000000001E-3</v>
      </c>
      <c r="AT172">
        <v>2.3600000000000001E-3</v>
      </c>
      <c r="AU172">
        <v>4.6499999999999996E-3</v>
      </c>
      <c r="AV172">
        <v>4.6499999999999996E-3</v>
      </c>
      <c r="AW172">
        <v>4.6499999999999996E-3</v>
      </c>
      <c r="AX172">
        <v>4.6499999999999996E-3</v>
      </c>
      <c r="AY172">
        <v>4.6499999999999996E-3</v>
      </c>
      <c r="AZ172">
        <v>7.0000000000000001E-3</v>
      </c>
      <c r="BA172">
        <v>7.0000000000000001E-3</v>
      </c>
      <c r="BB172">
        <v>7.0000000000000001E-3</v>
      </c>
      <c r="BC172">
        <v>7.0000000000000001E-3</v>
      </c>
      <c r="BD172">
        <v>7.0000000000000001E-3</v>
      </c>
      <c r="BE172">
        <v>1.575E-2</v>
      </c>
      <c r="BF172">
        <v>1.575E-2</v>
      </c>
      <c r="BG172">
        <v>1.575E-2</v>
      </c>
      <c r="BH172">
        <v>1.575E-2</v>
      </c>
      <c r="BI172">
        <v>1.575E-2</v>
      </c>
      <c r="BJ172">
        <v>1.814E-2</v>
      </c>
      <c r="BK172">
        <v>1.814E-2</v>
      </c>
      <c r="BL172">
        <v>1.814E-2</v>
      </c>
      <c r="BM172">
        <v>1.814E-2</v>
      </c>
      <c r="BN172">
        <v>1.814E-2</v>
      </c>
      <c r="BO172">
        <v>3.7159999999999999E-2</v>
      </c>
      <c r="BP172">
        <v>3.7159999999999999E-2</v>
      </c>
      <c r="BQ172">
        <v>3.7159999999999999E-2</v>
      </c>
      <c r="BR172">
        <v>3.7159999999999999E-2</v>
      </c>
      <c r="BS172">
        <v>3.7159999999999999E-2</v>
      </c>
      <c r="BT172">
        <v>5.8590000000000003E-2</v>
      </c>
      <c r="BU172">
        <v>5.8590000000000003E-2</v>
      </c>
      <c r="BV172">
        <v>5.8590000000000003E-2</v>
      </c>
      <c r="BW172">
        <v>5.8590000000000003E-2</v>
      </c>
      <c r="BX172">
        <v>5.8590000000000003E-2</v>
      </c>
      <c r="BY172">
        <v>8.7510000000000004E-2</v>
      </c>
      <c r="BZ172">
        <v>8.7510000000000004E-2</v>
      </c>
      <c r="CA172">
        <v>8.7510000000000004E-2</v>
      </c>
      <c r="CB172">
        <v>8.7510000000000004E-2</v>
      </c>
      <c r="CC172">
        <v>8.7510000000000004E-2</v>
      </c>
      <c r="CD172">
        <v>0.11908000000000001</v>
      </c>
      <c r="CE172">
        <v>0.11908000000000001</v>
      </c>
      <c r="CF172">
        <v>0.11908000000000001</v>
      </c>
      <c r="CG172">
        <v>0.11908000000000001</v>
      </c>
      <c r="CH172">
        <v>0.11908000000000001</v>
      </c>
      <c r="CI172">
        <v>0.16528000000000001</v>
      </c>
      <c r="CJ172">
        <v>0.16528000000000001</v>
      </c>
      <c r="CK172">
        <v>0.16528000000000001</v>
      </c>
      <c r="CL172">
        <v>0.16528000000000001</v>
      </c>
      <c r="CM172">
        <v>0.16528000000000001</v>
      </c>
      <c r="CN172">
        <v>0.23397999999999999</v>
      </c>
      <c r="CO172">
        <v>0.23397999999999999</v>
      </c>
      <c r="CP172">
        <v>0.23397999999999999</v>
      </c>
      <c r="CQ172">
        <v>0.23397999999999999</v>
      </c>
      <c r="CR172">
        <v>0.23397999999999999</v>
      </c>
      <c r="CS172">
        <v>0.33785999999999999</v>
      </c>
      <c r="CT172">
        <v>0.33785999999999999</v>
      </c>
      <c r="CU172">
        <v>0.33785999999999999</v>
      </c>
      <c r="CV172">
        <v>0.33785999999999999</v>
      </c>
      <c r="CW172">
        <v>0.33785999999999999</v>
      </c>
      <c r="CX172">
        <v>1</v>
      </c>
    </row>
    <row r="173" spans="1:102" x14ac:dyDescent="0.25">
      <c r="A173" t="s">
        <v>411</v>
      </c>
      <c r="B173">
        <v>6.9739999999999996E-2</v>
      </c>
      <c r="C173">
        <v>1.167E-2</v>
      </c>
      <c r="D173">
        <v>1.167E-2</v>
      </c>
      <c r="E173">
        <v>1.167E-2</v>
      </c>
      <c r="F173">
        <v>1.167E-2</v>
      </c>
      <c r="G173">
        <v>1.9599999999999999E-3</v>
      </c>
      <c r="H173">
        <v>1.9599999999999999E-3</v>
      </c>
      <c r="I173">
        <v>1.9599999999999999E-3</v>
      </c>
      <c r="J173">
        <v>1.9599999999999999E-3</v>
      </c>
      <c r="K173">
        <v>1.9599999999999999E-3</v>
      </c>
      <c r="L173">
        <v>1.39E-3</v>
      </c>
      <c r="M173">
        <v>1.39E-3</v>
      </c>
      <c r="N173">
        <v>1.39E-3</v>
      </c>
      <c r="O173">
        <v>1.39E-3</v>
      </c>
      <c r="P173">
        <v>1.39E-3</v>
      </c>
      <c r="Q173">
        <v>1.16E-3</v>
      </c>
      <c r="R173">
        <v>1.16E-3</v>
      </c>
      <c r="S173">
        <v>1.16E-3</v>
      </c>
      <c r="T173">
        <v>1.16E-3</v>
      </c>
      <c r="U173">
        <v>1.16E-3</v>
      </c>
      <c r="V173">
        <v>2.9199999999999999E-3</v>
      </c>
      <c r="W173">
        <v>2.9199999999999999E-3</v>
      </c>
      <c r="X173">
        <v>2.9199999999999999E-3</v>
      </c>
      <c r="Y173">
        <v>2.9199999999999999E-3</v>
      </c>
      <c r="Z173">
        <v>2.9199999999999999E-3</v>
      </c>
      <c r="AA173">
        <v>5.4799999999999996E-3</v>
      </c>
      <c r="AB173">
        <v>5.4799999999999996E-3</v>
      </c>
      <c r="AC173">
        <v>5.4799999999999996E-3</v>
      </c>
      <c r="AD173">
        <v>5.4799999999999996E-3</v>
      </c>
      <c r="AE173">
        <v>5.4799999999999996E-3</v>
      </c>
      <c r="AF173">
        <v>8.3700000000000007E-3</v>
      </c>
      <c r="AG173">
        <v>8.3700000000000007E-3</v>
      </c>
      <c r="AH173">
        <v>8.3700000000000007E-3</v>
      </c>
      <c r="AI173">
        <v>8.3700000000000007E-3</v>
      </c>
      <c r="AJ173">
        <v>8.3700000000000007E-3</v>
      </c>
      <c r="AK173">
        <v>1.052E-2</v>
      </c>
      <c r="AL173">
        <v>1.052E-2</v>
      </c>
      <c r="AM173">
        <v>1.052E-2</v>
      </c>
      <c r="AN173">
        <v>1.052E-2</v>
      </c>
      <c r="AO173">
        <v>1.052E-2</v>
      </c>
      <c r="AP173">
        <v>1.0580000000000001E-2</v>
      </c>
      <c r="AQ173">
        <v>1.0580000000000001E-2</v>
      </c>
      <c r="AR173">
        <v>1.0580000000000001E-2</v>
      </c>
      <c r="AS173">
        <v>1.0580000000000001E-2</v>
      </c>
      <c r="AT173">
        <v>1.0580000000000001E-2</v>
      </c>
      <c r="AU173">
        <v>1.023E-2</v>
      </c>
      <c r="AV173">
        <v>1.023E-2</v>
      </c>
      <c r="AW173">
        <v>1.023E-2</v>
      </c>
      <c r="AX173">
        <v>1.023E-2</v>
      </c>
      <c r="AY173">
        <v>1.023E-2</v>
      </c>
      <c r="AZ173">
        <v>1.103E-2</v>
      </c>
      <c r="BA173">
        <v>1.103E-2</v>
      </c>
      <c r="BB173">
        <v>1.103E-2</v>
      </c>
      <c r="BC173">
        <v>1.103E-2</v>
      </c>
      <c r="BD173">
        <v>1.103E-2</v>
      </c>
      <c r="BE173">
        <v>1.4330000000000001E-2</v>
      </c>
      <c r="BF173">
        <v>1.4330000000000001E-2</v>
      </c>
      <c r="BG173">
        <v>1.4330000000000001E-2</v>
      </c>
      <c r="BH173">
        <v>1.4330000000000001E-2</v>
      </c>
      <c r="BI173">
        <v>1.4330000000000001E-2</v>
      </c>
      <c r="BJ173">
        <v>1.951E-2</v>
      </c>
      <c r="BK173">
        <v>1.951E-2</v>
      </c>
      <c r="BL173">
        <v>1.951E-2</v>
      </c>
      <c r="BM173">
        <v>1.951E-2</v>
      </c>
      <c r="BN173">
        <v>1.951E-2</v>
      </c>
      <c r="BO173">
        <v>3.168E-2</v>
      </c>
      <c r="BP173">
        <v>3.168E-2</v>
      </c>
      <c r="BQ173">
        <v>3.168E-2</v>
      </c>
      <c r="BR173">
        <v>3.168E-2</v>
      </c>
      <c r="BS173">
        <v>3.168E-2</v>
      </c>
      <c r="BT173">
        <v>5.28E-2</v>
      </c>
      <c r="BU173">
        <v>5.28E-2</v>
      </c>
      <c r="BV173">
        <v>5.28E-2</v>
      </c>
      <c r="BW173">
        <v>5.28E-2</v>
      </c>
      <c r="BX173">
        <v>5.28E-2</v>
      </c>
      <c r="BY173">
        <v>8.6879999999999999E-2</v>
      </c>
      <c r="BZ173">
        <v>8.6879999999999999E-2</v>
      </c>
      <c r="CA173">
        <v>8.6879999999999999E-2</v>
      </c>
      <c r="CB173">
        <v>8.6879999999999999E-2</v>
      </c>
      <c r="CC173">
        <v>8.6879999999999999E-2</v>
      </c>
      <c r="CD173">
        <v>0.13693</v>
      </c>
      <c r="CE173">
        <v>0.13693</v>
      </c>
      <c r="CF173">
        <v>0.13693</v>
      </c>
      <c r="CG173">
        <v>0.13693</v>
      </c>
      <c r="CH173">
        <v>0.13693</v>
      </c>
      <c r="CI173">
        <v>0.20788999999999999</v>
      </c>
      <c r="CJ173">
        <v>0.20788999999999999</v>
      </c>
      <c r="CK173">
        <v>0.20788999999999999</v>
      </c>
      <c r="CL173">
        <v>0.20788999999999999</v>
      </c>
      <c r="CM173">
        <v>0.20788999999999999</v>
      </c>
      <c r="CN173">
        <v>0.30364999999999998</v>
      </c>
      <c r="CO173">
        <v>0.30364999999999998</v>
      </c>
      <c r="CP173">
        <v>0.30364999999999998</v>
      </c>
      <c r="CQ173">
        <v>0.30364999999999998</v>
      </c>
      <c r="CR173">
        <v>0.30364999999999998</v>
      </c>
      <c r="CS173">
        <v>0.42632999999999999</v>
      </c>
      <c r="CT173">
        <v>0.42632999999999999</v>
      </c>
      <c r="CU173">
        <v>0.42632999999999999</v>
      </c>
      <c r="CV173">
        <v>0.42632999999999999</v>
      </c>
      <c r="CW173">
        <v>0.42632999999999999</v>
      </c>
      <c r="CX173">
        <v>1</v>
      </c>
    </row>
    <row r="174" spans="1:102" x14ac:dyDescent="0.25">
      <c r="A174" t="s">
        <v>413</v>
      </c>
      <c r="B174">
        <v>3.7046250000000003E-2</v>
      </c>
      <c r="C174">
        <v>3.16E-3</v>
      </c>
      <c r="D174">
        <v>3.16E-3</v>
      </c>
      <c r="E174">
        <v>3.16E-3</v>
      </c>
      <c r="F174">
        <v>3.16E-3</v>
      </c>
      <c r="G174">
        <v>9.4499999999999998E-4</v>
      </c>
      <c r="H174">
        <v>9.4499999999999998E-4</v>
      </c>
      <c r="I174">
        <v>9.4499999999999998E-4</v>
      </c>
      <c r="J174">
        <v>9.4499999999999998E-4</v>
      </c>
      <c r="K174">
        <v>9.4499999999999998E-4</v>
      </c>
      <c r="L174">
        <v>6.7750000000000004E-4</v>
      </c>
      <c r="M174">
        <v>6.7750000000000004E-4</v>
      </c>
      <c r="N174">
        <v>6.7750000000000004E-4</v>
      </c>
      <c r="O174">
        <v>6.7750000000000004E-4</v>
      </c>
      <c r="P174">
        <v>6.7750000000000004E-4</v>
      </c>
      <c r="Q174">
        <v>1.0425E-3</v>
      </c>
      <c r="R174">
        <v>1.0425E-3</v>
      </c>
      <c r="S174">
        <v>1.0425E-3</v>
      </c>
      <c r="T174">
        <v>1.0425E-3</v>
      </c>
      <c r="U174">
        <v>1.0425E-3</v>
      </c>
      <c r="V174">
        <v>1.39375E-3</v>
      </c>
      <c r="W174">
        <v>1.39375E-3</v>
      </c>
      <c r="X174">
        <v>1.39375E-3</v>
      </c>
      <c r="Y174">
        <v>1.39375E-3</v>
      </c>
      <c r="Z174">
        <v>1.39375E-3</v>
      </c>
      <c r="AA174">
        <v>1.5625000000000001E-3</v>
      </c>
      <c r="AB174">
        <v>1.5625000000000001E-3</v>
      </c>
      <c r="AC174">
        <v>1.5625000000000001E-3</v>
      </c>
      <c r="AD174">
        <v>1.5625000000000001E-3</v>
      </c>
      <c r="AE174">
        <v>1.5625000000000001E-3</v>
      </c>
      <c r="AF174">
        <v>1.9462500000000001E-3</v>
      </c>
      <c r="AG174">
        <v>1.9462500000000001E-3</v>
      </c>
      <c r="AH174">
        <v>1.9462500000000001E-3</v>
      </c>
      <c r="AI174">
        <v>1.9462500000000001E-3</v>
      </c>
      <c r="AJ174">
        <v>1.9462500000000001E-3</v>
      </c>
      <c r="AK174">
        <v>2.4875000000000001E-3</v>
      </c>
      <c r="AL174">
        <v>2.4875000000000001E-3</v>
      </c>
      <c r="AM174">
        <v>2.4875000000000001E-3</v>
      </c>
      <c r="AN174">
        <v>2.4875000000000001E-3</v>
      </c>
      <c r="AO174">
        <v>2.4875000000000001E-3</v>
      </c>
      <c r="AP174">
        <v>3.4312499999999998E-3</v>
      </c>
      <c r="AQ174">
        <v>3.4312499999999998E-3</v>
      </c>
      <c r="AR174">
        <v>3.4312499999999998E-3</v>
      </c>
      <c r="AS174">
        <v>3.4312499999999998E-3</v>
      </c>
      <c r="AT174">
        <v>3.4312499999999998E-3</v>
      </c>
      <c r="AU174">
        <v>4.8424999999999996E-3</v>
      </c>
      <c r="AV174">
        <v>4.8424999999999996E-3</v>
      </c>
      <c r="AW174">
        <v>4.8424999999999996E-3</v>
      </c>
      <c r="AX174">
        <v>4.8424999999999996E-3</v>
      </c>
      <c r="AY174">
        <v>4.8424999999999996E-3</v>
      </c>
      <c r="AZ174">
        <v>7.1687499999999998E-3</v>
      </c>
      <c r="BA174">
        <v>7.1687499999999998E-3</v>
      </c>
      <c r="BB174">
        <v>7.1687499999999998E-3</v>
      </c>
      <c r="BC174">
        <v>7.1687499999999998E-3</v>
      </c>
      <c r="BD174">
        <v>7.1687499999999998E-3</v>
      </c>
      <c r="BE174">
        <v>1.0838749999999999E-2</v>
      </c>
      <c r="BF174">
        <v>1.0838749999999999E-2</v>
      </c>
      <c r="BG174">
        <v>1.0838749999999999E-2</v>
      </c>
      <c r="BH174">
        <v>1.0838749999999999E-2</v>
      </c>
      <c r="BI174">
        <v>1.0838749999999999E-2</v>
      </c>
      <c r="BJ174">
        <v>1.6975000000000001E-2</v>
      </c>
      <c r="BK174">
        <v>1.6975000000000001E-2</v>
      </c>
      <c r="BL174">
        <v>1.6975000000000001E-2</v>
      </c>
      <c r="BM174">
        <v>1.6975000000000001E-2</v>
      </c>
      <c r="BN174">
        <v>1.6975000000000001E-2</v>
      </c>
      <c r="BO174">
        <v>2.7917500000000001E-2</v>
      </c>
      <c r="BP174">
        <v>2.7917500000000001E-2</v>
      </c>
      <c r="BQ174">
        <v>2.7917500000000001E-2</v>
      </c>
      <c r="BR174">
        <v>2.7917500000000001E-2</v>
      </c>
      <c r="BS174">
        <v>2.7917500000000001E-2</v>
      </c>
      <c r="BT174">
        <v>4.7142499999999997E-2</v>
      </c>
      <c r="BU174">
        <v>4.7142499999999997E-2</v>
      </c>
      <c r="BV174">
        <v>4.7142499999999997E-2</v>
      </c>
      <c r="BW174">
        <v>4.7142499999999997E-2</v>
      </c>
      <c r="BX174">
        <v>4.7142499999999997E-2</v>
      </c>
      <c r="BY174">
        <v>7.6598749999999993E-2</v>
      </c>
      <c r="BZ174">
        <v>7.6598749999999993E-2</v>
      </c>
      <c r="CA174">
        <v>7.6598749999999993E-2</v>
      </c>
      <c r="CB174">
        <v>7.6598749999999993E-2</v>
      </c>
      <c r="CC174">
        <v>7.6598749999999993E-2</v>
      </c>
      <c r="CD174">
        <v>0.1228325</v>
      </c>
      <c r="CE174">
        <v>0.1228325</v>
      </c>
      <c r="CF174">
        <v>0.1228325</v>
      </c>
      <c r="CG174">
        <v>0.1228325</v>
      </c>
      <c r="CH174">
        <v>0.1228325</v>
      </c>
      <c r="CI174">
        <v>0.189725</v>
      </c>
      <c r="CJ174">
        <v>0.189725</v>
      </c>
      <c r="CK174">
        <v>0.189725</v>
      </c>
      <c r="CL174">
        <v>0.189725</v>
      </c>
      <c r="CM174">
        <v>0.189725</v>
      </c>
      <c r="CN174">
        <v>0.28208624999999998</v>
      </c>
      <c r="CO174">
        <v>0.28208624999999998</v>
      </c>
      <c r="CP174">
        <v>0.28208624999999998</v>
      </c>
      <c r="CQ174">
        <v>0.28208624999999998</v>
      </c>
      <c r="CR174">
        <v>0.28208624999999998</v>
      </c>
      <c r="CS174">
        <v>0.40359499999999998</v>
      </c>
      <c r="CT174">
        <v>0.40359499999999998</v>
      </c>
      <c r="CU174">
        <v>0.40359499999999998</v>
      </c>
      <c r="CV174">
        <v>0.40359499999999998</v>
      </c>
      <c r="CW174">
        <v>0.40359499999999998</v>
      </c>
      <c r="CX174">
        <v>1</v>
      </c>
    </row>
    <row r="175" spans="1:102" x14ac:dyDescent="0.25">
      <c r="A175" t="s">
        <v>415</v>
      </c>
      <c r="B175">
        <v>4.3180000000000003E-2</v>
      </c>
      <c r="C175">
        <v>1.74E-3</v>
      </c>
      <c r="D175">
        <v>1.74E-3</v>
      </c>
      <c r="E175">
        <v>1.74E-3</v>
      </c>
      <c r="F175">
        <v>1.74E-3</v>
      </c>
      <c r="G175">
        <v>8.5999999999999998E-4</v>
      </c>
      <c r="H175">
        <v>8.5999999999999998E-4</v>
      </c>
      <c r="I175">
        <v>8.5999999999999998E-4</v>
      </c>
      <c r="J175">
        <v>8.5999999999999998E-4</v>
      </c>
      <c r="K175">
        <v>8.5999999999999998E-4</v>
      </c>
      <c r="L175">
        <v>5.9999999999999995E-4</v>
      </c>
      <c r="M175">
        <v>5.9999999999999995E-4</v>
      </c>
      <c r="N175">
        <v>5.9999999999999995E-4</v>
      </c>
      <c r="O175">
        <v>5.9999999999999995E-4</v>
      </c>
      <c r="P175">
        <v>5.9999999999999995E-4</v>
      </c>
      <c r="Q175">
        <v>9.3999999999999997E-4</v>
      </c>
      <c r="R175">
        <v>9.3999999999999997E-4</v>
      </c>
      <c r="S175">
        <v>9.3999999999999997E-4</v>
      </c>
      <c r="T175">
        <v>9.3999999999999997E-4</v>
      </c>
      <c r="U175">
        <v>9.3999999999999997E-4</v>
      </c>
      <c r="V175">
        <v>1.2099999999999999E-3</v>
      </c>
      <c r="W175">
        <v>1.2099999999999999E-3</v>
      </c>
      <c r="X175">
        <v>1.2099999999999999E-3</v>
      </c>
      <c r="Y175">
        <v>1.2099999999999999E-3</v>
      </c>
      <c r="Z175">
        <v>1.2099999999999999E-3</v>
      </c>
      <c r="AA175">
        <v>1.42E-3</v>
      </c>
      <c r="AB175">
        <v>1.42E-3</v>
      </c>
      <c r="AC175">
        <v>1.42E-3</v>
      </c>
      <c r="AD175">
        <v>1.42E-3</v>
      </c>
      <c r="AE175">
        <v>1.42E-3</v>
      </c>
      <c r="AF175">
        <v>1.7700000000000001E-3</v>
      </c>
      <c r="AG175">
        <v>1.7700000000000001E-3</v>
      </c>
      <c r="AH175">
        <v>1.7700000000000001E-3</v>
      </c>
      <c r="AI175">
        <v>1.7700000000000001E-3</v>
      </c>
      <c r="AJ175">
        <v>1.7700000000000001E-3</v>
      </c>
      <c r="AK175">
        <v>2.3800000000000002E-3</v>
      </c>
      <c r="AL175">
        <v>2.3800000000000002E-3</v>
      </c>
      <c r="AM175">
        <v>2.3800000000000002E-3</v>
      </c>
      <c r="AN175">
        <v>2.3800000000000002E-3</v>
      </c>
      <c r="AO175">
        <v>2.3800000000000002E-3</v>
      </c>
      <c r="AP175">
        <v>3.31E-3</v>
      </c>
      <c r="AQ175">
        <v>3.31E-3</v>
      </c>
      <c r="AR175">
        <v>3.31E-3</v>
      </c>
      <c r="AS175">
        <v>3.31E-3</v>
      </c>
      <c r="AT175">
        <v>3.31E-3</v>
      </c>
      <c r="AU175">
        <v>4.7800000000000004E-3</v>
      </c>
      <c r="AV175">
        <v>4.7800000000000004E-3</v>
      </c>
      <c r="AW175">
        <v>4.7800000000000004E-3</v>
      </c>
      <c r="AX175">
        <v>4.7800000000000004E-3</v>
      </c>
      <c r="AY175">
        <v>4.7800000000000004E-3</v>
      </c>
      <c r="AZ175">
        <v>7.0699999999999999E-3</v>
      </c>
      <c r="BA175">
        <v>7.0699999999999999E-3</v>
      </c>
      <c r="BB175">
        <v>7.0699999999999999E-3</v>
      </c>
      <c r="BC175">
        <v>7.0699999999999999E-3</v>
      </c>
      <c r="BD175">
        <v>7.0699999999999999E-3</v>
      </c>
      <c r="BE175">
        <v>1.0670000000000001E-2</v>
      </c>
      <c r="BF175">
        <v>1.0670000000000001E-2</v>
      </c>
      <c r="BG175">
        <v>1.0670000000000001E-2</v>
      </c>
      <c r="BH175">
        <v>1.0670000000000001E-2</v>
      </c>
      <c r="BI175">
        <v>1.0670000000000001E-2</v>
      </c>
      <c r="BJ175">
        <v>1.6199999999999999E-2</v>
      </c>
      <c r="BK175">
        <v>1.6199999999999999E-2</v>
      </c>
      <c r="BL175">
        <v>1.6199999999999999E-2</v>
      </c>
      <c r="BM175">
        <v>1.6199999999999999E-2</v>
      </c>
      <c r="BN175">
        <v>1.6199999999999999E-2</v>
      </c>
      <c r="BO175">
        <v>2.6589999999999999E-2</v>
      </c>
      <c r="BP175">
        <v>2.6589999999999999E-2</v>
      </c>
      <c r="BQ175">
        <v>2.6589999999999999E-2</v>
      </c>
      <c r="BR175">
        <v>2.6589999999999999E-2</v>
      </c>
      <c r="BS175">
        <v>2.6589999999999999E-2</v>
      </c>
      <c r="BT175">
        <v>4.5039999999999997E-2</v>
      </c>
      <c r="BU175">
        <v>4.5039999999999997E-2</v>
      </c>
      <c r="BV175">
        <v>4.5039999999999997E-2</v>
      </c>
      <c r="BW175">
        <v>4.5039999999999997E-2</v>
      </c>
      <c r="BX175">
        <v>4.5039999999999997E-2</v>
      </c>
      <c r="BY175">
        <v>7.5609999999999997E-2</v>
      </c>
      <c r="BZ175">
        <v>7.5609999999999997E-2</v>
      </c>
      <c r="CA175">
        <v>7.5609999999999997E-2</v>
      </c>
      <c r="CB175">
        <v>7.5609999999999997E-2</v>
      </c>
      <c r="CC175">
        <v>7.5609999999999997E-2</v>
      </c>
      <c r="CD175">
        <v>0.12391000000000001</v>
      </c>
      <c r="CE175">
        <v>0.12391000000000001</v>
      </c>
      <c r="CF175">
        <v>0.12391000000000001</v>
      </c>
      <c r="CG175">
        <v>0.12391000000000001</v>
      </c>
      <c r="CH175">
        <v>0.12391000000000001</v>
      </c>
      <c r="CI175">
        <v>0.19394</v>
      </c>
      <c r="CJ175">
        <v>0.19394</v>
      </c>
      <c r="CK175">
        <v>0.19394</v>
      </c>
      <c r="CL175">
        <v>0.19394</v>
      </c>
      <c r="CM175">
        <v>0.19394</v>
      </c>
      <c r="CN175">
        <v>0.28993999999999998</v>
      </c>
      <c r="CO175">
        <v>0.28993999999999998</v>
      </c>
      <c r="CP175">
        <v>0.28993999999999998</v>
      </c>
      <c r="CQ175">
        <v>0.28993999999999998</v>
      </c>
      <c r="CR175">
        <v>0.28993999999999998</v>
      </c>
      <c r="CS175">
        <v>0.41402</v>
      </c>
      <c r="CT175">
        <v>0.41402</v>
      </c>
      <c r="CU175">
        <v>0.41402</v>
      </c>
      <c r="CV175">
        <v>0.41402</v>
      </c>
      <c r="CW175">
        <v>0.41402</v>
      </c>
      <c r="CX175">
        <v>1</v>
      </c>
    </row>
    <row r="176" spans="1:102" x14ac:dyDescent="0.25">
      <c r="A176" t="s">
        <v>417</v>
      </c>
      <c r="B176">
        <v>5.6320000000000002E-2</v>
      </c>
      <c r="C176">
        <v>7.9799999999999992E-3</v>
      </c>
      <c r="D176">
        <v>7.9799999999999992E-3</v>
      </c>
      <c r="E176">
        <v>7.9799999999999992E-3</v>
      </c>
      <c r="F176">
        <v>7.9799999999999992E-3</v>
      </c>
      <c r="G176">
        <v>1.7099999999999999E-3</v>
      </c>
      <c r="H176">
        <v>1.7099999999999999E-3</v>
      </c>
      <c r="I176">
        <v>1.7099999999999999E-3</v>
      </c>
      <c r="J176">
        <v>1.7099999999999999E-3</v>
      </c>
      <c r="K176">
        <v>1.7099999999999999E-3</v>
      </c>
      <c r="L176">
        <v>1.1900000000000001E-3</v>
      </c>
      <c r="M176">
        <v>1.1900000000000001E-3</v>
      </c>
      <c r="N176">
        <v>1.1900000000000001E-3</v>
      </c>
      <c r="O176">
        <v>1.1900000000000001E-3</v>
      </c>
      <c r="P176">
        <v>1.1900000000000001E-3</v>
      </c>
      <c r="Q176">
        <v>1.56E-3</v>
      </c>
      <c r="R176">
        <v>1.56E-3</v>
      </c>
      <c r="S176">
        <v>1.56E-3</v>
      </c>
      <c r="T176">
        <v>1.56E-3</v>
      </c>
      <c r="U176">
        <v>1.56E-3</v>
      </c>
      <c r="V176">
        <v>2.8800000000000002E-3</v>
      </c>
      <c r="W176">
        <v>2.8800000000000002E-3</v>
      </c>
      <c r="X176">
        <v>2.8800000000000002E-3</v>
      </c>
      <c r="Y176">
        <v>2.8800000000000002E-3</v>
      </c>
      <c r="Z176">
        <v>2.8800000000000002E-3</v>
      </c>
      <c r="AA176">
        <v>4.7400000000000003E-3</v>
      </c>
      <c r="AB176">
        <v>4.7400000000000003E-3</v>
      </c>
      <c r="AC176">
        <v>4.7400000000000003E-3</v>
      </c>
      <c r="AD176">
        <v>4.7400000000000003E-3</v>
      </c>
      <c r="AE176">
        <v>4.7400000000000003E-3</v>
      </c>
      <c r="AF176">
        <v>6.6E-3</v>
      </c>
      <c r="AG176">
        <v>6.6E-3</v>
      </c>
      <c r="AH176">
        <v>6.6E-3</v>
      </c>
      <c r="AI176">
        <v>6.6E-3</v>
      </c>
      <c r="AJ176">
        <v>6.6E-3</v>
      </c>
      <c r="AK176">
        <v>7.45E-3</v>
      </c>
      <c r="AL176">
        <v>7.45E-3</v>
      </c>
      <c r="AM176">
        <v>7.45E-3</v>
      </c>
      <c r="AN176">
        <v>7.45E-3</v>
      </c>
      <c r="AO176">
        <v>7.45E-3</v>
      </c>
      <c r="AP176">
        <v>7.8200000000000006E-3</v>
      </c>
      <c r="AQ176">
        <v>7.8200000000000006E-3</v>
      </c>
      <c r="AR176">
        <v>7.8200000000000006E-3</v>
      </c>
      <c r="AS176">
        <v>7.8200000000000006E-3</v>
      </c>
      <c r="AT176">
        <v>7.8200000000000006E-3</v>
      </c>
      <c r="AU176">
        <v>8.6199999999999992E-3</v>
      </c>
      <c r="AV176">
        <v>8.6199999999999992E-3</v>
      </c>
      <c r="AW176">
        <v>8.6199999999999992E-3</v>
      </c>
      <c r="AX176">
        <v>8.6199999999999992E-3</v>
      </c>
      <c r="AY176">
        <v>8.6199999999999992E-3</v>
      </c>
      <c r="AZ176">
        <v>1.0699999999999999E-2</v>
      </c>
      <c r="BA176">
        <v>1.0699999999999999E-2</v>
      </c>
      <c r="BB176">
        <v>1.0699999999999999E-2</v>
      </c>
      <c r="BC176">
        <v>1.0699999999999999E-2</v>
      </c>
      <c r="BD176">
        <v>1.0699999999999999E-2</v>
      </c>
      <c r="BE176">
        <v>1.4749999999999999E-2</v>
      </c>
      <c r="BF176">
        <v>1.4749999999999999E-2</v>
      </c>
      <c r="BG176">
        <v>1.4749999999999999E-2</v>
      </c>
      <c r="BH176">
        <v>1.4749999999999999E-2</v>
      </c>
      <c r="BI176">
        <v>1.4749999999999999E-2</v>
      </c>
      <c r="BJ176">
        <v>2.0629999999999999E-2</v>
      </c>
      <c r="BK176">
        <v>2.0629999999999999E-2</v>
      </c>
      <c r="BL176">
        <v>2.0629999999999999E-2</v>
      </c>
      <c r="BM176">
        <v>2.0629999999999999E-2</v>
      </c>
      <c r="BN176">
        <v>2.0629999999999999E-2</v>
      </c>
      <c r="BO176">
        <v>3.27E-2</v>
      </c>
      <c r="BP176">
        <v>3.27E-2</v>
      </c>
      <c r="BQ176">
        <v>3.27E-2</v>
      </c>
      <c r="BR176">
        <v>3.27E-2</v>
      </c>
      <c r="BS176">
        <v>3.27E-2</v>
      </c>
      <c r="BT176">
        <v>5.3280000000000001E-2</v>
      </c>
      <c r="BU176">
        <v>5.3280000000000001E-2</v>
      </c>
      <c r="BV176">
        <v>5.3280000000000001E-2</v>
      </c>
      <c r="BW176">
        <v>5.3280000000000001E-2</v>
      </c>
      <c r="BX176">
        <v>5.3280000000000001E-2</v>
      </c>
      <c r="BY176">
        <v>8.5739999999999997E-2</v>
      </c>
      <c r="BZ176">
        <v>8.5739999999999997E-2</v>
      </c>
      <c r="CA176">
        <v>8.5739999999999997E-2</v>
      </c>
      <c r="CB176">
        <v>8.5739999999999997E-2</v>
      </c>
      <c r="CC176">
        <v>8.5739999999999997E-2</v>
      </c>
      <c r="CD176">
        <v>0.13478000000000001</v>
      </c>
      <c r="CE176">
        <v>0.13478000000000001</v>
      </c>
      <c r="CF176">
        <v>0.13478000000000001</v>
      </c>
      <c r="CG176">
        <v>0.13478000000000001</v>
      </c>
      <c r="CH176">
        <v>0.13478000000000001</v>
      </c>
      <c r="CI176">
        <v>0.20427999999999999</v>
      </c>
      <c r="CJ176">
        <v>0.20427999999999999</v>
      </c>
      <c r="CK176">
        <v>0.20427999999999999</v>
      </c>
      <c r="CL176">
        <v>0.20427999999999999</v>
      </c>
      <c r="CM176">
        <v>0.20427999999999999</v>
      </c>
      <c r="CN176">
        <v>0.29844999999999999</v>
      </c>
      <c r="CO176">
        <v>0.29844999999999999</v>
      </c>
      <c r="CP176">
        <v>0.29844999999999999</v>
      </c>
      <c r="CQ176">
        <v>0.29844999999999999</v>
      </c>
      <c r="CR176">
        <v>0.29844999999999999</v>
      </c>
      <c r="CS176">
        <v>0.42021999999999998</v>
      </c>
      <c r="CT176">
        <v>0.42021999999999998</v>
      </c>
      <c r="CU176">
        <v>0.42021999999999998</v>
      </c>
      <c r="CV176">
        <v>0.42021999999999998</v>
      </c>
      <c r="CW176">
        <v>0.42021999999999998</v>
      </c>
      <c r="CX176">
        <v>1</v>
      </c>
    </row>
    <row r="177" spans="1:102" x14ac:dyDescent="0.25">
      <c r="A177" t="s">
        <v>419</v>
      </c>
      <c r="B177">
        <v>1.5699999999999999E-2</v>
      </c>
      <c r="C177">
        <v>5.8E-4</v>
      </c>
      <c r="D177">
        <v>5.8E-4</v>
      </c>
      <c r="E177">
        <v>5.8E-4</v>
      </c>
      <c r="F177">
        <v>5.8E-4</v>
      </c>
      <c r="G177">
        <v>8.4000000000000003E-4</v>
      </c>
      <c r="H177">
        <v>8.4000000000000003E-4</v>
      </c>
      <c r="I177">
        <v>8.4000000000000003E-4</v>
      </c>
      <c r="J177">
        <v>8.4000000000000003E-4</v>
      </c>
      <c r="K177">
        <v>8.4000000000000003E-4</v>
      </c>
      <c r="L177">
        <v>2.7999999999999998E-4</v>
      </c>
      <c r="M177">
        <v>2.7999999999999998E-4</v>
      </c>
      <c r="N177">
        <v>2.7999999999999998E-4</v>
      </c>
      <c r="O177">
        <v>2.7999999999999998E-4</v>
      </c>
      <c r="P177">
        <v>2.7999999999999998E-4</v>
      </c>
      <c r="Q177">
        <v>8.3000000000000001E-4</v>
      </c>
      <c r="R177">
        <v>8.3000000000000001E-4</v>
      </c>
      <c r="S177">
        <v>8.3000000000000001E-4</v>
      </c>
      <c r="T177">
        <v>8.3000000000000001E-4</v>
      </c>
      <c r="U177">
        <v>8.3000000000000001E-4</v>
      </c>
      <c r="V177">
        <v>7.2000000000000005E-4</v>
      </c>
      <c r="W177">
        <v>7.2000000000000005E-4</v>
      </c>
      <c r="X177">
        <v>7.2000000000000005E-4</v>
      </c>
      <c r="Y177">
        <v>7.2000000000000005E-4</v>
      </c>
      <c r="Z177">
        <v>7.2000000000000005E-4</v>
      </c>
      <c r="AA177">
        <v>2.2799999999999999E-3</v>
      </c>
      <c r="AB177">
        <v>2.2799999999999999E-3</v>
      </c>
      <c r="AC177">
        <v>2.2799999999999999E-3</v>
      </c>
      <c r="AD177">
        <v>2.2799999999999999E-3</v>
      </c>
      <c r="AE177">
        <v>2.2799999999999999E-3</v>
      </c>
      <c r="AF177">
        <v>2.4199999999999998E-3</v>
      </c>
      <c r="AG177">
        <v>2.4199999999999998E-3</v>
      </c>
      <c r="AH177">
        <v>2.4199999999999998E-3</v>
      </c>
      <c r="AI177">
        <v>2.4199999999999998E-3</v>
      </c>
      <c r="AJ177">
        <v>2.4199999999999998E-3</v>
      </c>
      <c r="AK177">
        <v>3.0599999999999998E-3</v>
      </c>
      <c r="AL177">
        <v>3.0599999999999998E-3</v>
      </c>
      <c r="AM177">
        <v>3.0599999999999998E-3</v>
      </c>
      <c r="AN177">
        <v>3.0599999999999998E-3</v>
      </c>
      <c r="AO177">
        <v>3.0599999999999998E-3</v>
      </c>
      <c r="AP177">
        <v>4.7200000000000002E-3</v>
      </c>
      <c r="AQ177">
        <v>4.7200000000000002E-3</v>
      </c>
      <c r="AR177">
        <v>4.7200000000000002E-3</v>
      </c>
      <c r="AS177">
        <v>4.7200000000000002E-3</v>
      </c>
      <c r="AT177">
        <v>4.7200000000000002E-3</v>
      </c>
      <c r="AU177">
        <v>6.3299999999999997E-3</v>
      </c>
      <c r="AV177">
        <v>6.3299999999999997E-3</v>
      </c>
      <c r="AW177">
        <v>6.3299999999999997E-3</v>
      </c>
      <c r="AX177">
        <v>6.3299999999999997E-3</v>
      </c>
      <c r="AY177">
        <v>6.3299999999999997E-3</v>
      </c>
      <c r="AZ177">
        <v>1.7149999999999999E-2</v>
      </c>
      <c r="BA177">
        <v>1.7149999999999999E-2</v>
      </c>
      <c r="BB177">
        <v>1.7149999999999999E-2</v>
      </c>
      <c r="BC177">
        <v>1.7149999999999999E-2</v>
      </c>
      <c r="BD177">
        <v>1.7149999999999999E-2</v>
      </c>
      <c r="BE177">
        <v>1.5640000000000001E-2</v>
      </c>
      <c r="BF177">
        <v>1.5640000000000001E-2</v>
      </c>
      <c r="BG177">
        <v>1.5640000000000001E-2</v>
      </c>
      <c r="BH177">
        <v>1.5640000000000001E-2</v>
      </c>
      <c r="BI177">
        <v>1.5640000000000001E-2</v>
      </c>
      <c r="BJ177">
        <v>2.2839999999999999E-2</v>
      </c>
      <c r="BK177">
        <v>2.2839999999999999E-2</v>
      </c>
      <c r="BL177">
        <v>2.2839999999999999E-2</v>
      </c>
      <c r="BM177">
        <v>2.2839999999999999E-2</v>
      </c>
      <c r="BN177">
        <v>2.2839999999999999E-2</v>
      </c>
      <c r="BO177">
        <v>2.8680000000000001E-2</v>
      </c>
      <c r="BP177">
        <v>2.8680000000000001E-2</v>
      </c>
      <c r="BQ177">
        <v>2.8680000000000001E-2</v>
      </c>
      <c r="BR177">
        <v>2.8680000000000001E-2</v>
      </c>
      <c r="BS177">
        <v>2.8680000000000001E-2</v>
      </c>
      <c r="BT177">
        <v>4.8219999999999999E-2</v>
      </c>
      <c r="BU177">
        <v>4.8219999999999999E-2</v>
      </c>
      <c r="BV177">
        <v>4.8219999999999999E-2</v>
      </c>
      <c r="BW177">
        <v>4.8219999999999999E-2</v>
      </c>
      <c r="BX177">
        <v>4.8219999999999999E-2</v>
      </c>
      <c r="BY177">
        <v>8.9929999999999996E-2</v>
      </c>
      <c r="BZ177">
        <v>8.9929999999999996E-2</v>
      </c>
      <c r="CA177">
        <v>8.9929999999999996E-2</v>
      </c>
      <c r="CB177">
        <v>8.9929999999999996E-2</v>
      </c>
      <c r="CC177">
        <v>8.9929999999999996E-2</v>
      </c>
      <c r="CD177">
        <v>8.7480000000000002E-2</v>
      </c>
      <c r="CE177">
        <v>8.7480000000000002E-2</v>
      </c>
      <c r="CF177">
        <v>8.7480000000000002E-2</v>
      </c>
      <c r="CG177">
        <v>8.7480000000000002E-2</v>
      </c>
      <c r="CH177">
        <v>8.7480000000000002E-2</v>
      </c>
      <c r="CI177">
        <v>9.9110000000000004E-2</v>
      </c>
      <c r="CJ177">
        <v>9.9110000000000004E-2</v>
      </c>
      <c r="CK177">
        <v>9.9110000000000004E-2</v>
      </c>
      <c r="CL177">
        <v>9.9110000000000004E-2</v>
      </c>
      <c r="CM177">
        <v>9.9110000000000004E-2</v>
      </c>
      <c r="CN177">
        <v>0.13077</v>
      </c>
      <c r="CO177">
        <v>0.13077</v>
      </c>
      <c r="CP177">
        <v>0.13077</v>
      </c>
      <c r="CQ177">
        <v>0.13077</v>
      </c>
      <c r="CR177">
        <v>0.13077</v>
      </c>
      <c r="CS177">
        <v>0.20097000000000001</v>
      </c>
      <c r="CT177">
        <v>0.20097000000000001</v>
      </c>
      <c r="CU177">
        <v>0.20097000000000001</v>
      </c>
      <c r="CV177">
        <v>0.20097000000000001</v>
      </c>
      <c r="CW177">
        <v>0.20097000000000001</v>
      </c>
      <c r="CX177">
        <v>1</v>
      </c>
    </row>
    <row r="178" spans="1:102" x14ac:dyDescent="0.25">
      <c r="A178" t="s">
        <v>421</v>
      </c>
      <c r="B178">
        <v>3.014E-2</v>
      </c>
      <c r="C178">
        <v>7.2000000000000005E-4</v>
      </c>
      <c r="D178">
        <v>7.2000000000000005E-4</v>
      </c>
      <c r="E178">
        <v>7.2000000000000005E-4</v>
      </c>
      <c r="F178">
        <v>7.2000000000000005E-4</v>
      </c>
      <c r="G178">
        <v>2.1000000000000001E-4</v>
      </c>
      <c r="H178">
        <v>2.1000000000000001E-4</v>
      </c>
      <c r="I178">
        <v>2.1000000000000001E-4</v>
      </c>
      <c r="J178">
        <v>2.1000000000000001E-4</v>
      </c>
      <c r="K178">
        <v>2.1000000000000001E-4</v>
      </c>
      <c r="L178">
        <v>2.7999999999999998E-4</v>
      </c>
      <c r="M178">
        <v>2.7999999999999998E-4</v>
      </c>
      <c r="N178">
        <v>2.7999999999999998E-4</v>
      </c>
      <c r="O178">
        <v>2.7999999999999998E-4</v>
      </c>
      <c r="P178">
        <v>2.7999999999999998E-4</v>
      </c>
      <c r="Q178">
        <v>4.4000000000000002E-4</v>
      </c>
      <c r="R178">
        <v>4.4000000000000002E-4</v>
      </c>
      <c r="S178">
        <v>4.4000000000000002E-4</v>
      </c>
      <c r="T178">
        <v>4.4000000000000002E-4</v>
      </c>
      <c r="U178">
        <v>4.4000000000000002E-4</v>
      </c>
      <c r="V178">
        <v>7.2999999999999996E-4</v>
      </c>
      <c r="W178">
        <v>7.2999999999999996E-4</v>
      </c>
      <c r="X178">
        <v>7.2999999999999996E-4</v>
      </c>
      <c r="Y178">
        <v>7.2999999999999996E-4</v>
      </c>
      <c r="Z178">
        <v>7.2999999999999996E-4</v>
      </c>
      <c r="AA178">
        <v>1.31E-3</v>
      </c>
      <c r="AB178">
        <v>1.31E-3</v>
      </c>
      <c r="AC178">
        <v>1.31E-3</v>
      </c>
      <c r="AD178">
        <v>1.31E-3</v>
      </c>
      <c r="AE178">
        <v>1.31E-3</v>
      </c>
      <c r="AF178">
        <v>1.1299999999999999E-3</v>
      </c>
      <c r="AG178">
        <v>1.1299999999999999E-3</v>
      </c>
      <c r="AH178">
        <v>1.1299999999999999E-3</v>
      </c>
      <c r="AI178">
        <v>1.1299999999999999E-3</v>
      </c>
      <c r="AJ178">
        <v>1.1299999999999999E-3</v>
      </c>
      <c r="AK178">
        <v>1.5900000000000001E-3</v>
      </c>
      <c r="AL178">
        <v>1.5900000000000001E-3</v>
      </c>
      <c r="AM178">
        <v>1.5900000000000001E-3</v>
      </c>
      <c r="AN178">
        <v>1.5900000000000001E-3</v>
      </c>
      <c r="AO178">
        <v>1.5900000000000001E-3</v>
      </c>
      <c r="AP178">
        <v>2.3900000000000002E-3</v>
      </c>
      <c r="AQ178">
        <v>2.3900000000000002E-3</v>
      </c>
      <c r="AR178">
        <v>2.3900000000000002E-3</v>
      </c>
      <c r="AS178">
        <v>2.3900000000000002E-3</v>
      </c>
      <c r="AT178">
        <v>2.3900000000000002E-3</v>
      </c>
      <c r="AU178">
        <v>3.7799999999999999E-3</v>
      </c>
      <c r="AV178">
        <v>3.7799999999999999E-3</v>
      </c>
      <c r="AW178">
        <v>3.7799999999999999E-3</v>
      </c>
      <c r="AX178">
        <v>3.7799999999999999E-3</v>
      </c>
      <c r="AY178">
        <v>3.7799999999999999E-3</v>
      </c>
      <c r="AZ178">
        <v>5.4599999999999996E-3</v>
      </c>
      <c r="BA178">
        <v>5.4599999999999996E-3</v>
      </c>
      <c r="BB178">
        <v>5.4599999999999996E-3</v>
      </c>
      <c r="BC178">
        <v>5.4599999999999996E-3</v>
      </c>
      <c r="BD178">
        <v>5.4599999999999996E-3</v>
      </c>
      <c r="BE178">
        <v>8.6999999999999994E-3</v>
      </c>
      <c r="BF178">
        <v>8.6999999999999994E-3</v>
      </c>
      <c r="BG178">
        <v>8.6999999999999994E-3</v>
      </c>
      <c r="BH178">
        <v>8.6999999999999994E-3</v>
      </c>
      <c r="BI178">
        <v>8.6999999999999994E-3</v>
      </c>
      <c r="BJ178">
        <v>1.37E-2</v>
      </c>
      <c r="BK178">
        <v>1.37E-2</v>
      </c>
      <c r="BL178">
        <v>1.37E-2</v>
      </c>
      <c r="BM178">
        <v>1.37E-2</v>
      </c>
      <c r="BN178">
        <v>1.37E-2</v>
      </c>
      <c r="BO178">
        <v>1.9550000000000001E-2</v>
      </c>
      <c r="BP178">
        <v>1.9550000000000001E-2</v>
      </c>
      <c r="BQ178">
        <v>1.9550000000000001E-2</v>
      </c>
      <c r="BR178">
        <v>1.9550000000000001E-2</v>
      </c>
      <c r="BS178">
        <v>1.9550000000000001E-2</v>
      </c>
      <c r="BT178">
        <v>2.8910000000000002E-2</v>
      </c>
      <c r="BU178">
        <v>2.8910000000000002E-2</v>
      </c>
      <c r="BV178">
        <v>2.8910000000000002E-2</v>
      </c>
      <c r="BW178">
        <v>2.8910000000000002E-2</v>
      </c>
      <c r="BX178">
        <v>2.8910000000000002E-2</v>
      </c>
      <c r="BY178">
        <v>4.9660000000000003E-2</v>
      </c>
      <c r="BZ178">
        <v>4.9660000000000003E-2</v>
      </c>
      <c r="CA178">
        <v>4.9660000000000003E-2</v>
      </c>
      <c r="CB178">
        <v>4.9660000000000003E-2</v>
      </c>
      <c r="CC178">
        <v>4.9660000000000003E-2</v>
      </c>
      <c r="CD178">
        <v>7.9990000000000006E-2</v>
      </c>
      <c r="CE178">
        <v>7.9990000000000006E-2</v>
      </c>
      <c r="CF178">
        <v>7.9990000000000006E-2</v>
      </c>
      <c r="CG178">
        <v>7.9990000000000006E-2</v>
      </c>
      <c r="CH178">
        <v>7.9990000000000006E-2</v>
      </c>
      <c r="CI178">
        <v>0.12712999999999999</v>
      </c>
      <c r="CJ178">
        <v>0.12712999999999999</v>
      </c>
      <c r="CK178">
        <v>0.12712999999999999</v>
      </c>
      <c r="CL178">
        <v>0.12712999999999999</v>
      </c>
      <c r="CM178">
        <v>0.12712999999999999</v>
      </c>
      <c r="CN178">
        <v>0.19938</v>
      </c>
      <c r="CO178">
        <v>0.19938</v>
      </c>
      <c r="CP178">
        <v>0.19938</v>
      </c>
      <c r="CQ178">
        <v>0.19938</v>
      </c>
      <c r="CR178">
        <v>0.19938</v>
      </c>
      <c r="CS178">
        <v>0.30852000000000002</v>
      </c>
      <c r="CT178">
        <v>0.30852000000000002</v>
      </c>
      <c r="CU178">
        <v>0.30852000000000002</v>
      </c>
      <c r="CV178">
        <v>0.30852000000000002</v>
      </c>
      <c r="CW178">
        <v>0.30852000000000002</v>
      </c>
      <c r="CX178">
        <v>1</v>
      </c>
    </row>
    <row r="179" spans="1:102" x14ac:dyDescent="0.25">
      <c r="A179" t="s">
        <v>423</v>
      </c>
      <c r="B179">
        <v>1.5610000000000001E-2</v>
      </c>
      <c r="C179">
        <v>6.4000000000000005E-4</v>
      </c>
      <c r="D179">
        <v>6.4000000000000005E-4</v>
      </c>
      <c r="E179">
        <v>6.4000000000000005E-4</v>
      </c>
      <c r="F179">
        <v>6.4000000000000005E-4</v>
      </c>
      <c r="G179">
        <v>3.1E-4</v>
      </c>
      <c r="H179">
        <v>3.1E-4</v>
      </c>
      <c r="I179">
        <v>3.1E-4</v>
      </c>
      <c r="J179">
        <v>3.1E-4</v>
      </c>
      <c r="K179">
        <v>3.1E-4</v>
      </c>
      <c r="L179">
        <v>2.5999999999999998E-4</v>
      </c>
      <c r="M179">
        <v>2.5999999999999998E-4</v>
      </c>
      <c r="N179">
        <v>2.5999999999999998E-4</v>
      </c>
      <c r="O179">
        <v>2.5999999999999998E-4</v>
      </c>
      <c r="P179">
        <v>2.5999999999999998E-4</v>
      </c>
      <c r="Q179">
        <v>3.3E-4</v>
      </c>
      <c r="R179">
        <v>3.3E-4</v>
      </c>
      <c r="S179">
        <v>3.3E-4</v>
      </c>
      <c r="T179">
        <v>3.3E-4</v>
      </c>
      <c r="U179">
        <v>3.3E-4</v>
      </c>
      <c r="V179">
        <v>3.4000000000000002E-4</v>
      </c>
      <c r="W179">
        <v>3.4000000000000002E-4</v>
      </c>
      <c r="X179">
        <v>3.4000000000000002E-4</v>
      </c>
      <c r="Y179">
        <v>3.4000000000000002E-4</v>
      </c>
      <c r="Z179">
        <v>3.4000000000000002E-4</v>
      </c>
      <c r="AA179">
        <v>5.2999999999999998E-4</v>
      </c>
      <c r="AB179">
        <v>5.2999999999999998E-4</v>
      </c>
      <c r="AC179">
        <v>5.2999999999999998E-4</v>
      </c>
      <c r="AD179">
        <v>5.2999999999999998E-4</v>
      </c>
      <c r="AE179">
        <v>5.2999999999999998E-4</v>
      </c>
      <c r="AF179">
        <v>7.2000000000000005E-4</v>
      </c>
      <c r="AG179">
        <v>7.2000000000000005E-4</v>
      </c>
      <c r="AH179">
        <v>7.2000000000000005E-4</v>
      </c>
      <c r="AI179">
        <v>7.2000000000000005E-4</v>
      </c>
      <c r="AJ179">
        <v>7.2000000000000005E-4</v>
      </c>
      <c r="AK179">
        <v>8.8000000000000003E-4</v>
      </c>
      <c r="AL179">
        <v>8.8000000000000003E-4</v>
      </c>
      <c r="AM179">
        <v>8.8000000000000003E-4</v>
      </c>
      <c r="AN179">
        <v>8.8000000000000003E-4</v>
      </c>
      <c r="AO179">
        <v>8.8000000000000003E-4</v>
      </c>
      <c r="AP179">
        <v>1.2899999999999999E-3</v>
      </c>
      <c r="AQ179">
        <v>1.2899999999999999E-3</v>
      </c>
      <c r="AR179">
        <v>1.2899999999999999E-3</v>
      </c>
      <c r="AS179">
        <v>1.2899999999999999E-3</v>
      </c>
      <c r="AT179">
        <v>1.2899999999999999E-3</v>
      </c>
      <c r="AU179">
        <v>2.1199999999999999E-3</v>
      </c>
      <c r="AV179">
        <v>2.1199999999999999E-3</v>
      </c>
      <c r="AW179">
        <v>2.1199999999999999E-3</v>
      </c>
      <c r="AX179">
        <v>2.1199999999999999E-3</v>
      </c>
      <c r="AY179">
        <v>2.1199999999999999E-3</v>
      </c>
      <c r="AZ179">
        <v>2.98E-3</v>
      </c>
      <c r="BA179">
        <v>2.98E-3</v>
      </c>
      <c r="BB179">
        <v>2.98E-3</v>
      </c>
      <c r="BC179">
        <v>2.98E-3</v>
      </c>
      <c r="BD179">
        <v>2.98E-3</v>
      </c>
      <c r="BE179">
        <v>5.3E-3</v>
      </c>
      <c r="BF179">
        <v>5.3E-3</v>
      </c>
      <c r="BG179">
        <v>5.3E-3</v>
      </c>
      <c r="BH179">
        <v>5.3E-3</v>
      </c>
      <c r="BI179">
        <v>5.3E-3</v>
      </c>
      <c r="BJ179">
        <v>9.11E-3</v>
      </c>
      <c r="BK179">
        <v>9.11E-3</v>
      </c>
      <c r="BL179">
        <v>9.11E-3</v>
      </c>
      <c r="BM179">
        <v>9.11E-3</v>
      </c>
      <c r="BN179">
        <v>9.11E-3</v>
      </c>
      <c r="BO179">
        <v>1.4749999999999999E-2</v>
      </c>
      <c r="BP179">
        <v>1.4749999999999999E-2</v>
      </c>
      <c r="BQ179">
        <v>1.4749999999999999E-2</v>
      </c>
      <c r="BR179">
        <v>1.4749999999999999E-2</v>
      </c>
      <c r="BS179">
        <v>1.4749999999999999E-2</v>
      </c>
      <c r="BT179">
        <v>2.751E-2</v>
      </c>
      <c r="BU179">
        <v>2.751E-2</v>
      </c>
      <c r="BV179">
        <v>2.751E-2</v>
      </c>
      <c r="BW179">
        <v>2.751E-2</v>
      </c>
      <c r="BX179">
        <v>2.751E-2</v>
      </c>
      <c r="BY179">
        <v>5.1670000000000001E-2</v>
      </c>
      <c r="BZ179">
        <v>5.1670000000000001E-2</v>
      </c>
      <c r="CA179">
        <v>5.1670000000000001E-2</v>
      </c>
      <c r="CB179">
        <v>5.1670000000000001E-2</v>
      </c>
      <c r="CC179">
        <v>5.1670000000000001E-2</v>
      </c>
      <c r="CD179">
        <v>9.9680000000000005E-2</v>
      </c>
      <c r="CE179">
        <v>9.9680000000000005E-2</v>
      </c>
      <c r="CF179">
        <v>9.9680000000000005E-2</v>
      </c>
      <c r="CG179">
        <v>9.9680000000000005E-2</v>
      </c>
      <c r="CH179">
        <v>9.9680000000000005E-2</v>
      </c>
      <c r="CI179">
        <v>0.17612</v>
      </c>
      <c r="CJ179">
        <v>0.17612</v>
      </c>
      <c r="CK179">
        <v>0.17612</v>
      </c>
      <c r="CL179">
        <v>0.17612</v>
      </c>
      <c r="CM179">
        <v>0.17612</v>
      </c>
      <c r="CN179">
        <v>0.28494000000000003</v>
      </c>
      <c r="CO179">
        <v>0.28494000000000003</v>
      </c>
      <c r="CP179">
        <v>0.28494000000000003</v>
      </c>
      <c r="CQ179">
        <v>0.28494000000000003</v>
      </c>
      <c r="CR179">
        <v>0.28494000000000003</v>
      </c>
      <c r="CS179">
        <v>0.42216999999999999</v>
      </c>
      <c r="CT179">
        <v>0.42216999999999999</v>
      </c>
      <c r="CU179">
        <v>0.42216999999999999</v>
      </c>
      <c r="CV179">
        <v>0.42216999999999999</v>
      </c>
      <c r="CW179">
        <v>0.42216999999999999</v>
      </c>
      <c r="CX179">
        <v>1</v>
      </c>
    </row>
    <row r="180" spans="1:102" x14ac:dyDescent="0.25">
      <c r="A180" t="s">
        <v>425</v>
      </c>
      <c r="B180">
        <v>1.687E-2</v>
      </c>
      <c r="C180">
        <v>4.4999999999999999E-4</v>
      </c>
      <c r="D180">
        <v>4.4999999999999999E-4</v>
      </c>
      <c r="E180">
        <v>4.4999999999999999E-4</v>
      </c>
      <c r="F180">
        <v>4.4999999999999999E-4</v>
      </c>
      <c r="G180">
        <v>2.5000000000000001E-4</v>
      </c>
      <c r="H180">
        <v>2.5000000000000001E-4</v>
      </c>
      <c r="I180">
        <v>2.5000000000000001E-4</v>
      </c>
      <c r="J180">
        <v>2.5000000000000001E-4</v>
      </c>
      <c r="K180">
        <v>2.5000000000000001E-4</v>
      </c>
      <c r="L180">
        <v>2.0000000000000001E-4</v>
      </c>
      <c r="M180">
        <v>2.0000000000000001E-4</v>
      </c>
      <c r="N180">
        <v>2.0000000000000001E-4</v>
      </c>
      <c r="O180">
        <v>2.0000000000000001E-4</v>
      </c>
      <c r="P180">
        <v>2.0000000000000001E-4</v>
      </c>
      <c r="Q180">
        <v>3.2000000000000003E-4</v>
      </c>
      <c r="R180">
        <v>3.2000000000000003E-4</v>
      </c>
      <c r="S180">
        <v>3.2000000000000003E-4</v>
      </c>
      <c r="T180">
        <v>3.2000000000000003E-4</v>
      </c>
      <c r="U180">
        <v>3.2000000000000003E-4</v>
      </c>
      <c r="V180">
        <v>3.6999999999999999E-4</v>
      </c>
      <c r="W180">
        <v>3.6999999999999999E-4</v>
      </c>
      <c r="X180">
        <v>3.6999999999999999E-4</v>
      </c>
      <c r="Y180">
        <v>3.6999999999999999E-4</v>
      </c>
      <c r="Z180">
        <v>3.6999999999999999E-4</v>
      </c>
      <c r="AA180">
        <v>4.4999999999999999E-4</v>
      </c>
      <c r="AB180">
        <v>4.4999999999999999E-4</v>
      </c>
      <c r="AC180">
        <v>4.4999999999999999E-4</v>
      </c>
      <c r="AD180">
        <v>4.4999999999999999E-4</v>
      </c>
      <c r="AE180">
        <v>4.4999999999999999E-4</v>
      </c>
      <c r="AF180">
        <v>6.2E-4</v>
      </c>
      <c r="AG180">
        <v>6.2E-4</v>
      </c>
      <c r="AH180">
        <v>6.2E-4</v>
      </c>
      <c r="AI180">
        <v>6.2E-4</v>
      </c>
      <c r="AJ180">
        <v>6.2E-4</v>
      </c>
      <c r="AK180">
        <v>9.1E-4</v>
      </c>
      <c r="AL180">
        <v>9.1E-4</v>
      </c>
      <c r="AM180">
        <v>9.1E-4</v>
      </c>
      <c r="AN180">
        <v>9.1E-4</v>
      </c>
      <c r="AO180">
        <v>9.1E-4</v>
      </c>
      <c r="AP180">
        <v>1.4E-3</v>
      </c>
      <c r="AQ180">
        <v>1.4E-3</v>
      </c>
      <c r="AR180">
        <v>1.4E-3</v>
      </c>
      <c r="AS180">
        <v>1.4E-3</v>
      </c>
      <c r="AT180">
        <v>1.4E-3</v>
      </c>
      <c r="AU180">
        <v>2.2200000000000002E-3</v>
      </c>
      <c r="AV180">
        <v>2.2200000000000002E-3</v>
      </c>
      <c r="AW180">
        <v>2.2200000000000002E-3</v>
      </c>
      <c r="AX180">
        <v>2.2200000000000002E-3</v>
      </c>
      <c r="AY180">
        <v>2.2200000000000002E-3</v>
      </c>
      <c r="AZ180">
        <v>3.47E-3</v>
      </c>
      <c r="BA180">
        <v>3.47E-3</v>
      </c>
      <c r="BB180">
        <v>3.47E-3</v>
      </c>
      <c r="BC180">
        <v>3.47E-3</v>
      </c>
      <c r="BD180">
        <v>3.47E-3</v>
      </c>
      <c r="BE180">
        <v>5.4400000000000004E-3</v>
      </c>
      <c r="BF180">
        <v>5.4400000000000004E-3</v>
      </c>
      <c r="BG180">
        <v>5.4400000000000004E-3</v>
      </c>
      <c r="BH180">
        <v>5.4400000000000004E-3</v>
      </c>
      <c r="BI180">
        <v>5.4400000000000004E-3</v>
      </c>
      <c r="BJ180">
        <v>9.0299999999999998E-3</v>
      </c>
      <c r="BK180">
        <v>9.0299999999999998E-3</v>
      </c>
      <c r="BL180">
        <v>9.0299999999999998E-3</v>
      </c>
      <c r="BM180">
        <v>9.0299999999999998E-3</v>
      </c>
      <c r="BN180">
        <v>9.0299999999999998E-3</v>
      </c>
      <c r="BO180">
        <v>1.5610000000000001E-2</v>
      </c>
      <c r="BP180">
        <v>1.5610000000000001E-2</v>
      </c>
      <c r="BQ180">
        <v>1.5610000000000001E-2</v>
      </c>
      <c r="BR180">
        <v>1.5610000000000001E-2</v>
      </c>
      <c r="BS180">
        <v>1.5610000000000001E-2</v>
      </c>
      <c r="BT180">
        <v>2.8500000000000001E-2</v>
      </c>
      <c r="BU180">
        <v>2.8500000000000001E-2</v>
      </c>
      <c r="BV180">
        <v>2.8500000000000001E-2</v>
      </c>
      <c r="BW180">
        <v>2.8500000000000001E-2</v>
      </c>
      <c r="BX180">
        <v>2.8500000000000001E-2</v>
      </c>
      <c r="BY180">
        <v>5.2679999999999998E-2</v>
      </c>
      <c r="BZ180">
        <v>5.2679999999999998E-2</v>
      </c>
      <c r="CA180">
        <v>5.2679999999999998E-2</v>
      </c>
      <c r="CB180">
        <v>5.2679999999999998E-2</v>
      </c>
      <c r="CC180">
        <v>5.2679999999999998E-2</v>
      </c>
      <c r="CD180">
        <v>9.6250000000000002E-2</v>
      </c>
      <c r="CE180">
        <v>9.6250000000000002E-2</v>
      </c>
      <c r="CF180">
        <v>9.6250000000000002E-2</v>
      </c>
      <c r="CG180">
        <v>9.6250000000000002E-2</v>
      </c>
      <c r="CH180">
        <v>9.6250000000000002E-2</v>
      </c>
      <c r="CI180">
        <v>0.16441</v>
      </c>
      <c r="CJ180">
        <v>0.16441</v>
      </c>
      <c r="CK180">
        <v>0.16441</v>
      </c>
      <c r="CL180">
        <v>0.16441</v>
      </c>
      <c r="CM180">
        <v>0.16441</v>
      </c>
      <c r="CN180">
        <v>0.26249</v>
      </c>
      <c r="CO180">
        <v>0.26249</v>
      </c>
      <c r="CP180">
        <v>0.26249</v>
      </c>
      <c r="CQ180">
        <v>0.26249</v>
      </c>
      <c r="CR180">
        <v>0.26249</v>
      </c>
      <c r="CS180">
        <v>0.39174999999999999</v>
      </c>
      <c r="CT180">
        <v>0.39174999999999999</v>
      </c>
      <c r="CU180">
        <v>0.39174999999999999</v>
      </c>
      <c r="CV180">
        <v>0.39174999999999999</v>
      </c>
      <c r="CW180">
        <v>0.39174999999999999</v>
      </c>
      <c r="CX180">
        <v>1</v>
      </c>
    </row>
    <row r="181" spans="1:102" x14ac:dyDescent="0.25">
      <c r="A181" t="s">
        <v>427</v>
      </c>
      <c r="B181">
        <v>3.5709999999999999E-2</v>
      </c>
      <c r="C181">
        <v>1.08E-3</v>
      </c>
      <c r="D181">
        <v>1.08E-3</v>
      </c>
      <c r="E181">
        <v>1.08E-3</v>
      </c>
      <c r="F181">
        <v>1.08E-3</v>
      </c>
      <c r="G181">
        <v>5.8E-4</v>
      </c>
      <c r="H181">
        <v>5.8E-4</v>
      </c>
      <c r="I181">
        <v>5.8E-4</v>
      </c>
      <c r="J181">
        <v>5.8E-4</v>
      </c>
      <c r="K181">
        <v>5.8E-4</v>
      </c>
      <c r="L181">
        <v>6.2E-4</v>
      </c>
      <c r="M181">
        <v>6.2E-4</v>
      </c>
      <c r="N181">
        <v>6.2E-4</v>
      </c>
      <c r="O181">
        <v>6.2E-4</v>
      </c>
      <c r="P181">
        <v>6.2E-4</v>
      </c>
      <c r="Q181">
        <v>1.1800000000000001E-3</v>
      </c>
      <c r="R181">
        <v>1.1800000000000001E-3</v>
      </c>
      <c r="S181">
        <v>1.1800000000000001E-3</v>
      </c>
      <c r="T181">
        <v>1.1800000000000001E-3</v>
      </c>
      <c r="U181">
        <v>1.1800000000000001E-3</v>
      </c>
      <c r="V181">
        <v>1.64E-3</v>
      </c>
      <c r="W181">
        <v>1.64E-3</v>
      </c>
      <c r="X181">
        <v>1.64E-3</v>
      </c>
      <c r="Y181">
        <v>1.64E-3</v>
      </c>
      <c r="Z181">
        <v>1.64E-3</v>
      </c>
      <c r="AA181">
        <v>1.8699999999999999E-3</v>
      </c>
      <c r="AB181">
        <v>1.8699999999999999E-3</v>
      </c>
      <c r="AC181">
        <v>1.8699999999999999E-3</v>
      </c>
      <c r="AD181">
        <v>1.8699999999999999E-3</v>
      </c>
      <c r="AE181">
        <v>1.8699999999999999E-3</v>
      </c>
      <c r="AF181">
        <v>2.3999999999999998E-3</v>
      </c>
      <c r="AG181">
        <v>2.3999999999999998E-3</v>
      </c>
      <c r="AH181">
        <v>2.3999999999999998E-3</v>
      </c>
      <c r="AI181">
        <v>2.3999999999999998E-3</v>
      </c>
      <c r="AJ181">
        <v>2.3999999999999998E-3</v>
      </c>
      <c r="AK181">
        <v>3.0000000000000001E-3</v>
      </c>
      <c r="AL181">
        <v>3.0000000000000001E-3</v>
      </c>
      <c r="AM181">
        <v>3.0000000000000001E-3</v>
      </c>
      <c r="AN181">
        <v>3.0000000000000001E-3</v>
      </c>
      <c r="AO181">
        <v>3.0000000000000001E-3</v>
      </c>
      <c r="AP181">
        <v>3.9500000000000004E-3</v>
      </c>
      <c r="AQ181">
        <v>3.9500000000000004E-3</v>
      </c>
      <c r="AR181">
        <v>3.9500000000000004E-3</v>
      </c>
      <c r="AS181">
        <v>3.9500000000000004E-3</v>
      </c>
      <c r="AT181">
        <v>3.9500000000000004E-3</v>
      </c>
      <c r="AU181">
        <v>6.2599999999999999E-3</v>
      </c>
      <c r="AV181">
        <v>6.2599999999999999E-3</v>
      </c>
      <c r="AW181">
        <v>6.2599999999999999E-3</v>
      </c>
      <c r="AX181">
        <v>6.2599999999999999E-3</v>
      </c>
      <c r="AY181">
        <v>6.2599999999999999E-3</v>
      </c>
      <c r="AZ181">
        <v>1.074E-2</v>
      </c>
      <c r="BA181">
        <v>1.074E-2</v>
      </c>
      <c r="BB181">
        <v>1.074E-2</v>
      </c>
      <c r="BC181">
        <v>1.074E-2</v>
      </c>
      <c r="BD181">
        <v>1.074E-2</v>
      </c>
      <c r="BE181">
        <v>1.6709999999999999E-2</v>
      </c>
      <c r="BF181">
        <v>1.6709999999999999E-2</v>
      </c>
      <c r="BG181">
        <v>1.6709999999999999E-2</v>
      </c>
      <c r="BH181">
        <v>1.6709999999999999E-2</v>
      </c>
      <c r="BI181">
        <v>1.6709999999999999E-2</v>
      </c>
      <c r="BJ181">
        <v>2.5069999999999999E-2</v>
      </c>
      <c r="BK181">
        <v>2.5069999999999999E-2</v>
      </c>
      <c r="BL181">
        <v>2.5069999999999999E-2</v>
      </c>
      <c r="BM181">
        <v>2.5069999999999999E-2</v>
      </c>
      <c r="BN181">
        <v>2.5069999999999999E-2</v>
      </c>
      <c r="BO181">
        <v>3.8339999999999999E-2</v>
      </c>
      <c r="BP181">
        <v>3.8339999999999999E-2</v>
      </c>
      <c r="BQ181">
        <v>3.8339999999999999E-2</v>
      </c>
      <c r="BR181">
        <v>3.8339999999999999E-2</v>
      </c>
      <c r="BS181">
        <v>3.8339999999999999E-2</v>
      </c>
      <c r="BT181">
        <v>5.8529999999999999E-2</v>
      </c>
      <c r="BU181">
        <v>5.8529999999999999E-2</v>
      </c>
      <c r="BV181">
        <v>5.8529999999999999E-2</v>
      </c>
      <c r="BW181">
        <v>5.8529999999999999E-2</v>
      </c>
      <c r="BX181">
        <v>5.8529999999999999E-2</v>
      </c>
      <c r="BY181">
        <v>8.3250000000000005E-2</v>
      </c>
      <c r="BZ181">
        <v>8.3250000000000005E-2</v>
      </c>
      <c r="CA181">
        <v>8.3250000000000005E-2</v>
      </c>
      <c r="CB181">
        <v>8.3250000000000005E-2</v>
      </c>
      <c r="CC181">
        <v>8.3250000000000005E-2</v>
      </c>
      <c r="CD181">
        <v>0.12365</v>
      </c>
      <c r="CE181">
        <v>0.12365</v>
      </c>
      <c r="CF181">
        <v>0.12365</v>
      </c>
      <c r="CG181">
        <v>0.12365</v>
      </c>
      <c r="CH181">
        <v>0.12365</v>
      </c>
      <c r="CI181">
        <v>0.18142</v>
      </c>
      <c r="CJ181">
        <v>0.18142</v>
      </c>
      <c r="CK181">
        <v>0.18142</v>
      </c>
      <c r="CL181">
        <v>0.18142</v>
      </c>
      <c r="CM181">
        <v>0.18142</v>
      </c>
      <c r="CN181">
        <v>0.26290999999999998</v>
      </c>
      <c r="CO181">
        <v>0.26290999999999998</v>
      </c>
      <c r="CP181">
        <v>0.26290999999999998</v>
      </c>
      <c r="CQ181">
        <v>0.26290999999999998</v>
      </c>
      <c r="CR181">
        <v>0.26290999999999998</v>
      </c>
      <c r="CS181">
        <v>0.37635999999999997</v>
      </c>
      <c r="CT181">
        <v>0.37635999999999997</v>
      </c>
      <c r="CU181">
        <v>0.37635999999999997</v>
      </c>
      <c r="CV181">
        <v>0.37635999999999997</v>
      </c>
      <c r="CW181">
        <v>0.37635999999999997</v>
      </c>
      <c r="CX181">
        <v>1</v>
      </c>
    </row>
    <row r="182" spans="1:102" x14ac:dyDescent="0.25">
      <c r="A182" t="s">
        <v>429</v>
      </c>
      <c r="B182">
        <v>2.998E-2</v>
      </c>
      <c r="C182">
        <v>1.48E-3</v>
      </c>
      <c r="D182">
        <v>1.48E-3</v>
      </c>
      <c r="E182">
        <v>1.48E-3</v>
      </c>
      <c r="F182">
        <v>1.48E-3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3.5899999999999999E-3</v>
      </c>
      <c r="M182">
        <v>3.5899999999999999E-3</v>
      </c>
      <c r="N182">
        <v>3.5899999999999999E-3</v>
      </c>
      <c r="O182">
        <v>3.5899999999999999E-3</v>
      </c>
      <c r="P182">
        <v>3.5899999999999999E-3</v>
      </c>
      <c r="Q182">
        <v>6.0499999999999998E-3</v>
      </c>
      <c r="R182">
        <v>6.0499999999999998E-3</v>
      </c>
      <c r="S182">
        <v>6.0499999999999998E-3</v>
      </c>
      <c r="T182">
        <v>6.0499999999999998E-3</v>
      </c>
      <c r="U182">
        <v>6.0499999999999998E-3</v>
      </c>
      <c r="V182">
        <v>1.2899999999999999E-3</v>
      </c>
      <c r="W182">
        <v>1.2899999999999999E-3</v>
      </c>
      <c r="X182">
        <v>1.2899999999999999E-3</v>
      </c>
      <c r="Y182">
        <v>1.2899999999999999E-3</v>
      </c>
      <c r="Z182">
        <v>1.2899999999999999E-3</v>
      </c>
      <c r="AA182">
        <v>7.6999999999999996E-4</v>
      </c>
      <c r="AB182">
        <v>7.6999999999999996E-4</v>
      </c>
      <c r="AC182">
        <v>7.6999999999999996E-4</v>
      </c>
      <c r="AD182">
        <v>7.6999999999999996E-4</v>
      </c>
      <c r="AE182">
        <v>7.6999999999999996E-4</v>
      </c>
      <c r="AF182">
        <v>3.29E-3</v>
      </c>
      <c r="AG182">
        <v>3.29E-3</v>
      </c>
      <c r="AH182">
        <v>3.29E-3</v>
      </c>
      <c r="AI182">
        <v>3.29E-3</v>
      </c>
      <c r="AJ182">
        <v>3.29E-3</v>
      </c>
      <c r="AK182">
        <v>2.16E-3</v>
      </c>
      <c r="AL182">
        <v>2.16E-3</v>
      </c>
      <c r="AM182">
        <v>2.16E-3</v>
      </c>
      <c r="AN182">
        <v>2.16E-3</v>
      </c>
      <c r="AO182">
        <v>2.16E-3</v>
      </c>
      <c r="AP182">
        <v>8.6499999999999997E-3</v>
      </c>
      <c r="AQ182">
        <v>8.6499999999999997E-3</v>
      </c>
      <c r="AR182">
        <v>8.6499999999999997E-3</v>
      </c>
      <c r="AS182">
        <v>8.6499999999999997E-3</v>
      </c>
      <c r="AT182">
        <v>8.6499999999999997E-3</v>
      </c>
      <c r="AU182">
        <v>9.8099999999999993E-3</v>
      </c>
      <c r="AV182">
        <v>9.8099999999999993E-3</v>
      </c>
      <c r="AW182">
        <v>9.8099999999999993E-3</v>
      </c>
      <c r="AX182">
        <v>9.8099999999999993E-3</v>
      </c>
      <c r="AY182">
        <v>9.8099999999999993E-3</v>
      </c>
      <c r="AZ182">
        <v>8.7200000000000003E-3</v>
      </c>
      <c r="BA182">
        <v>8.7200000000000003E-3</v>
      </c>
      <c r="BB182">
        <v>8.7200000000000003E-3</v>
      </c>
      <c r="BC182">
        <v>8.7200000000000003E-3</v>
      </c>
      <c r="BD182">
        <v>8.7200000000000003E-3</v>
      </c>
      <c r="BE182">
        <v>2.4819999999999998E-2</v>
      </c>
      <c r="BF182">
        <v>2.4819999999999998E-2</v>
      </c>
      <c r="BG182">
        <v>2.4819999999999998E-2</v>
      </c>
      <c r="BH182">
        <v>2.4819999999999998E-2</v>
      </c>
      <c r="BI182">
        <v>2.4819999999999998E-2</v>
      </c>
      <c r="BJ182">
        <v>2.997E-2</v>
      </c>
      <c r="BK182">
        <v>2.997E-2</v>
      </c>
      <c r="BL182">
        <v>2.997E-2</v>
      </c>
      <c r="BM182">
        <v>2.997E-2</v>
      </c>
      <c r="BN182">
        <v>2.997E-2</v>
      </c>
      <c r="BO182">
        <v>5.4690000000000003E-2</v>
      </c>
      <c r="BP182">
        <v>5.4690000000000003E-2</v>
      </c>
      <c r="BQ182">
        <v>5.4690000000000003E-2</v>
      </c>
      <c r="BR182">
        <v>5.4690000000000003E-2</v>
      </c>
      <c r="BS182">
        <v>5.4690000000000003E-2</v>
      </c>
      <c r="BT182">
        <v>4.3619999999999999E-2</v>
      </c>
      <c r="BU182">
        <v>4.3619999999999999E-2</v>
      </c>
      <c r="BV182">
        <v>4.3619999999999999E-2</v>
      </c>
      <c r="BW182">
        <v>4.3619999999999999E-2</v>
      </c>
      <c r="BX182">
        <v>4.3619999999999999E-2</v>
      </c>
      <c r="BY182">
        <v>0.13852999999999999</v>
      </c>
      <c r="BZ182">
        <v>0.13852999999999999</v>
      </c>
      <c r="CA182">
        <v>0.13852999999999999</v>
      </c>
      <c r="CB182">
        <v>0.13852999999999999</v>
      </c>
      <c r="CC182">
        <v>0.13852999999999999</v>
      </c>
      <c r="CD182">
        <v>0.16993</v>
      </c>
      <c r="CE182">
        <v>0.16993</v>
      </c>
      <c r="CF182">
        <v>0.16993</v>
      </c>
      <c r="CG182">
        <v>0.16993</v>
      </c>
      <c r="CH182">
        <v>0.16993</v>
      </c>
      <c r="CI182">
        <v>0.21587999999999999</v>
      </c>
      <c r="CJ182">
        <v>0.21587999999999999</v>
      </c>
      <c r="CK182">
        <v>0.21587999999999999</v>
      </c>
      <c r="CL182">
        <v>0.21587999999999999</v>
      </c>
      <c r="CM182">
        <v>0.21587999999999999</v>
      </c>
      <c r="CN182">
        <v>0.28405000000000002</v>
      </c>
      <c r="CO182">
        <v>0.28405000000000002</v>
      </c>
      <c r="CP182">
        <v>0.28405000000000002</v>
      </c>
      <c r="CQ182">
        <v>0.28405000000000002</v>
      </c>
      <c r="CR182">
        <v>0.28405000000000002</v>
      </c>
      <c r="CS182">
        <v>0.38707999999999998</v>
      </c>
      <c r="CT182">
        <v>0.38707999999999998</v>
      </c>
      <c r="CU182">
        <v>0.38707999999999998</v>
      </c>
      <c r="CV182">
        <v>0.38707999999999998</v>
      </c>
      <c r="CW182">
        <v>0.38707999999999998</v>
      </c>
      <c r="CX182">
        <v>1</v>
      </c>
    </row>
    <row r="183" spans="1:102" x14ac:dyDescent="0.25">
      <c r="A183" t="s">
        <v>431</v>
      </c>
      <c r="B183">
        <v>7.2730000000000003E-2</v>
      </c>
      <c r="C183">
        <v>1.2460000000000001E-2</v>
      </c>
      <c r="D183">
        <v>1.2460000000000001E-2</v>
      </c>
      <c r="E183">
        <v>1.2460000000000001E-2</v>
      </c>
      <c r="F183">
        <v>1.2460000000000001E-2</v>
      </c>
      <c r="G183">
        <v>2.2200000000000002E-3</v>
      </c>
      <c r="H183">
        <v>2.2200000000000002E-3</v>
      </c>
      <c r="I183">
        <v>2.2200000000000002E-3</v>
      </c>
      <c r="J183">
        <v>2.2200000000000002E-3</v>
      </c>
      <c r="K183">
        <v>2.2200000000000002E-3</v>
      </c>
      <c r="L183">
        <v>1.67E-3</v>
      </c>
      <c r="M183">
        <v>1.67E-3</v>
      </c>
      <c r="N183">
        <v>1.67E-3</v>
      </c>
      <c r="O183">
        <v>1.67E-3</v>
      </c>
      <c r="P183">
        <v>1.67E-3</v>
      </c>
      <c r="Q183">
        <v>1.6999999999999999E-3</v>
      </c>
      <c r="R183">
        <v>1.6999999999999999E-3</v>
      </c>
      <c r="S183">
        <v>1.6999999999999999E-3</v>
      </c>
      <c r="T183">
        <v>1.6999999999999999E-3</v>
      </c>
      <c r="U183">
        <v>1.6999999999999999E-3</v>
      </c>
      <c r="V183">
        <v>3.49E-3</v>
      </c>
      <c r="W183">
        <v>3.49E-3</v>
      </c>
      <c r="X183">
        <v>3.49E-3</v>
      </c>
      <c r="Y183">
        <v>3.49E-3</v>
      </c>
      <c r="Z183">
        <v>3.49E-3</v>
      </c>
      <c r="AA183">
        <v>5.7600000000000004E-3</v>
      </c>
      <c r="AB183">
        <v>5.7600000000000004E-3</v>
      </c>
      <c r="AC183">
        <v>5.7600000000000004E-3</v>
      </c>
      <c r="AD183">
        <v>5.7600000000000004E-3</v>
      </c>
      <c r="AE183">
        <v>5.7600000000000004E-3</v>
      </c>
      <c r="AF183">
        <v>7.7999999999999996E-3</v>
      </c>
      <c r="AG183">
        <v>7.7999999999999996E-3</v>
      </c>
      <c r="AH183">
        <v>7.7999999999999996E-3</v>
      </c>
      <c r="AI183">
        <v>7.7999999999999996E-3</v>
      </c>
      <c r="AJ183">
        <v>7.7999999999999996E-3</v>
      </c>
      <c r="AK183">
        <v>1.1039999999999999E-2</v>
      </c>
      <c r="AL183">
        <v>1.1039999999999999E-2</v>
      </c>
      <c r="AM183">
        <v>1.1039999999999999E-2</v>
      </c>
      <c r="AN183">
        <v>1.1039999999999999E-2</v>
      </c>
      <c r="AO183">
        <v>1.1039999999999999E-2</v>
      </c>
      <c r="AP183">
        <v>1.2619999999999999E-2</v>
      </c>
      <c r="AQ183">
        <v>1.2619999999999999E-2</v>
      </c>
      <c r="AR183">
        <v>1.2619999999999999E-2</v>
      </c>
      <c r="AS183">
        <v>1.2619999999999999E-2</v>
      </c>
      <c r="AT183">
        <v>1.2619999999999999E-2</v>
      </c>
      <c r="AU183">
        <v>1.321E-2</v>
      </c>
      <c r="AV183">
        <v>1.321E-2</v>
      </c>
      <c r="AW183">
        <v>1.321E-2</v>
      </c>
      <c r="AX183">
        <v>1.321E-2</v>
      </c>
      <c r="AY183">
        <v>1.321E-2</v>
      </c>
      <c r="AZ183">
        <v>1.3509999999999999E-2</v>
      </c>
      <c r="BA183">
        <v>1.3509999999999999E-2</v>
      </c>
      <c r="BB183">
        <v>1.3509999999999999E-2</v>
      </c>
      <c r="BC183">
        <v>1.3509999999999999E-2</v>
      </c>
      <c r="BD183">
        <v>1.3509999999999999E-2</v>
      </c>
      <c r="BE183">
        <v>1.6420000000000001E-2</v>
      </c>
      <c r="BF183">
        <v>1.6420000000000001E-2</v>
      </c>
      <c r="BG183">
        <v>1.6420000000000001E-2</v>
      </c>
      <c r="BH183">
        <v>1.6420000000000001E-2</v>
      </c>
      <c r="BI183">
        <v>1.6420000000000001E-2</v>
      </c>
      <c r="BJ183">
        <v>2.189E-2</v>
      </c>
      <c r="BK183">
        <v>2.189E-2</v>
      </c>
      <c r="BL183">
        <v>2.189E-2</v>
      </c>
      <c r="BM183">
        <v>2.189E-2</v>
      </c>
      <c r="BN183">
        <v>2.189E-2</v>
      </c>
      <c r="BO183">
        <v>3.4299999999999997E-2</v>
      </c>
      <c r="BP183">
        <v>3.4299999999999997E-2</v>
      </c>
      <c r="BQ183">
        <v>3.4299999999999997E-2</v>
      </c>
      <c r="BR183">
        <v>3.4299999999999997E-2</v>
      </c>
      <c r="BS183">
        <v>3.4299999999999997E-2</v>
      </c>
      <c r="BT183">
        <v>5.5669999999999997E-2</v>
      </c>
      <c r="BU183">
        <v>5.5669999999999997E-2</v>
      </c>
      <c r="BV183">
        <v>5.5669999999999997E-2</v>
      </c>
      <c r="BW183">
        <v>5.5669999999999997E-2</v>
      </c>
      <c r="BX183">
        <v>5.5669999999999997E-2</v>
      </c>
      <c r="BY183">
        <v>8.9529999999999998E-2</v>
      </c>
      <c r="BZ183">
        <v>8.9529999999999998E-2</v>
      </c>
      <c r="CA183">
        <v>8.9529999999999998E-2</v>
      </c>
      <c r="CB183">
        <v>8.9529999999999998E-2</v>
      </c>
      <c r="CC183">
        <v>8.9529999999999998E-2</v>
      </c>
      <c r="CD183">
        <v>0.13904</v>
      </c>
      <c r="CE183">
        <v>0.13904</v>
      </c>
      <c r="CF183">
        <v>0.13904</v>
      </c>
      <c r="CG183">
        <v>0.13904</v>
      </c>
      <c r="CH183">
        <v>0.13904</v>
      </c>
      <c r="CI183">
        <v>0.20896999999999999</v>
      </c>
      <c r="CJ183">
        <v>0.20896999999999999</v>
      </c>
      <c r="CK183">
        <v>0.20896999999999999</v>
      </c>
      <c r="CL183">
        <v>0.20896999999999999</v>
      </c>
      <c r="CM183">
        <v>0.20896999999999999</v>
      </c>
      <c r="CN183">
        <v>0.30337999999999998</v>
      </c>
      <c r="CO183">
        <v>0.30337999999999998</v>
      </c>
      <c r="CP183">
        <v>0.30337999999999998</v>
      </c>
      <c r="CQ183">
        <v>0.30337999999999998</v>
      </c>
      <c r="CR183">
        <v>0.30337999999999998</v>
      </c>
      <c r="CS183">
        <v>0.42497000000000001</v>
      </c>
      <c r="CT183">
        <v>0.42497000000000001</v>
      </c>
      <c r="CU183">
        <v>0.42497000000000001</v>
      </c>
      <c r="CV183">
        <v>0.42497000000000001</v>
      </c>
      <c r="CW183">
        <v>0.42497000000000001</v>
      </c>
      <c r="CX183">
        <v>1</v>
      </c>
    </row>
    <row r="184" spans="1:102" x14ac:dyDescent="0.25">
      <c r="A184" t="s">
        <v>433</v>
      </c>
      <c r="B184">
        <v>1.0529999999999999E-2</v>
      </c>
      <c r="C184">
        <v>2.0000000000000001E-4</v>
      </c>
      <c r="D184">
        <v>2.0000000000000001E-4</v>
      </c>
      <c r="E184">
        <v>2.0000000000000001E-4</v>
      </c>
      <c r="F184">
        <v>2.0000000000000001E-4</v>
      </c>
      <c r="G184">
        <v>2.5999999999999998E-4</v>
      </c>
      <c r="H184">
        <v>2.5999999999999998E-4</v>
      </c>
      <c r="I184">
        <v>2.5999999999999998E-4</v>
      </c>
      <c r="J184">
        <v>2.5999999999999998E-4</v>
      </c>
      <c r="K184">
        <v>2.5999999999999998E-4</v>
      </c>
      <c r="L184">
        <v>2.4000000000000001E-4</v>
      </c>
      <c r="M184">
        <v>2.4000000000000001E-4</v>
      </c>
      <c r="N184">
        <v>2.4000000000000001E-4</v>
      </c>
      <c r="O184">
        <v>2.4000000000000001E-4</v>
      </c>
      <c r="P184">
        <v>2.4000000000000001E-4</v>
      </c>
      <c r="Q184">
        <v>4.4000000000000002E-4</v>
      </c>
      <c r="R184">
        <v>4.4000000000000002E-4</v>
      </c>
      <c r="S184">
        <v>4.4000000000000002E-4</v>
      </c>
      <c r="T184">
        <v>4.4000000000000002E-4</v>
      </c>
      <c r="U184">
        <v>4.4000000000000002E-4</v>
      </c>
      <c r="V184">
        <v>6.7000000000000002E-4</v>
      </c>
      <c r="W184">
        <v>6.7000000000000002E-4</v>
      </c>
      <c r="X184">
        <v>6.7000000000000002E-4</v>
      </c>
      <c r="Y184">
        <v>6.7000000000000002E-4</v>
      </c>
      <c r="Z184">
        <v>6.7000000000000002E-4</v>
      </c>
      <c r="AA184">
        <v>1.25E-3</v>
      </c>
      <c r="AB184">
        <v>1.25E-3</v>
      </c>
      <c r="AC184">
        <v>1.25E-3</v>
      </c>
      <c r="AD184">
        <v>1.25E-3</v>
      </c>
      <c r="AE184">
        <v>1.25E-3</v>
      </c>
      <c r="AF184">
        <v>2.0999999999999999E-3</v>
      </c>
      <c r="AG184">
        <v>2.0999999999999999E-3</v>
      </c>
      <c r="AH184">
        <v>2.0999999999999999E-3</v>
      </c>
      <c r="AI184">
        <v>2.0999999999999999E-3</v>
      </c>
      <c r="AJ184">
        <v>2.0999999999999999E-3</v>
      </c>
      <c r="AK184">
        <v>2.7899999999999999E-3</v>
      </c>
      <c r="AL184">
        <v>2.7899999999999999E-3</v>
      </c>
      <c r="AM184">
        <v>2.7899999999999999E-3</v>
      </c>
      <c r="AN184">
        <v>2.7899999999999999E-3</v>
      </c>
      <c r="AO184">
        <v>2.7899999999999999E-3</v>
      </c>
      <c r="AP184">
        <v>3.5999999999999999E-3</v>
      </c>
      <c r="AQ184">
        <v>3.5999999999999999E-3</v>
      </c>
      <c r="AR184">
        <v>3.5999999999999999E-3</v>
      </c>
      <c r="AS184">
        <v>3.5999999999999999E-3</v>
      </c>
      <c r="AT184">
        <v>3.5999999999999999E-3</v>
      </c>
      <c r="AU184">
        <v>4.7099999999999998E-3</v>
      </c>
      <c r="AV184">
        <v>4.7099999999999998E-3</v>
      </c>
      <c r="AW184">
        <v>4.7099999999999998E-3</v>
      </c>
      <c r="AX184">
        <v>4.7099999999999998E-3</v>
      </c>
      <c r="AY184">
        <v>4.7099999999999998E-3</v>
      </c>
      <c r="AZ184">
        <v>6.5500000000000003E-3</v>
      </c>
      <c r="BA184">
        <v>6.5500000000000003E-3</v>
      </c>
      <c r="BB184">
        <v>6.5500000000000003E-3</v>
      </c>
      <c r="BC184">
        <v>6.5500000000000003E-3</v>
      </c>
      <c r="BD184">
        <v>6.5500000000000003E-3</v>
      </c>
      <c r="BE184">
        <v>1.004E-2</v>
      </c>
      <c r="BF184">
        <v>1.004E-2</v>
      </c>
      <c r="BG184">
        <v>1.004E-2</v>
      </c>
      <c r="BH184">
        <v>1.004E-2</v>
      </c>
      <c r="BI184">
        <v>1.004E-2</v>
      </c>
      <c r="BJ184">
        <v>1.3809999999999999E-2</v>
      </c>
      <c r="BK184">
        <v>1.3809999999999999E-2</v>
      </c>
      <c r="BL184">
        <v>1.3809999999999999E-2</v>
      </c>
      <c r="BM184">
        <v>1.3809999999999999E-2</v>
      </c>
      <c r="BN184">
        <v>1.3809999999999999E-2</v>
      </c>
      <c r="BO184">
        <v>2.197E-2</v>
      </c>
      <c r="BP184">
        <v>2.197E-2</v>
      </c>
      <c r="BQ184">
        <v>2.197E-2</v>
      </c>
      <c r="BR184">
        <v>2.197E-2</v>
      </c>
      <c r="BS184">
        <v>2.197E-2</v>
      </c>
      <c r="BT184">
        <v>3.5119999999999998E-2</v>
      </c>
      <c r="BU184">
        <v>3.5119999999999998E-2</v>
      </c>
      <c r="BV184">
        <v>3.5119999999999998E-2</v>
      </c>
      <c r="BW184">
        <v>3.5119999999999998E-2</v>
      </c>
      <c r="BX184">
        <v>3.5119999999999998E-2</v>
      </c>
      <c r="BY184">
        <v>6.2300000000000001E-2</v>
      </c>
      <c r="BZ184">
        <v>6.2300000000000001E-2</v>
      </c>
      <c r="CA184">
        <v>6.2300000000000001E-2</v>
      </c>
      <c r="CB184">
        <v>6.2300000000000001E-2</v>
      </c>
      <c r="CC184">
        <v>6.2300000000000001E-2</v>
      </c>
      <c r="CD184">
        <v>0.10569000000000001</v>
      </c>
      <c r="CE184">
        <v>0.10569000000000001</v>
      </c>
      <c r="CF184">
        <v>0.10569000000000001</v>
      </c>
      <c r="CG184">
        <v>0.10569000000000001</v>
      </c>
      <c r="CH184">
        <v>0.10569000000000001</v>
      </c>
      <c r="CI184">
        <v>0.17088</v>
      </c>
      <c r="CJ184">
        <v>0.17088</v>
      </c>
      <c r="CK184">
        <v>0.17088</v>
      </c>
      <c r="CL184">
        <v>0.17088</v>
      </c>
      <c r="CM184">
        <v>0.17088</v>
      </c>
      <c r="CN184">
        <v>0.26333000000000001</v>
      </c>
      <c r="CO184">
        <v>0.26333000000000001</v>
      </c>
      <c r="CP184">
        <v>0.26333000000000001</v>
      </c>
      <c r="CQ184">
        <v>0.26333000000000001</v>
      </c>
      <c r="CR184">
        <v>0.26333000000000001</v>
      </c>
      <c r="CS184">
        <v>0.38674999999999998</v>
      </c>
      <c r="CT184">
        <v>0.38674999999999998</v>
      </c>
      <c r="CU184">
        <v>0.38674999999999998</v>
      </c>
      <c r="CV184">
        <v>0.38674999999999998</v>
      </c>
      <c r="CW184">
        <v>0.38674999999999998</v>
      </c>
      <c r="CX184">
        <v>1</v>
      </c>
    </row>
    <row r="185" spans="1:102" x14ac:dyDescent="0.25">
      <c r="A185" t="s">
        <v>435</v>
      </c>
      <c r="B185">
        <v>3.6939E-2</v>
      </c>
      <c r="C185">
        <v>3.9690000000000003E-3</v>
      </c>
      <c r="D185">
        <v>3.9690000000000003E-3</v>
      </c>
      <c r="E185">
        <v>3.9690000000000003E-3</v>
      </c>
      <c r="F185">
        <v>3.9690000000000003E-3</v>
      </c>
      <c r="G185">
        <v>1.0139999999999999E-3</v>
      </c>
      <c r="H185">
        <v>1.0139999999999999E-3</v>
      </c>
      <c r="I185">
        <v>1.0139999999999999E-3</v>
      </c>
      <c r="J185">
        <v>1.0139999999999999E-3</v>
      </c>
      <c r="K185">
        <v>1.0139999999999999E-3</v>
      </c>
      <c r="L185">
        <v>6.8300000000000001E-4</v>
      </c>
      <c r="M185">
        <v>6.8300000000000001E-4</v>
      </c>
      <c r="N185">
        <v>6.8300000000000001E-4</v>
      </c>
      <c r="O185">
        <v>6.8300000000000001E-4</v>
      </c>
      <c r="P185">
        <v>6.8300000000000001E-4</v>
      </c>
      <c r="Q185">
        <v>9.8999999999999999E-4</v>
      </c>
      <c r="R185">
        <v>9.8999999999999999E-4</v>
      </c>
      <c r="S185">
        <v>9.8999999999999999E-4</v>
      </c>
      <c r="T185">
        <v>9.8999999999999999E-4</v>
      </c>
      <c r="U185">
        <v>9.8999999999999999E-4</v>
      </c>
      <c r="V185">
        <v>1.4015E-3</v>
      </c>
      <c r="W185">
        <v>1.4015E-3</v>
      </c>
      <c r="X185">
        <v>1.4015E-3</v>
      </c>
      <c r="Y185">
        <v>1.4015E-3</v>
      </c>
      <c r="Z185">
        <v>1.4015E-3</v>
      </c>
      <c r="AA185">
        <v>1.7145000000000001E-3</v>
      </c>
      <c r="AB185">
        <v>1.7145000000000001E-3</v>
      </c>
      <c r="AC185">
        <v>1.7145000000000001E-3</v>
      </c>
      <c r="AD185">
        <v>1.7145000000000001E-3</v>
      </c>
      <c r="AE185">
        <v>1.7145000000000001E-3</v>
      </c>
      <c r="AF185">
        <v>2.0600000000000002E-3</v>
      </c>
      <c r="AG185">
        <v>2.0600000000000002E-3</v>
      </c>
      <c r="AH185">
        <v>2.0600000000000002E-3</v>
      </c>
      <c r="AI185">
        <v>2.0600000000000002E-3</v>
      </c>
      <c r="AJ185">
        <v>2.0600000000000002E-3</v>
      </c>
      <c r="AK185">
        <v>2.5395000000000001E-3</v>
      </c>
      <c r="AL185">
        <v>2.5395000000000001E-3</v>
      </c>
      <c r="AM185">
        <v>2.5395000000000001E-3</v>
      </c>
      <c r="AN185">
        <v>2.5395000000000001E-3</v>
      </c>
      <c r="AO185">
        <v>2.5395000000000001E-3</v>
      </c>
      <c r="AP185">
        <v>3.2320000000000001E-3</v>
      </c>
      <c r="AQ185">
        <v>3.2320000000000001E-3</v>
      </c>
      <c r="AR185">
        <v>3.2320000000000001E-3</v>
      </c>
      <c r="AS185">
        <v>3.2320000000000001E-3</v>
      </c>
      <c r="AT185">
        <v>3.2320000000000001E-3</v>
      </c>
      <c r="AU185">
        <v>4.385E-3</v>
      </c>
      <c r="AV185">
        <v>4.385E-3</v>
      </c>
      <c r="AW185">
        <v>4.385E-3</v>
      </c>
      <c r="AX185">
        <v>4.385E-3</v>
      </c>
      <c r="AY185">
        <v>4.385E-3</v>
      </c>
      <c r="AZ185">
        <v>6.3994999999999998E-3</v>
      </c>
      <c r="BA185">
        <v>6.3994999999999998E-3</v>
      </c>
      <c r="BB185">
        <v>6.3994999999999998E-3</v>
      </c>
      <c r="BC185">
        <v>6.3994999999999998E-3</v>
      </c>
      <c r="BD185">
        <v>6.3994999999999998E-3</v>
      </c>
      <c r="BE185">
        <v>9.9124999999999994E-3</v>
      </c>
      <c r="BF185">
        <v>9.9124999999999994E-3</v>
      </c>
      <c r="BG185">
        <v>9.9124999999999994E-3</v>
      </c>
      <c r="BH185">
        <v>9.9124999999999994E-3</v>
      </c>
      <c r="BI185">
        <v>9.9124999999999994E-3</v>
      </c>
      <c r="BJ185">
        <v>1.4874500000000001E-2</v>
      </c>
      <c r="BK185">
        <v>1.4874500000000001E-2</v>
      </c>
      <c r="BL185">
        <v>1.4874500000000001E-2</v>
      </c>
      <c r="BM185">
        <v>1.4874500000000001E-2</v>
      </c>
      <c r="BN185">
        <v>1.4874500000000001E-2</v>
      </c>
      <c r="BO185">
        <v>2.4819999999999998E-2</v>
      </c>
      <c r="BP185">
        <v>2.4819999999999998E-2</v>
      </c>
      <c r="BQ185">
        <v>2.4819999999999998E-2</v>
      </c>
      <c r="BR185">
        <v>2.4819999999999998E-2</v>
      </c>
      <c r="BS185">
        <v>2.4819999999999998E-2</v>
      </c>
      <c r="BT185">
        <v>4.1898499999999998E-2</v>
      </c>
      <c r="BU185">
        <v>4.1898499999999998E-2</v>
      </c>
      <c r="BV185">
        <v>4.1898499999999998E-2</v>
      </c>
      <c r="BW185">
        <v>4.1898499999999998E-2</v>
      </c>
      <c r="BX185">
        <v>4.1898499999999998E-2</v>
      </c>
      <c r="BY185">
        <v>7.0750499999999994E-2</v>
      </c>
      <c r="BZ185">
        <v>7.0750499999999994E-2</v>
      </c>
      <c r="CA185">
        <v>7.0750499999999994E-2</v>
      </c>
      <c r="CB185">
        <v>7.0750499999999994E-2</v>
      </c>
      <c r="CC185">
        <v>7.0750499999999994E-2</v>
      </c>
      <c r="CD185">
        <v>0.11214150000000001</v>
      </c>
      <c r="CE185">
        <v>0.11214150000000001</v>
      </c>
      <c r="CF185">
        <v>0.11214150000000001</v>
      </c>
      <c r="CG185">
        <v>0.11214150000000001</v>
      </c>
      <c r="CH185">
        <v>0.11214150000000001</v>
      </c>
      <c r="CI185">
        <v>0.17494100000000001</v>
      </c>
      <c r="CJ185">
        <v>0.17494100000000001</v>
      </c>
      <c r="CK185">
        <v>0.17494100000000001</v>
      </c>
      <c r="CL185">
        <v>0.17494100000000001</v>
      </c>
      <c r="CM185">
        <v>0.17494100000000001</v>
      </c>
      <c r="CN185">
        <v>0.26328699999999999</v>
      </c>
      <c r="CO185">
        <v>0.26328699999999999</v>
      </c>
      <c r="CP185">
        <v>0.26328699999999999</v>
      </c>
      <c r="CQ185">
        <v>0.26328699999999999</v>
      </c>
      <c r="CR185">
        <v>0.26328699999999999</v>
      </c>
      <c r="CS185">
        <v>0.38262550000000001</v>
      </c>
      <c r="CT185">
        <v>0.38262550000000001</v>
      </c>
      <c r="CU185">
        <v>0.38262550000000001</v>
      </c>
      <c r="CV185">
        <v>0.38262550000000001</v>
      </c>
      <c r="CW185">
        <v>0.38262550000000001</v>
      </c>
      <c r="CX185">
        <v>1</v>
      </c>
    </row>
    <row r="186" spans="1:102" x14ac:dyDescent="0.25">
      <c r="A186" t="s">
        <v>437</v>
      </c>
      <c r="B186">
        <v>9.7912499999999996E-3</v>
      </c>
      <c r="C186">
        <v>3.5649999999999999E-4</v>
      </c>
      <c r="D186">
        <v>3.5649999999999999E-4</v>
      </c>
      <c r="E186">
        <v>3.5649999999999999E-4</v>
      </c>
      <c r="F186">
        <v>3.5649999999999999E-4</v>
      </c>
      <c r="G186">
        <v>1.7899999999999999E-4</v>
      </c>
      <c r="H186">
        <v>1.7899999999999999E-4</v>
      </c>
      <c r="I186">
        <v>1.7899999999999999E-4</v>
      </c>
      <c r="J186">
        <v>1.7899999999999999E-4</v>
      </c>
      <c r="K186">
        <v>1.7899999999999999E-4</v>
      </c>
      <c r="L186">
        <v>1.8075E-4</v>
      </c>
      <c r="M186">
        <v>1.8075E-4</v>
      </c>
      <c r="N186">
        <v>1.8075E-4</v>
      </c>
      <c r="O186">
        <v>1.8075E-4</v>
      </c>
      <c r="P186">
        <v>1.8075E-4</v>
      </c>
      <c r="Q186">
        <v>3.0775000000000003E-4</v>
      </c>
      <c r="R186">
        <v>3.0775000000000003E-4</v>
      </c>
      <c r="S186">
        <v>3.0775000000000003E-4</v>
      </c>
      <c r="T186">
        <v>3.0775000000000003E-4</v>
      </c>
      <c r="U186">
        <v>3.0775000000000003E-4</v>
      </c>
      <c r="V186">
        <v>4.2025E-4</v>
      </c>
      <c r="W186">
        <v>4.2025E-4</v>
      </c>
      <c r="X186">
        <v>4.2025E-4</v>
      </c>
      <c r="Y186">
        <v>4.2025E-4</v>
      </c>
      <c r="Z186">
        <v>4.2025E-4</v>
      </c>
      <c r="AA186">
        <v>5.2674999999999998E-4</v>
      </c>
      <c r="AB186">
        <v>5.2674999999999998E-4</v>
      </c>
      <c r="AC186">
        <v>5.2674999999999998E-4</v>
      </c>
      <c r="AD186">
        <v>5.2674999999999998E-4</v>
      </c>
      <c r="AE186">
        <v>5.2674999999999998E-4</v>
      </c>
      <c r="AF186">
        <v>7.3850000000000001E-4</v>
      </c>
      <c r="AG186">
        <v>7.3850000000000001E-4</v>
      </c>
      <c r="AH186">
        <v>7.3850000000000001E-4</v>
      </c>
      <c r="AI186">
        <v>7.3850000000000001E-4</v>
      </c>
      <c r="AJ186">
        <v>7.3850000000000001E-4</v>
      </c>
      <c r="AK186">
        <v>1.0690000000000001E-3</v>
      </c>
      <c r="AL186">
        <v>1.0690000000000001E-3</v>
      </c>
      <c r="AM186">
        <v>1.0690000000000001E-3</v>
      </c>
      <c r="AN186">
        <v>1.0690000000000001E-3</v>
      </c>
      <c r="AO186">
        <v>1.0690000000000001E-3</v>
      </c>
      <c r="AP186">
        <v>1.622E-3</v>
      </c>
      <c r="AQ186">
        <v>1.622E-3</v>
      </c>
      <c r="AR186">
        <v>1.622E-3</v>
      </c>
      <c r="AS186">
        <v>1.622E-3</v>
      </c>
      <c r="AT186">
        <v>1.622E-3</v>
      </c>
      <c r="AU186">
        <v>2.5685E-3</v>
      </c>
      <c r="AV186">
        <v>2.5685E-3</v>
      </c>
      <c r="AW186">
        <v>2.5685E-3</v>
      </c>
      <c r="AX186">
        <v>2.5685E-3</v>
      </c>
      <c r="AY186">
        <v>2.5685E-3</v>
      </c>
      <c r="AZ186">
        <v>4.117E-3</v>
      </c>
      <c r="BA186">
        <v>4.117E-3</v>
      </c>
      <c r="BB186">
        <v>4.117E-3</v>
      </c>
      <c r="BC186">
        <v>4.117E-3</v>
      </c>
      <c r="BD186">
        <v>4.117E-3</v>
      </c>
      <c r="BE186">
        <v>6.4475000000000001E-3</v>
      </c>
      <c r="BF186">
        <v>6.4475000000000001E-3</v>
      </c>
      <c r="BG186">
        <v>6.4475000000000001E-3</v>
      </c>
      <c r="BH186">
        <v>6.4475000000000001E-3</v>
      </c>
      <c r="BI186">
        <v>6.4475000000000001E-3</v>
      </c>
      <c r="BJ186">
        <v>9.7327500000000001E-3</v>
      </c>
      <c r="BK186">
        <v>9.7327500000000001E-3</v>
      </c>
      <c r="BL186">
        <v>9.7327500000000001E-3</v>
      </c>
      <c r="BM186">
        <v>9.7327500000000001E-3</v>
      </c>
      <c r="BN186">
        <v>9.7327500000000001E-3</v>
      </c>
      <c r="BO186">
        <v>1.5950249999999999E-2</v>
      </c>
      <c r="BP186">
        <v>1.5950249999999999E-2</v>
      </c>
      <c r="BQ186">
        <v>1.5950249999999999E-2</v>
      </c>
      <c r="BR186">
        <v>1.5950249999999999E-2</v>
      </c>
      <c r="BS186">
        <v>1.5950249999999999E-2</v>
      </c>
      <c r="BT186">
        <v>2.6643500000000001E-2</v>
      </c>
      <c r="BU186">
        <v>2.6643500000000001E-2</v>
      </c>
      <c r="BV186">
        <v>2.6643500000000001E-2</v>
      </c>
      <c r="BW186">
        <v>2.6643500000000001E-2</v>
      </c>
      <c r="BX186">
        <v>2.6643500000000001E-2</v>
      </c>
      <c r="BY186">
        <v>4.6877250000000002E-2</v>
      </c>
      <c r="BZ186">
        <v>4.6877250000000002E-2</v>
      </c>
      <c r="CA186">
        <v>4.6877250000000002E-2</v>
      </c>
      <c r="CB186">
        <v>4.6877250000000002E-2</v>
      </c>
      <c r="CC186">
        <v>4.6877250000000002E-2</v>
      </c>
      <c r="CD186">
        <v>8.3014249999999998E-2</v>
      </c>
      <c r="CE186">
        <v>8.3014249999999998E-2</v>
      </c>
      <c r="CF186">
        <v>8.3014249999999998E-2</v>
      </c>
      <c r="CG186">
        <v>8.3014249999999998E-2</v>
      </c>
      <c r="CH186">
        <v>8.3014249999999998E-2</v>
      </c>
      <c r="CI186">
        <v>0.14132575</v>
      </c>
      <c r="CJ186">
        <v>0.14132575</v>
      </c>
      <c r="CK186">
        <v>0.14132575</v>
      </c>
      <c r="CL186">
        <v>0.14132575</v>
      </c>
      <c r="CM186">
        <v>0.14132575</v>
      </c>
      <c r="CN186">
        <v>0.22859225</v>
      </c>
      <c r="CO186">
        <v>0.22859225</v>
      </c>
      <c r="CP186">
        <v>0.22859225</v>
      </c>
      <c r="CQ186">
        <v>0.22859225</v>
      </c>
      <c r="CR186">
        <v>0.22859225</v>
      </c>
      <c r="CS186">
        <v>0.34928749999999997</v>
      </c>
      <c r="CT186">
        <v>0.34928749999999997</v>
      </c>
      <c r="CU186">
        <v>0.34928749999999997</v>
      </c>
      <c r="CV186">
        <v>0.34928749999999997</v>
      </c>
      <c r="CW186">
        <v>0.34928749999999997</v>
      </c>
      <c r="CX186">
        <v>1</v>
      </c>
    </row>
    <row r="187" spans="1:102" x14ac:dyDescent="0.25">
      <c r="A187" t="s">
        <v>439</v>
      </c>
      <c r="B187">
        <v>6.1199999999999996E-3</v>
      </c>
      <c r="C187">
        <v>2.5000000000000001E-4</v>
      </c>
      <c r="D187">
        <v>2.5000000000000001E-4</v>
      </c>
      <c r="E187">
        <v>2.5000000000000001E-4</v>
      </c>
      <c r="F187">
        <v>2.5000000000000001E-4</v>
      </c>
      <c r="G187">
        <v>1.2E-4</v>
      </c>
      <c r="H187">
        <v>1.2E-4</v>
      </c>
      <c r="I187">
        <v>1.2E-4</v>
      </c>
      <c r="J187">
        <v>1.2E-4</v>
      </c>
      <c r="K187">
        <v>1.2E-4</v>
      </c>
      <c r="L187">
        <v>1.3999999999999999E-4</v>
      </c>
      <c r="M187">
        <v>1.3999999999999999E-4</v>
      </c>
      <c r="N187">
        <v>1.3999999999999999E-4</v>
      </c>
      <c r="O187">
        <v>1.3999999999999999E-4</v>
      </c>
      <c r="P187">
        <v>1.3999999999999999E-4</v>
      </c>
      <c r="Q187">
        <v>3.5E-4</v>
      </c>
      <c r="R187">
        <v>3.5E-4</v>
      </c>
      <c r="S187">
        <v>3.5E-4</v>
      </c>
      <c r="T187">
        <v>3.5E-4</v>
      </c>
      <c r="U187">
        <v>3.5E-4</v>
      </c>
      <c r="V187">
        <v>4.6999999999999999E-4</v>
      </c>
      <c r="W187">
        <v>4.6999999999999999E-4</v>
      </c>
      <c r="X187">
        <v>4.6999999999999999E-4</v>
      </c>
      <c r="Y187">
        <v>4.6999999999999999E-4</v>
      </c>
      <c r="Z187">
        <v>4.6999999999999999E-4</v>
      </c>
      <c r="AA187">
        <v>5.5999999999999995E-4</v>
      </c>
      <c r="AB187">
        <v>5.5999999999999995E-4</v>
      </c>
      <c r="AC187">
        <v>5.5999999999999995E-4</v>
      </c>
      <c r="AD187">
        <v>5.5999999999999995E-4</v>
      </c>
      <c r="AE187">
        <v>5.5999999999999995E-4</v>
      </c>
      <c r="AF187">
        <v>7.1000000000000002E-4</v>
      </c>
      <c r="AG187">
        <v>7.1000000000000002E-4</v>
      </c>
      <c r="AH187">
        <v>7.1000000000000002E-4</v>
      </c>
      <c r="AI187">
        <v>7.1000000000000002E-4</v>
      </c>
      <c r="AJ187">
        <v>7.1000000000000002E-4</v>
      </c>
      <c r="AK187">
        <v>1.0499999999999999E-3</v>
      </c>
      <c r="AL187">
        <v>1.0499999999999999E-3</v>
      </c>
      <c r="AM187">
        <v>1.0499999999999999E-3</v>
      </c>
      <c r="AN187">
        <v>1.0499999999999999E-3</v>
      </c>
      <c r="AO187">
        <v>1.0499999999999999E-3</v>
      </c>
      <c r="AP187">
        <v>1.64E-3</v>
      </c>
      <c r="AQ187">
        <v>1.64E-3</v>
      </c>
      <c r="AR187">
        <v>1.64E-3</v>
      </c>
      <c r="AS187">
        <v>1.64E-3</v>
      </c>
      <c r="AT187">
        <v>1.64E-3</v>
      </c>
      <c r="AU187">
        <v>2.5400000000000002E-3</v>
      </c>
      <c r="AV187">
        <v>2.5400000000000002E-3</v>
      </c>
      <c r="AW187">
        <v>2.5400000000000002E-3</v>
      </c>
      <c r="AX187">
        <v>2.5400000000000002E-3</v>
      </c>
      <c r="AY187">
        <v>2.5400000000000002E-3</v>
      </c>
      <c r="AZ187">
        <v>3.7000000000000002E-3</v>
      </c>
      <c r="BA187">
        <v>3.7000000000000002E-3</v>
      </c>
      <c r="BB187">
        <v>3.7000000000000002E-3</v>
      </c>
      <c r="BC187">
        <v>3.7000000000000002E-3</v>
      </c>
      <c r="BD187">
        <v>3.7000000000000002E-3</v>
      </c>
      <c r="BE187">
        <v>5.3299999999999997E-3</v>
      </c>
      <c r="BF187">
        <v>5.3299999999999997E-3</v>
      </c>
      <c r="BG187">
        <v>5.3299999999999997E-3</v>
      </c>
      <c r="BH187">
        <v>5.3299999999999997E-3</v>
      </c>
      <c r="BI187">
        <v>5.3299999999999997E-3</v>
      </c>
      <c r="BJ187">
        <v>8.1700000000000002E-3</v>
      </c>
      <c r="BK187">
        <v>8.1700000000000002E-3</v>
      </c>
      <c r="BL187">
        <v>8.1700000000000002E-3</v>
      </c>
      <c r="BM187">
        <v>8.1700000000000002E-3</v>
      </c>
      <c r="BN187">
        <v>8.1700000000000002E-3</v>
      </c>
      <c r="BO187">
        <v>1.2829999999999999E-2</v>
      </c>
      <c r="BP187">
        <v>1.2829999999999999E-2</v>
      </c>
      <c r="BQ187">
        <v>1.2829999999999999E-2</v>
      </c>
      <c r="BR187">
        <v>1.2829999999999999E-2</v>
      </c>
      <c r="BS187">
        <v>1.2829999999999999E-2</v>
      </c>
      <c r="BT187">
        <v>2.0109999999999999E-2</v>
      </c>
      <c r="BU187">
        <v>2.0109999999999999E-2</v>
      </c>
      <c r="BV187">
        <v>2.0109999999999999E-2</v>
      </c>
      <c r="BW187">
        <v>2.0109999999999999E-2</v>
      </c>
      <c r="BX187">
        <v>2.0109999999999999E-2</v>
      </c>
      <c r="BY187">
        <v>3.2500000000000001E-2</v>
      </c>
      <c r="BZ187">
        <v>3.2500000000000001E-2</v>
      </c>
      <c r="CA187">
        <v>3.2500000000000001E-2</v>
      </c>
      <c r="CB187">
        <v>3.2500000000000001E-2</v>
      </c>
      <c r="CC187">
        <v>3.2500000000000001E-2</v>
      </c>
      <c r="CD187">
        <v>5.4379999999999998E-2</v>
      </c>
      <c r="CE187">
        <v>5.4379999999999998E-2</v>
      </c>
      <c r="CF187">
        <v>5.4379999999999998E-2</v>
      </c>
      <c r="CG187">
        <v>5.4379999999999998E-2</v>
      </c>
      <c r="CH187">
        <v>5.4379999999999998E-2</v>
      </c>
      <c r="CI187">
        <v>9.0829999999999994E-2</v>
      </c>
      <c r="CJ187">
        <v>9.0829999999999994E-2</v>
      </c>
      <c r="CK187">
        <v>9.0829999999999994E-2</v>
      </c>
      <c r="CL187">
        <v>9.0829999999999994E-2</v>
      </c>
      <c r="CM187">
        <v>9.0829999999999994E-2</v>
      </c>
      <c r="CN187">
        <v>0.15139</v>
      </c>
      <c r="CO187">
        <v>0.15139</v>
      </c>
      <c r="CP187">
        <v>0.15139</v>
      </c>
      <c r="CQ187">
        <v>0.15139</v>
      </c>
      <c r="CR187">
        <v>0.15139</v>
      </c>
      <c r="CS187">
        <v>0.25180999999999998</v>
      </c>
      <c r="CT187">
        <v>0.25180999999999998</v>
      </c>
      <c r="CU187">
        <v>0.25180999999999998</v>
      </c>
      <c r="CV187">
        <v>0.25180999999999998</v>
      </c>
      <c r="CW187">
        <v>0.25180999999999998</v>
      </c>
      <c r="CX187">
        <v>1</v>
      </c>
    </row>
    <row r="188" spans="1:102" x14ac:dyDescent="0.25">
      <c r="A188" t="s">
        <v>441</v>
      </c>
      <c r="B188">
        <v>1.0240000000000001E-2</v>
      </c>
      <c r="C188">
        <v>4.4000000000000002E-4</v>
      </c>
      <c r="D188">
        <v>4.4000000000000002E-4</v>
      </c>
      <c r="E188">
        <v>4.4000000000000002E-4</v>
      </c>
      <c r="F188">
        <v>4.4000000000000002E-4</v>
      </c>
      <c r="G188">
        <v>2.5000000000000001E-4</v>
      </c>
      <c r="H188">
        <v>2.5000000000000001E-4</v>
      </c>
      <c r="I188">
        <v>2.5000000000000001E-4</v>
      </c>
      <c r="J188">
        <v>2.5000000000000001E-4</v>
      </c>
      <c r="K188">
        <v>2.5000000000000001E-4</v>
      </c>
      <c r="L188">
        <v>1.8000000000000001E-4</v>
      </c>
      <c r="M188">
        <v>1.8000000000000001E-4</v>
      </c>
      <c r="N188">
        <v>1.8000000000000001E-4</v>
      </c>
      <c r="O188">
        <v>1.8000000000000001E-4</v>
      </c>
      <c r="P188">
        <v>1.8000000000000001E-4</v>
      </c>
      <c r="Q188">
        <v>3.6999999999999999E-4</v>
      </c>
      <c r="R188">
        <v>3.6999999999999999E-4</v>
      </c>
      <c r="S188">
        <v>3.6999999999999999E-4</v>
      </c>
      <c r="T188">
        <v>3.6999999999999999E-4</v>
      </c>
      <c r="U188">
        <v>3.6999999999999999E-4</v>
      </c>
      <c r="V188">
        <v>4.0999999999999999E-4</v>
      </c>
      <c r="W188">
        <v>4.0999999999999999E-4</v>
      </c>
      <c r="X188">
        <v>4.0999999999999999E-4</v>
      </c>
      <c r="Y188">
        <v>4.0999999999999999E-4</v>
      </c>
      <c r="Z188">
        <v>4.0999999999999999E-4</v>
      </c>
      <c r="AA188">
        <v>5.5000000000000003E-4</v>
      </c>
      <c r="AB188">
        <v>5.5000000000000003E-4</v>
      </c>
      <c r="AC188">
        <v>5.5000000000000003E-4</v>
      </c>
      <c r="AD188">
        <v>5.5000000000000003E-4</v>
      </c>
      <c r="AE188">
        <v>5.5000000000000003E-4</v>
      </c>
      <c r="AF188">
        <v>7.9000000000000001E-4</v>
      </c>
      <c r="AG188">
        <v>7.9000000000000001E-4</v>
      </c>
      <c r="AH188">
        <v>7.9000000000000001E-4</v>
      </c>
      <c r="AI188">
        <v>7.9000000000000001E-4</v>
      </c>
      <c r="AJ188">
        <v>7.9000000000000001E-4</v>
      </c>
      <c r="AK188">
        <v>9.7000000000000005E-4</v>
      </c>
      <c r="AL188">
        <v>9.7000000000000005E-4</v>
      </c>
      <c r="AM188">
        <v>9.7000000000000005E-4</v>
      </c>
      <c r="AN188">
        <v>9.7000000000000005E-4</v>
      </c>
      <c r="AO188">
        <v>9.7000000000000005E-4</v>
      </c>
      <c r="AP188">
        <v>1.7099999999999999E-3</v>
      </c>
      <c r="AQ188">
        <v>1.7099999999999999E-3</v>
      </c>
      <c r="AR188">
        <v>1.7099999999999999E-3</v>
      </c>
      <c r="AS188">
        <v>1.7099999999999999E-3</v>
      </c>
      <c r="AT188">
        <v>1.7099999999999999E-3</v>
      </c>
      <c r="AU188">
        <v>2.48E-3</v>
      </c>
      <c r="AV188">
        <v>2.48E-3</v>
      </c>
      <c r="AW188">
        <v>2.48E-3</v>
      </c>
      <c r="AX188">
        <v>2.48E-3</v>
      </c>
      <c r="AY188">
        <v>2.48E-3</v>
      </c>
      <c r="AZ188">
        <v>3.9199999999999999E-3</v>
      </c>
      <c r="BA188">
        <v>3.9199999999999999E-3</v>
      </c>
      <c r="BB188">
        <v>3.9199999999999999E-3</v>
      </c>
      <c r="BC188">
        <v>3.9199999999999999E-3</v>
      </c>
      <c r="BD188">
        <v>3.9199999999999999E-3</v>
      </c>
      <c r="BE188">
        <v>6.3299999999999997E-3</v>
      </c>
      <c r="BF188">
        <v>6.3299999999999997E-3</v>
      </c>
      <c r="BG188">
        <v>6.3299999999999997E-3</v>
      </c>
      <c r="BH188">
        <v>6.3299999999999997E-3</v>
      </c>
      <c r="BI188">
        <v>6.3299999999999997E-3</v>
      </c>
      <c r="BJ188">
        <v>8.1200000000000005E-3</v>
      </c>
      <c r="BK188">
        <v>8.1200000000000005E-3</v>
      </c>
      <c r="BL188">
        <v>8.1200000000000005E-3</v>
      </c>
      <c r="BM188">
        <v>8.1200000000000005E-3</v>
      </c>
      <c r="BN188">
        <v>8.1200000000000005E-3</v>
      </c>
      <c r="BO188">
        <v>1.363E-2</v>
      </c>
      <c r="BP188">
        <v>1.363E-2</v>
      </c>
      <c r="BQ188">
        <v>1.363E-2</v>
      </c>
      <c r="BR188">
        <v>1.363E-2</v>
      </c>
      <c r="BS188">
        <v>1.363E-2</v>
      </c>
      <c r="BT188">
        <v>2.0979999999999999E-2</v>
      </c>
      <c r="BU188">
        <v>2.0979999999999999E-2</v>
      </c>
      <c r="BV188">
        <v>2.0979999999999999E-2</v>
      </c>
      <c r="BW188">
        <v>2.0979999999999999E-2</v>
      </c>
      <c r="BX188">
        <v>2.0979999999999999E-2</v>
      </c>
      <c r="BY188">
        <v>4.0759999999999998E-2</v>
      </c>
      <c r="BZ188">
        <v>4.0759999999999998E-2</v>
      </c>
      <c r="CA188">
        <v>4.0759999999999998E-2</v>
      </c>
      <c r="CB188">
        <v>4.0759999999999998E-2</v>
      </c>
      <c r="CC188">
        <v>4.0759999999999998E-2</v>
      </c>
      <c r="CD188">
        <v>6.9150000000000003E-2</v>
      </c>
      <c r="CE188">
        <v>6.9150000000000003E-2</v>
      </c>
      <c r="CF188">
        <v>6.9150000000000003E-2</v>
      </c>
      <c r="CG188">
        <v>6.9150000000000003E-2</v>
      </c>
      <c r="CH188">
        <v>6.9150000000000003E-2</v>
      </c>
      <c r="CI188">
        <v>0.11477999999999999</v>
      </c>
      <c r="CJ188">
        <v>0.11477999999999999</v>
      </c>
      <c r="CK188">
        <v>0.11477999999999999</v>
      </c>
      <c r="CL188">
        <v>0.11477999999999999</v>
      </c>
      <c r="CM188">
        <v>0.11477999999999999</v>
      </c>
      <c r="CN188">
        <v>0.18642</v>
      </c>
      <c r="CO188">
        <v>0.18642</v>
      </c>
      <c r="CP188">
        <v>0.18642</v>
      </c>
      <c r="CQ188">
        <v>0.18642</v>
      </c>
      <c r="CR188">
        <v>0.18642</v>
      </c>
      <c r="CS188">
        <v>0.29625000000000001</v>
      </c>
      <c r="CT188">
        <v>0.29625000000000001</v>
      </c>
      <c r="CU188">
        <v>0.29625000000000001</v>
      </c>
      <c r="CV188">
        <v>0.29625000000000001</v>
      </c>
      <c r="CW188">
        <v>0.29625000000000001</v>
      </c>
      <c r="CX188">
        <v>1</v>
      </c>
    </row>
    <row r="189" spans="1:102" x14ac:dyDescent="0.25">
      <c r="A189" t="s">
        <v>443</v>
      </c>
      <c r="B189">
        <v>3.0509999999999999E-2</v>
      </c>
      <c r="C189">
        <v>1.24E-3</v>
      </c>
      <c r="D189">
        <v>1.24E-3</v>
      </c>
      <c r="E189">
        <v>1.24E-3</v>
      </c>
      <c r="F189">
        <v>1.24E-3</v>
      </c>
      <c r="G189">
        <v>2.7999999999999998E-4</v>
      </c>
      <c r="H189">
        <v>2.7999999999999998E-4</v>
      </c>
      <c r="I189">
        <v>2.7999999999999998E-4</v>
      </c>
      <c r="J189">
        <v>2.7999999999999998E-4</v>
      </c>
      <c r="K189">
        <v>2.7999999999999998E-4</v>
      </c>
      <c r="L189">
        <v>2.9999999999999997E-4</v>
      </c>
      <c r="M189">
        <v>2.9999999999999997E-4</v>
      </c>
      <c r="N189">
        <v>2.9999999999999997E-4</v>
      </c>
      <c r="O189">
        <v>2.9999999999999997E-4</v>
      </c>
      <c r="P189">
        <v>2.9999999999999997E-4</v>
      </c>
      <c r="Q189">
        <v>4.2999999999999999E-4</v>
      </c>
      <c r="R189">
        <v>4.2999999999999999E-4</v>
      </c>
      <c r="S189">
        <v>4.2999999999999999E-4</v>
      </c>
      <c r="T189">
        <v>4.2999999999999999E-4</v>
      </c>
      <c r="U189">
        <v>4.2999999999999999E-4</v>
      </c>
      <c r="V189">
        <v>8.0000000000000004E-4</v>
      </c>
      <c r="W189">
        <v>8.0000000000000004E-4</v>
      </c>
      <c r="X189">
        <v>8.0000000000000004E-4</v>
      </c>
      <c r="Y189">
        <v>8.0000000000000004E-4</v>
      </c>
      <c r="Z189">
        <v>8.0000000000000004E-4</v>
      </c>
      <c r="AA189">
        <v>1.1199999999999999E-3</v>
      </c>
      <c r="AB189">
        <v>1.1199999999999999E-3</v>
      </c>
      <c r="AC189">
        <v>1.1199999999999999E-3</v>
      </c>
      <c r="AD189">
        <v>1.1199999999999999E-3</v>
      </c>
      <c r="AE189">
        <v>1.1199999999999999E-3</v>
      </c>
      <c r="AF189">
        <v>1.39E-3</v>
      </c>
      <c r="AG189">
        <v>1.39E-3</v>
      </c>
      <c r="AH189">
        <v>1.39E-3</v>
      </c>
      <c r="AI189">
        <v>1.39E-3</v>
      </c>
      <c r="AJ189">
        <v>1.39E-3</v>
      </c>
      <c r="AK189">
        <v>1.7700000000000001E-3</v>
      </c>
      <c r="AL189">
        <v>1.7700000000000001E-3</v>
      </c>
      <c r="AM189">
        <v>1.7700000000000001E-3</v>
      </c>
      <c r="AN189">
        <v>1.7700000000000001E-3</v>
      </c>
      <c r="AO189">
        <v>1.7700000000000001E-3</v>
      </c>
      <c r="AP189">
        <v>2.48E-3</v>
      </c>
      <c r="AQ189">
        <v>2.48E-3</v>
      </c>
      <c r="AR189">
        <v>2.48E-3</v>
      </c>
      <c r="AS189">
        <v>2.48E-3</v>
      </c>
      <c r="AT189">
        <v>2.48E-3</v>
      </c>
      <c r="AU189">
        <v>3.8500000000000001E-3</v>
      </c>
      <c r="AV189">
        <v>3.8500000000000001E-3</v>
      </c>
      <c r="AW189">
        <v>3.8500000000000001E-3</v>
      </c>
      <c r="AX189">
        <v>3.8500000000000001E-3</v>
      </c>
      <c r="AY189">
        <v>3.8500000000000001E-3</v>
      </c>
      <c r="AZ189">
        <v>6.3299999999999997E-3</v>
      </c>
      <c r="BA189">
        <v>6.3299999999999997E-3</v>
      </c>
      <c r="BB189">
        <v>6.3299999999999997E-3</v>
      </c>
      <c r="BC189">
        <v>6.3299999999999997E-3</v>
      </c>
      <c r="BD189">
        <v>6.3299999999999997E-3</v>
      </c>
      <c r="BE189">
        <v>1.187E-2</v>
      </c>
      <c r="BF189">
        <v>1.187E-2</v>
      </c>
      <c r="BG189">
        <v>1.187E-2</v>
      </c>
      <c r="BH189">
        <v>1.187E-2</v>
      </c>
      <c r="BI189">
        <v>1.187E-2</v>
      </c>
      <c r="BJ189">
        <v>1.9910000000000001E-2</v>
      </c>
      <c r="BK189">
        <v>1.9910000000000001E-2</v>
      </c>
      <c r="BL189">
        <v>1.9910000000000001E-2</v>
      </c>
      <c r="BM189">
        <v>1.9910000000000001E-2</v>
      </c>
      <c r="BN189">
        <v>1.9910000000000001E-2</v>
      </c>
      <c r="BO189">
        <v>3.211E-2</v>
      </c>
      <c r="BP189">
        <v>3.211E-2</v>
      </c>
      <c r="BQ189">
        <v>3.211E-2</v>
      </c>
      <c r="BR189">
        <v>3.211E-2</v>
      </c>
      <c r="BS189">
        <v>3.211E-2</v>
      </c>
      <c r="BT189">
        <v>5.407E-2</v>
      </c>
      <c r="BU189">
        <v>5.407E-2</v>
      </c>
      <c r="BV189">
        <v>5.407E-2</v>
      </c>
      <c r="BW189">
        <v>5.407E-2</v>
      </c>
      <c r="BX189">
        <v>5.407E-2</v>
      </c>
      <c r="BY189">
        <v>8.3220000000000002E-2</v>
      </c>
      <c r="BZ189">
        <v>8.3220000000000002E-2</v>
      </c>
      <c r="CA189">
        <v>8.3220000000000002E-2</v>
      </c>
      <c r="CB189">
        <v>8.3220000000000002E-2</v>
      </c>
      <c r="CC189">
        <v>8.3220000000000002E-2</v>
      </c>
      <c r="CD189">
        <v>0.10965999999999999</v>
      </c>
      <c r="CE189">
        <v>0.10965999999999999</v>
      </c>
      <c r="CF189">
        <v>0.10965999999999999</v>
      </c>
      <c r="CG189">
        <v>0.10965999999999999</v>
      </c>
      <c r="CH189">
        <v>0.10965999999999999</v>
      </c>
      <c r="CI189">
        <v>0.14974000000000001</v>
      </c>
      <c r="CJ189">
        <v>0.14974000000000001</v>
      </c>
      <c r="CK189">
        <v>0.14974000000000001</v>
      </c>
      <c r="CL189">
        <v>0.14974000000000001</v>
      </c>
      <c r="CM189">
        <v>0.14974000000000001</v>
      </c>
      <c r="CN189">
        <v>0.21187</v>
      </c>
      <c r="CO189">
        <v>0.21187</v>
      </c>
      <c r="CP189">
        <v>0.21187</v>
      </c>
      <c r="CQ189">
        <v>0.21187</v>
      </c>
      <c r="CR189">
        <v>0.21187</v>
      </c>
      <c r="CS189">
        <v>0.31065999999999999</v>
      </c>
      <c r="CT189">
        <v>0.31065999999999999</v>
      </c>
      <c r="CU189">
        <v>0.31065999999999999</v>
      </c>
      <c r="CV189">
        <v>0.31065999999999999</v>
      </c>
      <c r="CW189">
        <v>0.31065999999999999</v>
      </c>
      <c r="CX189">
        <v>1</v>
      </c>
    </row>
    <row r="190" spans="1:102" x14ac:dyDescent="0.25">
      <c r="A190" t="s">
        <v>445</v>
      </c>
      <c r="B190">
        <v>1.451E-2</v>
      </c>
      <c r="C190">
        <v>6.4999999999999997E-4</v>
      </c>
      <c r="D190">
        <v>6.4999999999999997E-4</v>
      </c>
      <c r="E190">
        <v>6.4999999999999997E-4</v>
      </c>
      <c r="F190">
        <v>6.4999999999999997E-4</v>
      </c>
      <c r="G190">
        <v>4.4000000000000002E-4</v>
      </c>
      <c r="H190">
        <v>4.4000000000000002E-4</v>
      </c>
      <c r="I190">
        <v>4.4000000000000002E-4</v>
      </c>
      <c r="J190">
        <v>4.4000000000000002E-4</v>
      </c>
      <c r="K190">
        <v>4.4000000000000002E-4</v>
      </c>
      <c r="L190">
        <v>4.0999999999999999E-4</v>
      </c>
      <c r="M190">
        <v>4.0999999999999999E-4</v>
      </c>
      <c r="N190">
        <v>4.0999999999999999E-4</v>
      </c>
      <c r="O190">
        <v>4.0999999999999999E-4</v>
      </c>
      <c r="P190">
        <v>4.0999999999999999E-4</v>
      </c>
      <c r="Q190">
        <v>8.0999999999999996E-4</v>
      </c>
      <c r="R190">
        <v>8.0999999999999996E-4</v>
      </c>
      <c r="S190">
        <v>8.0999999999999996E-4</v>
      </c>
      <c r="T190">
        <v>8.0999999999999996E-4</v>
      </c>
      <c r="U190">
        <v>8.0999999999999996E-4</v>
      </c>
      <c r="V190">
        <v>1.01E-3</v>
      </c>
      <c r="W190">
        <v>1.01E-3</v>
      </c>
      <c r="X190">
        <v>1.01E-3</v>
      </c>
      <c r="Y190">
        <v>1.01E-3</v>
      </c>
      <c r="Z190">
        <v>1.01E-3</v>
      </c>
      <c r="AA190">
        <v>1.17E-3</v>
      </c>
      <c r="AB190">
        <v>1.17E-3</v>
      </c>
      <c r="AC190">
        <v>1.17E-3</v>
      </c>
      <c r="AD190">
        <v>1.17E-3</v>
      </c>
      <c r="AE190">
        <v>1.17E-3</v>
      </c>
      <c r="AF190">
        <v>1.5499999999999999E-3</v>
      </c>
      <c r="AG190">
        <v>1.5499999999999999E-3</v>
      </c>
      <c r="AH190">
        <v>1.5499999999999999E-3</v>
      </c>
      <c r="AI190">
        <v>1.5499999999999999E-3</v>
      </c>
      <c r="AJ190">
        <v>1.5499999999999999E-3</v>
      </c>
      <c r="AK190">
        <v>2.2899999999999999E-3</v>
      </c>
      <c r="AL190">
        <v>2.2899999999999999E-3</v>
      </c>
      <c r="AM190">
        <v>2.2899999999999999E-3</v>
      </c>
      <c r="AN190">
        <v>2.2899999999999999E-3</v>
      </c>
      <c r="AO190">
        <v>2.2899999999999999E-3</v>
      </c>
      <c r="AP190">
        <v>3.49E-3</v>
      </c>
      <c r="AQ190">
        <v>3.49E-3</v>
      </c>
      <c r="AR190">
        <v>3.49E-3</v>
      </c>
      <c r="AS190">
        <v>3.49E-3</v>
      </c>
      <c r="AT190">
        <v>3.49E-3</v>
      </c>
      <c r="AU190">
        <v>5.2700000000000004E-3</v>
      </c>
      <c r="AV190">
        <v>5.2700000000000004E-3</v>
      </c>
      <c r="AW190">
        <v>5.2700000000000004E-3</v>
      </c>
      <c r="AX190">
        <v>5.2700000000000004E-3</v>
      </c>
      <c r="AY190">
        <v>5.2700000000000004E-3</v>
      </c>
      <c r="AZ190">
        <v>7.8399999999999997E-3</v>
      </c>
      <c r="BA190">
        <v>7.8399999999999997E-3</v>
      </c>
      <c r="BB190">
        <v>7.8399999999999997E-3</v>
      </c>
      <c r="BC190">
        <v>7.8399999999999997E-3</v>
      </c>
      <c r="BD190">
        <v>7.8399999999999997E-3</v>
      </c>
      <c r="BE190">
        <v>1.1299999999999999E-2</v>
      </c>
      <c r="BF190">
        <v>1.1299999999999999E-2</v>
      </c>
      <c r="BG190">
        <v>1.1299999999999999E-2</v>
      </c>
      <c r="BH190">
        <v>1.1299999999999999E-2</v>
      </c>
      <c r="BI190">
        <v>1.1299999999999999E-2</v>
      </c>
      <c r="BJ190">
        <v>1.7139999999999999E-2</v>
      </c>
      <c r="BK190">
        <v>1.7139999999999999E-2</v>
      </c>
      <c r="BL190">
        <v>1.7139999999999999E-2</v>
      </c>
      <c r="BM190">
        <v>1.7139999999999999E-2</v>
      </c>
      <c r="BN190">
        <v>1.7139999999999999E-2</v>
      </c>
      <c r="BO190">
        <v>2.5780000000000001E-2</v>
      </c>
      <c r="BP190">
        <v>2.5780000000000001E-2</v>
      </c>
      <c r="BQ190">
        <v>2.5780000000000001E-2</v>
      </c>
      <c r="BR190">
        <v>2.5780000000000001E-2</v>
      </c>
      <c r="BS190">
        <v>2.5780000000000001E-2</v>
      </c>
      <c r="BT190">
        <v>4.1270000000000001E-2</v>
      </c>
      <c r="BU190">
        <v>4.1270000000000001E-2</v>
      </c>
      <c r="BV190">
        <v>4.1270000000000001E-2</v>
      </c>
      <c r="BW190">
        <v>4.1270000000000001E-2</v>
      </c>
      <c r="BX190">
        <v>4.1270000000000001E-2</v>
      </c>
      <c r="BY190">
        <v>6.6489999999999994E-2</v>
      </c>
      <c r="BZ190">
        <v>6.6489999999999994E-2</v>
      </c>
      <c r="CA190">
        <v>6.6489999999999994E-2</v>
      </c>
      <c r="CB190">
        <v>6.6489999999999994E-2</v>
      </c>
      <c r="CC190">
        <v>6.6489999999999994E-2</v>
      </c>
      <c r="CD190">
        <v>0.11074000000000001</v>
      </c>
      <c r="CE190">
        <v>0.11074000000000001</v>
      </c>
      <c r="CF190">
        <v>0.11074000000000001</v>
      </c>
      <c r="CG190">
        <v>0.11074000000000001</v>
      </c>
      <c r="CH190">
        <v>0.11074000000000001</v>
      </c>
      <c r="CI190">
        <v>0.1764</v>
      </c>
      <c r="CJ190">
        <v>0.1764</v>
      </c>
      <c r="CK190">
        <v>0.1764</v>
      </c>
      <c r="CL190">
        <v>0.1764</v>
      </c>
      <c r="CM190">
        <v>0.1764</v>
      </c>
      <c r="CN190">
        <v>0.26871</v>
      </c>
      <c r="CO190">
        <v>0.26871</v>
      </c>
      <c r="CP190">
        <v>0.26871</v>
      </c>
      <c r="CQ190">
        <v>0.26871</v>
      </c>
      <c r="CR190">
        <v>0.26871</v>
      </c>
      <c r="CS190">
        <v>0.39144000000000001</v>
      </c>
      <c r="CT190">
        <v>0.39144000000000001</v>
      </c>
      <c r="CU190">
        <v>0.39144000000000001</v>
      </c>
      <c r="CV190">
        <v>0.39144000000000001</v>
      </c>
      <c r="CW190">
        <v>0.39144000000000001</v>
      </c>
      <c r="CX190">
        <v>1</v>
      </c>
    </row>
    <row r="191" spans="1:102" x14ac:dyDescent="0.25">
      <c r="A191" t="s">
        <v>447</v>
      </c>
      <c r="B191">
        <v>1.3259999999999999E-2</v>
      </c>
      <c r="C191">
        <v>5.1999999999999995E-4</v>
      </c>
      <c r="D191">
        <v>5.1999999999999995E-4</v>
      </c>
      <c r="E191">
        <v>5.1999999999999995E-4</v>
      </c>
      <c r="F191">
        <v>5.1999999999999995E-4</v>
      </c>
      <c r="G191">
        <v>2.4000000000000001E-4</v>
      </c>
      <c r="H191">
        <v>2.4000000000000001E-4</v>
      </c>
      <c r="I191">
        <v>2.4000000000000001E-4</v>
      </c>
      <c r="J191">
        <v>2.4000000000000001E-4</v>
      </c>
      <c r="K191">
        <v>2.4000000000000001E-4</v>
      </c>
      <c r="L191">
        <v>3.1E-4</v>
      </c>
      <c r="M191">
        <v>3.1E-4</v>
      </c>
      <c r="N191">
        <v>3.1E-4</v>
      </c>
      <c r="O191">
        <v>3.1E-4</v>
      </c>
      <c r="P191">
        <v>3.1E-4</v>
      </c>
      <c r="Q191">
        <v>5.5999999999999995E-4</v>
      </c>
      <c r="R191">
        <v>5.5999999999999995E-4</v>
      </c>
      <c r="S191">
        <v>5.5999999999999995E-4</v>
      </c>
      <c r="T191">
        <v>5.5999999999999995E-4</v>
      </c>
      <c r="U191">
        <v>5.5999999999999995E-4</v>
      </c>
      <c r="V191">
        <v>6.7000000000000002E-4</v>
      </c>
      <c r="W191">
        <v>6.7000000000000002E-4</v>
      </c>
      <c r="X191">
        <v>6.7000000000000002E-4</v>
      </c>
      <c r="Y191">
        <v>6.7000000000000002E-4</v>
      </c>
      <c r="Z191">
        <v>6.7000000000000002E-4</v>
      </c>
      <c r="AA191">
        <v>8.1999999999999998E-4</v>
      </c>
      <c r="AB191">
        <v>8.1999999999999998E-4</v>
      </c>
      <c r="AC191">
        <v>8.1999999999999998E-4</v>
      </c>
      <c r="AD191">
        <v>8.1999999999999998E-4</v>
      </c>
      <c r="AE191">
        <v>8.1999999999999998E-4</v>
      </c>
      <c r="AF191">
        <v>1.0399999999999999E-3</v>
      </c>
      <c r="AG191">
        <v>1.0399999999999999E-3</v>
      </c>
      <c r="AH191">
        <v>1.0399999999999999E-3</v>
      </c>
      <c r="AI191">
        <v>1.0399999999999999E-3</v>
      </c>
      <c r="AJ191">
        <v>1.0399999999999999E-3</v>
      </c>
      <c r="AK191">
        <v>1.34E-3</v>
      </c>
      <c r="AL191">
        <v>1.34E-3</v>
      </c>
      <c r="AM191">
        <v>1.34E-3</v>
      </c>
      <c r="AN191">
        <v>1.34E-3</v>
      </c>
      <c r="AO191">
        <v>1.34E-3</v>
      </c>
      <c r="AP191">
        <v>1.7899999999999999E-3</v>
      </c>
      <c r="AQ191">
        <v>1.7899999999999999E-3</v>
      </c>
      <c r="AR191">
        <v>1.7899999999999999E-3</v>
      </c>
      <c r="AS191">
        <v>1.7899999999999999E-3</v>
      </c>
      <c r="AT191">
        <v>1.7899999999999999E-3</v>
      </c>
      <c r="AU191">
        <v>2.9199999999999999E-3</v>
      </c>
      <c r="AV191">
        <v>2.9199999999999999E-3</v>
      </c>
      <c r="AW191">
        <v>2.9199999999999999E-3</v>
      </c>
      <c r="AX191">
        <v>2.9199999999999999E-3</v>
      </c>
      <c r="AY191">
        <v>2.9199999999999999E-3</v>
      </c>
      <c r="AZ191">
        <v>4.28E-3</v>
      </c>
      <c r="BA191">
        <v>4.28E-3</v>
      </c>
      <c r="BB191">
        <v>4.28E-3</v>
      </c>
      <c r="BC191">
        <v>4.28E-3</v>
      </c>
      <c r="BD191">
        <v>4.28E-3</v>
      </c>
      <c r="BE191">
        <v>5.9199999999999999E-3</v>
      </c>
      <c r="BF191">
        <v>5.9199999999999999E-3</v>
      </c>
      <c r="BG191">
        <v>5.9199999999999999E-3</v>
      </c>
      <c r="BH191">
        <v>5.9199999999999999E-3</v>
      </c>
      <c r="BI191">
        <v>5.9199999999999999E-3</v>
      </c>
      <c r="BJ191">
        <v>8.5699999999999995E-3</v>
      </c>
      <c r="BK191">
        <v>8.5699999999999995E-3</v>
      </c>
      <c r="BL191">
        <v>8.5699999999999995E-3</v>
      </c>
      <c r="BM191">
        <v>8.5699999999999995E-3</v>
      </c>
      <c r="BN191">
        <v>8.5699999999999995E-3</v>
      </c>
      <c r="BO191">
        <v>1.3639999999999999E-2</v>
      </c>
      <c r="BP191">
        <v>1.3639999999999999E-2</v>
      </c>
      <c r="BQ191">
        <v>1.3639999999999999E-2</v>
      </c>
      <c r="BR191">
        <v>1.3639999999999999E-2</v>
      </c>
      <c r="BS191">
        <v>1.3639999999999999E-2</v>
      </c>
      <c r="BT191">
        <v>2.232E-2</v>
      </c>
      <c r="BU191">
        <v>2.232E-2</v>
      </c>
      <c r="BV191">
        <v>2.232E-2</v>
      </c>
      <c r="BW191">
        <v>2.232E-2</v>
      </c>
      <c r="BX191">
        <v>2.232E-2</v>
      </c>
      <c r="BY191">
        <v>3.5540000000000002E-2</v>
      </c>
      <c r="BZ191">
        <v>3.5540000000000002E-2</v>
      </c>
      <c r="CA191">
        <v>3.5540000000000002E-2</v>
      </c>
      <c r="CB191">
        <v>3.5540000000000002E-2</v>
      </c>
      <c r="CC191">
        <v>3.5540000000000002E-2</v>
      </c>
      <c r="CD191">
        <v>6.6820000000000004E-2</v>
      </c>
      <c r="CE191">
        <v>6.6820000000000004E-2</v>
      </c>
      <c r="CF191">
        <v>6.6820000000000004E-2</v>
      </c>
      <c r="CG191">
        <v>6.6820000000000004E-2</v>
      </c>
      <c r="CH191">
        <v>6.6820000000000004E-2</v>
      </c>
      <c r="CI191">
        <v>0.11899999999999999</v>
      </c>
      <c r="CJ191">
        <v>0.11899999999999999</v>
      </c>
      <c r="CK191">
        <v>0.11899999999999999</v>
      </c>
      <c r="CL191">
        <v>0.11899999999999999</v>
      </c>
      <c r="CM191">
        <v>0.11899999999999999</v>
      </c>
      <c r="CN191">
        <v>0.20072000000000001</v>
      </c>
      <c r="CO191">
        <v>0.20072000000000001</v>
      </c>
      <c r="CP191">
        <v>0.20072000000000001</v>
      </c>
      <c r="CQ191">
        <v>0.20072000000000001</v>
      </c>
      <c r="CR191">
        <v>0.20072000000000001</v>
      </c>
      <c r="CS191">
        <v>0.32068999999999998</v>
      </c>
      <c r="CT191">
        <v>0.32068999999999998</v>
      </c>
      <c r="CU191">
        <v>0.32068999999999998</v>
      </c>
      <c r="CV191">
        <v>0.32068999999999998</v>
      </c>
      <c r="CW191">
        <v>0.32068999999999998</v>
      </c>
      <c r="CX191">
        <v>1</v>
      </c>
    </row>
    <row r="192" spans="1:102" x14ac:dyDescent="0.25">
      <c r="A192" t="s">
        <v>449</v>
      </c>
      <c r="B192">
        <v>2.0070000000000001E-2</v>
      </c>
      <c r="C192">
        <v>7.2999999999999996E-4</v>
      </c>
      <c r="D192">
        <v>7.2999999999999996E-4</v>
      </c>
      <c r="E192">
        <v>7.2999999999999996E-4</v>
      </c>
      <c r="F192">
        <v>7.2999999999999996E-4</v>
      </c>
      <c r="G192">
        <v>3.8999999999999999E-4</v>
      </c>
      <c r="H192">
        <v>3.8999999999999999E-4</v>
      </c>
      <c r="I192">
        <v>3.8999999999999999E-4</v>
      </c>
      <c r="J192">
        <v>3.8999999999999999E-4</v>
      </c>
      <c r="K192">
        <v>3.8999999999999999E-4</v>
      </c>
      <c r="L192">
        <v>3.2000000000000003E-4</v>
      </c>
      <c r="M192">
        <v>3.2000000000000003E-4</v>
      </c>
      <c r="N192">
        <v>3.2000000000000003E-4</v>
      </c>
      <c r="O192">
        <v>3.2000000000000003E-4</v>
      </c>
      <c r="P192">
        <v>3.2000000000000003E-4</v>
      </c>
      <c r="Q192">
        <v>5.5000000000000003E-4</v>
      </c>
      <c r="R192">
        <v>5.5000000000000003E-4</v>
      </c>
      <c r="S192">
        <v>5.5000000000000003E-4</v>
      </c>
      <c r="T192">
        <v>5.5000000000000003E-4</v>
      </c>
      <c r="U192">
        <v>5.5000000000000003E-4</v>
      </c>
      <c r="V192">
        <v>6.6E-4</v>
      </c>
      <c r="W192">
        <v>6.6E-4</v>
      </c>
      <c r="X192">
        <v>6.6E-4</v>
      </c>
      <c r="Y192">
        <v>6.6E-4</v>
      </c>
      <c r="Z192">
        <v>6.6E-4</v>
      </c>
      <c r="AA192">
        <v>7.6999999999999996E-4</v>
      </c>
      <c r="AB192">
        <v>7.6999999999999996E-4</v>
      </c>
      <c r="AC192">
        <v>7.6999999999999996E-4</v>
      </c>
      <c r="AD192">
        <v>7.6999999999999996E-4</v>
      </c>
      <c r="AE192">
        <v>7.6999999999999996E-4</v>
      </c>
      <c r="AF192">
        <v>1.0200000000000001E-3</v>
      </c>
      <c r="AG192">
        <v>1.0200000000000001E-3</v>
      </c>
      <c r="AH192">
        <v>1.0200000000000001E-3</v>
      </c>
      <c r="AI192">
        <v>1.0200000000000001E-3</v>
      </c>
      <c r="AJ192">
        <v>1.0200000000000001E-3</v>
      </c>
      <c r="AK192">
        <v>1.4599999999999999E-3</v>
      </c>
      <c r="AL192">
        <v>1.4599999999999999E-3</v>
      </c>
      <c r="AM192">
        <v>1.4599999999999999E-3</v>
      </c>
      <c r="AN192">
        <v>1.4599999999999999E-3</v>
      </c>
      <c r="AO192">
        <v>1.4599999999999999E-3</v>
      </c>
      <c r="AP192">
        <v>2.1800000000000001E-3</v>
      </c>
      <c r="AQ192">
        <v>2.1800000000000001E-3</v>
      </c>
      <c r="AR192">
        <v>2.1800000000000001E-3</v>
      </c>
      <c r="AS192">
        <v>2.1800000000000001E-3</v>
      </c>
      <c r="AT192">
        <v>2.1800000000000001E-3</v>
      </c>
      <c r="AU192">
        <v>3.32E-3</v>
      </c>
      <c r="AV192">
        <v>3.32E-3</v>
      </c>
      <c r="AW192">
        <v>3.32E-3</v>
      </c>
      <c r="AX192">
        <v>3.32E-3</v>
      </c>
      <c r="AY192">
        <v>3.32E-3</v>
      </c>
      <c r="AZ192">
        <v>5.0499999999999998E-3</v>
      </c>
      <c r="BA192">
        <v>5.0499999999999998E-3</v>
      </c>
      <c r="BB192">
        <v>5.0499999999999998E-3</v>
      </c>
      <c r="BC192">
        <v>5.0499999999999998E-3</v>
      </c>
      <c r="BD192">
        <v>5.0499999999999998E-3</v>
      </c>
      <c r="BE192">
        <v>7.6600000000000001E-3</v>
      </c>
      <c r="BF192">
        <v>7.6600000000000001E-3</v>
      </c>
      <c r="BG192">
        <v>7.6600000000000001E-3</v>
      </c>
      <c r="BH192">
        <v>7.6600000000000001E-3</v>
      </c>
      <c r="BI192">
        <v>7.6600000000000001E-3</v>
      </c>
      <c r="BJ192">
        <v>1.221E-2</v>
      </c>
      <c r="BK192">
        <v>1.221E-2</v>
      </c>
      <c r="BL192">
        <v>1.221E-2</v>
      </c>
      <c r="BM192">
        <v>1.221E-2</v>
      </c>
      <c r="BN192">
        <v>1.221E-2</v>
      </c>
      <c r="BO192">
        <v>2.0199999999999999E-2</v>
      </c>
      <c r="BP192">
        <v>2.0199999999999999E-2</v>
      </c>
      <c r="BQ192">
        <v>2.0199999999999999E-2</v>
      </c>
      <c r="BR192">
        <v>2.0199999999999999E-2</v>
      </c>
      <c r="BS192">
        <v>2.0199999999999999E-2</v>
      </c>
      <c r="BT192">
        <v>3.5159999999999997E-2</v>
      </c>
      <c r="BU192">
        <v>3.5159999999999997E-2</v>
      </c>
      <c r="BV192">
        <v>3.5159999999999997E-2</v>
      </c>
      <c r="BW192">
        <v>3.5159999999999997E-2</v>
      </c>
      <c r="BX192">
        <v>3.5159999999999997E-2</v>
      </c>
      <c r="BY192">
        <v>6.1499999999999999E-2</v>
      </c>
      <c r="BZ192">
        <v>6.1499999999999999E-2</v>
      </c>
      <c r="CA192">
        <v>6.1499999999999999E-2</v>
      </c>
      <c r="CB192">
        <v>6.1499999999999999E-2</v>
      </c>
      <c r="CC192">
        <v>6.1499999999999999E-2</v>
      </c>
      <c r="CD192">
        <v>0.10686</v>
      </c>
      <c r="CE192">
        <v>0.10686</v>
      </c>
      <c r="CF192">
        <v>0.10686</v>
      </c>
      <c r="CG192">
        <v>0.10686</v>
      </c>
      <c r="CH192">
        <v>0.10686</v>
      </c>
      <c r="CI192">
        <v>0.17541000000000001</v>
      </c>
      <c r="CJ192">
        <v>0.17541000000000001</v>
      </c>
      <c r="CK192">
        <v>0.17541000000000001</v>
      </c>
      <c r="CL192">
        <v>0.17541000000000001</v>
      </c>
      <c r="CM192">
        <v>0.17541000000000001</v>
      </c>
      <c r="CN192">
        <v>0.27201999999999998</v>
      </c>
      <c r="CO192">
        <v>0.27201999999999998</v>
      </c>
      <c r="CP192">
        <v>0.27201999999999998</v>
      </c>
      <c r="CQ192">
        <v>0.27201999999999998</v>
      </c>
      <c r="CR192">
        <v>0.27201999999999998</v>
      </c>
      <c r="CS192">
        <v>0.39856000000000003</v>
      </c>
      <c r="CT192">
        <v>0.39856000000000003</v>
      </c>
      <c r="CU192">
        <v>0.39856000000000003</v>
      </c>
      <c r="CV192">
        <v>0.39856000000000003</v>
      </c>
      <c r="CW192">
        <v>0.39856000000000003</v>
      </c>
      <c r="CX192">
        <v>1</v>
      </c>
    </row>
    <row r="193" spans="1:102" x14ac:dyDescent="0.25">
      <c r="A193" t="s">
        <v>451</v>
      </c>
      <c r="B193">
        <v>4.8800000000000003E-2</v>
      </c>
      <c r="C193">
        <v>4.5799999999999999E-3</v>
      </c>
      <c r="D193">
        <v>4.5799999999999999E-3</v>
      </c>
      <c r="E193">
        <v>4.5799999999999999E-3</v>
      </c>
      <c r="F193">
        <v>4.5799999999999999E-3</v>
      </c>
      <c r="G193">
        <v>1.1800000000000001E-3</v>
      </c>
      <c r="H193">
        <v>1.1800000000000001E-3</v>
      </c>
      <c r="I193">
        <v>1.1800000000000001E-3</v>
      </c>
      <c r="J193">
        <v>1.1800000000000001E-3</v>
      </c>
      <c r="K193">
        <v>1.1800000000000001E-3</v>
      </c>
      <c r="L193">
        <v>7.7999999999999999E-4</v>
      </c>
      <c r="M193">
        <v>7.7999999999999999E-4</v>
      </c>
      <c r="N193">
        <v>7.7999999999999999E-4</v>
      </c>
      <c r="O193">
        <v>7.7999999999999999E-4</v>
      </c>
      <c r="P193">
        <v>7.7999999999999999E-4</v>
      </c>
      <c r="Q193">
        <v>1.1800000000000001E-3</v>
      </c>
      <c r="R193">
        <v>1.1800000000000001E-3</v>
      </c>
      <c r="S193">
        <v>1.1800000000000001E-3</v>
      </c>
      <c r="T193">
        <v>1.1800000000000001E-3</v>
      </c>
      <c r="U193">
        <v>1.1800000000000001E-3</v>
      </c>
      <c r="V193">
        <v>1.58E-3</v>
      </c>
      <c r="W193">
        <v>1.58E-3</v>
      </c>
      <c r="X193">
        <v>1.58E-3</v>
      </c>
      <c r="Y193">
        <v>1.58E-3</v>
      </c>
      <c r="Z193">
        <v>1.58E-3</v>
      </c>
      <c r="AA193">
        <v>1.8400000000000001E-3</v>
      </c>
      <c r="AB193">
        <v>1.8400000000000001E-3</v>
      </c>
      <c r="AC193">
        <v>1.8400000000000001E-3</v>
      </c>
      <c r="AD193">
        <v>1.8400000000000001E-3</v>
      </c>
      <c r="AE193">
        <v>1.8400000000000001E-3</v>
      </c>
      <c r="AF193">
        <v>2.2499999999999998E-3</v>
      </c>
      <c r="AG193">
        <v>2.2499999999999998E-3</v>
      </c>
      <c r="AH193">
        <v>2.2499999999999998E-3</v>
      </c>
      <c r="AI193">
        <v>2.2499999999999998E-3</v>
      </c>
      <c r="AJ193">
        <v>2.2499999999999998E-3</v>
      </c>
      <c r="AK193">
        <v>2.9399999999999999E-3</v>
      </c>
      <c r="AL193">
        <v>2.9399999999999999E-3</v>
      </c>
      <c r="AM193">
        <v>2.9399999999999999E-3</v>
      </c>
      <c r="AN193">
        <v>2.9399999999999999E-3</v>
      </c>
      <c r="AO193">
        <v>2.9399999999999999E-3</v>
      </c>
      <c r="AP193">
        <v>3.9500000000000004E-3</v>
      </c>
      <c r="AQ193">
        <v>3.9500000000000004E-3</v>
      </c>
      <c r="AR193">
        <v>3.9500000000000004E-3</v>
      </c>
      <c r="AS193">
        <v>3.9500000000000004E-3</v>
      </c>
      <c r="AT193">
        <v>3.9500000000000004E-3</v>
      </c>
      <c r="AU193">
        <v>5.5599999999999998E-3</v>
      </c>
      <c r="AV193">
        <v>5.5599999999999998E-3</v>
      </c>
      <c r="AW193">
        <v>5.5599999999999998E-3</v>
      </c>
      <c r="AX193">
        <v>5.5599999999999998E-3</v>
      </c>
      <c r="AY193">
        <v>5.5599999999999998E-3</v>
      </c>
      <c r="AZ193">
        <v>8.1099999999999992E-3</v>
      </c>
      <c r="BA193">
        <v>8.1099999999999992E-3</v>
      </c>
      <c r="BB193">
        <v>8.1099999999999992E-3</v>
      </c>
      <c r="BC193">
        <v>8.1099999999999992E-3</v>
      </c>
      <c r="BD193">
        <v>8.1099999999999992E-3</v>
      </c>
      <c r="BE193">
        <v>1.222E-2</v>
      </c>
      <c r="BF193">
        <v>1.222E-2</v>
      </c>
      <c r="BG193">
        <v>1.222E-2</v>
      </c>
      <c r="BH193">
        <v>1.222E-2</v>
      </c>
      <c r="BI193">
        <v>1.222E-2</v>
      </c>
      <c r="BJ193">
        <v>1.8149999999999999E-2</v>
      </c>
      <c r="BK193">
        <v>1.8149999999999999E-2</v>
      </c>
      <c r="BL193">
        <v>1.8149999999999999E-2</v>
      </c>
      <c r="BM193">
        <v>1.8149999999999999E-2</v>
      </c>
      <c r="BN193">
        <v>1.8149999999999999E-2</v>
      </c>
      <c r="BO193">
        <v>2.9590000000000002E-2</v>
      </c>
      <c r="BP193">
        <v>2.9590000000000002E-2</v>
      </c>
      <c r="BQ193">
        <v>2.9590000000000002E-2</v>
      </c>
      <c r="BR193">
        <v>2.9590000000000002E-2</v>
      </c>
      <c r="BS193">
        <v>2.9590000000000002E-2</v>
      </c>
      <c r="BT193">
        <v>4.938E-2</v>
      </c>
      <c r="BU193">
        <v>4.938E-2</v>
      </c>
      <c r="BV193">
        <v>4.938E-2</v>
      </c>
      <c r="BW193">
        <v>4.938E-2</v>
      </c>
      <c r="BX193">
        <v>4.938E-2</v>
      </c>
      <c r="BY193">
        <v>8.1240000000000007E-2</v>
      </c>
      <c r="BZ193">
        <v>8.1240000000000007E-2</v>
      </c>
      <c r="CA193">
        <v>8.1240000000000007E-2</v>
      </c>
      <c r="CB193">
        <v>8.1240000000000007E-2</v>
      </c>
      <c r="CC193">
        <v>8.1240000000000007E-2</v>
      </c>
      <c r="CD193">
        <v>0.13009999999999999</v>
      </c>
      <c r="CE193">
        <v>0.13009999999999999</v>
      </c>
      <c r="CF193">
        <v>0.13009999999999999</v>
      </c>
      <c r="CG193">
        <v>0.13009999999999999</v>
      </c>
      <c r="CH193">
        <v>0.13009999999999999</v>
      </c>
      <c r="CI193">
        <v>0.19997999999999999</v>
      </c>
      <c r="CJ193">
        <v>0.19997999999999999</v>
      </c>
      <c r="CK193">
        <v>0.19997999999999999</v>
      </c>
      <c r="CL193">
        <v>0.19997999999999999</v>
      </c>
      <c r="CM193">
        <v>0.19997999999999999</v>
      </c>
      <c r="CN193">
        <v>0.29507</v>
      </c>
      <c r="CO193">
        <v>0.29507</v>
      </c>
      <c r="CP193">
        <v>0.29507</v>
      </c>
      <c r="CQ193">
        <v>0.29507</v>
      </c>
      <c r="CR193">
        <v>0.29507</v>
      </c>
      <c r="CS193">
        <v>0.41788999999999998</v>
      </c>
      <c r="CT193">
        <v>0.41788999999999998</v>
      </c>
      <c r="CU193">
        <v>0.41788999999999998</v>
      </c>
      <c r="CV193">
        <v>0.41788999999999998</v>
      </c>
      <c r="CW193">
        <v>0.41788999999999998</v>
      </c>
      <c r="CX193">
        <v>1</v>
      </c>
    </row>
    <row r="194" spans="1:102" x14ac:dyDescent="0.25">
      <c r="A194" t="s">
        <v>453</v>
      </c>
      <c r="B194">
        <v>8.0869999999999997E-2</v>
      </c>
      <c r="C194">
        <v>1.4160000000000001E-2</v>
      </c>
      <c r="D194">
        <v>1.4160000000000001E-2</v>
      </c>
      <c r="E194">
        <v>1.4160000000000001E-2</v>
      </c>
      <c r="F194">
        <v>1.4160000000000001E-2</v>
      </c>
      <c r="G194">
        <v>3.2000000000000002E-3</v>
      </c>
      <c r="H194">
        <v>3.2000000000000002E-3</v>
      </c>
      <c r="I194">
        <v>3.2000000000000002E-3</v>
      </c>
      <c r="J194">
        <v>3.2000000000000002E-3</v>
      </c>
      <c r="K194">
        <v>3.2000000000000002E-3</v>
      </c>
      <c r="L194">
        <v>2.66E-3</v>
      </c>
      <c r="M194">
        <v>2.66E-3</v>
      </c>
      <c r="N194">
        <v>2.66E-3</v>
      </c>
      <c r="O194">
        <v>2.66E-3</v>
      </c>
      <c r="P194">
        <v>2.66E-3</v>
      </c>
      <c r="Q194">
        <v>2.8800000000000002E-3</v>
      </c>
      <c r="R194">
        <v>2.8800000000000002E-3</v>
      </c>
      <c r="S194">
        <v>2.8800000000000002E-3</v>
      </c>
      <c r="T194">
        <v>2.8800000000000002E-3</v>
      </c>
      <c r="U194">
        <v>2.8800000000000002E-3</v>
      </c>
      <c r="V194">
        <v>5.9199999999999999E-3</v>
      </c>
      <c r="W194">
        <v>5.9199999999999999E-3</v>
      </c>
      <c r="X194">
        <v>5.9199999999999999E-3</v>
      </c>
      <c r="Y194">
        <v>5.9199999999999999E-3</v>
      </c>
      <c r="Z194">
        <v>5.9199999999999999E-3</v>
      </c>
      <c r="AA194">
        <v>1.013E-2</v>
      </c>
      <c r="AB194">
        <v>1.013E-2</v>
      </c>
      <c r="AC194">
        <v>1.013E-2</v>
      </c>
      <c r="AD194">
        <v>1.013E-2</v>
      </c>
      <c r="AE194">
        <v>1.013E-2</v>
      </c>
      <c r="AF194">
        <v>1.4200000000000001E-2</v>
      </c>
      <c r="AG194">
        <v>1.4200000000000001E-2</v>
      </c>
      <c r="AH194">
        <v>1.4200000000000001E-2</v>
      </c>
      <c r="AI194">
        <v>1.4200000000000001E-2</v>
      </c>
      <c r="AJ194">
        <v>1.4200000000000001E-2</v>
      </c>
      <c r="AK194">
        <v>1.8859999999999998E-2</v>
      </c>
      <c r="AL194">
        <v>1.8859999999999998E-2</v>
      </c>
      <c r="AM194">
        <v>1.8859999999999998E-2</v>
      </c>
      <c r="AN194">
        <v>1.8859999999999998E-2</v>
      </c>
      <c r="AO194">
        <v>1.8859999999999998E-2</v>
      </c>
      <c r="AP194">
        <v>1.9939999999999999E-2</v>
      </c>
      <c r="AQ194">
        <v>1.9939999999999999E-2</v>
      </c>
      <c r="AR194">
        <v>1.9939999999999999E-2</v>
      </c>
      <c r="AS194">
        <v>1.9939999999999999E-2</v>
      </c>
      <c r="AT194">
        <v>1.9939999999999999E-2</v>
      </c>
      <c r="AU194">
        <v>1.8169999999999999E-2</v>
      </c>
      <c r="AV194">
        <v>1.8169999999999999E-2</v>
      </c>
      <c r="AW194">
        <v>1.8169999999999999E-2</v>
      </c>
      <c r="AX194">
        <v>1.8169999999999999E-2</v>
      </c>
      <c r="AY194">
        <v>1.8169999999999999E-2</v>
      </c>
      <c r="AZ194">
        <v>1.805E-2</v>
      </c>
      <c r="BA194">
        <v>1.805E-2</v>
      </c>
      <c r="BB194">
        <v>1.805E-2</v>
      </c>
      <c r="BC194">
        <v>1.805E-2</v>
      </c>
      <c r="BD194">
        <v>1.805E-2</v>
      </c>
      <c r="BE194">
        <v>2.1239999999999998E-2</v>
      </c>
      <c r="BF194">
        <v>2.1239999999999998E-2</v>
      </c>
      <c r="BG194">
        <v>2.1239999999999998E-2</v>
      </c>
      <c r="BH194">
        <v>2.1239999999999998E-2</v>
      </c>
      <c r="BI194">
        <v>2.1239999999999998E-2</v>
      </c>
      <c r="BJ194">
        <v>2.664E-2</v>
      </c>
      <c r="BK194">
        <v>2.664E-2</v>
      </c>
      <c r="BL194">
        <v>2.664E-2</v>
      </c>
      <c r="BM194">
        <v>2.664E-2</v>
      </c>
      <c r="BN194">
        <v>2.664E-2</v>
      </c>
      <c r="BO194">
        <v>3.9550000000000002E-2</v>
      </c>
      <c r="BP194">
        <v>3.9550000000000002E-2</v>
      </c>
      <c r="BQ194">
        <v>3.9550000000000002E-2</v>
      </c>
      <c r="BR194">
        <v>3.9550000000000002E-2</v>
      </c>
      <c r="BS194">
        <v>3.9550000000000002E-2</v>
      </c>
      <c r="BT194">
        <v>6.0990000000000003E-2</v>
      </c>
      <c r="BU194">
        <v>6.0990000000000003E-2</v>
      </c>
      <c r="BV194">
        <v>6.0990000000000003E-2</v>
      </c>
      <c r="BW194">
        <v>6.0990000000000003E-2</v>
      </c>
      <c r="BX194">
        <v>6.0990000000000003E-2</v>
      </c>
      <c r="BY194">
        <v>9.3759999999999996E-2</v>
      </c>
      <c r="BZ194">
        <v>9.3759999999999996E-2</v>
      </c>
      <c r="CA194">
        <v>9.3759999999999996E-2</v>
      </c>
      <c r="CB194">
        <v>9.3759999999999996E-2</v>
      </c>
      <c r="CC194">
        <v>9.3759999999999996E-2</v>
      </c>
      <c r="CD194">
        <v>0.14249999999999999</v>
      </c>
      <c r="CE194">
        <v>0.14249999999999999</v>
      </c>
      <c r="CF194">
        <v>0.14249999999999999</v>
      </c>
      <c r="CG194">
        <v>0.14249999999999999</v>
      </c>
      <c r="CH194">
        <v>0.14249999999999999</v>
      </c>
      <c r="CI194">
        <v>0.21065</v>
      </c>
      <c r="CJ194">
        <v>0.21065</v>
      </c>
      <c r="CK194">
        <v>0.21065</v>
      </c>
      <c r="CL194">
        <v>0.21065</v>
      </c>
      <c r="CM194">
        <v>0.21065</v>
      </c>
      <c r="CN194">
        <v>0.30286000000000002</v>
      </c>
      <c r="CO194">
        <v>0.30286000000000002</v>
      </c>
      <c r="CP194">
        <v>0.30286000000000002</v>
      </c>
      <c r="CQ194">
        <v>0.30286000000000002</v>
      </c>
      <c r="CR194">
        <v>0.30286000000000002</v>
      </c>
      <c r="CS194">
        <v>0.42269000000000001</v>
      </c>
      <c r="CT194">
        <v>0.42269000000000001</v>
      </c>
      <c r="CU194">
        <v>0.42269000000000001</v>
      </c>
      <c r="CV194">
        <v>0.42269000000000001</v>
      </c>
      <c r="CW194">
        <v>0.42269000000000001</v>
      </c>
      <c r="CX194">
        <v>1</v>
      </c>
    </row>
    <row r="195" spans="1:102" x14ac:dyDescent="0.25">
      <c r="A195" t="s">
        <v>455</v>
      </c>
      <c r="B195">
        <v>5.6120000000000003E-2</v>
      </c>
      <c r="C195">
        <v>8.6199999999999992E-3</v>
      </c>
      <c r="D195">
        <v>8.6199999999999992E-3</v>
      </c>
      <c r="E195">
        <v>8.6199999999999992E-3</v>
      </c>
      <c r="F195">
        <v>8.6199999999999992E-3</v>
      </c>
      <c r="G195">
        <v>2.2599999999999999E-3</v>
      </c>
      <c r="H195">
        <v>2.2599999999999999E-3</v>
      </c>
      <c r="I195">
        <v>2.2599999999999999E-3</v>
      </c>
      <c r="J195">
        <v>2.2599999999999999E-3</v>
      </c>
      <c r="K195">
        <v>2.2599999999999999E-3</v>
      </c>
      <c r="L195">
        <v>2.66E-3</v>
      </c>
      <c r="M195">
        <v>2.66E-3</v>
      </c>
      <c r="N195">
        <v>2.66E-3</v>
      </c>
      <c r="O195">
        <v>2.66E-3</v>
      </c>
      <c r="P195">
        <v>2.66E-3</v>
      </c>
      <c r="Q195">
        <v>9.3000000000000005E-4</v>
      </c>
      <c r="R195">
        <v>9.3000000000000005E-4</v>
      </c>
      <c r="S195">
        <v>9.3000000000000005E-4</v>
      </c>
      <c r="T195">
        <v>9.3000000000000005E-4</v>
      </c>
      <c r="U195">
        <v>9.3000000000000005E-4</v>
      </c>
      <c r="V195">
        <v>3.32E-3</v>
      </c>
      <c r="W195">
        <v>3.32E-3</v>
      </c>
      <c r="X195">
        <v>3.32E-3</v>
      </c>
      <c r="Y195">
        <v>3.32E-3</v>
      </c>
      <c r="Z195">
        <v>3.32E-3</v>
      </c>
      <c r="AA195">
        <v>9.7400000000000004E-3</v>
      </c>
      <c r="AB195">
        <v>9.7400000000000004E-3</v>
      </c>
      <c r="AC195">
        <v>9.7400000000000004E-3</v>
      </c>
      <c r="AD195">
        <v>9.7400000000000004E-3</v>
      </c>
      <c r="AE195">
        <v>9.7400000000000004E-3</v>
      </c>
      <c r="AF195">
        <v>2.332E-2</v>
      </c>
      <c r="AG195">
        <v>2.332E-2</v>
      </c>
      <c r="AH195">
        <v>2.332E-2</v>
      </c>
      <c r="AI195">
        <v>2.332E-2</v>
      </c>
      <c r="AJ195">
        <v>2.332E-2</v>
      </c>
      <c r="AK195">
        <v>3.8039999999999997E-2</v>
      </c>
      <c r="AL195">
        <v>3.8039999999999997E-2</v>
      </c>
      <c r="AM195">
        <v>3.8039999999999997E-2</v>
      </c>
      <c r="AN195">
        <v>3.8039999999999997E-2</v>
      </c>
      <c r="AO195">
        <v>3.8039999999999997E-2</v>
      </c>
      <c r="AP195">
        <v>3.687E-2</v>
      </c>
      <c r="AQ195">
        <v>3.687E-2</v>
      </c>
      <c r="AR195">
        <v>3.687E-2</v>
      </c>
      <c r="AS195">
        <v>3.687E-2</v>
      </c>
      <c r="AT195">
        <v>3.687E-2</v>
      </c>
      <c r="AU195">
        <v>2.479E-2</v>
      </c>
      <c r="AV195">
        <v>2.479E-2</v>
      </c>
      <c r="AW195">
        <v>2.479E-2</v>
      </c>
      <c r="AX195">
        <v>2.479E-2</v>
      </c>
      <c r="AY195">
        <v>2.479E-2</v>
      </c>
      <c r="AZ195">
        <v>1.7160000000000002E-2</v>
      </c>
      <c r="BA195">
        <v>1.7160000000000002E-2</v>
      </c>
      <c r="BB195">
        <v>1.7160000000000002E-2</v>
      </c>
      <c r="BC195">
        <v>1.7160000000000002E-2</v>
      </c>
      <c r="BD195">
        <v>1.7160000000000002E-2</v>
      </c>
      <c r="BE195">
        <v>1.6119999999999999E-2</v>
      </c>
      <c r="BF195">
        <v>1.6119999999999999E-2</v>
      </c>
      <c r="BG195">
        <v>1.6119999999999999E-2</v>
      </c>
      <c r="BH195">
        <v>1.6119999999999999E-2</v>
      </c>
      <c r="BI195">
        <v>1.6119999999999999E-2</v>
      </c>
      <c r="BJ195">
        <v>1.9199999999999998E-2</v>
      </c>
      <c r="BK195">
        <v>1.9199999999999998E-2</v>
      </c>
      <c r="BL195">
        <v>1.9199999999999998E-2</v>
      </c>
      <c r="BM195">
        <v>1.9199999999999998E-2</v>
      </c>
      <c r="BN195">
        <v>1.9199999999999998E-2</v>
      </c>
      <c r="BO195">
        <v>2.7040000000000002E-2</v>
      </c>
      <c r="BP195">
        <v>2.7040000000000002E-2</v>
      </c>
      <c r="BQ195">
        <v>2.7040000000000002E-2</v>
      </c>
      <c r="BR195">
        <v>2.7040000000000002E-2</v>
      </c>
      <c r="BS195">
        <v>2.7040000000000002E-2</v>
      </c>
      <c r="BT195">
        <v>4.4639999999999999E-2</v>
      </c>
      <c r="BU195">
        <v>4.4639999999999999E-2</v>
      </c>
      <c r="BV195">
        <v>4.4639999999999999E-2</v>
      </c>
      <c r="BW195">
        <v>4.4639999999999999E-2</v>
      </c>
      <c r="BX195">
        <v>4.4639999999999999E-2</v>
      </c>
      <c r="BY195">
        <v>7.535E-2</v>
      </c>
      <c r="BZ195">
        <v>7.535E-2</v>
      </c>
      <c r="CA195">
        <v>7.535E-2</v>
      </c>
      <c r="CB195">
        <v>7.535E-2</v>
      </c>
      <c r="CC195">
        <v>7.535E-2</v>
      </c>
      <c r="CD195">
        <v>0.12465</v>
      </c>
      <c r="CE195">
        <v>0.12465</v>
      </c>
      <c r="CF195">
        <v>0.12465</v>
      </c>
      <c r="CG195">
        <v>0.12465</v>
      </c>
      <c r="CH195">
        <v>0.12465</v>
      </c>
      <c r="CI195">
        <v>0.19731000000000001</v>
      </c>
      <c r="CJ195">
        <v>0.19731000000000001</v>
      </c>
      <c r="CK195">
        <v>0.19731000000000001</v>
      </c>
      <c r="CL195">
        <v>0.19731000000000001</v>
      </c>
      <c r="CM195">
        <v>0.19731000000000001</v>
      </c>
      <c r="CN195">
        <v>0.29676999999999998</v>
      </c>
      <c r="CO195">
        <v>0.29676999999999998</v>
      </c>
      <c r="CP195">
        <v>0.29676999999999998</v>
      </c>
      <c r="CQ195">
        <v>0.29676999999999998</v>
      </c>
      <c r="CR195">
        <v>0.29676999999999998</v>
      </c>
      <c r="CS195">
        <v>0.42327999999999999</v>
      </c>
      <c r="CT195">
        <v>0.42327999999999999</v>
      </c>
      <c r="CU195">
        <v>0.42327999999999999</v>
      </c>
      <c r="CV195">
        <v>0.42327999999999999</v>
      </c>
      <c r="CW195">
        <v>0.42327999999999999</v>
      </c>
      <c r="CX195">
        <v>1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CX195"/>
  <sheetViews>
    <sheetView workbookViewId="0">
      <selection activeCell="K26" sqref="K26"/>
    </sheetView>
  </sheetViews>
  <sheetFormatPr defaultRowHeight="15" x14ac:dyDescent="0.25"/>
  <sheetData>
    <row r="1" spans="1:102" x14ac:dyDescent="0.25">
      <c r="A1" t="s">
        <v>464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</row>
    <row r="2" spans="1:102" x14ac:dyDescent="0.25">
      <c r="A2" t="s">
        <v>54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G2" t="e">
        <v>#VALUE!</v>
      </c>
      <c r="H2" t="e">
        <v>#VALUE!</v>
      </c>
      <c r="I2" t="e">
        <v>#VALUE!</v>
      </c>
      <c r="J2" t="e">
        <v>#VALUE!</v>
      </c>
      <c r="K2" t="e">
        <v>#VALUE!</v>
      </c>
      <c r="L2" t="e">
        <v>#VALUE!</v>
      </c>
      <c r="M2" t="e">
        <v>#VALUE!</v>
      </c>
      <c r="N2" t="e">
        <v>#VALUE!</v>
      </c>
      <c r="O2" t="e">
        <v>#VALUE!</v>
      </c>
      <c r="P2" t="e">
        <v>#VALUE!</v>
      </c>
      <c r="Q2">
        <v>1.5E-5</v>
      </c>
      <c r="R2">
        <v>1.5E-5</v>
      </c>
      <c r="S2">
        <v>1.5E-5</v>
      </c>
      <c r="T2">
        <v>1.5E-5</v>
      </c>
      <c r="U2">
        <v>1.5E-5</v>
      </c>
      <c r="V2">
        <v>1.5E-5</v>
      </c>
      <c r="W2">
        <v>1.5E-5</v>
      </c>
      <c r="X2">
        <v>1.5E-5</v>
      </c>
      <c r="Y2">
        <v>1.5E-5</v>
      </c>
      <c r="Z2">
        <v>1.5E-5</v>
      </c>
      <c r="AA2">
        <v>1.5E-5</v>
      </c>
      <c r="AB2">
        <v>1.5E-5</v>
      </c>
      <c r="AC2">
        <v>1.5E-5</v>
      </c>
      <c r="AD2">
        <v>1.5E-5</v>
      </c>
      <c r="AE2">
        <v>1.5E-5</v>
      </c>
      <c r="AF2">
        <v>1.5E-5</v>
      </c>
      <c r="AG2">
        <v>1.5E-5</v>
      </c>
      <c r="AH2">
        <v>1.5E-5</v>
      </c>
      <c r="AI2">
        <v>1.5E-5</v>
      </c>
      <c r="AJ2">
        <v>1.5E-5</v>
      </c>
      <c r="AK2">
        <v>1.5E-5</v>
      </c>
      <c r="AL2">
        <v>1.5E-5</v>
      </c>
      <c r="AM2">
        <v>1.5E-5</v>
      </c>
      <c r="AN2">
        <v>1.5E-5</v>
      </c>
      <c r="AO2">
        <v>1.5E-5</v>
      </c>
      <c r="AP2">
        <v>1.1400000000000001E-4</v>
      </c>
      <c r="AQ2">
        <v>1.1400000000000001E-4</v>
      </c>
      <c r="AR2">
        <v>1.1400000000000001E-4</v>
      </c>
      <c r="AS2">
        <v>1.1400000000000001E-4</v>
      </c>
      <c r="AT2">
        <v>1.1400000000000001E-4</v>
      </c>
      <c r="AU2">
        <v>1.7899999999999999E-4</v>
      </c>
      <c r="AV2">
        <v>1.7899999999999999E-4</v>
      </c>
      <c r="AW2">
        <v>1.7899999999999999E-4</v>
      </c>
      <c r="AX2">
        <v>1.7899999999999999E-4</v>
      </c>
      <c r="AY2">
        <v>1.7899999999999999E-4</v>
      </c>
      <c r="AZ2">
        <v>2.33E-4</v>
      </c>
      <c r="BA2">
        <v>2.33E-4</v>
      </c>
      <c r="BB2">
        <v>2.33E-4</v>
      </c>
      <c r="BC2">
        <v>2.33E-4</v>
      </c>
      <c r="BD2">
        <v>2.33E-4</v>
      </c>
      <c r="BE2">
        <v>2.5500000000000002E-4</v>
      </c>
      <c r="BF2">
        <v>2.5500000000000002E-4</v>
      </c>
      <c r="BG2">
        <v>2.5500000000000002E-4</v>
      </c>
      <c r="BH2">
        <v>2.5500000000000002E-4</v>
      </c>
      <c r="BI2">
        <v>2.5500000000000002E-4</v>
      </c>
      <c r="BJ2">
        <v>2.4899999999999998E-4</v>
      </c>
      <c r="BK2">
        <v>2.4899999999999998E-4</v>
      </c>
      <c r="BL2">
        <v>2.4899999999999998E-4</v>
      </c>
      <c r="BM2">
        <v>2.4899999999999998E-4</v>
      </c>
      <c r="BN2">
        <v>2.4899999999999998E-4</v>
      </c>
      <c r="BO2">
        <v>2.32E-4</v>
      </c>
      <c r="BP2">
        <v>2.32E-4</v>
      </c>
      <c r="BQ2">
        <v>2.32E-4</v>
      </c>
      <c r="BR2">
        <v>2.32E-4</v>
      </c>
      <c r="BS2">
        <v>2.32E-4</v>
      </c>
      <c r="BT2">
        <v>1.9599999999999999E-4</v>
      </c>
      <c r="BU2">
        <v>1.9599999999999999E-4</v>
      </c>
      <c r="BV2">
        <v>1.9599999999999999E-4</v>
      </c>
      <c r="BW2">
        <v>1.9599999999999999E-4</v>
      </c>
      <c r="BX2">
        <v>1.9599999999999999E-4</v>
      </c>
      <c r="BY2">
        <v>1.4799999999999999E-4</v>
      </c>
      <c r="BZ2">
        <v>1.4799999999999999E-4</v>
      </c>
      <c r="CA2">
        <v>1.4799999999999999E-4</v>
      </c>
      <c r="CB2">
        <v>1.4799999999999999E-4</v>
      </c>
      <c r="CC2">
        <v>1.4799999999999999E-4</v>
      </c>
      <c r="CD2">
        <v>1.4799999999999999E-4</v>
      </c>
      <c r="CE2">
        <v>1.4799999999999999E-4</v>
      </c>
      <c r="CF2">
        <v>1.4799999999999999E-4</v>
      </c>
      <c r="CG2">
        <v>1.4799999999999999E-4</v>
      </c>
      <c r="CH2">
        <v>1.4799999999999999E-4</v>
      </c>
      <c r="CI2">
        <v>1.4799999999999999E-4</v>
      </c>
      <c r="CJ2">
        <v>1.4799999999999999E-4</v>
      </c>
      <c r="CK2">
        <v>1.4799999999999999E-4</v>
      </c>
      <c r="CL2">
        <v>1.4799999999999999E-4</v>
      </c>
      <c r="CM2">
        <v>1.4799999999999999E-4</v>
      </c>
      <c r="CN2">
        <v>1.4799999999999999E-4</v>
      </c>
      <c r="CO2">
        <v>1.4799999999999999E-4</v>
      </c>
      <c r="CP2">
        <v>1.4799999999999999E-4</v>
      </c>
      <c r="CQ2">
        <v>1.4799999999999999E-4</v>
      </c>
      <c r="CR2">
        <v>1.4799999999999999E-4</v>
      </c>
      <c r="CS2">
        <v>1.4799999999999999E-4</v>
      </c>
      <c r="CT2">
        <v>1.4799999999999999E-4</v>
      </c>
      <c r="CU2">
        <v>1.4799999999999999E-4</v>
      </c>
      <c r="CV2">
        <v>1.4799999999999999E-4</v>
      </c>
      <c r="CW2">
        <v>1.4799999999999999E-4</v>
      </c>
      <c r="CX2">
        <v>1.4799999999999999E-4</v>
      </c>
    </row>
    <row r="3" spans="1:102" x14ac:dyDescent="0.25">
      <c r="A3" t="s">
        <v>59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G3" t="e">
        <v>#VALUE!</v>
      </c>
      <c r="H3" t="e">
        <v>#VALUE!</v>
      </c>
      <c r="I3" t="e">
        <v>#VALUE!</v>
      </c>
      <c r="J3" t="e">
        <v>#VALUE!</v>
      </c>
      <c r="K3" t="e">
        <v>#VALUE!</v>
      </c>
      <c r="L3" t="e">
        <v>#VALUE!</v>
      </c>
      <c r="M3" t="e">
        <v>#VALUE!</v>
      </c>
      <c r="N3" t="e">
        <v>#VALUE!</v>
      </c>
      <c r="O3" t="e">
        <v>#VALUE!</v>
      </c>
      <c r="P3" t="e">
        <v>#VALUE!</v>
      </c>
      <c r="Q3">
        <v>6.0000000000000002E-6</v>
      </c>
      <c r="R3">
        <v>6.0000000000000002E-6</v>
      </c>
      <c r="S3">
        <v>6.0000000000000002E-6</v>
      </c>
      <c r="T3">
        <v>6.0000000000000002E-6</v>
      </c>
      <c r="U3">
        <v>6.0000000000000002E-6</v>
      </c>
      <c r="V3">
        <v>6.0000000000000002E-6</v>
      </c>
      <c r="W3">
        <v>6.0000000000000002E-6</v>
      </c>
      <c r="X3">
        <v>6.0000000000000002E-6</v>
      </c>
      <c r="Y3">
        <v>6.0000000000000002E-6</v>
      </c>
      <c r="Z3">
        <v>6.0000000000000002E-6</v>
      </c>
      <c r="AA3">
        <v>6.0000000000000002E-6</v>
      </c>
      <c r="AB3">
        <v>6.0000000000000002E-6</v>
      </c>
      <c r="AC3">
        <v>6.0000000000000002E-6</v>
      </c>
      <c r="AD3">
        <v>6.0000000000000002E-6</v>
      </c>
      <c r="AE3">
        <v>6.0000000000000002E-6</v>
      </c>
      <c r="AF3">
        <v>6.0000000000000002E-6</v>
      </c>
      <c r="AG3">
        <v>6.0000000000000002E-6</v>
      </c>
      <c r="AH3">
        <v>6.0000000000000002E-6</v>
      </c>
      <c r="AI3">
        <v>6.0000000000000002E-6</v>
      </c>
      <c r="AJ3">
        <v>6.0000000000000002E-6</v>
      </c>
      <c r="AK3">
        <v>6.0000000000000002E-6</v>
      </c>
      <c r="AL3">
        <v>6.0000000000000002E-6</v>
      </c>
      <c r="AM3">
        <v>6.0000000000000002E-6</v>
      </c>
      <c r="AN3">
        <v>6.0000000000000002E-6</v>
      </c>
      <c r="AO3">
        <v>6.0000000000000002E-6</v>
      </c>
      <c r="AP3">
        <v>3.8000000000000002E-5</v>
      </c>
      <c r="AQ3">
        <v>3.8000000000000002E-5</v>
      </c>
      <c r="AR3">
        <v>3.8000000000000002E-5</v>
      </c>
      <c r="AS3">
        <v>3.8000000000000002E-5</v>
      </c>
      <c r="AT3">
        <v>3.8000000000000002E-5</v>
      </c>
      <c r="AU3">
        <v>2.9E-5</v>
      </c>
      <c r="AV3">
        <v>2.9E-5</v>
      </c>
      <c r="AW3">
        <v>2.9E-5</v>
      </c>
      <c r="AX3">
        <v>2.9E-5</v>
      </c>
      <c r="AY3">
        <v>2.9E-5</v>
      </c>
      <c r="AZ3">
        <v>6.6000000000000005E-5</v>
      </c>
      <c r="BA3">
        <v>6.6000000000000005E-5</v>
      </c>
      <c r="BB3">
        <v>6.6000000000000005E-5</v>
      </c>
      <c r="BC3">
        <v>6.6000000000000005E-5</v>
      </c>
      <c r="BD3">
        <v>6.6000000000000005E-5</v>
      </c>
      <c r="BE3">
        <v>3.6000000000000001E-5</v>
      </c>
      <c r="BF3">
        <v>3.6000000000000001E-5</v>
      </c>
      <c r="BG3">
        <v>3.6000000000000001E-5</v>
      </c>
      <c r="BH3">
        <v>3.6000000000000001E-5</v>
      </c>
      <c r="BI3">
        <v>3.6000000000000001E-5</v>
      </c>
      <c r="BJ3">
        <v>5.1E-5</v>
      </c>
      <c r="BK3">
        <v>5.1E-5</v>
      </c>
      <c r="BL3">
        <v>5.1E-5</v>
      </c>
      <c r="BM3">
        <v>5.1E-5</v>
      </c>
      <c r="BN3">
        <v>5.1E-5</v>
      </c>
      <c r="BO3">
        <v>7.2000000000000002E-5</v>
      </c>
      <c r="BP3">
        <v>7.2000000000000002E-5</v>
      </c>
      <c r="BQ3">
        <v>7.2000000000000002E-5</v>
      </c>
      <c r="BR3">
        <v>7.2000000000000002E-5</v>
      </c>
      <c r="BS3">
        <v>7.2000000000000002E-5</v>
      </c>
      <c r="BT3">
        <v>1.02E-4</v>
      </c>
      <c r="BU3">
        <v>1.02E-4</v>
      </c>
      <c r="BV3">
        <v>1.02E-4</v>
      </c>
      <c r="BW3">
        <v>1.02E-4</v>
      </c>
      <c r="BX3">
        <v>1.02E-4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</row>
    <row r="4" spans="1:102" x14ac:dyDescent="0.25">
      <c r="A4" t="s">
        <v>64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G4" t="e">
        <v>#VALUE!</v>
      </c>
      <c r="H4" t="e">
        <v>#VALUE!</v>
      </c>
      <c r="I4" t="e">
        <v>#VALUE!</v>
      </c>
      <c r="J4" t="e">
        <v>#VALUE!</v>
      </c>
      <c r="K4" t="e">
        <v>#VALUE!</v>
      </c>
      <c r="L4" t="e">
        <v>#VALUE!</v>
      </c>
      <c r="M4" t="e">
        <v>#VALUE!</v>
      </c>
      <c r="N4" t="e">
        <v>#VALUE!</v>
      </c>
      <c r="O4" t="e">
        <v>#VALUE!</v>
      </c>
      <c r="P4" t="e">
        <v>#VALUE!</v>
      </c>
      <c r="Q4">
        <v>9.9999999999999995E-7</v>
      </c>
      <c r="R4">
        <v>9.9999999999999995E-7</v>
      </c>
      <c r="S4">
        <v>9.9999999999999995E-7</v>
      </c>
      <c r="T4">
        <v>9.9999999999999995E-7</v>
      </c>
      <c r="U4">
        <v>9.9999999999999995E-7</v>
      </c>
      <c r="V4">
        <v>9.9999999999999995E-7</v>
      </c>
      <c r="W4">
        <v>9.9999999999999995E-7</v>
      </c>
      <c r="X4">
        <v>9.9999999999999995E-7</v>
      </c>
      <c r="Y4">
        <v>9.9999999999999995E-7</v>
      </c>
      <c r="Z4">
        <v>9.9999999999999995E-7</v>
      </c>
      <c r="AA4">
        <v>9.9999999999999995E-7</v>
      </c>
      <c r="AB4">
        <v>9.9999999999999995E-7</v>
      </c>
      <c r="AC4">
        <v>9.9999999999999995E-7</v>
      </c>
      <c r="AD4">
        <v>9.9999999999999995E-7</v>
      </c>
      <c r="AE4">
        <v>9.9999999999999995E-7</v>
      </c>
      <c r="AF4">
        <v>9.9999999999999995E-7</v>
      </c>
      <c r="AG4">
        <v>9.9999999999999995E-7</v>
      </c>
      <c r="AH4">
        <v>9.9999999999999995E-7</v>
      </c>
      <c r="AI4">
        <v>9.9999999999999995E-7</v>
      </c>
      <c r="AJ4">
        <v>9.9999999999999995E-7</v>
      </c>
      <c r="AK4">
        <v>9.9999999999999995E-7</v>
      </c>
      <c r="AL4">
        <v>9.9999999999999995E-7</v>
      </c>
      <c r="AM4">
        <v>9.9999999999999995E-7</v>
      </c>
      <c r="AN4">
        <v>9.9999999999999995E-7</v>
      </c>
      <c r="AO4">
        <v>9.9999999999999995E-7</v>
      </c>
      <c r="AP4">
        <v>2.0999999999999999E-5</v>
      </c>
      <c r="AQ4">
        <v>2.0999999999999999E-5</v>
      </c>
      <c r="AR4">
        <v>2.0999999999999999E-5</v>
      </c>
      <c r="AS4">
        <v>2.0999999999999999E-5</v>
      </c>
      <c r="AT4">
        <v>2.0999999999999999E-5</v>
      </c>
      <c r="AU4">
        <v>4.8999999999999998E-5</v>
      </c>
      <c r="AV4">
        <v>4.8999999999999998E-5</v>
      </c>
      <c r="AW4">
        <v>4.8999999999999998E-5</v>
      </c>
      <c r="AX4">
        <v>4.8999999999999998E-5</v>
      </c>
      <c r="AY4">
        <v>4.8999999999999998E-5</v>
      </c>
      <c r="AZ4">
        <v>8.5000000000000006E-5</v>
      </c>
      <c r="BA4">
        <v>8.5000000000000006E-5</v>
      </c>
      <c r="BB4">
        <v>8.5000000000000006E-5</v>
      </c>
      <c r="BC4">
        <v>8.5000000000000006E-5</v>
      </c>
      <c r="BD4">
        <v>8.5000000000000006E-5</v>
      </c>
      <c r="BE4">
        <v>1.27E-4</v>
      </c>
      <c r="BF4">
        <v>1.27E-4</v>
      </c>
      <c r="BG4">
        <v>1.27E-4</v>
      </c>
      <c r="BH4">
        <v>1.27E-4</v>
      </c>
      <c r="BI4">
        <v>1.27E-4</v>
      </c>
      <c r="BJ4">
        <v>1.66E-4</v>
      </c>
      <c r="BK4">
        <v>1.66E-4</v>
      </c>
      <c r="BL4">
        <v>1.66E-4</v>
      </c>
      <c r="BM4">
        <v>1.66E-4</v>
      </c>
      <c r="BN4">
        <v>1.66E-4</v>
      </c>
      <c r="BO4">
        <v>2.0100000000000001E-4</v>
      </c>
      <c r="BP4">
        <v>2.0100000000000001E-4</v>
      </c>
      <c r="BQ4">
        <v>2.0100000000000001E-4</v>
      </c>
      <c r="BR4">
        <v>2.0100000000000001E-4</v>
      </c>
      <c r="BS4">
        <v>2.0100000000000001E-4</v>
      </c>
      <c r="BT4">
        <v>2.1499999999999999E-4</v>
      </c>
      <c r="BU4">
        <v>2.1499999999999999E-4</v>
      </c>
      <c r="BV4">
        <v>2.1499999999999999E-4</v>
      </c>
      <c r="BW4">
        <v>2.1499999999999999E-4</v>
      </c>
      <c r="BX4">
        <v>2.1499999999999999E-4</v>
      </c>
      <c r="BY4">
        <v>2.1100000000000001E-4</v>
      </c>
      <c r="BZ4">
        <v>2.1100000000000001E-4</v>
      </c>
      <c r="CA4">
        <v>2.1100000000000001E-4</v>
      </c>
      <c r="CB4">
        <v>2.1100000000000001E-4</v>
      </c>
      <c r="CC4">
        <v>2.1100000000000001E-4</v>
      </c>
      <c r="CD4">
        <v>2.1100000000000001E-4</v>
      </c>
      <c r="CE4">
        <v>2.1100000000000001E-4</v>
      </c>
      <c r="CF4">
        <v>2.1100000000000001E-4</v>
      </c>
      <c r="CG4">
        <v>2.1100000000000001E-4</v>
      </c>
      <c r="CH4">
        <v>2.1100000000000001E-4</v>
      </c>
      <c r="CI4">
        <v>2.1100000000000001E-4</v>
      </c>
      <c r="CJ4">
        <v>2.1100000000000001E-4</v>
      </c>
      <c r="CK4">
        <v>2.1100000000000001E-4</v>
      </c>
      <c r="CL4">
        <v>2.1100000000000001E-4</v>
      </c>
      <c r="CM4">
        <v>2.1100000000000001E-4</v>
      </c>
      <c r="CN4">
        <v>2.1100000000000001E-4</v>
      </c>
      <c r="CO4">
        <v>2.1100000000000001E-4</v>
      </c>
      <c r="CP4">
        <v>2.1100000000000001E-4</v>
      </c>
      <c r="CQ4">
        <v>2.1100000000000001E-4</v>
      </c>
      <c r="CR4">
        <v>2.1100000000000001E-4</v>
      </c>
      <c r="CS4">
        <v>2.1100000000000001E-4</v>
      </c>
      <c r="CT4">
        <v>2.1100000000000001E-4</v>
      </c>
      <c r="CU4">
        <v>2.1100000000000001E-4</v>
      </c>
      <c r="CV4">
        <v>2.1100000000000001E-4</v>
      </c>
      <c r="CW4">
        <v>2.1100000000000001E-4</v>
      </c>
      <c r="CX4">
        <v>2.1100000000000001E-4</v>
      </c>
    </row>
    <row r="5" spans="1:102" x14ac:dyDescent="0.25">
      <c r="A5" t="s">
        <v>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1.7E-5</v>
      </c>
      <c r="R5">
        <v>1.7E-5</v>
      </c>
      <c r="S5">
        <v>1.7E-5</v>
      </c>
      <c r="T5">
        <v>1.7E-5</v>
      </c>
      <c r="U5">
        <v>1.7E-5</v>
      </c>
      <c r="V5">
        <v>1.7E-5</v>
      </c>
      <c r="W5">
        <v>1.7E-5</v>
      </c>
      <c r="X5">
        <v>1.7E-5</v>
      </c>
      <c r="Y5">
        <v>1.7E-5</v>
      </c>
      <c r="Z5">
        <v>1.7E-5</v>
      </c>
      <c r="AA5">
        <v>1.7E-5</v>
      </c>
      <c r="AB5">
        <v>1.7E-5</v>
      </c>
      <c r="AC5">
        <v>1.7E-5</v>
      </c>
      <c r="AD5">
        <v>1.7E-5</v>
      </c>
      <c r="AE5">
        <v>1.7E-5</v>
      </c>
      <c r="AF5">
        <v>1.7E-5</v>
      </c>
      <c r="AG5">
        <v>1.7E-5</v>
      </c>
      <c r="AH5">
        <v>1.7E-5</v>
      </c>
      <c r="AI5">
        <v>1.7E-5</v>
      </c>
      <c r="AJ5">
        <v>1.7E-5</v>
      </c>
      <c r="AK5">
        <v>1.7E-5</v>
      </c>
      <c r="AL5">
        <v>1.7E-5</v>
      </c>
      <c r="AM5">
        <v>1.7E-5</v>
      </c>
      <c r="AN5">
        <v>1.7E-5</v>
      </c>
      <c r="AO5">
        <v>1.7E-5</v>
      </c>
      <c r="AP5">
        <v>6.0000000000000002E-5</v>
      </c>
      <c r="AQ5">
        <v>6.0000000000000002E-5</v>
      </c>
      <c r="AR5">
        <v>6.0000000000000002E-5</v>
      </c>
      <c r="AS5">
        <v>6.0000000000000002E-5</v>
      </c>
      <c r="AT5">
        <v>6.0000000000000002E-5</v>
      </c>
      <c r="AU5">
        <v>7.7999999999999999E-5</v>
      </c>
      <c r="AV5">
        <v>7.7999999999999999E-5</v>
      </c>
      <c r="AW5">
        <v>7.7999999999999999E-5</v>
      </c>
      <c r="AX5">
        <v>7.7999999999999999E-5</v>
      </c>
      <c r="AY5">
        <v>7.7999999999999999E-5</v>
      </c>
      <c r="AZ5">
        <v>9.7999999999999997E-5</v>
      </c>
      <c r="BA5">
        <v>9.7999999999999997E-5</v>
      </c>
      <c r="BB5">
        <v>9.7999999999999997E-5</v>
      </c>
      <c r="BC5">
        <v>9.7999999999999997E-5</v>
      </c>
      <c r="BD5">
        <v>9.7999999999999997E-5</v>
      </c>
      <c r="BE5">
        <v>1.11E-4</v>
      </c>
      <c r="BF5">
        <v>1.11E-4</v>
      </c>
      <c r="BG5">
        <v>1.11E-4</v>
      </c>
      <c r="BH5">
        <v>1.11E-4</v>
      </c>
      <c r="BI5">
        <v>1.11E-4</v>
      </c>
      <c r="BJ5">
        <v>1.1400000000000001E-4</v>
      </c>
      <c r="BK5">
        <v>1.1400000000000001E-4</v>
      </c>
      <c r="BL5">
        <v>1.1400000000000001E-4</v>
      </c>
      <c r="BM5">
        <v>1.1400000000000001E-4</v>
      </c>
      <c r="BN5">
        <v>1.1400000000000001E-4</v>
      </c>
      <c r="BO5">
        <v>1.15E-4</v>
      </c>
      <c r="BP5">
        <v>1.15E-4</v>
      </c>
      <c r="BQ5">
        <v>1.15E-4</v>
      </c>
      <c r="BR5">
        <v>1.15E-4</v>
      </c>
      <c r="BS5">
        <v>1.15E-4</v>
      </c>
      <c r="BT5">
        <v>1.35E-4</v>
      </c>
      <c r="BU5">
        <v>1.35E-4</v>
      </c>
      <c r="BV5">
        <v>1.35E-4</v>
      </c>
      <c r="BW5">
        <v>1.35E-4</v>
      </c>
      <c r="BX5">
        <v>1.35E-4</v>
      </c>
      <c r="BY5">
        <v>1.63E-4</v>
      </c>
      <c r="BZ5">
        <v>1.63E-4</v>
      </c>
      <c r="CA5">
        <v>1.63E-4</v>
      </c>
      <c r="CB5">
        <v>1.63E-4</v>
      </c>
      <c r="CC5">
        <v>1.63E-4</v>
      </c>
      <c r="CD5">
        <v>1.63E-4</v>
      </c>
      <c r="CE5">
        <v>1.63E-4</v>
      </c>
      <c r="CF5">
        <v>1.63E-4</v>
      </c>
      <c r="CG5">
        <v>1.63E-4</v>
      </c>
      <c r="CH5">
        <v>1.63E-4</v>
      </c>
      <c r="CI5">
        <v>1.63E-4</v>
      </c>
      <c r="CJ5">
        <v>1.63E-4</v>
      </c>
      <c r="CK5">
        <v>1.63E-4</v>
      </c>
      <c r="CL5">
        <v>1.63E-4</v>
      </c>
      <c r="CM5">
        <v>1.63E-4</v>
      </c>
      <c r="CN5">
        <v>1.63E-4</v>
      </c>
      <c r="CO5">
        <v>1.63E-4</v>
      </c>
      <c r="CP5">
        <v>1.63E-4</v>
      </c>
      <c r="CQ5">
        <v>1.63E-4</v>
      </c>
      <c r="CR5">
        <v>1.63E-4</v>
      </c>
      <c r="CS5">
        <v>1.63E-4</v>
      </c>
      <c r="CT5">
        <v>1.63E-4</v>
      </c>
      <c r="CU5">
        <v>1.63E-4</v>
      </c>
      <c r="CV5">
        <v>1.63E-4</v>
      </c>
      <c r="CW5">
        <v>1.63E-4</v>
      </c>
      <c r="CX5">
        <v>1.63E-4</v>
      </c>
    </row>
    <row r="6" spans="1:102" x14ac:dyDescent="0.25">
      <c r="A6" t="s">
        <v>71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6.0000000000000002E-5</v>
      </c>
      <c r="R6">
        <v>6.0000000000000002E-5</v>
      </c>
      <c r="S6">
        <v>6.0000000000000002E-5</v>
      </c>
      <c r="T6">
        <v>6.0000000000000002E-5</v>
      </c>
      <c r="U6">
        <v>6.0000000000000002E-5</v>
      </c>
      <c r="V6">
        <v>6.0000000000000002E-5</v>
      </c>
      <c r="W6">
        <v>6.0000000000000002E-5</v>
      </c>
      <c r="X6">
        <v>6.0000000000000002E-5</v>
      </c>
      <c r="Y6">
        <v>6.0000000000000002E-5</v>
      </c>
      <c r="Z6">
        <v>6.0000000000000002E-5</v>
      </c>
      <c r="AA6">
        <v>6.0000000000000002E-5</v>
      </c>
      <c r="AB6">
        <v>6.0000000000000002E-5</v>
      </c>
      <c r="AC6">
        <v>6.0000000000000002E-5</v>
      </c>
      <c r="AD6">
        <v>6.0000000000000002E-5</v>
      </c>
      <c r="AE6">
        <v>6.0000000000000002E-5</v>
      </c>
      <c r="AF6">
        <v>6.0000000000000002E-5</v>
      </c>
      <c r="AG6">
        <v>6.0000000000000002E-5</v>
      </c>
      <c r="AH6">
        <v>6.0000000000000002E-5</v>
      </c>
      <c r="AI6">
        <v>6.0000000000000002E-5</v>
      </c>
      <c r="AJ6">
        <v>6.0000000000000002E-5</v>
      </c>
      <c r="AK6">
        <v>6.0000000000000002E-5</v>
      </c>
      <c r="AL6">
        <v>6.0000000000000002E-5</v>
      </c>
      <c r="AM6">
        <v>6.0000000000000002E-5</v>
      </c>
      <c r="AN6">
        <v>6.0000000000000002E-5</v>
      </c>
      <c r="AO6">
        <v>6.0000000000000002E-5</v>
      </c>
      <c r="AP6">
        <v>2.61E-4</v>
      </c>
      <c r="AQ6">
        <v>2.61E-4</v>
      </c>
      <c r="AR6">
        <v>2.61E-4</v>
      </c>
      <c r="AS6">
        <v>2.61E-4</v>
      </c>
      <c r="AT6">
        <v>2.61E-4</v>
      </c>
      <c r="AU6">
        <v>3.79E-4</v>
      </c>
      <c r="AV6">
        <v>3.79E-4</v>
      </c>
      <c r="AW6">
        <v>3.79E-4</v>
      </c>
      <c r="AX6">
        <v>3.79E-4</v>
      </c>
      <c r="AY6">
        <v>3.79E-4</v>
      </c>
      <c r="AZ6">
        <v>5.0299999999999997E-4</v>
      </c>
      <c r="BA6">
        <v>5.0299999999999997E-4</v>
      </c>
      <c r="BB6">
        <v>5.0299999999999997E-4</v>
      </c>
      <c r="BC6">
        <v>5.0299999999999997E-4</v>
      </c>
      <c r="BD6">
        <v>5.0299999999999997E-4</v>
      </c>
      <c r="BE6">
        <v>6.2600000000000004E-4</v>
      </c>
      <c r="BF6">
        <v>6.2600000000000004E-4</v>
      </c>
      <c r="BG6">
        <v>6.2600000000000004E-4</v>
      </c>
      <c r="BH6">
        <v>6.2600000000000004E-4</v>
      </c>
      <c r="BI6">
        <v>6.2600000000000004E-4</v>
      </c>
      <c r="BJ6">
        <v>7.5100000000000004E-4</v>
      </c>
      <c r="BK6">
        <v>7.5100000000000004E-4</v>
      </c>
      <c r="BL6">
        <v>7.5100000000000004E-4</v>
      </c>
      <c r="BM6">
        <v>7.5100000000000004E-4</v>
      </c>
      <c r="BN6">
        <v>7.5100000000000004E-4</v>
      </c>
      <c r="BO6">
        <v>8.8500000000000004E-4</v>
      </c>
      <c r="BP6">
        <v>8.8500000000000004E-4</v>
      </c>
      <c r="BQ6">
        <v>8.8500000000000004E-4</v>
      </c>
      <c r="BR6">
        <v>8.8500000000000004E-4</v>
      </c>
      <c r="BS6">
        <v>8.8500000000000004E-4</v>
      </c>
      <c r="BT6">
        <v>1.029E-3</v>
      </c>
      <c r="BU6">
        <v>1.029E-3</v>
      </c>
      <c r="BV6">
        <v>1.029E-3</v>
      </c>
      <c r="BW6">
        <v>1.029E-3</v>
      </c>
      <c r="BX6">
        <v>1.029E-3</v>
      </c>
      <c r="BY6">
        <v>1.176E-3</v>
      </c>
      <c r="BZ6">
        <v>1.176E-3</v>
      </c>
      <c r="CA6">
        <v>1.176E-3</v>
      </c>
      <c r="CB6">
        <v>1.176E-3</v>
      </c>
      <c r="CC6">
        <v>1.176E-3</v>
      </c>
      <c r="CD6">
        <v>1.176E-3</v>
      </c>
      <c r="CE6">
        <v>1.176E-3</v>
      </c>
      <c r="CF6">
        <v>1.176E-3</v>
      </c>
      <c r="CG6">
        <v>1.176E-3</v>
      </c>
      <c r="CH6">
        <v>1.176E-3</v>
      </c>
      <c r="CI6">
        <v>1.176E-3</v>
      </c>
      <c r="CJ6">
        <v>1.176E-3</v>
      </c>
      <c r="CK6">
        <v>1.176E-3</v>
      </c>
      <c r="CL6">
        <v>1.176E-3</v>
      </c>
      <c r="CM6">
        <v>1.176E-3</v>
      </c>
      <c r="CN6">
        <v>1.176E-3</v>
      </c>
      <c r="CO6">
        <v>1.176E-3</v>
      </c>
      <c r="CP6">
        <v>1.176E-3</v>
      </c>
      <c r="CQ6">
        <v>1.176E-3</v>
      </c>
      <c r="CR6">
        <v>1.176E-3</v>
      </c>
      <c r="CS6">
        <v>1.176E-3</v>
      </c>
      <c r="CT6">
        <v>1.176E-3</v>
      </c>
      <c r="CU6">
        <v>1.176E-3</v>
      </c>
      <c r="CV6">
        <v>1.176E-3</v>
      </c>
      <c r="CW6">
        <v>1.176E-3</v>
      </c>
      <c r="CX6">
        <v>1.176E-3</v>
      </c>
    </row>
    <row r="7" spans="1:102" x14ac:dyDescent="0.25">
      <c r="A7" t="s">
        <v>74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2.3E-5</v>
      </c>
      <c r="R7">
        <v>2.3E-5</v>
      </c>
      <c r="S7">
        <v>2.3E-5</v>
      </c>
      <c r="T7">
        <v>2.3E-5</v>
      </c>
      <c r="U7">
        <v>2.3E-5</v>
      </c>
      <c r="V7">
        <v>2.3E-5</v>
      </c>
      <c r="W7">
        <v>2.3E-5</v>
      </c>
      <c r="X7">
        <v>2.3E-5</v>
      </c>
      <c r="Y7">
        <v>2.3E-5</v>
      </c>
      <c r="Z7">
        <v>2.3E-5</v>
      </c>
      <c r="AA7">
        <v>2.3E-5</v>
      </c>
      <c r="AB7">
        <v>2.3E-5</v>
      </c>
      <c r="AC7">
        <v>2.3E-5</v>
      </c>
      <c r="AD7">
        <v>2.3E-5</v>
      </c>
      <c r="AE7">
        <v>2.3E-5</v>
      </c>
      <c r="AF7">
        <v>2.3E-5</v>
      </c>
      <c r="AG7">
        <v>2.3E-5</v>
      </c>
      <c r="AH7">
        <v>2.3E-5</v>
      </c>
      <c r="AI7">
        <v>2.3E-5</v>
      </c>
      <c r="AJ7">
        <v>2.3E-5</v>
      </c>
      <c r="AK7">
        <v>2.3E-5</v>
      </c>
      <c r="AL7">
        <v>2.3E-5</v>
      </c>
      <c r="AM7">
        <v>2.3E-5</v>
      </c>
      <c r="AN7">
        <v>2.3E-5</v>
      </c>
      <c r="AO7">
        <v>2.3E-5</v>
      </c>
      <c r="AP7">
        <v>9.2E-5</v>
      </c>
      <c r="AQ7">
        <v>9.2E-5</v>
      </c>
      <c r="AR7">
        <v>9.2E-5</v>
      </c>
      <c r="AS7">
        <v>9.2E-5</v>
      </c>
      <c r="AT7">
        <v>9.2E-5</v>
      </c>
      <c r="AU7">
        <v>1.18E-4</v>
      </c>
      <c r="AV7">
        <v>1.18E-4</v>
      </c>
      <c r="AW7">
        <v>1.18E-4</v>
      </c>
      <c r="AX7">
        <v>1.18E-4</v>
      </c>
      <c r="AY7">
        <v>1.18E-4</v>
      </c>
      <c r="AZ7">
        <v>1.3899999999999999E-4</v>
      </c>
      <c r="BA7">
        <v>1.3899999999999999E-4</v>
      </c>
      <c r="BB7">
        <v>1.3899999999999999E-4</v>
      </c>
      <c r="BC7">
        <v>1.3899999999999999E-4</v>
      </c>
      <c r="BD7">
        <v>1.3899999999999999E-4</v>
      </c>
      <c r="BE7">
        <v>1.5799999999999999E-4</v>
      </c>
      <c r="BF7">
        <v>1.5799999999999999E-4</v>
      </c>
      <c r="BG7">
        <v>1.5799999999999999E-4</v>
      </c>
      <c r="BH7">
        <v>1.5799999999999999E-4</v>
      </c>
      <c r="BI7">
        <v>1.5799999999999999E-4</v>
      </c>
      <c r="BJ7">
        <v>1.75E-4</v>
      </c>
      <c r="BK7">
        <v>1.75E-4</v>
      </c>
      <c r="BL7">
        <v>1.75E-4</v>
      </c>
      <c r="BM7">
        <v>1.75E-4</v>
      </c>
      <c r="BN7">
        <v>1.75E-4</v>
      </c>
      <c r="BO7">
        <v>2.1000000000000001E-4</v>
      </c>
      <c r="BP7">
        <v>2.1000000000000001E-4</v>
      </c>
      <c r="BQ7">
        <v>2.1000000000000001E-4</v>
      </c>
      <c r="BR7">
        <v>2.1000000000000001E-4</v>
      </c>
      <c r="BS7">
        <v>2.1000000000000001E-4</v>
      </c>
      <c r="BT7">
        <v>2.6400000000000002E-4</v>
      </c>
      <c r="BU7">
        <v>2.6400000000000002E-4</v>
      </c>
      <c r="BV7">
        <v>2.6400000000000002E-4</v>
      </c>
      <c r="BW7">
        <v>2.6400000000000002E-4</v>
      </c>
      <c r="BX7">
        <v>2.6400000000000002E-4</v>
      </c>
      <c r="BY7">
        <v>2.9599999999999998E-4</v>
      </c>
      <c r="BZ7">
        <v>2.9599999999999998E-4</v>
      </c>
      <c r="CA7">
        <v>2.9599999999999998E-4</v>
      </c>
      <c r="CB7">
        <v>2.9599999999999998E-4</v>
      </c>
      <c r="CC7">
        <v>2.9599999999999998E-4</v>
      </c>
      <c r="CD7">
        <v>2.9599999999999998E-4</v>
      </c>
      <c r="CE7">
        <v>2.9599999999999998E-4</v>
      </c>
      <c r="CF7">
        <v>2.9599999999999998E-4</v>
      </c>
      <c r="CG7">
        <v>2.9599999999999998E-4</v>
      </c>
      <c r="CH7">
        <v>2.9599999999999998E-4</v>
      </c>
      <c r="CI7">
        <v>2.9599999999999998E-4</v>
      </c>
      <c r="CJ7">
        <v>2.9599999999999998E-4</v>
      </c>
      <c r="CK7">
        <v>2.9599999999999998E-4</v>
      </c>
      <c r="CL7">
        <v>2.9599999999999998E-4</v>
      </c>
      <c r="CM7">
        <v>2.9599999999999998E-4</v>
      </c>
      <c r="CN7">
        <v>2.9599999999999998E-4</v>
      </c>
      <c r="CO7">
        <v>2.9599999999999998E-4</v>
      </c>
      <c r="CP7">
        <v>2.9599999999999998E-4</v>
      </c>
      <c r="CQ7">
        <v>2.9599999999999998E-4</v>
      </c>
      <c r="CR7">
        <v>2.9599999999999998E-4</v>
      </c>
      <c r="CS7">
        <v>2.9599999999999998E-4</v>
      </c>
      <c r="CT7">
        <v>2.9599999999999998E-4</v>
      </c>
      <c r="CU7">
        <v>2.9599999999999998E-4</v>
      </c>
      <c r="CV7">
        <v>2.9599999999999998E-4</v>
      </c>
      <c r="CW7">
        <v>2.9599999999999998E-4</v>
      </c>
      <c r="CX7">
        <v>2.9599999999999998E-4</v>
      </c>
    </row>
    <row r="8" spans="1:102" x14ac:dyDescent="0.25">
      <c r="A8" t="s">
        <v>77</v>
      </c>
      <c r="B8" t="e"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  <c r="J8" t="e">
        <v>#VALUE!</v>
      </c>
      <c r="K8" t="e">
        <v>#VALUE!</v>
      </c>
      <c r="L8" t="e">
        <v>#VALUE!</v>
      </c>
      <c r="M8" t="e">
        <v>#VALUE!</v>
      </c>
      <c r="N8" t="e">
        <v>#VALUE!</v>
      </c>
      <c r="O8" t="e">
        <v>#VALUE!</v>
      </c>
      <c r="P8" t="e">
        <v>#VALUE!</v>
      </c>
      <c r="Q8">
        <v>3.8999999999999999E-5</v>
      </c>
      <c r="R8">
        <v>3.8999999999999999E-5</v>
      </c>
      <c r="S8">
        <v>3.8999999999999999E-5</v>
      </c>
      <c r="T8">
        <v>3.8999999999999999E-5</v>
      </c>
      <c r="U8">
        <v>3.8999999999999999E-5</v>
      </c>
      <c r="V8">
        <v>3.8999999999999999E-5</v>
      </c>
      <c r="W8">
        <v>3.8999999999999999E-5</v>
      </c>
      <c r="X8">
        <v>3.8999999999999999E-5</v>
      </c>
      <c r="Y8">
        <v>3.8999999999999999E-5</v>
      </c>
      <c r="Z8">
        <v>3.8999999999999999E-5</v>
      </c>
      <c r="AA8">
        <v>3.8999999999999999E-5</v>
      </c>
      <c r="AB8">
        <v>3.8999999999999999E-5</v>
      </c>
      <c r="AC8">
        <v>3.8999999999999999E-5</v>
      </c>
      <c r="AD8">
        <v>3.8999999999999999E-5</v>
      </c>
      <c r="AE8">
        <v>3.8999999999999999E-5</v>
      </c>
      <c r="AF8">
        <v>3.8999999999999999E-5</v>
      </c>
      <c r="AG8">
        <v>3.8999999999999999E-5</v>
      </c>
      <c r="AH8">
        <v>3.8999999999999999E-5</v>
      </c>
      <c r="AI8">
        <v>3.8999999999999999E-5</v>
      </c>
      <c r="AJ8">
        <v>3.8999999999999999E-5</v>
      </c>
      <c r="AK8">
        <v>3.8999999999999999E-5</v>
      </c>
      <c r="AL8">
        <v>3.8999999999999999E-5</v>
      </c>
      <c r="AM8">
        <v>3.8999999999999999E-5</v>
      </c>
      <c r="AN8">
        <v>3.8999999999999999E-5</v>
      </c>
      <c r="AO8">
        <v>3.8999999999999999E-5</v>
      </c>
      <c r="AP8">
        <v>1.5100000000000001E-4</v>
      </c>
      <c r="AQ8">
        <v>1.5100000000000001E-4</v>
      </c>
      <c r="AR8">
        <v>1.5100000000000001E-4</v>
      </c>
      <c r="AS8">
        <v>1.5100000000000001E-4</v>
      </c>
      <c r="AT8">
        <v>1.5100000000000001E-4</v>
      </c>
      <c r="AU8">
        <v>1.9599999999999999E-4</v>
      </c>
      <c r="AV8">
        <v>1.9599999999999999E-4</v>
      </c>
      <c r="AW8">
        <v>1.9599999999999999E-4</v>
      </c>
      <c r="AX8">
        <v>1.9599999999999999E-4</v>
      </c>
      <c r="AY8">
        <v>1.9599999999999999E-4</v>
      </c>
      <c r="AZ8">
        <v>2.2599999999999999E-4</v>
      </c>
      <c r="BA8">
        <v>2.2599999999999999E-4</v>
      </c>
      <c r="BB8">
        <v>2.2599999999999999E-4</v>
      </c>
      <c r="BC8">
        <v>2.2599999999999999E-4</v>
      </c>
      <c r="BD8">
        <v>2.2599999999999999E-4</v>
      </c>
      <c r="BE8">
        <v>2.3800000000000001E-4</v>
      </c>
      <c r="BF8">
        <v>2.3800000000000001E-4</v>
      </c>
      <c r="BG8">
        <v>2.3800000000000001E-4</v>
      </c>
      <c r="BH8">
        <v>2.3800000000000001E-4</v>
      </c>
      <c r="BI8">
        <v>2.3800000000000001E-4</v>
      </c>
      <c r="BJ8">
        <v>2.3499999999999999E-4</v>
      </c>
      <c r="BK8">
        <v>2.3499999999999999E-4</v>
      </c>
      <c r="BL8">
        <v>2.3499999999999999E-4</v>
      </c>
      <c r="BM8">
        <v>2.3499999999999999E-4</v>
      </c>
      <c r="BN8">
        <v>2.3499999999999999E-4</v>
      </c>
      <c r="BO8">
        <v>2.43E-4</v>
      </c>
      <c r="BP8">
        <v>2.43E-4</v>
      </c>
      <c r="BQ8">
        <v>2.43E-4</v>
      </c>
      <c r="BR8">
        <v>2.43E-4</v>
      </c>
      <c r="BS8">
        <v>2.43E-4</v>
      </c>
      <c r="BT8">
        <v>2.5700000000000001E-4</v>
      </c>
      <c r="BU8">
        <v>2.5700000000000001E-4</v>
      </c>
      <c r="BV8">
        <v>2.5700000000000001E-4</v>
      </c>
      <c r="BW8">
        <v>2.5700000000000001E-4</v>
      </c>
      <c r="BX8">
        <v>2.5700000000000001E-4</v>
      </c>
      <c r="BY8">
        <v>2.7900000000000001E-4</v>
      </c>
      <c r="BZ8">
        <v>2.7900000000000001E-4</v>
      </c>
      <c r="CA8">
        <v>2.7900000000000001E-4</v>
      </c>
      <c r="CB8">
        <v>2.7900000000000001E-4</v>
      </c>
      <c r="CC8">
        <v>2.7900000000000001E-4</v>
      </c>
      <c r="CD8">
        <v>2.7900000000000001E-4</v>
      </c>
      <c r="CE8">
        <v>2.7900000000000001E-4</v>
      </c>
      <c r="CF8">
        <v>2.7900000000000001E-4</v>
      </c>
      <c r="CG8">
        <v>2.7900000000000001E-4</v>
      </c>
      <c r="CH8">
        <v>2.7900000000000001E-4</v>
      </c>
      <c r="CI8">
        <v>2.7900000000000001E-4</v>
      </c>
      <c r="CJ8">
        <v>2.7900000000000001E-4</v>
      </c>
      <c r="CK8">
        <v>2.7900000000000001E-4</v>
      </c>
      <c r="CL8">
        <v>2.7900000000000001E-4</v>
      </c>
      <c r="CM8">
        <v>2.7900000000000001E-4</v>
      </c>
      <c r="CN8">
        <v>2.7900000000000001E-4</v>
      </c>
      <c r="CO8">
        <v>2.7900000000000001E-4</v>
      </c>
      <c r="CP8">
        <v>2.7900000000000001E-4</v>
      </c>
      <c r="CQ8">
        <v>2.7900000000000001E-4</v>
      </c>
      <c r="CR8">
        <v>2.7900000000000001E-4</v>
      </c>
      <c r="CS8">
        <v>2.7900000000000001E-4</v>
      </c>
      <c r="CT8">
        <v>2.7900000000000001E-4</v>
      </c>
      <c r="CU8">
        <v>2.7900000000000001E-4</v>
      </c>
      <c r="CV8">
        <v>2.7900000000000001E-4</v>
      </c>
      <c r="CW8">
        <v>2.7900000000000001E-4</v>
      </c>
      <c r="CX8">
        <v>2.7900000000000001E-4</v>
      </c>
    </row>
    <row r="9" spans="1:102" x14ac:dyDescent="0.25">
      <c r="A9" t="s">
        <v>79</v>
      </c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  <c r="J9" t="e">
        <v>#VALUE!</v>
      </c>
      <c r="K9" t="e">
        <v>#VALUE!</v>
      </c>
      <c r="L9" t="e">
        <v>#VALUE!</v>
      </c>
      <c r="M9" t="e">
        <v>#VALUE!</v>
      </c>
      <c r="N9" t="e">
        <v>#VALUE!</v>
      </c>
      <c r="O9" t="e">
        <v>#VALUE!</v>
      </c>
      <c r="P9" t="e">
        <v>#VALUE!</v>
      </c>
      <c r="Q9">
        <v>2.5000000000000001E-5</v>
      </c>
      <c r="R9">
        <v>2.5000000000000001E-5</v>
      </c>
      <c r="S9">
        <v>2.5000000000000001E-5</v>
      </c>
      <c r="T9">
        <v>2.5000000000000001E-5</v>
      </c>
      <c r="U9">
        <v>2.5000000000000001E-5</v>
      </c>
      <c r="V9">
        <v>2.5000000000000001E-5</v>
      </c>
      <c r="W9">
        <v>2.5000000000000001E-5</v>
      </c>
      <c r="X9">
        <v>2.5000000000000001E-5</v>
      </c>
      <c r="Y9">
        <v>2.5000000000000001E-5</v>
      </c>
      <c r="Z9">
        <v>2.5000000000000001E-5</v>
      </c>
      <c r="AA9">
        <v>2.5000000000000001E-5</v>
      </c>
      <c r="AB9">
        <v>2.5000000000000001E-5</v>
      </c>
      <c r="AC9">
        <v>2.5000000000000001E-5</v>
      </c>
      <c r="AD9">
        <v>2.5000000000000001E-5</v>
      </c>
      <c r="AE9">
        <v>2.5000000000000001E-5</v>
      </c>
      <c r="AF9">
        <v>2.5000000000000001E-5</v>
      </c>
      <c r="AG9">
        <v>2.5000000000000001E-5</v>
      </c>
      <c r="AH9">
        <v>2.5000000000000001E-5</v>
      </c>
      <c r="AI9">
        <v>2.5000000000000001E-5</v>
      </c>
      <c r="AJ9">
        <v>2.5000000000000001E-5</v>
      </c>
      <c r="AK9">
        <v>2.5000000000000001E-5</v>
      </c>
      <c r="AL9">
        <v>2.5000000000000001E-5</v>
      </c>
      <c r="AM9">
        <v>2.5000000000000001E-5</v>
      </c>
      <c r="AN9">
        <v>2.5000000000000001E-5</v>
      </c>
      <c r="AO9">
        <v>2.5000000000000001E-5</v>
      </c>
      <c r="AP9">
        <v>1.34E-4</v>
      </c>
      <c r="AQ9">
        <v>1.34E-4</v>
      </c>
      <c r="AR9">
        <v>1.34E-4</v>
      </c>
      <c r="AS9">
        <v>1.34E-4</v>
      </c>
      <c r="AT9">
        <v>1.34E-4</v>
      </c>
      <c r="AU9">
        <v>1.5300000000000001E-4</v>
      </c>
      <c r="AV9">
        <v>1.5300000000000001E-4</v>
      </c>
      <c r="AW9">
        <v>1.5300000000000001E-4</v>
      </c>
      <c r="AX9">
        <v>1.5300000000000001E-4</v>
      </c>
      <c r="AY9">
        <v>1.5300000000000001E-4</v>
      </c>
      <c r="AZ9">
        <v>1.4799999999999999E-4</v>
      </c>
      <c r="BA9">
        <v>1.4799999999999999E-4</v>
      </c>
      <c r="BB9">
        <v>1.4799999999999999E-4</v>
      </c>
      <c r="BC9">
        <v>1.4799999999999999E-4</v>
      </c>
      <c r="BD9">
        <v>1.4799999999999999E-4</v>
      </c>
      <c r="BE9">
        <v>1.3300000000000001E-4</v>
      </c>
      <c r="BF9">
        <v>1.3300000000000001E-4</v>
      </c>
      <c r="BG9">
        <v>1.3300000000000001E-4</v>
      </c>
      <c r="BH9">
        <v>1.3300000000000001E-4</v>
      </c>
      <c r="BI9">
        <v>1.3300000000000001E-4</v>
      </c>
      <c r="BJ9">
        <v>1.2E-4</v>
      </c>
      <c r="BK9">
        <v>1.2E-4</v>
      </c>
      <c r="BL9">
        <v>1.2E-4</v>
      </c>
      <c r="BM9">
        <v>1.2E-4</v>
      </c>
      <c r="BN9">
        <v>1.2E-4</v>
      </c>
      <c r="BO9">
        <v>9.7999999999999997E-5</v>
      </c>
      <c r="BP9">
        <v>9.7999999999999997E-5</v>
      </c>
      <c r="BQ9">
        <v>9.7999999999999997E-5</v>
      </c>
      <c r="BR9">
        <v>9.7999999999999997E-5</v>
      </c>
      <c r="BS9">
        <v>9.7999999999999997E-5</v>
      </c>
      <c r="BT9">
        <v>1.0399999999999999E-4</v>
      </c>
      <c r="BU9">
        <v>1.0399999999999999E-4</v>
      </c>
      <c r="BV9">
        <v>1.0399999999999999E-4</v>
      </c>
      <c r="BW9">
        <v>1.0399999999999999E-4</v>
      </c>
      <c r="BX9">
        <v>1.0399999999999999E-4</v>
      </c>
      <c r="BY9">
        <v>1.3300000000000001E-4</v>
      </c>
      <c r="BZ9">
        <v>1.3300000000000001E-4</v>
      </c>
      <c r="CA9">
        <v>1.3300000000000001E-4</v>
      </c>
      <c r="CB9">
        <v>1.3300000000000001E-4</v>
      </c>
      <c r="CC9">
        <v>1.3300000000000001E-4</v>
      </c>
      <c r="CD9">
        <v>1.3300000000000001E-4</v>
      </c>
      <c r="CE9">
        <v>1.3300000000000001E-4</v>
      </c>
      <c r="CF9">
        <v>1.3300000000000001E-4</v>
      </c>
      <c r="CG9">
        <v>1.3300000000000001E-4</v>
      </c>
      <c r="CH9">
        <v>1.3300000000000001E-4</v>
      </c>
      <c r="CI9">
        <v>1.3300000000000001E-4</v>
      </c>
      <c r="CJ9">
        <v>1.3300000000000001E-4</v>
      </c>
      <c r="CK9">
        <v>1.3300000000000001E-4</v>
      </c>
      <c r="CL9">
        <v>1.3300000000000001E-4</v>
      </c>
      <c r="CM9">
        <v>1.3300000000000001E-4</v>
      </c>
      <c r="CN9">
        <v>1.3300000000000001E-4</v>
      </c>
      <c r="CO9">
        <v>1.3300000000000001E-4</v>
      </c>
      <c r="CP9">
        <v>1.3300000000000001E-4</v>
      </c>
      <c r="CQ9">
        <v>1.3300000000000001E-4</v>
      </c>
      <c r="CR9">
        <v>1.3300000000000001E-4</v>
      </c>
      <c r="CS9">
        <v>1.3300000000000001E-4</v>
      </c>
      <c r="CT9">
        <v>1.3300000000000001E-4</v>
      </c>
      <c r="CU9">
        <v>1.3300000000000001E-4</v>
      </c>
      <c r="CV9">
        <v>1.3300000000000001E-4</v>
      </c>
      <c r="CW9">
        <v>1.3300000000000001E-4</v>
      </c>
      <c r="CX9">
        <v>1.3300000000000001E-4</v>
      </c>
    </row>
    <row r="10" spans="1:102" x14ac:dyDescent="0.25">
      <c r="A10" t="s">
        <v>81</v>
      </c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  <c r="J10" t="e">
        <v>#VALUE!</v>
      </c>
      <c r="K10" t="e">
        <v>#VALUE!</v>
      </c>
      <c r="L10" t="e">
        <v>#VALUE!</v>
      </c>
      <c r="M10" t="e">
        <v>#VALUE!</v>
      </c>
      <c r="N10" t="e">
        <v>#VALUE!</v>
      </c>
      <c r="O10" t="e">
        <v>#VALUE!</v>
      </c>
      <c r="P10" t="e">
        <v>#VALUE!</v>
      </c>
      <c r="Q10">
        <v>6.0000000000000002E-6</v>
      </c>
      <c r="R10">
        <v>6.0000000000000002E-6</v>
      </c>
      <c r="S10">
        <v>6.0000000000000002E-6</v>
      </c>
      <c r="T10">
        <v>6.0000000000000002E-6</v>
      </c>
      <c r="U10">
        <v>6.0000000000000002E-6</v>
      </c>
      <c r="V10">
        <v>6.0000000000000002E-6</v>
      </c>
      <c r="W10">
        <v>6.0000000000000002E-6</v>
      </c>
      <c r="X10">
        <v>6.0000000000000002E-6</v>
      </c>
      <c r="Y10">
        <v>6.0000000000000002E-6</v>
      </c>
      <c r="Z10">
        <v>6.0000000000000002E-6</v>
      </c>
      <c r="AA10">
        <v>6.0000000000000002E-6</v>
      </c>
      <c r="AB10">
        <v>6.0000000000000002E-6</v>
      </c>
      <c r="AC10">
        <v>6.0000000000000002E-6</v>
      </c>
      <c r="AD10">
        <v>6.0000000000000002E-6</v>
      </c>
      <c r="AE10">
        <v>6.0000000000000002E-6</v>
      </c>
      <c r="AF10">
        <v>6.0000000000000002E-6</v>
      </c>
      <c r="AG10">
        <v>6.0000000000000002E-6</v>
      </c>
      <c r="AH10">
        <v>6.0000000000000002E-6</v>
      </c>
      <c r="AI10">
        <v>6.0000000000000002E-6</v>
      </c>
      <c r="AJ10">
        <v>6.0000000000000002E-6</v>
      </c>
      <c r="AK10">
        <v>6.0000000000000002E-6</v>
      </c>
      <c r="AL10">
        <v>6.0000000000000002E-6</v>
      </c>
      <c r="AM10">
        <v>6.0000000000000002E-6</v>
      </c>
      <c r="AN10">
        <v>6.0000000000000002E-6</v>
      </c>
      <c r="AO10">
        <v>6.0000000000000002E-6</v>
      </c>
      <c r="AP10">
        <v>2.0000000000000002E-5</v>
      </c>
      <c r="AQ10">
        <v>2.0000000000000002E-5</v>
      </c>
      <c r="AR10">
        <v>2.0000000000000002E-5</v>
      </c>
      <c r="AS10">
        <v>2.0000000000000002E-5</v>
      </c>
      <c r="AT10">
        <v>2.0000000000000002E-5</v>
      </c>
      <c r="AU10">
        <v>2.5999999999999998E-5</v>
      </c>
      <c r="AV10">
        <v>2.5999999999999998E-5</v>
      </c>
      <c r="AW10">
        <v>2.5999999999999998E-5</v>
      </c>
      <c r="AX10">
        <v>2.5999999999999998E-5</v>
      </c>
      <c r="AY10">
        <v>2.5999999999999998E-5</v>
      </c>
      <c r="AZ10">
        <v>3.1999999999999999E-5</v>
      </c>
      <c r="BA10">
        <v>3.1999999999999999E-5</v>
      </c>
      <c r="BB10">
        <v>3.1999999999999999E-5</v>
      </c>
      <c r="BC10">
        <v>3.1999999999999999E-5</v>
      </c>
      <c r="BD10">
        <v>3.1999999999999999E-5</v>
      </c>
      <c r="BE10">
        <v>4.1999999999999998E-5</v>
      </c>
      <c r="BF10">
        <v>4.1999999999999998E-5</v>
      </c>
      <c r="BG10">
        <v>4.1999999999999998E-5</v>
      </c>
      <c r="BH10">
        <v>4.1999999999999998E-5</v>
      </c>
      <c r="BI10">
        <v>4.1999999999999998E-5</v>
      </c>
      <c r="BJ10">
        <v>5.0000000000000002E-5</v>
      </c>
      <c r="BK10">
        <v>5.0000000000000002E-5</v>
      </c>
      <c r="BL10">
        <v>5.0000000000000002E-5</v>
      </c>
      <c r="BM10">
        <v>5.0000000000000002E-5</v>
      </c>
      <c r="BN10">
        <v>5.0000000000000002E-5</v>
      </c>
      <c r="BO10">
        <v>5.5999999999999999E-5</v>
      </c>
      <c r="BP10">
        <v>5.5999999999999999E-5</v>
      </c>
      <c r="BQ10">
        <v>5.5999999999999999E-5</v>
      </c>
      <c r="BR10">
        <v>5.5999999999999999E-5</v>
      </c>
      <c r="BS10">
        <v>5.5999999999999999E-5</v>
      </c>
      <c r="BT10">
        <v>6.4999999999999994E-5</v>
      </c>
      <c r="BU10">
        <v>6.4999999999999994E-5</v>
      </c>
      <c r="BV10">
        <v>6.4999999999999994E-5</v>
      </c>
      <c r="BW10">
        <v>6.4999999999999994E-5</v>
      </c>
      <c r="BX10">
        <v>6.4999999999999994E-5</v>
      </c>
      <c r="BY10">
        <v>1.2400000000000001E-4</v>
      </c>
      <c r="BZ10">
        <v>1.2400000000000001E-4</v>
      </c>
      <c r="CA10">
        <v>1.2400000000000001E-4</v>
      </c>
      <c r="CB10">
        <v>1.2400000000000001E-4</v>
      </c>
      <c r="CC10">
        <v>1.2400000000000001E-4</v>
      </c>
      <c r="CD10">
        <v>1.2400000000000001E-4</v>
      </c>
      <c r="CE10">
        <v>1.2400000000000001E-4</v>
      </c>
      <c r="CF10">
        <v>1.2400000000000001E-4</v>
      </c>
      <c r="CG10">
        <v>1.2400000000000001E-4</v>
      </c>
      <c r="CH10">
        <v>1.2400000000000001E-4</v>
      </c>
      <c r="CI10">
        <v>1.2400000000000001E-4</v>
      </c>
      <c r="CJ10">
        <v>1.2400000000000001E-4</v>
      </c>
      <c r="CK10">
        <v>1.2400000000000001E-4</v>
      </c>
      <c r="CL10">
        <v>1.2400000000000001E-4</v>
      </c>
      <c r="CM10">
        <v>1.2400000000000001E-4</v>
      </c>
      <c r="CN10">
        <v>1.2400000000000001E-4</v>
      </c>
      <c r="CO10">
        <v>1.2400000000000001E-4</v>
      </c>
      <c r="CP10">
        <v>1.2400000000000001E-4</v>
      </c>
      <c r="CQ10">
        <v>1.2400000000000001E-4</v>
      </c>
      <c r="CR10">
        <v>1.2400000000000001E-4</v>
      </c>
      <c r="CS10">
        <v>1.2400000000000001E-4</v>
      </c>
      <c r="CT10">
        <v>1.2400000000000001E-4</v>
      </c>
      <c r="CU10">
        <v>1.2400000000000001E-4</v>
      </c>
      <c r="CV10">
        <v>1.2400000000000001E-4</v>
      </c>
      <c r="CW10">
        <v>1.2400000000000001E-4</v>
      </c>
      <c r="CX10">
        <v>1.2400000000000001E-4</v>
      </c>
    </row>
    <row r="11" spans="1:102" x14ac:dyDescent="0.25">
      <c r="A11" t="s">
        <v>84</v>
      </c>
      <c r="B11" t="e">
        <v>#VALUE!</v>
      </c>
      <c r="C11" t="e">
        <v>#VALUE!</v>
      </c>
      <c r="D11" t="e">
        <v>#VALUE!</v>
      </c>
      <c r="E11" t="e">
        <v>#VALUE!</v>
      </c>
      <c r="F11" t="e">
        <v>#VALUE!</v>
      </c>
      <c r="G11" t="e">
        <v>#VALUE!</v>
      </c>
      <c r="H11" t="e">
        <v>#VALUE!</v>
      </c>
      <c r="I11" t="e">
        <v>#VALUE!</v>
      </c>
      <c r="J11" t="e">
        <v>#VALUE!</v>
      </c>
      <c r="K11" t="e">
        <v>#VALUE!</v>
      </c>
      <c r="L11" t="e">
        <v>#VALUE!</v>
      </c>
      <c r="M11" t="e">
        <v>#VALUE!</v>
      </c>
      <c r="N11" t="e">
        <v>#VALUE!</v>
      </c>
      <c r="O11" t="e">
        <v>#VALUE!</v>
      </c>
      <c r="P11" t="e">
        <v>#VALUE!</v>
      </c>
      <c r="Q11">
        <v>5.0000000000000004E-6</v>
      </c>
      <c r="R11">
        <v>5.0000000000000004E-6</v>
      </c>
      <c r="S11">
        <v>5.0000000000000004E-6</v>
      </c>
      <c r="T11">
        <v>5.0000000000000004E-6</v>
      </c>
      <c r="U11">
        <v>5.0000000000000004E-6</v>
      </c>
      <c r="V11">
        <v>5.0000000000000004E-6</v>
      </c>
      <c r="W11">
        <v>5.0000000000000004E-6</v>
      </c>
      <c r="X11">
        <v>5.0000000000000004E-6</v>
      </c>
      <c r="Y11">
        <v>5.0000000000000004E-6</v>
      </c>
      <c r="Z11">
        <v>5.0000000000000004E-6</v>
      </c>
      <c r="AA11">
        <v>5.0000000000000004E-6</v>
      </c>
      <c r="AB11">
        <v>5.0000000000000004E-6</v>
      </c>
      <c r="AC11">
        <v>5.0000000000000004E-6</v>
      </c>
      <c r="AD11">
        <v>5.0000000000000004E-6</v>
      </c>
      <c r="AE11">
        <v>5.0000000000000004E-6</v>
      </c>
      <c r="AF11">
        <v>5.0000000000000004E-6</v>
      </c>
      <c r="AG11">
        <v>5.0000000000000004E-6</v>
      </c>
      <c r="AH11">
        <v>5.0000000000000004E-6</v>
      </c>
      <c r="AI11">
        <v>5.0000000000000004E-6</v>
      </c>
      <c r="AJ11">
        <v>5.0000000000000004E-6</v>
      </c>
      <c r="AK11">
        <v>5.0000000000000004E-6</v>
      </c>
      <c r="AL11">
        <v>5.0000000000000004E-6</v>
      </c>
      <c r="AM11">
        <v>5.0000000000000004E-6</v>
      </c>
      <c r="AN11">
        <v>5.0000000000000004E-6</v>
      </c>
      <c r="AO11">
        <v>5.0000000000000004E-6</v>
      </c>
      <c r="AP11">
        <v>2.4000000000000001E-5</v>
      </c>
      <c r="AQ11">
        <v>2.4000000000000001E-5</v>
      </c>
      <c r="AR11">
        <v>2.4000000000000001E-5</v>
      </c>
      <c r="AS11">
        <v>2.4000000000000001E-5</v>
      </c>
      <c r="AT11">
        <v>2.4000000000000001E-5</v>
      </c>
      <c r="AU11">
        <v>3.4E-5</v>
      </c>
      <c r="AV11">
        <v>3.4E-5</v>
      </c>
      <c r="AW11">
        <v>3.4E-5</v>
      </c>
      <c r="AX11">
        <v>3.4E-5</v>
      </c>
      <c r="AY11">
        <v>3.4E-5</v>
      </c>
      <c r="AZ11">
        <v>4.3000000000000002E-5</v>
      </c>
      <c r="BA11">
        <v>4.3000000000000002E-5</v>
      </c>
      <c r="BB11">
        <v>4.3000000000000002E-5</v>
      </c>
      <c r="BC11">
        <v>4.3000000000000002E-5</v>
      </c>
      <c r="BD11">
        <v>4.3000000000000002E-5</v>
      </c>
      <c r="BE11">
        <v>6.0000000000000002E-5</v>
      </c>
      <c r="BF11">
        <v>6.0000000000000002E-5</v>
      </c>
      <c r="BG11">
        <v>6.0000000000000002E-5</v>
      </c>
      <c r="BH11">
        <v>6.0000000000000002E-5</v>
      </c>
      <c r="BI11">
        <v>6.0000000000000002E-5</v>
      </c>
      <c r="BJ11">
        <v>7.1000000000000005E-5</v>
      </c>
      <c r="BK11">
        <v>7.1000000000000005E-5</v>
      </c>
      <c r="BL11">
        <v>7.1000000000000005E-5</v>
      </c>
      <c r="BM11">
        <v>7.1000000000000005E-5</v>
      </c>
      <c r="BN11">
        <v>7.1000000000000005E-5</v>
      </c>
      <c r="BO11">
        <v>7.6000000000000004E-5</v>
      </c>
      <c r="BP11">
        <v>7.6000000000000004E-5</v>
      </c>
      <c r="BQ11">
        <v>7.6000000000000004E-5</v>
      </c>
      <c r="BR11">
        <v>7.6000000000000004E-5</v>
      </c>
      <c r="BS11">
        <v>7.6000000000000004E-5</v>
      </c>
      <c r="BT11">
        <v>8.6000000000000003E-5</v>
      </c>
      <c r="BU11">
        <v>8.6000000000000003E-5</v>
      </c>
      <c r="BV11">
        <v>8.6000000000000003E-5</v>
      </c>
      <c r="BW11">
        <v>8.6000000000000003E-5</v>
      </c>
      <c r="BX11">
        <v>8.6000000000000003E-5</v>
      </c>
      <c r="BY11">
        <v>1.5699999999999999E-4</v>
      </c>
      <c r="BZ11">
        <v>1.5699999999999999E-4</v>
      </c>
      <c r="CA11">
        <v>1.5699999999999999E-4</v>
      </c>
      <c r="CB11">
        <v>1.5699999999999999E-4</v>
      </c>
      <c r="CC11">
        <v>1.5699999999999999E-4</v>
      </c>
      <c r="CD11">
        <v>1.5699999999999999E-4</v>
      </c>
      <c r="CE11">
        <v>1.5699999999999999E-4</v>
      </c>
      <c r="CF11">
        <v>1.5699999999999999E-4</v>
      </c>
      <c r="CG11">
        <v>1.5699999999999999E-4</v>
      </c>
      <c r="CH11">
        <v>1.5699999999999999E-4</v>
      </c>
      <c r="CI11">
        <v>1.5699999999999999E-4</v>
      </c>
      <c r="CJ11">
        <v>1.5699999999999999E-4</v>
      </c>
      <c r="CK11">
        <v>1.5699999999999999E-4</v>
      </c>
      <c r="CL11">
        <v>1.5699999999999999E-4</v>
      </c>
      <c r="CM11">
        <v>1.5699999999999999E-4</v>
      </c>
      <c r="CN11">
        <v>1.5699999999999999E-4</v>
      </c>
      <c r="CO11">
        <v>1.5699999999999999E-4</v>
      </c>
      <c r="CP11">
        <v>1.5699999999999999E-4</v>
      </c>
      <c r="CQ11">
        <v>1.5699999999999999E-4</v>
      </c>
      <c r="CR11">
        <v>1.5699999999999999E-4</v>
      </c>
      <c r="CS11">
        <v>1.5699999999999999E-4</v>
      </c>
      <c r="CT11">
        <v>1.5699999999999999E-4</v>
      </c>
      <c r="CU11">
        <v>1.5699999999999999E-4</v>
      </c>
      <c r="CV11">
        <v>1.5699999999999999E-4</v>
      </c>
      <c r="CW11">
        <v>1.5699999999999999E-4</v>
      </c>
      <c r="CX11">
        <v>1.5699999999999999E-4</v>
      </c>
    </row>
    <row r="12" spans="1:102" x14ac:dyDescent="0.25">
      <c r="A12" t="s">
        <v>86</v>
      </c>
      <c r="B12" t="e">
        <v>#VALUE!</v>
      </c>
      <c r="C12" t="e">
        <v>#VALUE!</v>
      </c>
      <c r="D12" t="e">
        <v>#VALUE!</v>
      </c>
      <c r="E12" t="e">
        <v>#VALUE!</v>
      </c>
      <c r="F12" t="e">
        <v>#VALUE!</v>
      </c>
      <c r="G12" t="e">
        <v>#VALUE!</v>
      </c>
      <c r="H12" t="e">
        <v>#VALUE!</v>
      </c>
      <c r="I12" t="e">
        <v>#VALUE!</v>
      </c>
      <c r="J12" t="e">
        <v>#VALUE!</v>
      </c>
      <c r="K12" t="e">
        <v>#VALUE!</v>
      </c>
      <c r="L12" t="e">
        <v>#VALUE!</v>
      </c>
      <c r="M12" t="e">
        <v>#VALUE!</v>
      </c>
      <c r="N12" t="e">
        <v>#VALUE!</v>
      </c>
      <c r="O12" t="e">
        <v>#VALUE!</v>
      </c>
      <c r="P12" t="e">
        <v>#VALUE!</v>
      </c>
      <c r="Q12">
        <v>1.2E-5</v>
      </c>
      <c r="R12">
        <v>1.2E-5</v>
      </c>
      <c r="S12">
        <v>1.2E-5</v>
      </c>
      <c r="T12">
        <v>1.2E-5</v>
      </c>
      <c r="U12">
        <v>1.2E-5</v>
      </c>
      <c r="V12">
        <v>1.2E-5</v>
      </c>
      <c r="W12">
        <v>1.2E-5</v>
      </c>
      <c r="X12">
        <v>1.2E-5</v>
      </c>
      <c r="Y12">
        <v>1.2E-5</v>
      </c>
      <c r="Z12">
        <v>1.2E-5</v>
      </c>
      <c r="AA12">
        <v>1.2E-5</v>
      </c>
      <c r="AB12">
        <v>1.2E-5</v>
      </c>
      <c r="AC12">
        <v>1.2E-5</v>
      </c>
      <c r="AD12">
        <v>1.2E-5</v>
      </c>
      <c r="AE12">
        <v>1.2E-5</v>
      </c>
      <c r="AF12">
        <v>1.2E-5</v>
      </c>
      <c r="AG12">
        <v>1.2E-5</v>
      </c>
      <c r="AH12">
        <v>1.2E-5</v>
      </c>
      <c r="AI12">
        <v>1.2E-5</v>
      </c>
      <c r="AJ12">
        <v>1.2E-5</v>
      </c>
      <c r="AK12">
        <v>1.2E-5</v>
      </c>
      <c r="AL12">
        <v>1.2E-5</v>
      </c>
      <c r="AM12">
        <v>1.2E-5</v>
      </c>
      <c r="AN12">
        <v>1.2E-5</v>
      </c>
      <c r="AO12">
        <v>1.2E-5</v>
      </c>
      <c r="AP12">
        <v>5.8E-5</v>
      </c>
      <c r="AQ12">
        <v>5.8E-5</v>
      </c>
      <c r="AR12">
        <v>5.8E-5</v>
      </c>
      <c r="AS12">
        <v>5.8E-5</v>
      </c>
      <c r="AT12">
        <v>5.8E-5</v>
      </c>
      <c r="AU12">
        <v>7.7000000000000001E-5</v>
      </c>
      <c r="AV12">
        <v>7.7000000000000001E-5</v>
      </c>
      <c r="AW12">
        <v>7.7000000000000001E-5</v>
      </c>
      <c r="AX12">
        <v>7.7000000000000001E-5</v>
      </c>
      <c r="AY12">
        <v>7.7000000000000001E-5</v>
      </c>
      <c r="AZ12">
        <v>1.05E-4</v>
      </c>
      <c r="BA12">
        <v>1.05E-4</v>
      </c>
      <c r="BB12">
        <v>1.05E-4</v>
      </c>
      <c r="BC12">
        <v>1.05E-4</v>
      </c>
      <c r="BD12">
        <v>1.05E-4</v>
      </c>
      <c r="BE12">
        <v>1.3200000000000001E-4</v>
      </c>
      <c r="BF12">
        <v>1.3200000000000001E-4</v>
      </c>
      <c r="BG12">
        <v>1.3200000000000001E-4</v>
      </c>
      <c r="BH12">
        <v>1.3200000000000001E-4</v>
      </c>
      <c r="BI12">
        <v>1.3200000000000001E-4</v>
      </c>
      <c r="BJ12">
        <v>1.4899999999999999E-4</v>
      </c>
      <c r="BK12">
        <v>1.4899999999999999E-4</v>
      </c>
      <c r="BL12">
        <v>1.4899999999999999E-4</v>
      </c>
      <c r="BM12">
        <v>1.4899999999999999E-4</v>
      </c>
      <c r="BN12">
        <v>1.4899999999999999E-4</v>
      </c>
      <c r="BO12">
        <v>1.5200000000000001E-4</v>
      </c>
      <c r="BP12">
        <v>1.5200000000000001E-4</v>
      </c>
      <c r="BQ12">
        <v>1.5200000000000001E-4</v>
      </c>
      <c r="BR12">
        <v>1.5200000000000001E-4</v>
      </c>
      <c r="BS12">
        <v>1.5200000000000001E-4</v>
      </c>
      <c r="BT12">
        <v>1.5699999999999999E-4</v>
      </c>
      <c r="BU12">
        <v>1.5699999999999999E-4</v>
      </c>
      <c r="BV12">
        <v>1.5699999999999999E-4</v>
      </c>
      <c r="BW12">
        <v>1.5699999999999999E-4</v>
      </c>
      <c r="BX12">
        <v>1.5699999999999999E-4</v>
      </c>
      <c r="BY12">
        <v>1.3200000000000001E-4</v>
      </c>
      <c r="BZ12">
        <v>1.3200000000000001E-4</v>
      </c>
      <c r="CA12">
        <v>1.3200000000000001E-4</v>
      </c>
      <c r="CB12">
        <v>1.3200000000000001E-4</v>
      </c>
      <c r="CC12">
        <v>1.3200000000000001E-4</v>
      </c>
      <c r="CD12">
        <v>1.3200000000000001E-4</v>
      </c>
      <c r="CE12">
        <v>1.3200000000000001E-4</v>
      </c>
      <c r="CF12">
        <v>1.3200000000000001E-4</v>
      </c>
      <c r="CG12">
        <v>1.3200000000000001E-4</v>
      </c>
      <c r="CH12">
        <v>1.3200000000000001E-4</v>
      </c>
      <c r="CI12">
        <v>1.3200000000000001E-4</v>
      </c>
      <c r="CJ12">
        <v>1.3200000000000001E-4</v>
      </c>
      <c r="CK12">
        <v>1.3200000000000001E-4</v>
      </c>
      <c r="CL12">
        <v>1.3200000000000001E-4</v>
      </c>
      <c r="CM12">
        <v>1.3200000000000001E-4</v>
      </c>
      <c r="CN12">
        <v>1.3200000000000001E-4</v>
      </c>
      <c r="CO12">
        <v>1.3200000000000001E-4</v>
      </c>
      <c r="CP12">
        <v>1.3200000000000001E-4</v>
      </c>
      <c r="CQ12">
        <v>1.3200000000000001E-4</v>
      </c>
      <c r="CR12">
        <v>1.3200000000000001E-4</v>
      </c>
      <c r="CS12">
        <v>1.3200000000000001E-4</v>
      </c>
      <c r="CT12">
        <v>1.3200000000000001E-4</v>
      </c>
      <c r="CU12">
        <v>1.3200000000000001E-4</v>
      </c>
      <c r="CV12">
        <v>1.3200000000000001E-4</v>
      </c>
      <c r="CW12">
        <v>1.3200000000000001E-4</v>
      </c>
      <c r="CX12">
        <v>1.3200000000000001E-4</v>
      </c>
    </row>
    <row r="13" spans="1:102" x14ac:dyDescent="0.25">
      <c r="A13" t="s">
        <v>88</v>
      </c>
      <c r="B13" t="e">
        <v>#VALUE!</v>
      </c>
      <c r="C13" t="e">
        <v>#VALUE!</v>
      </c>
      <c r="D13" t="e">
        <v>#VALUE!</v>
      </c>
      <c r="E13" t="e">
        <v>#VALUE!</v>
      </c>
      <c r="F13" t="e">
        <v>#VALUE!</v>
      </c>
      <c r="G13" t="e">
        <v>#VALUE!</v>
      </c>
      <c r="H13" t="e">
        <v>#VALUE!</v>
      </c>
      <c r="I13" t="e">
        <v>#VALUE!</v>
      </c>
      <c r="J13" t="e">
        <v>#VALUE!</v>
      </c>
      <c r="K13" t="e">
        <v>#VALUE!</v>
      </c>
      <c r="L13" t="e">
        <v>#VALUE!</v>
      </c>
      <c r="M13" t="e">
        <v>#VALUE!</v>
      </c>
      <c r="N13" t="e">
        <v>#VALUE!</v>
      </c>
      <c r="O13" t="e">
        <v>#VALUE!</v>
      </c>
      <c r="P13" t="e">
        <v>#VALUE!</v>
      </c>
      <c r="Q13">
        <v>1.4E-5</v>
      </c>
      <c r="R13">
        <v>1.4E-5</v>
      </c>
      <c r="S13">
        <v>1.4E-5</v>
      </c>
      <c r="T13">
        <v>1.4E-5</v>
      </c>
      <c r="U13">
        <v>1.4E-5</v>
      </c>
      <c r="V13">
        <v>1.4E-5</v>
      </c>
      <c r="W13">
        <v>1.4E-5</v>
      </c>
      <c r="X13">
        <v>1.4E-5</v>
      </c>
      <c r="Y13">
        <v>1.4E-5</v>
      </c>
      <c r="Z13">
        <v>1.4E-5</v>
      </c>
      <c r="AA13">
        <v>1.4E-5</v>
      </c>
      <c r="AB13">
        <v>1.4E-5</v>
      </c>
      <c r="AC13">
        <v>1.4E-5</v>
      </c>
      <c r="AD13">
        <v>1.4E-5</v>
      </c>
      <c r="AE13">
        <v>1.4E-5</v>
      </c>
      <c r="AF13">
        <v>1.4E-5</v>
      </c>
      <c r="AG13">
        <v>1.4E-5</v>
      </c>
      <c r="AH13">
        <v>1.4E-5</v>
      </c>
      <c r="AI13">
        <v>1.4E-5</v>
      </c>
      <c r="AJ13">
        <v>1.4E-5</v>
      </c>
      <c r="AK13">
        <v>1.4E-5</v>
      </c>
      <c r="AL13">
        <v>1.4E-5</v>
      </c>
      <c r="AM13">
        <v>1.4E-5</v>
      </c>
      <c r="AN13">
        <v>1.4E-5</v>
      </c>
      <c r="AO13">
        <v>1.4E-5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1.5200000000000001E-4</v>
      </c>
      <c r="AV13">
        <v>1.5200000000000001E-4</v>
      </c>
      <c r="AW13">
        <v>1.5200000000000001E-4</v>
      </c>
      <c r="AX13">
        <v>1.5200000000000001E-4</v>
      </c>
      <c r="AY13">
        <v>1.5200000000000001E-4</v>
      </c>
      <c r="AZ13">
        <v>1.66E-4</v>
      </c>
      <c r="BA13">
        <v>1.66E-4</v>
      </c>
      <c r="BB13">
        <v>1.66E-4</v>
      </c>
      <c r="BC13">
        <v>1.66E-4</v>
      </c>
      <c r="BD13">
        <v>1.66E-4</v>
      </c>
      <c r="BE13">
        <v>2.0799999999999999E-4</v>
      </c>
      <c r="BF13">
        <v>2.0799999999999999E-4</v>
      </c>
      <c r="BG13">
        <v>2.0799999999999999E-4</v>
      </c>
      <c r="BH13">
        <v>2.0799999999999999E-4</v>
      </c>
      <c r="BI13">
        <v>2.0799999999999999E-4</v>
      </c>
      <c r="BJ13">
        <v>2.7300000000000002E-4</v>
      </c>
      <c r="BK13">
        <v>2.7300000000000002E-4</v>
      </c>
      <c r="BL13">
        <v>2.7300000000000002E-4</v>
      </c>
      <c r="BM13">
        <v>2.7300000000000002E-4</v>
      </c>
      <c r="BN13">
        <v>2.7300000000000002E-4</v>
      </c>
      <c r="BO13">
        <v>3.8499999999999998E-4</v>
      </c>
      <c r="BP13">
        <v>3.8499999999999998E-4</v>
      </c>
      <c r="BQ13">
        <v>3.8499999999999998E-4</v>
      </c>
      <c r="BR13">
        <v>3.8499999999999998E-4</v>
      </c>
      <c r="BS13">
        <v>3.8499999999999998E-4</v>
      </c>
      <c r="BT13">
        <v>2.5000000000000001E-4</v>
      </c>
      <c r="BU13">
        <v>2.5000000000000001E-4</v>
      </c>
      <c r="BV13">
        <v>2.5000000000000001E-4</v>
      </c>
      <c r="BW13">
        <v>2.5000000000000001E-4</v>
      </c>
      <c r="BX13">
        <v>2.5000000000000001E-4</v>
      </c>
      <c r="BY13">
        <v>3.4499999999999998E-4</v>
      </c>
      <c r="BZ13">
        <v>3.4499999999999998E-4</v>
      </c>
      <c r="CA13">
        <v>3.4499999999999998E-4</v>
      </c>
      <c r="CB13">
        <v>3.4499999999999998E-4</v>
      </c>
      <c r="CC13">
        <v>3.4499999999999998E-4</v>
      </c>
      <c r="CD13">
        <v>3.4499999999999998E-4</v>
      </c>
      <c r="CE13">
        <v>3.4499999999999998E-4</v>
      </c>
      <c r="CF13">
        <v>3.4499999999999998E-4</v>
      </c>
      <c r="CG13">
        <v>3.4499999999999998E-4</v>
      </c>
      <c r="CH13">
        <v>3.4499999999999998E-4</v>
      </c>
      <c r="CI13">
        <v>3.4499999999999998E-4</v>
      </c>
      <c r="CJ13">
        <v>3.4499999999999998E-4</v>
      </c>
      <c r="CK13">
        <v>3.4499999999999998E-4</v>
      </c>
      <c r="CL13">
        <v>3.4499999999999998E-4</v>
      </c>
      <c r="CM13">
        <v>3.4499999999999998E-4</v>
      </c>
      <c r="CN13">
        <v>3.4499999999999998E-4</v>
      </c>
      <c r="CO13">
        <v>3.4499999999999998E-4</v>
      </c>
      <c r="CP13">
        <v>3.4499999999999998E-4</v>
      </c>
      <c r="CQ13">
        <v>3.4499999999999998E-4</v>
      </c>
      <c r="CR13">
        <v>3.4499999999999998E-4</v>
      </c>
      <c r="CS13">
        <v>3.4499999999999998E-4</v>
      </c>
      <c r="CT13">
        <v>3.4499999999999998E-4</v>
      </c>
      <c r="CU13">
        <v>3.4499999999999998E-4</v>
      </c>
      <c r="CV13">
        <v>3.4499999999999998E-4</v>
      </c>
      <c r="CW13">
        <v>3.4499999999999998E-4</v>
      </c>
      <c r="CX13">
        <v>3.4499999999999998E-4</v>
      </c>
    </row>
    <row r="14" spans="1:102" x14ac:dyDescent="0.25">
      <c r="A14" t="s">
        <v>90</v>
      </c>
      <c r="B14" t="e">
        <v>#VALUE!</v>
      </c>
      <c r="C14" t="e">
        <v>#VALUE!</v>
      </c>
      <c r="D14" t="e">
        <v>#VALUE!</v>
      </c>
      <c r="E14" t="e">
        <v>#VALUE!</v>
      </c>
      <c r="F14" t="e">
        <v>#VALUE!</v>
      </c>
      <c r="G14" t="e">
        <v>#VALUE!</v>
      </c>
      <c r="H14" t="e">
        <v>#VALUE!</v>
      </c>
      <c r="I14" t="e">
        <v>#VALUE!</v>
      </c>
      <c r="J14" t="e">
        <v>#VALUE!</v>
      </c>
      <c r="K14" t="e">
        <v>#VALUE!</v>
      </c>
      <c r="L14" t="e">
        <v>#VALUE!</v>
      </c>
      <c r="M14" t="e">
        <v>#VALUE!</v>
      </c>
      <c r="N14" t="e">
        <v>#VALUE!</v>
      </c>
      <c r="O14" t="e">
        <v>#VALUE!</v>
      </c>
      <c r="P14" t="e">
        <v>#VALUE!</v>
      </c>
      <c r="Q14" t="e">
        <v>#VALUE!</v>
      </c>
      <c r="R14" t="e">
        <v>#VALUE!</v>
      </c>
      <c r="S14" t="e">
        <v>#VALUE!</v>
      </c>
      <c r="T14" t="e">
        <v>#VALUE!</v>
      </c>
      <c r="U14" t="e">
        <v>#VALUE!</v>
      </c>
      <c r="V14" t="e">
        <v>#VALUE!</v>
      </c>
      <c r="W14" t="e">
        <v>#VALUE!</v>
      </c>
      <c r="X14" t="e">
        <v>#VALUE!</v>
      </c>
      <c r="Y14" t="e">
        <v>#VALUE!</v>
      </c>
      <c r="Z14" t="e">
        <v>#VALUE!</v>
      </c>
      <c r="AA14" t="e">
        <v>#VALUE!</v>
      </c>
      <c r="AB14" t="e">
        <v>#VALUE!</v>
      </c>
      <c r="AC14" t="e">
        <v>#VALUE!</v>
      </c>
      <c r="AD14" t="e">
        <v>#VALUE!</v>
      </c>
      <c r="AE14" t="e">
        <v>#VALUE!</v>
      </c>
      <c r="AF14" t="e">
        <v>#VALUE!</v>
      </c>
      <c r="AG14" t="e">
        <v>#VALUE!</v>
      </c>
      <c r="AH14" t="e">
        <v>#VALUE!</v>
      </c>
      <c r="AI14" t="e">
        <v>#VALUE!</v>
      </c>
      <c r="AJ14" t="e">
        <v>#VALUE!</v>
      </c>
      <c r="AK14" t="e">
        <v>#VALUE!</v>
      </c>
      <c r="AL14" t="e">
        <v>#VALUE!</v>
      </c>
      <c r="AM14" t="e">
        <v>#VALUE!</v>
      </c>
      <c r="AN14" t="e">
        <v>#VALUE!</v>
      </c>
      <c r="AO14" t="e">
        <v>#VALUE!</v>
      </c>
      <c r="AP14" t="e">
        <v>#VALUE!</v>
      </c>
      <c r="AQ14" t="e">
        <v>#VALUE!</v>
      </c>
      <c r="AR14" t="e">
        <v>#VALUE!</v>
      </c>
      <c r="AS14" t="e">
        <v>#VALUE!</v>
      </c>
      <c r="AT14" t="e">
        <v>#VALUE!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3.8999999999999999E-5</v>
      </c>
      <c r="BA14">
        <v>3.8999999999999999E-5</v>
      </c>
      <c r="BB14">
        <v>3.8999999999999999E-5</v>
      </c>
      <c r="BC14">
        <v>3.8999999999999999E-5</v>
      </c>
      <c r="BD14">
        <v>3.8999999999999999E-5</v>
      </c>
      <c r="BE14">
        <v>6.2000000000000003E-5</v>
      </c>
      <c r="BF14">
        <v>6.2000000000000003E-5</v>
      </c>
      <c r="BG14">
        <v>6.2000000000000003E-5</v>
      </c>
      <c r="BH14">
        <v>6.2000000000000003E-5</v>
      </c>
      <c r="BI14">
        <v>6.2000000000000003E-5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2.0599999999999999E-4</v>
      </c>
      <c r="BZ14">
        <v>2.0599999999999999E-4</v>
      </c>
      <c r="CA14">
        <v>2.0599999999999999E-4</v>
      </c>
      <c r="CB14">
        <v>2.0599999999999999E-4</v>
      </c>
      <c r="CC14">
        <v>2.0599999999999999E-4</v>
      </c>
      <c r="CD14">
        <v>2.0599999999999999E-4</v>
      </c>
      <c r="CE14">
        <v>2.0599999999999999E-4</v>
      </c>
      <c r="CF14">
        <v>2.0599999999999999E-4</v>
      </c>
      <c r="CG14">
        <v>2.0599999999999999E-4</v>
      </c>
      <c r="CH14">
        <v>2.0599999999999999E-4</v>
      </c>
      <c r="CI14">
        <v>2.0599999999999999E-4</v>
      </c>
      <c r="CJ14">
        <v>2.0599999999999999E-4</v>
      </c>
      <c r="CK14">
        <v>2.0599999999999999E-4</v>
      </c>
      <c r="CL14">
        <v>2.0599999999999999E-4</v>
      </c>
      <c r="CM14">
        <v>2.0599999999999999E-4</v>
      </c>
      <c r="CN14">
        <v>2.0599999999999999E-4</v>
      </c>
      <c r="CO14">
        <v>2.0599999999999999E-4</v>
      </c>
      <c r="CP14">
        <v>2.0599999999999999E-4</v>
      </c>
      <c r="CQ14">
        <v>2.0599999999999999E-4</v>
      </c>
      <c r="CR14">
        <v>2.0599999999999999E-4</v>
      </c>
      <c r="CS14">
        <v>2.0599999999999999E-4</v>
      </c>
      <c r="CT14">
        <v>2.0599999999999999E-4</v>
      </c>
      <c r="CU14">
        <v>2.0599999999999999E-4</v>
      </c>
      <c r="CV14">
        <v>2.0599999999999999E-4</v>
      </c>
      <c r="CW14">
        <v>2.0599999999999999E-4</v>
      </c>
      <c r="CX14">
        <v>2.0599999999999999E-4</v>
      </c>
    </row>
    <row r="15" spans="1:102" x14ac:dyDescent="0.25">
      <c r="A15" t="s">
        <v>92</v>
      </c>
      <c r="B15" t="e">
        <v>#VALUE!</v>
      </c>
      <c r="C15" t="e">
        <v>#VALUE!</v>
      </c>
      <c r="D15" t="e">
        <v>#VALUE!</v>
      </c>
      <c r="E15" t="e">
        <v>#VALUE!</v>
      </c>
      <c r="F15" t="e">
        <v>#VALUE!</v>
      </c>
      <c r="G15" t="e">
        <v>#VALUE!</v>
      </c>
      <c r="H15" t="e">
        <v>#VALUE!</v>
      </c>
      <c r="I15" t="e">
        <v>#VALUE!</v>
      </c>
      <c r="J15" t="e">
        <v>#VALUE!</v>
      </c>
      <c r="K15" t="e">
        <v>#VALUE!</v>
      </c>
      <c r="L15" t="e">
        <v>#VALUE!</v>
      </c>
      <c r="M15" t="e">
        <v>#VALUE!</v>
      </c>
      <c r="N15" t="e">
        <v>#VALUE!</v>
      </c>
      <c r="O15" t="e">
        <v>#VALUE!</v>
      </c>
      <c r="P15" t="e">
        <v>#VALUE!</v>
      </c>
      <c r="Q15">
        <v>1.4E-5</v>
      </c>
      <c r="R15">
        <v>1.4E-5</v>
      </c>
      <c r="S15">
        <v>1.4E-5</v>
      </c>
      <c r="T15">
        <v>1.4E-5</v>
      </c>
      <c r="U15">
        <v>1.4E-5</v>
      </c>
      <c r="V15">
        <v>1.4E-5</v>
      </c>
      <c r="W15">
        <v>1.4E-5</v>
      </c>
      <c r="X15">
        <v>1.4E-5</v>
      </c>
      <c r="Y15">
        <v>1.4E-5</v>
      </c>
      <c r="Z15">
        <v>1.4E-5</v>
      </c>
      <c r="AA15">
        <v>1.4E-5</v>
      </c>
      <c r="AB15">
        <v>1.4E-5</v>
      </c>
      <c r="AC15">
        <v>1.4E-5</v>
      </c>
      <c r="AD15">
        <v>1.4E-5</v>
      </c>
      <c r="AE15">
        <v>1.4E-5</v>
      </c>
      <c r="AF15">
        <v>1.4E-5</v>
      </c>
      <c r="AG15">
        <v>1.4E-5</v>
      </c>
      <c r="AH15">
        <v>1.4E-5</v>
      </c>
      <c r="AI15">
        <v>1.4E-5</v>
      </c>
      <c r="AJ15">
        <v>1.4E-5</v>
      </c>
      <c r="AK15">
        <v>1.4E-5</v>
      </c>
      <c r="AL15">
        <v>1.4E-5</v>
      </c>
      <c r="AM15">
        <v>1.4E-5</v>
      </c>
      <c r="AN15">
        <v>1.4E-5</v>
      </c>
      <c r="AO15">
        <v>1.4E-5</v>
      </c>
      <c r="AP15">
        <v>1.3200000000000001E-4</v>
      </c>
      <c r="AQ15">
        <v>1.3200000000000001E-4</v>
      </c>
      <c r="AR15">
        <v>1.3200000000000001E-4</v>
      </c>
      <c r="AS15">
        <v>1.3200000000000001E-4</v>
      </c>
      <c r="AT15">
        <v>1.3200000000000001E-4</v>
      </c>
      <c r="AU15">
        <v>2.33E-4</v>
      </c>
      <c r="AV15">
        <v>2.33E-4</v>
      </c>
      <c r="AW15">
        <v>2.33E-4</v>
      </c>
      <c r="AX15">
        <v>2.33E-4</v>
      </c>
      <c r="AY15">
        <v>2.33E-4</v>
      </c>
      <c r="AZ15">
        <v>3.3399999999999999E-4</v>
      </c>
      <c r="BA15">
        <v>3.3399999999999999E-4</v>
      </c>
      <c r="BB15">
        <v>3.3399999999999999E-4</v>
      </c>
      <c r="BC15">
        <v>3.3399999999999999E-4</v>
      </c>
      <c r="BD15">
        <v>3.3399999999999999E-4</v>
      </c>
      <c r="BE15">
        <v>4.17E-4</v>
      </c>
      <c r="BF15">
        <v>4.17E-4</v>
      </c>
      <c r="BG15">
        <v>4.17E-4</v>
      </c>
      <c r="BH15">
        <v>4.17E-4</v>
      </c>
      <c r="BI15">
        <v>4.17E-4</v>
      </c>
      <c r="BJ15">
        <v>4.8299999999999998E-4</v>
      </c>
      <c r="BK15">
        <v>4.8299999999999998E-4</v>
      </c>
      <c r="BL15">
        <v>4.8299999999999998E-4</v>
      </c>
      <c r="BM15">
        <v>4.8299999999999998E-4</v>
      </c>
      <c r="BN15">
        <v>4.8299999999999998E-4</v>
      </c>
      <c r="BO15">
        <v>5.1900000000000004E-4</v>
      </c>
      <c r="BP15">
        <v>5.1900000000000004E-4</v>
      </c>
      <c r="BQ15">
        <v>5.1900000000000004E-4</v>
      </c>
      <c r="BR15">
        <v>5.1900000000000004E-4</v>
      </c>
      <c r="BS15">
        <v>5.1900000000000004E-4</v>
      </c>
      <c r="BT15">
        <v>5.1900000000000004E-4</v>
      </c>
      <c r="BU15">
        <v>5.1900000000000004E-4</v>
      </c>
      <c r="BV15">
        <v>5.1900000000000004E-4</v>
      </c>
      <c r="BW15">
        <v>5.1900000000000004E-4</v>
      </c>
      <c r="BX15">
        <v>5.1900000000000004E-4</v>
      </c>
      <c r="BY15">
        <v>4.84E-4</v>
      </c>
      <c r="BZ15">
        <v>4.84E-4</v>
      </c>
      <c r="CA15">
        <v>4.84E-4</v>
      </c>
      <c r="CB15">
        <v>4.84E-4</v>
      </c>
      <c r="CC15">
        <v>4.84E-4</v>
      </c>
      <c r="CD15">
        <v>4.84E-4</v>
      </c>
      <c r="CE15">
        <v>4.84E-4</v>
      </c>
      <c r="CF15">
        <v>4.84E-4</v>
      </c>
      <c r="CG15">
        <v>4.84E-4</v>
      </c>
      <c r="CH15">
        <v>4.84E-4</v>
      </c>
      <c r="CI15">
        <v>4.84E-4</v>
      </c>
      <c r="CJ15">
        <v>4.84E-4</v>
      </c>
      <c r="CK15">
        <v>4.84E-4</v>
      </c>
      <c r="CL15">
        <v>4.84E-4</v>
      </c>
      <c r="CM15">
        <v>4.84E-4</v>
      </c>
      <c r="CN15">
        <v>4.84E-4</v>
      </c>
      <c r="CO15">
        <v>4.84E-4</v>
      </c>
      <c r="CP15">
        <v>4.84E-4</v>
      </c>
      <c r="CQ15">
        <v>4.84E-4</v>
      </c>
      <c r="CR15">
        <v>4.84E-4</v>
      </c>
      <c r="CS15">
        <v>4.84E-4</v>
      </c>
      <c r="CT15">
        <v>4.84E-4</v>
      </c>
      <c r="CU15">
        <v>4.84E-4</v>
      </c>
      <c r="CV15">
        <v>4.84E-4</v>
      </c>
      <c r="CW15">
        <v>4.84E-4</v>
      </c>
      <c r="CX15">
        <v>4.84E-4</v>
      </c>
    </row>
    <row r="16" spans="1:102" x14ac:dyDescent="0.25">
      <c r="A16" t="s">
        <v>95</v>
      </c>
      <c r="B16" t="e">
        <v>#VALUE!</v>
      </c>
      <c r="C16" t="e">
        <v>#VALUE!</v>
      </c>
      <c r="D16" t="e">
        <v>#VALUE!</v>
      </c>
      <c r="E16" t="e">
        <v>#VALUE!</v>
      </c>
      <c r="F16" t="e">
        <v>#VALUE!</v>
      </c>
      <c r="G16" t="e">
        <v>#VALUE!</v>
      </c>
      <c r="H16" t="e">
        <v>#VALUE!</v>
      </c>
      <c r="I16" t="e">
        <v>#VALUE!</v>
      </c>
      <c r="J16" t="e">
        <v>#VALUE!</v>
      </c>
      <c r="K16" t="e">
        <v>#VALUE!</v>
      </c>
      <c r="L16" t="e">
        <v>#VALUE!</v>
      </c>
      <c r="M16" t="e">
        <v>#VALUE!</v>
      </c>
      <c r="N16" t="e">
        <v>#VALUE!</v>
      </c>
      <c r="O16" t="e">
        <v>#VALUE!</v>
      </c>
      <c r="P16" t="e">
        <v>#VALUE!</v>
      </c>
      <c r="Q16">
        <v>4.1999999999999998E-5</v>
      </c>
      <c r="R16">
        <v>4.1999999999999998E-5</v>
      </c>
      <c r="S16">
        <v>4.1999999999999998E-5</v>
      </c>
      <c r="T16">
        <v>4.1999999999999998E-5</v>
      </c>
      <c r="U16">
        <v>4.1999999999999998E-5</v>
      </c>
      <c r="V16">
        <v>4.1999999999999998E-5</v>
      </c>
      <c r="W16">
        <v>4.1999999999999998E-5</v>
      </c>
      <c r="X16">
        <v>4.1999999999999998E-5</v>
      </c>
      <c r="Y16">
        <v>4.1999999999999998E-5</v>
      </c>
      <c r="Z16">
        <v>4.1999999999999998E-5</v>
      </c>
      <c r="AA16">
        <v>4.1999999999999998E-5</v>
      </c>
      <c r="AB16">
        <v>4.1999999999999998E-5</v>
      </c>
      <c r="AC16">
        <v>4.1999999999999998E-5</v>
      </c>
      <c r="AD16">
        <v>4.1999999999999998E-5</v>
      </c>
      <c r="AE16">
        <v>4.1999999999999998E-5</v>
      </c>
      <c r="AF16">
        <v>4.1999999999999998E-5</v>
      </c>
      <c r="AG16">
        <v>4.1999999999999998E-5</v>
      </c>
      <c r="AH16">
        <v>4.1999999999999998E-5</v>
      </c>
      <c r="AI16">
        <v>4.1999999999999998E-5</v>
      </c>
      <c r="AJ16">
        <v>4.1999999999999998E-5</v>
      </c>
      <c r="AK16">
        <v>4.1999999999999998E-5</v>
      </c>
      <c r="AL16">
        <v>4.1999999999999998E-5</v>
      </c>
      <c r="AM16">
        <v>4.1999999999999998E-5</v>
      </c>
      <c r="AN16">
        <v>4.1999999999999998E-5</v>
      </c>
      <c r="AO16">
        <v>4.1999999999999998E-5</v>
      </c>
      <c r="AP16">
        <v>9.7999999999999997E-5</v>
      </c>
      <c r="AQ16">
        <v>9.7999999999999997E-5</v>
      </c>
      <c r="AR16">
        <v>9.7999999999999997E-5</v>
      </c>
      <c r="AS16">
        <v>9.7999999999999997E-5</v>
      </c>
      <c r="AT16">
        <v>9.7999999999999997E-5</v>
      </c>
      <c r="AU16">
        <v>1.83E-4</v>
      </c>
      <c r="AV16">
        <v>1.83E-4</v>
      </c>
      <c r="AW16">
        <v>1.83E-4</v>
      </c>
      <c r="AX16">
        <v>1.83E-4</v>
      </c>
      <c r="AY16">
        <v>1.83E-4</v>
      </c>
      <c r="AZ16">
        <v>2.7099999999999997E-4</v>
      </c>
      <c r="BA16">
        <v>2.7099999999999997E-4</v>
      </c>
      <c r="BB16">
        <v>2.7099999999999997E-4</v>
      </c>
      <c r="BC16">
        <v>2.7099999999999997E-4</v>
      </c>
      <c r="BD16">
        <v>2.7099999999999997E-4</v>
      </c>
      <c r="BE16">
        <v>1.05E-4</v>
      </c>
      <c r="BF16">
        <v>1.05E-4</v>
      </c>
      <c r="BG16">
        <v>1.05E-4</v>
      </c>
      <c r="BH16">
        <v>1.05E-4</v>
      </c>
      <c r="BI16">
        <v>1.05E-4</v>
      </c>
      <c r="BJ16">
        <v>1.3100000000000001E-4</v>
      </c>
      <c r="BK16">
        <v>1.3100000000000001E-4</v>
      </c>
      <c r="BL16">
        <v>1.3100000000000001E-4</v>
      </c>
      <c r="BM16">
        <v>1.3100000000000001E-4</v>
      </c>
      <c r="BN16">
        <v>1.3100000000000001E-4</v>
      </c>
      <c r="BO16">
        <v>1.8100000000000001E-4</v>
      </c>
      <c r="BP16">
        <v>1.8100000000000001E-4</v>
      </c>
      <c r="BQ16">
        <v>1.8100000000000001E-4</v>
      </c>
      <c r="BR16">
        <v>1.8100000000000001E-4</v>
      </c>
      <c r="BS16">
        <v>1.8100000000000001E-4</v>
      </c>
      <c r="BT16">
        <v>2.2800000000000001E-4</v>
      </c>
      <c r="BU16">
        <v>2.2800000000000001E-4</v>
      </c>
      <c r="BV16">
        <v>2.2800000000000001E-4</v>
      </c>
      <c r="BW16">
        <v>2.2800000000000001E-4</v>
      </c>
      <c r="BX16">
        <v>2.2800000000000001E-4</v>
      </c>
      <c r="BY16">
        <v>3.2000000000000003E-4</v>
      </c>
      <c r="BZ16">
        <v>3.2000000000000003E-4</v>
      </c>
      <c r="CA16">
        <v>3.2000000000000003E-4</v>
      </c>
      <c r="CB16">
        <v>3.2000000000000003E-4</v>
      </c>
      <c r="CC16">
        <v>3.2000000000000003E-4</v>
      </c>
      <c r="CD16">
        <v>3.2000000000000003E-4</v>
      </c>
      <c r="CE16">
        <v>3.2000000000000003E-4</v>
      </c>
      <c r="CF16">
        <v>3.2000000000000003E-4</v>
      </c>
      <c r="CG16">
        <v>3.2000000000000003E-4</v>
      </c>
      <c r="CH16">
        <v>3.2000000000000003E-4</v>
      </c>
      <c r="CI16">
        <v>3.2000000000000003E-4</v>
      </c>
      <c r="CJ16">
        <v>3.2000000000000003E-4</v>
      </c>
      <c r="CK16">
        <v>3.2000000000000003E-4</v>
      </c>
      <c r="CL16">
        <v>3.2000000000000003E-4</v>
      </c>
      <c r="CM16">
        <v>3.2000000000000003E-4</v>
      </c>
      <c r="CN16">
        <v>3.2000000000000003E-4</v>
      </c>
      <c r="CO16">
        <v>3.2000000000000003E-4</v>
      </c>
      <c r="CP16">
        <v>3.2000000000000003E-4</v>
      </c>
      <c r="CQ16">
        <v>3.2000000000000003E-4</v>
      </c>
      <c r="CR16">
        <v>3.2000000000000003E-4</v>
      </c>
      <c r="CS16">
        <v>3.2000000000000003E-4</v>
      </c>
      <c r="CT16">
        <v>3.2000000000000003E-4</v>
      </c>
      <c r="CU16">
        <v>3.2000000000000003E-4</v>
      </c>
      <c r="CV16">
        <v>3.2000000000000003E-4</v>
      </c>
      <c r="CW16">
        <v>3.2000000000000003E-4</v>
      </c>
      <c r="CX16">
        <v>3.2000000000000003E-4</v>
      </c>
    </row>
    <row r="17" spans="1:102" x14ac:dyDescent="0.25">
      <c r="A17" t="s">
        <v>97</v>
      </c>
      <c r="B17" t="e">
        <v>#VALUE!</v>
      </c>
      <c r="C17" t="e">
        <v>#VALUE!</v>
      </c>
      <c r="D17" t="e">
        <v>#VALUE!</v>
      </c>
      <c r="E17" t="e">
        <v>#VALUE!</v>
      </c>
      <c r="F17" t="e">
        <v>#VALUE!</v>
      </c>
      <c r="G17" t="e">
        <v>#VALUE!</v>
      </c>
      <c r="H17" t="e">
        <v>#VALUE!</v>
      </c>
      <c r="I17" t="e">
        <v>#VALUE!</v>
      </c>
      <c r="J17" t="e">
        <v>#VALUE!</v>
      </c>
      <c r="K17" t="e">
        <v>#VALUE!</v>
      </c>
      <c r="L17" t="e">
        <v>#VALUE!</v>
      </c>
      <c r="M17" t="e">
        <v>#VALUE!</v>
      </c>
      <c r="N17" t="e">
        <v>#VALUE!</v>
      </c>
      <c r="O17" t="e">
        <v>#VALUE!</v>
      </c>
      <c r="P17" t="e">
        <v>#VALUE!</v>
      </c>
      <c r="Q17">
        <v>2.5000000000000001E-5</v>
      </c>
      <c r="R17">
        <v>2.5000000000000001E-5</v>
      </c>
      <c r="S17">
        <v>2.5000000000000001E-5</v>
      </c>
      <c r="T17">
        <v>2.5000000000000001E-5</v>
      </c>
      <c r="U17">
        <v>2.5000000000000001E-5</v>
      </c>
      <c r="V17">
        <v>2.5000000000000001E-5</v>
      </c>
      <c r="W17">
        <v>2.5000000000000001E-5</v>
      </c>
      <c r="X17">
        <v>2.5000000000000001E-5</v>
      </c>
      <c r="Y17">
        <v>2.5000000000000001E-5</v>
      </c>
      <c r="Z17">
        <v>2.5000000000000001E-5</v>
      </c>
      <c r="AA17">
        <v>2.5000000000000001E-5</v>
      </c>
      <c r="AB17">
        <v>2.5000000000000001E-5</v>
      </c>
      <c r="AC17">
        <v>2.5000000000000001E-5</v>
      </c>
      <c r="AD17">
        <v>2.5000000000000001E-5</v>
      </c>
      <c r="AE17">
        <v>2.5000000000000001E-5</v>
      </c>
      <c r="AF17">
        <v>2.5000000000000001E-5</v>
      </c>
      <c r="AG17">
        <v>2.5000000000000001E-5</v>
      </c>
      <c r="AH17">
        <v>2.5000000000000001E-5</v>
      </c>
      <c r="AI17">
        <v>2.5000000000000001E-5</v>
      </c>
      <c r="AJ17">
        <v>2.5000000000000001E-5</v>
      </c>
      <c r="AK17">
        <v>2.5000000000000001E-5</v>
      </c>
      <c r="AL17">
        <v>2.5000000000000001E-5</v>
      </c>
      <c r="AM17">
        <v>2.5000000000000001E-5</v>
      </c>
      <c r="AN17">
        <v>2.5000000000000001E-5</v>
      </c>
      <c r="AO17">
        <v>2.5000000000000001E-5</v>
      </c>
      <c r="AP17">
        <v>8.8999999999999995E-5</v>
      </c>
      <c r="AQ17">
        <v>8.8999999999999995E-5</v>
      </c>
      <c r="AR17">
        <v>8.8999999999999995E-5</v>
      </c>
      <c r="AS17">
        <v>8.8999999999999995E-5</v>
      </c>
      <c r="AT17">
        <v>8.8999999999999995E-5</v>
      </c>
      <c r="AU17">
        <v>1.12E-4</v>
      </c>
      <c r="AV17">
        <v>1.12E-4</v>
      </c>
      <c r="AW17">
        <v>1.12E-4</v>
      </c>
      <c r="AX17">
        <v>1.12E-4</v>
      </c>
      <c r="AY17">
        <v>1.12E-4</v>
      </c>
      <c r="AZ17">
        <v>1.27E-4</v>
      </c>
      <c r="BA17">
        <v>1.27E-4</v>
      </c>
      <c r="BB17">
        <v>1.27E-4</v>
      </c>
      <c r="BC17">
        <v>1.27E-4</v>
      </c>
      <c r="BD17">
        <v>1.27E-4</v>
      </c>
      <c r="BE17">
        <v>1.2799999999999999E-4</v>
      </c>
      <c r="BF17">
        <v>1.2799999999999999E-4</v>
      </c>
      <c r="BG17">
        <v>1.2799999999999999E-4</v>
      </c>
      <c r="BH17">
        <v>1.2799999999999999E-4</v>
      </c>
      <c r="BI17">
        <v>1.2799999999999999E-4</v>
      </c>
      <c r="BJ17">
        <v>1.26E-4</v>
      </c>
      <c r="BK17">
        <v>1.26E-4</v>
      </c>
      <c r="BL17">
        <v>1.26E-4</v>
      </c>
      <c r="BM17">
        <v>1.26E-4</v>
      </c>
      <c r="BN17">
        <v>1.26E-4</v>
      </c>
      <c r="BO17">
        <v>1.27E-4</v>
      </c>
      <c r="BP17">
        <v>1.27E-4</v>
      </c>
      <c r="BQ17">
        <v>1.27E-4</v>
      </c>
      <c r="BR17">
        <v>1.27E-4</v>
      </c>
      <c r="BS17">
        <v>1.27E-4</v>
      </c>
      <c r="BT17">
        <v>1.2999999999999999E-4</v>
      </c>
      <c r="BU17">
        <v>1.2999999999999999E-4</v>
      </c>
      <c r="BV17">
        <v>1.2999999999999999E-4</v>
      </c>
      <c r="BW17">
        <v>1.2999999999999999E-4</v>
      </c>
      <c r="BX17">
        <v>1.2999999999999999E-4</v>
      </c>
      <c r="BY17">
        <v>1.46E-4</v>
      </c>
      <c r="BZ17">
        <v>1.46E-4</v>
      </c>
      <c r="CA17">
        <v>1.46E-4</v>
      </c>
      <c r="CB17">
        <v>1.46E-4</v>
      </c>
      <c r="CC17">
        <v>1.46E-4</v>
      </c>
      <c r="CD17">
        <v>1.46E-4</v>
      </c>
      <c r="CE17">
        <v>1.46E-4</v>
      </c>
      <c r="CF17">
        <v>1.46E-4</v>
      </c>
      <c r="CG17">
        <v>1.46E-4</v>
      </c>
      <c r="CH17">
        <v>1.46E-4</v>
      </c>
      <c r="CI17">
        <v>1.46E-4</v>
      </c>
      <c r="CJ17">
        <v>1.46E-4</v>
      </c>
      <c r="CK17">
        <v>1.46E-4</v>
      </c>
      <c r="CL17">
        <v>1.46E-4</v>
      </c>
      <c r="CM17">
        <v>1.46E-4</v>
      </c>
      <c r="CN17">
        <v>1.46E-4</v>
      </c>
      <c r="CO17">
        <v>1.46E-4</v>
      </c>
      <c r="CP17">
        <v>1.46E-4</v>
      </c>
      <c r="CQ17">
        <v>1.46E-4</v>
      </c>
      <c r="CR17">
        <v>1.46E-4</v>
      </c>
      <c r="CS17">
        <v>1.46E-4</v>
      </c>
      <c r="CT17">
        <v>1.46E-4</v>
      </c>
      <c r="CU17">
        <v>1.46E-4</v>
      </c>
      <c r="CV17">
        <v>1.46E-4</v>
      </c>
      <c r="CW17">
        <v>1.46E-4</v>
      </c>
      <c r="CX17">
        <v>1.46E-4</v>
      </c>
    </row>
    <row r="18" spans="1:102" x14ac:dyDescent="0.25">
      <c r="A18" t="s">
        <v>99</v>
      </c>
      <c r="B18" t="e">
        <v>#VALUE!</v>
      </c>
      <c r="C18" t="e">
        <v>#VALUE!</v>
      </c>
      <c r="D18" t="e">
        <v>#VALUE!</v>
      </c>
      <c r="E18" t="e">
        <v>#VALUE!</v>
      </c>
      <c r="F18" t="e">
        <v>#VALUE!</v>
      </c>
      <c r="G18" t="e">
        <v>#VALUE!</v>
      </c>
      <c r="H18" t="e">
        <v>#VALUE!</v>
      </c>
      <c r="I18" t="e">
        <v>#VALUE!</v>
      </c>
      <c r="J18" t="e">
        <v>#VALUE!</v>
      </c>
      <c r="K18" t="e">
        <v>#VALUE!</v>
      </c>
      <c r="L18" t="e">
        <v>#VALUE!</v>
      </c>
      <c r="M18" t="e">
        <v>#VALUE!</v>
      </c>
      <c r="N18" t="e">
        <v>#VALUE!</v>
      </c>
      <c r="O18" t="e">
        <v>#VALUE!</v>
      </c>
      <c r="P18" t="e">
        <v>#VALUE!</v>
      </c>
      <c r="Q18">
        <v>3.9999999999999998E-6</v>
      </c>
      <c r="R18">
        <v>3.9999999999999998E-6</v>
      </c>
      <c r="S18">
        <v>3.9999999999999998E-6</v>
      </c>
      <c r="T18">
        <v>3.9999999999999998E-6</v>
      </c>
      <c r="U18">
        <v>3.9999999999999998E-6</v>
      </c>
      <c r="V18">
        <v>3.9999999999999998E-6</v>
      </c>
      <c r="W18">
        <v>3.9999999999999998E-6</v>
      </c>
      <c r="X18">
        <v>3.9999999999999998E-6</v>
      </c>
      <c r="Y18">
        <v>3.9999999999999998E-6</v>
      </c>
      <c r="Z18">
        <v>3.9999999999999998E-6</v>
      </c>
      <c r="AA18">
        <v>3.9999999999999998E-6</v>
      </c>
      <c r="AB18">
        <v>3.9999999999999998E-6</v>
      </c>
      <c r="AC18">
        <v>3.9999999999999998E-6</v>
      </c>
      <c r="AD18">
        <v>3.9999999999999998E-6</v>
      </c>
      <c r="AE18">
        <v>3.9999999999999998E-6</v>
      </c>
      <c r="AF18">
        <v>3.9999999999999998E-6</v>
      </c>
      <c r="AG18">
        <v>3.9999999999999998E-6</v>
      </c>
      <c r="AH18">
        <v>3.9999999999999998E-6</v>
      </c>
      <c r="AI18">
        <v>3.9999999999999998E-6</v>
      </c>
      <c r="AJ18">
        <v>3.9999999999999998E-6</v>
      </c>
      <c r="AK18">
        <v>3.9999999999999998E-6</v>
      </c>
      <c r="AL18">
        <v>3.9999999999999998E-6</v>
      </c>
      <c r="AM18">
        <v>3.9999999999999998E-6</v>
      </c>
      <c r="AN18">
        <v>3.9999999999999998E-6</v>
      </c>
      <c r="AO18">
        <v>3.9999999999999998E-6</v>
      </c>
      <c r="AP18">
        <v>2.5999999999999998E-5</v>
      </c>
      <c r="AQ18">
        <v>2.5999999999999998E-5</v>
      </c>
      <c r="AR18">
        <v>2.5999999999999998E-5</v>
      </c>
      <c r="AS18">
        <v>2.5999999999999998E-5</v>
      </c>
      <c r="AT18">
        <v>2.5999999999999998E-5</v>
      </c>
      <c r="AU18">
        <v>4.0000000000000003E-5</v>
      </c>
      <c r="AV18">
        <v>4.0000000000000003E-5</v>
      </c>
      <c r="AW18">
        <v>4.0000000000000003E-5</v>
      </c>
      <c r="AX18">
        <v>4.0000000000000003E-5</v>
      </c>
      <c r="AY18">
        <v>4.0000000000000003E-5</v>
      </c>
      <c r="AZ18">
        <v>4.8999999999999998E-5</v>
      </c>
      <c r="BA18">
        <v>4.8999999999999998E-5</v>
      </c>
      <c r="BB18">
        <v>4.8999999999999998E-5</v>
      </c>
      <c r="BC18">
        <v>4.8999999999999998E-5</v>
      </c>
      <c r="BD18">
        <v>4.8999999999999998E-5</v>
      </c>
      <c r="BE18">
        <v>5.8999999999999998E-5</v>
      </c>
      <c r="BF18">
        <v>5.8999999999999998E-5</v>
      </c>
      <c r="BG18">
        <v>5.8999999999999998E-5</v>
      </c>
      <c r="BH18">
        <v>5.8999999999999998E-5</v>
      </c>
      <c r="BI18">
        <v>5.8999999999999998E-5</v>
      </c>
      <c r="BJ18">
        <v>6.0000000000000002E-5</v>
      </c>
      <c r="BK18">
        <v>6.0000000000000002E-5</v>
      </c>
      <c r="BL18">
        <v>6.0000000000000002E-5</v>
      </c>
      <c r="BM18">
        <v>6.0000000000000002E-5</v>
      </c>
      <c r="BN18">
        <v>6.0000000000000002E-5</v>
      </c>
      <c r="BO18">
        <v>6.7000000000000002E-5</v>
      </c>
      <c r="BP18">
        <v>6.7000000000000002E-5</v>
      </c>
      <c r="BQ18">
        <v>6.7000000000000002E-5</v>
      </c>
      <c r="BR18">
        <v>6.7000000000000002E-5</v>
      </c>
      <c r="BS18">
        <v>6.7000000000000002E-5</v>
      </c>
      <c r="BT18">
        <v>8.1000000000000004E-5</v>
      </c>
      <c r="BU18">
        <v>8.1000000000000004E-5</v>
      </c>
      <c r="BV18">
        <v>8.1000000000000004E-5</v>
      </c>
      <c r="BW18">
        <v>8.1000000000000004E-5</v>
      </c>
      <c r="BX18">
        <v>8.1000000000000004E-5</v>
      </c>
      <c r="BY18">
        <v>1.4999999999999999E-4</v>
      </c>
      <c r="BZ18">
        <v>1.4999999999999999E-4</v>
      </c>
      <c r="CA18">
        <v>1.4999999999999999E-4</v>
      </c>
      <c r="CB18">
        <v>1.4999999999999999E-4</v>
      </c>
      <c r="CC18">
        <v>1.4999999999999999E-4</v>
      </c>
      <c r="CD18">
        <v>1.4999999999999999E-4</v>
      </c>
      <c r="CE18">
        <v>1.4999999999999999E-4</v>
      </c>
      <c r="CF18">
        <v>1.4999999999999999E-4</v>
      </c>
      <c r="CG18">
        <v>1.4999999999999999E-4</v>
      </c>
      <c r="CH18">
        <v>1.4999999999999999E-4</v>
      </c>
      <c r="CI18">
        <v>1.4999999999999999E-4</v>
      </c>
      <c r="CJ18">
        <v>1.4999999999999999E-4</v>
      </c>
      <c r="CK18">
        <v>1.4999999999999999E-4</v>
      </c>
      <c r="CL18">
        <v>1.4999999999999999E-4</v>
      </c>
      <c r="CM18">
        <v>1.4999999999999999E-4</v>
      </c>
      <c r="CN18">
        <v>1.4999999999999999E-4</v>
      </c>
      <c r="CO18">
        <v>1.4999999999999999E-4</v>
      </c>
      <c r="CP18">
        <v>1.4999999999999999E-4</v>
      </c>
      <c r="CQ18">
        <v>1.4999999999999999E-4</v>
      </c>
      <c r="CR18">
        <v>1.4999999999999999E-4</v>
      </c>
      <c r="CS18">
        <v>1.4999999999999999E-4</v>
      </c>
      <c r="CT18">
        <v>1.4999999999999999E-4</v>
      </c>
      <c r="CU18">
        <v>1.4999999999999999E-4</v>
      </c>
      <c r="CV18">
        <v>1.4999999999999999E-4</v>
      </c>
      <c r="CW18">
        <v>1.4999999999999999E-4</v>
      </c>
      <c r="CX18">
        <v>1.4999999999999999E-4</v>
      </c>
    </row>
    <row r="19" spans="1:102" x14ac:dyDescent="0.25">
      <c r="A19" t="s">
        <v>101</v>
      </c>
      <c r="B19" t="e">
        <v>#VALUE!</v>
      </c>
      <c r="C19" t="e">
        <v>#VALUE!</v>
      </c>
      <c r="D19" t="e">
        <v>#VALUE!</v>
      </c>
      <c r="E19" t="e">
        <v>#VALUE!</v>
      </c>
      <c r="F19" t="e">
        <v>#VALUE!</v>
      </c>
      <c r="G19" t="e">
        <v>#VALUE!</v>
      </c>
      <c r="H19" t="e">
        <v>#VALUE!</v>
      </c>
      <c r="I19" t="e">
        <v>#VALUE!</v>
      </c>
      <c r="J19" t="e">
        <v>#VALUE!</v>
      </c>
      <c r="K19" t="e">
        <v>#VALUE!</v>
      </c>
      <c r="L19" t="e">
        <v>#VALUE!</v>
      </c>
      <c r="M19" t="e">
        <v>#VALUE!</v>
      </c>
      <c r="N19" t="e">
        <v>#VALUE!</v>
      </c>
      <c r="O19" t="e">
        <v>#VALUE!</v>
      </c>
      <c r="P19" t="e">
        <v>#VALUE!</v>
      </c>
      <c r="Q19">
        <v>2.8E-5</v>
      </c>
      <c r="R19">
        <v>2.8E-5</v>
      </c>
      <c r="S19">
        <v>2.8E-5</v>
      </c>
      <c r="T19">
        <v>2.8E-5</v>
      </c>
      <c r="U19">
        <v>2.8E-5</v>
      </c>
      <c r="V19">
        <v>2.8E-5</v>
      </c>
      <c r="W19">
        <v>2.8E-5</v>
      </c>
      <c r="X19">
        <v>2.8E-5</v>
      </c>
      <c r="Y19">
        <v>2.8E-5</v>
      </c>
      <c r="Z19">
        <v>2.8E-5</v>
      </c>
      <c r="AA19">
        <v>2.8E-5</v>
      </c>
      <c r="AB19">
        <v>2.8E-5</v>
      </c>
      <c r="AC19">
        <v>2.8E-5</v>
      </c>
      <c r="AD19">
        <v>2.8E-5</v>
      </c>
      <c r="AE19">
        <v>2.8E-5</v>
      </c>
      <c r="AF19">
        <v>2.8E-5</v>
      </c>
      <c r="AG19">
        <v>2.8E-5</v>
      </c>
      <c r="AH19">
        <v>2.8E-5</v>
      </c>
      <c r="AI19">
        <v>2.8E-5</v>
      </c>
      <c r="AJ19">
        <v>2.8E-5</v>
      </c>
      <c r="AK19">
        <v>2.8E-5</v>
      </c>
      <c r="AL19">
        <v>2.8E-5</v>
      </c>
      <c r="AM19">
        <v>2.8E-5</v>
      </c>
      <c r="AN19">
        <v>2.8E-5</v>
      </c>
      <c r="AO19">
        <v>2.8E-5</v>
      </c>
      <c r="AP19">
        <v>2.23E-4</v>
      </c>
      <c r="AQ19">
        <v>2.23E-4</v>
      </c>
      <c r="AR19">
        <v>2.23E-4</v>
      </c>
      <c r="AS19">
        <v>2.23E-4</v>
      </c>
      <c r="AT19">
        <v>2.23E-4</v>
      </c>
      <c r="AU19">
        <v>2.5000000000000001E-4</v>
      </c>
      <c r="AV19">
        <v>2.5000000000000001E-4</v>
      </c>
      <c r="AW19">
        <v>2.5000000000000001E-4</v>
      </c>
      <c r="AX19">
        <v>2.5000000000000001E-4</v>
      </c>
      <c r="AY19">
        <v>2.5000000000000001E-4</v>
      </c>
      <c r="AZ19" t="e">
        <v>#VALUE!</v>
      </c>
      <c r="BA19" t="e">
        <v>#VALUE!</v>
      </c>
      <c r="BB19" t="e">
        <v>#VALUE!</v>
      </c>
      <c r="BC19" t="e">
        <v>#VALUE!</v>
      </c>
      <c r="BD19" t="e">
        <v>#VALUE!</v>
      </c>
      <c r="BE19">
        <v>4.6000000000000001E-4</v>
      </c>
      <c r="BF19">
        <v>4.6000000000000001E-4</v>
      </c>
      <c r="BG19">
        <v>4.6000000000000001E-4</v>
      </c>
      <c r="BH19">
        <v>4.6000000000000001E-4</v>
      </c>
      <c r="BI19">
        <v>4.6000000000000001E-4</v>
      </c>
      <c r="BJ19">
        <v>9.9799999999999997E-4</v>
      </c>
      <c r="BK19">
        <v>9.9799999999999997E-4</v>
      </c>
      <c r="BL19">
        <v>9.9799999999999997E-4</v>
      </c>
      <c r="BM19">
        <v>9.9799999999999997E-4</v>
      </c>
      <c r="BN19">
        <v>9.9799999999999997E-4</v>
      </c>
      <c r="BO19">
        <v>4.8000000000000001E-4</v>
      </c>
      <c r="BP19">
        <v>4.8000000000000001E-4</v>
      </c>
      <c r="BQ19">
        <v>4.8000000000000001E-4</v>
      </c>
      <c r="BR19">
        <v>4.8000000000000001E-4</v>
      </c>
      <c r="BS19">
        <v>4.8000000000000001E-4</v>
      </c>
      <c r="BT19">
        <v>5.8900000000000001E-4</v>
      </c>
      <c r="BU19">
        <v>5.8900000000000001E-4</v>
      </c>
      <c r="BV19">
        <v>5.8900000000000001E-4</v>
      </c>
      <c r="BW19">
        <v>5.8900000000000001E-4</v>
      </c>
      <c r="BX19">
        <v>5.8900000000000001E-4</v>
      </c>
      <c r="BY19">
        <v>1.2960000000000001E-3</v>
      </c>
      <c r="BZ19">
        <v>1.2960000000000001E-3</v>
      </c>
      <c r="CA19">
        <v>1.2960000000000001E-3</v>
      </c>
      <c r="CB19">
        <v>1.2960000000000001E-3</v>
      </c>
      <c r="CC19">
        <v>1.2960000000000001E-3</v>
      </c>
      <c r="CD19">
        <v>1.2960000000000001E-3</v>
      </c>
      <c r="CE19">
        <v>1.2960000000000001E-3</v>
      </c>
      <c r="CF19">
        <v>1.2960000000000001E-3</v>
      </c>
      <c r="CG19">
        <v>1.2960000000000001E-3</v>
      </c>
      <c r="CH19">
        <v>1.2960000000000001E-3</v>
      </c>
      <c r="CI19">
        <v>1.2960000000000001E-3</v>
      </c>
      <c r="CJ19">
        <v>1.2960000000000001E-3</v>
      </c>
      <c r="CK19">
        <v>1.2960000000000001E-3</v>
      </c>
      <c r="CL19">
        <v>1.2960000000000001E-3</v>
      </c>
      <c r="CM19">
        <v>1.2960000000000001E-3</v>
      </c>
      <c r="CN19">
        <v>1.2960000000000001E-3</v>
      </c>
      <c r="CO19">
        <v>1.2960000000000001E-3</v>
      </c>
      <c r="CP19">
        <v>1.2960000000000001E-3</v>
      </c>
      <c r="CQ19">
        <v>1.2960000000000001E-3</v>
      </c>
      <c r="CR19">
        <v>1.2960000000000001E-3</v>
      </c>
      <c r="CS19">
        <v>1.2960000000000001E-3</v>
      </c>
      <c r="CT19">
        <v>1.2960000000000001E-3</v>
      </c>
      <c r="CU19">
        <v>1.2960000000000001E-3</v>
      </c>
      <c r="CV19">
        <v>1.2960000000000001E-3</v>
      </c>
      <c r="CW19">
        <v>1.2960000000000001E-3</v>
      </c>
      <c r="CX19">
        <v>1.2960000000000001E-3</v>
      </c>
    </row>
    <row r="20" spans="1:102" x14ac:dyDescent="0.25">
      <c r="A20" t="s">
        <v>103</v>
      </c>
      <c r="B20" t="e">
        <v>#VALUE!</v>
      </c>
      <c r="C20" t="e">
        <v>#VALUE!</v>
      </c>
      <c r="D20" t="e">
        <v>#VALUE!</v>
      </c>
      <c r="E20" t="e">
        <v>#VALUE!</v>
      </c>
      <c r="F20" t="e">
        <v>#VALUE!</v>
      </c>
      <c r="G20" t="e">
        <v>#VALUE!</v>
      </c>
      <c r="H20" t="e">
        <v>#VALUE!</v>
      </c>
      <c r="I20" t="e">
        <v>#VALUE!</v>
      </c>
      <c r="J20" t="e">
        <v>#VALUE!</v>
      </c>
      <c r="K20" t="e">
        <v>#VALUE!</v>
      </c>
      <c r="L20" t="e">
        <v>#VALUE!</v>
      </c>
      <c r="M20" t="e">
        <v>#VALUE!</v>
      </c>
      <c r="N20" t="e">
        <v>#VALUE!</v>
      </c>
      <c r="O20" t="e">
        <v>#VALUE!</v>
      </c>
      <c r="P20" t="e">
        <v>#VALUE!</v>
      </c>
      <c r="Q20">
        <v>3.0000000000000001E-5</v>
      </c>
      <c r="R20">
        <v>3.0000000000000001E-5</v>
      </c>
      <c r="S20">
        <v>3.0000000000000001E-5</v>
      </c>
      <c r="T20">
        <v>3.0000000000000001E-5</v>
      </c>
      <c r="U20">
        <v>3.0000000000000001E-5</v>
      </c>
      <c r="V20">
        <v>3.0000000000000001E-5</v>
      </c>
      <c r="W20">
        <v>3.0000000000000001E-5</v>
      </c>
      <c r="X20">
        <v>3.0000000000000001E-5</v>
      </c>
      <c r="Y20">
        <v>3.0000000000000001E-5</v>
      </c>
      <c r="Z20">
        <v>3.0000000000000001E-5</v>
      </c>
      <c r="AA20">
        <v>3.0000000000000001E-5</v>
      </c>
      <c r="AB20">
        <v>3.0000000000000001E-5</v>
      </c>
      <c r="AC20">
        <v>3.0000000000000001E-5</v>
      </c>
      <c r="AD20">
        <v>3.0000000000000001E-5</v>
      </c>
      <c r="AE20">
        <v>3.0000000000000001E-5</v>
      </c>
      <c r="AF20">
        <v>3.0000000000000001E-5</v>
      </c>
      <c r="AG20">
        <v>3.0000000000000001E-5</v>
      </c>
      <c r="AH20">
        <v>3.0000000000000001E-5</v>
      </c>
      <c r="AI20">
        <v>3.0000000000000001E-5</v>
      </c>
      <c r="AJ20">
        <v>3.0000000000000001E-5</v>
      </c>
      <c r="AK20">
        <v>3.0000000000000001E-5</v>
      </c>
      <c r="AL20">
        <v>3.0000000000000001E-5</v>
      </c>
      <c r="AM20">
        <v>3.0000000000000001E-5</v>
      </c>
      <c r="AN20">
        <v>3.0000000000000001E-5</v>
      </c>
      <c r="AO20">
        <v>3.0000000000000001E-5</v>
      </c>
      <c r="AP20">
        <v>1.56E-4</v>
      </c>
      <c r="AQ20">
        <v>1.56E-4</v>
      </c>
      <c r="AR20">
        <v>1.56E-4</v>
      </c>
      <c r="AS20">
        <v>1.56E-4</v>
      </c>
      <c r="AT20">
        <v>1.56E-4</v>
      </c>
      <c r="AU20">
        <v>2.2599999999999999E-4</v>
      </c>
      <c r="AV20">
        <v>2.2599999999999999E-4</v>
      </c>
      <c r="AW20">
        <v>2.2599999999999999E-4</v>
      </c>
      <c r="AX20">
        <v>2.2599999999999999E-4</v>
      </c>
      <c r="AY20">
        <v>2.2599999999999999E-4</v>
      </c>
      <c r="AZ20">
        <v>3.19E-4</v>
      </c>
      <c r="BA20">
        <v>3.19E-4</v>
      </c>
      <c r="BB20">
        <v>3.19E-4</v>
      </c>
      <c r="BC20">
        <v>3.19E-4</v>
      </c>
      <c r="BD20">
        <v>3.19E-4</v>
      </c>
      <c r="BE20">
        <v>4.44E-4</v>
      </c>
      <c r="BF20">
        <v>4.44E-4</v>
      </c>
      <c r="BG20">
        <v>4.44E-4</v>
      </c>
      <c r="BH20">
        <v>4.44E-4</v>
      </c>
      <c r="BI20">
        <v>4.44E-4</v>
      </c>
      <c r="BJ20">
        <v>5.5900000000000004E-4</v>
      </c>
      <c r="BK20">
        <v>5.5900000000000004E-4</v>
      </c>
      <c r="BL20">
        <v>5.5900000000000004E-4</v>
      </c>
      <c r="BM20">
        <v>5.5900000000000004E-4</v>
      </c>
      <c r="BN20">
        <v>5.5900000000000004E-4</v>
      </c>
      <c r="BO20">
        <v>8.2399999999999997E-4</v>
      </c>
      <c r="BP20">
        <v>8.2399999999999997E-4</v>
      </c>
      <c r="BQ20">
        <v>8.2399999999999997E-4</v>
      </c>
      <c r="BR20">
        <v>8.2399999999999997E-4</v>
      </c>
      <c r="BS20">
        <v>8.2399999999999997E-4</v>
      </c>
      <c r="BT20">
        <v>1.2539999999999999E-3</v>
      </c>
      <c r="BU20">
        <v>1.2539999999999999E-3</v>
      </c>
      <c r="BV20">
        <v>1.2539999999999999E-3</v>
      </c>
      <c r="BW20">
        <v>1.2539999999999999E-3</v>
      </c>
      <c r="BX20">
        <v>1.2539999999999999E-3</v>
      </c>
      <c r="BY20">
        <v>1.9289999999999999E-3</v>
      </c>
      <c r="BZ20">
        <v>1.9289999999999999E-3</v>
      </c>
      <c r="CA20">
        <v>1.9289999999999999E-3</v>
      </c>
      <c r="CB20">
        <v>1.9289999999999999E-3</v>
      </c>
      <c r="CC20">
        <v>1.9289999999999999E-3</v>
      </c>
      <c r="CD20">
        <v>1.9289999999999999E-3</v>
      </c>
      <c r="CE20">
        <v>1.9289999999999999E-3</v>
      </c>
      <c r="CF20">
        <v>1.9289999999999999E-3</v>
      </c>
      <c r="CG20">
        <v>1.9289999999999999E-3</v>
      </c>
      <c r="CH20">
        <v>1.9289999999999999E-3</v>
      </c>
      <c r="CI20">
        <v>1.9289999999999999E-3</v>
      </c>
      <c r="CJ20">
        <v>1.9289999999999999E-3</v>
      </c>
      <c r="CK20">
        <v>1.9289999999999999E-3</v>
      </c>
      <c r="CL20">
        <v>1.9289999999999999E-3</v>
      </c>
      <c r="CM20">
        <v>1.9289999999999999E-3</v>
      </c>
      <c r="CN20">
        <v>1.9289999999999999E-3</v>
      </c>
      <c r="CO20">
        <v>1.9289999999999999E-3</v>
      </c>
      <c r="CP20">
        <v>1.9289999999999999E-3</v>
      </c>
      <c r="CQ20">
        <v>1.9289999999999999E-3</v>
      </c>
      <c r="CR20">
        <v>1.9289999999999999E-3</v>
      </c>
      <c r="CS20">
        <v>1.9289999999999999E-3</v>
      </c>
      <c r="CT20">
        <v>1.9289999999999999E-3</v>
      </c>
      <c r="CU20">
        <v>1.9289999999999999E-3</v>
      </c>
      <c r="CV20">
        <v>1.9289999999999999E-3</v>
      </c>
      <c r="CW20">
        <v>1.9289999999999999E-3</v>
      </c>
      <c r="CX20">
        <v>1.9289999999999999E-3</v>
      </c>
    </row>
    <row r="21" spans="1:102" x14ac:dyDescent="0.25">
      <c r="A21" t="s">
        <v>105</v>
      </c>
      <c r="B21" t="e">
        <v>#VALUE!</v>
      </c>
      <c r="C21" t="e">
        <v>#VALUE!</v>
      </c>
      <c r="D21" t="e">
        <v>#VALUE!</v>
      </c>
      <c r="E21" t="e">
        <v>#VALUE!</v>
      </c>
      <c r="F21" t="e">
        <v>#VALUE!</v>
      </c>
      <c r="G21" t="e">
        <v>#VALUE!</v>
      </c>
      <c r="H21" t="e">
        <v>#VALUE!</v>
      </c>
      <c r="I21" t="e">
        <v>#VALUE!</v>
      </c>
      <c r="J21" t="e">
        <v>#VALUE!</v>
      </c>
      <c r="K21" t="e">
        <v>#VALUE!</v>
      </c>
      <c r="L21" t="e">
        <v>#VALUE!</v>
      </c>
      <c r="M21" t="e">
        <v>#VALUE!</v>
      </c>
      <c r="N21" t="e">
        <v>#VALUE!</v>
      </c>
      <c r="O21" t="e">
        <v>#VALUE!</v>
      </c>
      <c r="P21" t="e">
        <v>#VALUE!</v>
      </c>
      <c r="Q21">
        <v>1.2E-5</v>
      </c>
      <c r="R21">
        <v>1.2E-5</v>
      </c>
      <c r="S21">
        <v>1.2E-5</v>
      </c>
      <c r="T21">
        <v>1.2E-5</v>
      </c>
      <c r="U21">
        <v>1.2E-5</v>
      </c>
      <c r="V21">
        <v>1.2E-5</v>
      </c>
      <c r="W21">
        <v>1.2E-5</v>
      </c>
      <c r="X21">
        <v>1.2E-5</v>
      </c>
      <c r="Y21">
        <v>1.2E-5</v>
      </c>
      <c r="Z21">
        <v>1.2E-5</v>
      </c>
      <c r="AA21">
        <v>1.2E-5</v>
      </c>
      <c r="AB21">
        <v>1.2E-5</v>
      </c>
      <c r="AC21">
        <v>1.2E-5</v>
      </c>
      <c r="AD21">
        <v>1.2E-5</v>
      </c>
      <c r="AE21">
        <v>1.2E-5</v>
      </c>
      <c r="AF21">
        <v>1.2E-5</v>
      </c>
      <c r="AG21">
        <v>1.2E-5</v>
      </c>
      <c r="AH21">
        <v>1.2E-5</v>
      </c>
      <c r="AI21">
        <v>1.2E-5</v>
      </c>
      <c r="AJ21">
        <v>1.2E-5</v>
      </c>
      <c r="AK21">
        <v>1.2E-5</v>
      </c>
      <c r="AL21">
        <v>1.2E-5</v>
      </c>
      <c r="AM21">
        <v>1.2E-5</v>
      </c>
      <c r="AN21">
        <v>1.2E-5</v>
      </c>
      <c r="AO21">
        <v>1.2E-5</v>
      </c>
      <c r="AP21">
        <v>1.05E-4</v>
      </c>
      <c r="AQ21">
        <v>1.05E-4</v>
      </c>
      <c r="AR21">
        <v>1.05E-4</v>
      </c>
      <c r="AS21">
        <v>1.05E-4</v>
      </c>
      <c r="AT21">
        <v>1.05E-4</v>
      </c>
      <c r="AU21">
        <v>1.94E-4</v>
      </c>
      <c r="AV21">
        <v>1.94E-4</v>
      </c>
      <c r="AW21">
        <v>1.94E-4</v>
      </c>
      <c r="AX21">
        <v>1.94E-4</v>
      </c>
      <c r="AY21">
        <v>1.94E-4</v>
      </c>
      <c r="AZ21">
        <v>2.24E-4</v>
      </c>
      <c r="BA21">
        <v>2.24E-4</v>
      </c>
      <c r="BB21">
        <v>2.24E-4</v>
      </c>
      <c r="BC21">
        <v>2.24E-4</v>
      </c>
      <c r="BD21">
        <v>2.24E-4</v>
      </c>
      <c r="BE21">
        <v>2.6600000000000001E-4</v>
      </c>
      <c r="BF21">
        <v>2.6600000000000001E-4</v>
      </c>
      <c r="BG21">
        <v>2.6600000000000001E-4</v>
      </c>
      <c r="BH21">
        <v>2.6600000000000001E-4</v>
      </c>
      <c r="BI21">
        <v>2.6600000000000001E-4</v>
      </c>
      <c r="BJ21">
        <v>2.4499999999999999E-4</v>
      </c>
      <c r="BK21">
        <v>2.4499999999999999E-4</v>
      </c>
      <c r="BL21">
        <v>2.4499999999999999E-4</v>
      </c>
      <c r="BM21">
        <v>2.4499999999999999E-4</v>
      </c>
      <c r="BN21">
        <v>2.4499999999999999E-4</v>
      </c>
      <c r="BO21">
        <v>3.1399999999999999E-4</v>
      </c>
      <c r="BP21">
        <v>3.1399999999999999E-4</v>
      </c>
      <c r="BQ21">
        <v>3.1399999999999999E-4</v>
      </c>
      <c r="BR21">
        <v>3.1399999999999999E-4</v>
      </c>
      <c r="BS21">
        <v>3.1399999999999999E-4</v>
      </c>
      <c r="BT21">
        <v>1.9799999999999999E-4</v>
      </c>
      <c r="BU21">
        <v>1.9799999999999999E-4</v>
      </c>
      <c r="BV21">
        <v>1.9799999999999999E-4</v>
      </c>
      <c r="BW21">
        <v>1.9799999999999999E-4</v>
      </c>
      <c r="BX21">
        <v>1.9799999999999999E-4</v>
      </c>
      <c r="BY21">
        <v>1.5100000000000001E-4</v>
      </c>
      <c r="BZ21">
        <v>1.5100000000000001E-4</v>
      </c>
      <c r="CA21">
        <v>1.5100000000000001E-4</v>
      </c>
      <c r="CB21">
        <v>1.5100000000000001E-4</v>
      </c>
      <c r="CC21">
        <v>1.5100000000000001E-4</v>
      </c>
      <c r="CD21">
        <v>1.5100000000000001E-4</v>
      </c>
      <c r="CE21">
        <v>1.5100000000000001E-4</v>
      </c>
      <c r="CF21">
        <v>1.5100000000000001E-4</v>
      </c>
      <c r="CG21">
        <v>1.5100000000000001E-4</v>
      </c>
      <c r="CH21">
        <v>1.5100000000000001E-4</v>
      </c>
      <c r="CI21">
        <v>1.5100000000000001E-4</v>
      </c>
      <c r="CJ21">
        <v>1.5100000000000001E-4</v>
      </c>
      <c r="CK21">
        <v>1.5100000000000001E-4</v>
      </c>
      <c r="CL21">
        <v>1.5100000000000001E-4</v>
      </c>
      <c r="CM21">
        <v>1.5100000000000001E-4</v>
      </c>
      <c r="CN21">
        <v>1.5100000000000001E-4</v>
      </c>
      <c r="CO21">
        <v>1.5100000000000001E-4</v>
      </c>
      <c r="CP21">
        <v>1.5100000000000001E-4</v>
      </c>
      <c r="CQ21">
        <v>1.5100000000000001E-4</v>
      </c>
      <c r="CR21">
        <v>1.5100000000000001E-4</v>
      </c>
      <c r="CS21">
        <v>1.5100000000000001E-4</v>
      </c>
      <c r="CT21">
        <v>1.5100000000000001E-4</v>
      </c>
      <c r="CU21">
        <v>1.5100000000000001E-4</v>
      </c>
      <c r="CV21">
        <v>1.5100000000000001E-4</v>
      </c>
      <c r="CW21">
        <v>1.5100000000000001E-4</v>
      </c>
      <c r="CX21">
        <v>1.5100000000000001E-4</v>
      </c>
    </row>
    <row r="22" spans="1:102" x14ac:dyDescent="0.25">
      <c r="A22" t="s">
        <v>107</v>
      </c>
      <c r="B22" t="e">
        <v>#VALUE!</v>
      </c>
      <c r="C22" t="e">
        <v>#VALUE!</v>
      </c>
      <c r="D22" t="e">
        <v>#VALUE!</v>
      </c>
      <c r="E22" t="e">
        <v>#VALUE!</v>
      </c>
      <c r="F22" t="e">
        <v>#VALUE!</v>
      </c>
      <c r="G22" t="e">
        <v>#VALUE!</v>
      </c>
      <c r="H22" t="e">
        <v>#VALUE!</v>
      </c>
      <c r="I22" t="e">
        <v>#VALUE!</v>
      </c>
      <c r="J22" t="e">
        <v>#VALUE!</v>
      </c>
      <c r="K22" t="e">
        <v>#VALUE!</v>
      </c>
      <c r="L22" t="e">
        <v>#VALUE!</v>
      </c>
      <c r="M22" t="e">
        <v>#VALUE!</v>
      </c>
      <c r="N22" t="e">
        <v>#VALUE!</v>
      </c>
      <c r="O22" t="e">
        <v>#VALUE!</v>
      </c>
      <c r="P22" t="e">
        <v>#VALUE!</v>
      </c>
      <c r="Q22">
        <v>3.4999999999999997E-5</v>
      </c>
      <c r="R22">
        <v>3.4999999999999997E-5</v>
      </c>
      <c r="S22">
        <v>3.4999999999999997E-5</v>
      </c>
      <c r="T22">
        <v>3.4999999999999997E-5</v>
      </c>
      <c r="U22">
        <v>3.4999999999999997E-5</v>
      </c>
      <c r="V22">
        <v>3.4999999999999997E-5</v>
      </c>
      <c r="W22">
        <v>3.4999999999999997E-5</v>
      </c>
      <c r="X22">
        <v>3.4999999999999997E-5</v>
      </c>
      <c r="Y22">
        <v>3.4999999999999997E-5</v>
      </c>
      <c r="Z22">
        <v>3.4999999999999997E-5</v>
      </c>
      <c r="AA22">
        <v>3.4999999999999997E-5</v>
      </c>
      <c r="AB22">
        <v>3.4999999999999997E-5</v>
      </c>
      <c r="AC22">
        <v>3.4999999999999997E-5</v>
      </c>
      <c r="AD22">
        <v>3.4999999999999997E-5</v>
      </c>
      <c r="AE22">
        <v>3.4999999999999997E-5</v>
      </c>
      <c r="AF22">
        <v>3.4999999999999997E-5</v>
      </c>
      <c r="AG22">
        <v>3.4999999999999997E-5</v>
      </c>
      <c r="AH22">
        <v>3.4999999999999997E-5</v>
      </c>
      <c r="AI22">
        <v>3.4999999999999997E-5</v>
      </c>
      <c r="AJ22">
        <v>3.4999999999999997E-5</v>
      </c>
      <c r="AK22">
        <v>3.4999999999999997E-5</v>
      </c>
      <c r="AL22">
        <v>3.4999999999999997E-5</v>
      </c>
      <c r="AM22">
        <v>3.4999999999999997E-5</v>
      </c>
      <c r="AN22">
        <v>3.4999999999999997E-5</v>
      </c>
      <c r="AO22">
        <v>3.4999999999999997E-5</v>
      </c>
      <c r="AP22">
        <v>2.14E-4</v>
      </c>
      <c r="AQ22">
        <v>2.14E-4</v>
      </c>
      <c r="AR22">
        <v>2.14E-4</v>
      </c>
      <c r="AS22">
        <v>2.14E-4</v>
      </c>
      <c r="AT22">
        <v>2.14E-4</v>
      </c>
      <c r="AU22">
        <v>3.3599999999999998E-4</v>
      </c>
      <c r="AV22">
        <v>3.3599999999999998E-4</v>
      </c>
      <c r="AW22">
        <v>3.3599999999999998E-4</v>
      </c>
      <c r="AX22">
        <v>3.3599999999999998E-4</v>
      </c>
      <c r="AY22">
        <v>3.3599999999999998E-4</v>
      </c>
      <c r="AZ22">
        <v>4.73E-4</v>
      </c>
      <c r="BA22">
        <v>4.73E-4</v>
      </c>
      <c r="BB22">
        <v>4.73E-4</v>
      </c>
      <c r="BC22">
        <v>4.73E-4</v>
      </c>
      <c r="BD22">
        <v>4.73E-4</v>
      </c>
      <c r="BE22">
        <v>6.3000000000000003E-4</v>
      </c>
      <c r="BF22">
        <v>6.3000000000000003E-4</v>
      </c>
      <c r="BG22">
        <v>6.3000000000000003E-4</v>
      </c>
      <c r="BH22">
        <v>6.3000000000000003E-4</v>
      </c>
      <c r="BI22">
        <v>6.3000000000000003E-4</v>
      </c>
      <c r="BJ22">
        <v>8.0400000000000003E-4</v>
      </c>
      <c r="BK22">
        <v>8.0400000000000003E-4</v>
      </c>
      <c r="BL22">
        <v>8.0400000000000003E-4</v>
      </c>
      <c r="BM22">
        <v>8.0400000000000003E-4</v>
      </c>
      <c r="BN22">
        <v>8.0400000000000003E-4</v>
      </c>
      <c r="BO22">
        <v>1.0020000000000001E-3</v>
      </c>
      <c r="BP22">
        <v>1.0020000000000001E-3</v>
      </c>
      <c r="BQ22">
        <v>1.0020000000000001E-3</v>
      </c>
      <c r="BR22">
        <v>1.0020000000000001E-3</v>
      </c>
      <c r="BS22">
        <v>1.0020000000000001E-3</v>
      </c>
      <c r="BT22">
        <v>1.2080000000000001E-3</v>
      </c>
      <c r="BU22">
        <v>1.2080000000000001E-3</v>
      </c>
      <c r="BV22">
        <v>1.2080000000000001E-3</v>
      </c>
      <c r="BW22">
        <v>1.2080000000000001E-3</v>
      </c>
      <c r="BX22">
        <v>1.2080000000000001E-3</v>
      </c>
      <c r="BY22">
        <v>1.439E-3</v>
      </c>
      <c r="BZ22">
        <v>1.439E-3</v>
      </c>
      <c r="CA22">
        <v>1.439E-3</v>
      </c>
      <c r="CB22">
        <v>1.439E-3</v>
      </c>
      <c r="CC22">
        <v>1.439E-3</v>
      </c>
      <c r="CD22">
        <v>1.439E-3</v>
      </c>
      <c r="CE22">
        <v>1.439E-3</v>
      </c>
      <c r="CF22">
        <v>1.439E-3</v>
      </c>
      <c r="CG22">
        <v>1.439E-3</v>
      </c>
      <c r="CH22">
        <v>1.439E-3</v>
      </c>
      <c r="CI22">
        <v>1.439E-3</v>
      </c>
      <c r="CJ22">
        <v>1.439E-3</v>
      </c>
      <c r="CK22">
        <v>1.439E-3</v>
      </c>
      <c r="CL22">
        <v>1.439E-3</v>
      </c>
      <c r="CM22">
        <v>1.439E-3</v>
      </c>
      <c r="CN22">
        <v>1.439E-3</v>
      </c>
      <c r="CO22">
        <v>1.439E-3</v>
      </c>
      <c r="CP22">
        <v>1.439E-3</v>
      </c>
      <c r="CQ22">
        <v>1.439E-3</v>
      </c>
      <c r="CR22">
        <v>1.439E-3</v>
      </c>
      <c r="CS22">
        <v>1.439E-3</v>
      </c>
      <c r="CT22">
        <v>1.439E-3</v>
      </c>
      <c r="CU22">
        <v>1.439E-3</v>
      </c>
      <c r="CV22">
        <v>1.439E-3</v>
      </c>
      <c r="CW22">
        <v>1.439E-3</v>
      </c>
      <c r="CX22">
        <v>1.439E-3</v>
      </c>
    </row>
    <row r="23" spans="1:102" x14ac:dyDescent="0.25">
      <c r="A23" t="s">
        <v>109</v>
      </c>
      <c r="B23" t="e">
        <v>#VALUE!</v>
      </c>
      <c r="C23" t="e">
        <v>#VALUE!</v>
      </c>
      <c r="D23" t="e">
        <v>#VALUE!</v>
      </c>
      <c r="E23" t="e">
        <v>#VALUE!</v>
      </c>
      <c r="F23" t="e">
        <v>#VALUE!</v>
      </c>
      <c r="G23" t="e">
        <v>#VALUE!</v>
      </c>
      <c r="H23" t="e">
        <v>#VALUE!</v>
      </c>
      <c r="I23" t="e">
        <v>#VALUE!</v>
      </c>
      <c r="J23" t="e">
        <v>#VALUE!</v>
      </c>
      <c r="K23" t="e">
        <v>#VALUE!</v>
      </c>
      <c r="L23" t="e">
        <v>#VALUE!</v>
      </c>
      <c r="M23" t="e">
        <v>#VALUE!</v>
      </c>
      <c r="N23" t="e">
        <v>#VALUE!</v>
      </c>
      <c r="O23" t="e">
        <v>#VALUE!</v>
      </c>
      <c r="P23" t="e">
        <v>#VALUE!</v>
      </c>
      <c r="Q23">
        <v>3.0000000000000001E-6</v>
      </c>
      <c r="R23">
        <v>3.0000000000000001E-6</v>
      </c>
      <c r="S23">
        <v>3.0000000000000001E-6</v>
      </c>
      <c r="T23">
        <v>3.0000000000000001E-6</v>
      </c>
      <c r="U23">
        <v>3.0000000000000001E-6</v>
      </c>
      <c r="V23">
        <v>3.0000000000000001E-6</v>
      </c>
      <c r="W23">
        <v>3.0000000000000001E-6</v>
      </c>
      <c r="X23">
        <v>3.0000000000000001E-6</v>
      </c>
      <c r="Y23">
        <v>3.0000000000000001E-6</v>
      </c>
      <c r="Z23">
        <v>3.0000000000000001E-6</v>
      </c>
      <c r="AA23">
        <v>3.0000000000000001E-6</v>
      </c>
      <c r="AB23">
        <v>3.0000000000000001E-6</v>
      </c>
      <c r="AC23">
        <v>3.0000000000000001E-6</v>
      </c>
      <c r="AD23">
        <v>3.0000000000000001E-6</v>
      </c>
      <c r="AE23">
        <v>3.0000000000000001E-6</v>
      </c>
      <c r="AF23">
        <v>3.0000000000000001E-6</v>
      </c>
      <c r="AG23">
        <v>3.0000000000000001E-6</v>
      </c>
      <c r="AH23">
        <v>3.0000000000000001E-6</v>
      </c>
      <c r="AI23">
        <v>3.0000000000000001E-6</v>
      </c>
      <c r="AJ23">
        <v>3.0000000000000001E-6</v>
      </c>
      <c r="AK23">
        <v>3.0000000000000001E-6</v>
      </c>
      <c r="AL23">
        <v>3.0000000000000001E-6</v>
      </c>
      <c r="AM23">
        <v>3.0000000000000001E-6</v>
      </c>
      <c r="AN23">
        <v>3.0000000000000001E-6</v>
      </c>
      <c r="AO23">
        <v>3.0000000000000001E-6</v>
      </c>
      <c r="AP23">
        <v>5.3999999999999998E-5</v>
      </c>
      <c r="AQ23">
        <v>5.3999999999999998E-5</v>
      </c>
      <c r="AR23">
        <v>5.3999999999999998E-5</v>
      </c>
      <c r="AS23">
        <v>5.3999999999999998E-5</v>
      </c>
      <c r="AT23">
        <v>5.3999999999999998E-5</v>
      </c>
      <c r="AU23">
        <v>5.8E-5</v>
      </c>
      <c r="AV23">
        <v>5.8E-5</v>
      </c>
      <c r="AW23">
        <v>5.8E-5</v>
      </c>
      <c r="AX23">
        <v>5.8E-5</v>
      </c>
      <c r="AY23">
        <v>5.8E-5</v>
      </c>
      <c r="AZ23">
        <v>5.3000000000000001E-5</v>
      </c>
      <c r="BA23">
        <v>5.3000000000000001E-5</v>
      </c>
      <c r="BB23">
        <v>5.3000000000000001E-5</v>
      </c>
      <c r="BC23">
        <v>5.3000000000000001E-5</v>
      </c>
      <c r="BD23">
        <v>5.3000000000000001E-5</v>
      </c>
      <c r="BE23">
        <v>4.3000000000000002E-5</v>
      </c>
      <c r="BF23">
        <v>4.3000000000000002E-5</v>
      </c>
      <c r="BG23">
        <v>4.3000000000000002E-5</v>
      </c>
      <c r="BH23">
        <v>4.3000000000000002E-5</v>
      </c>
      <c r="BI23">
        <v>4.3000000000000002E-5</v>
      </c>
      <c r="BJ23">
        <v>1.22E-4</v>
      </c>
      <c r="BK23">
        <v>1.22E-4</v>
      </c>
      <c r="BL23">
        <v>1.22E-4</v>
      </c>
      <c r="BM23">
        <v>1.22E-4</v>
      </c>
      <c r="BN23">
        <v>1.22E-4</v>
      </c>
      <c r="BO23">
        <v>1.3200000000000001E-4</v>
      </c>
      <c r="BP23">
        <v>1.3200000000000001E-4</v>
      </c>
      <c r="BQ23">
        <v>1.3200000000000001E-4</v>
      </c>
      <c r="BR23">
        <v>1.3200000000000001E-4</v>
      </c>
      <c r="BS23">
        <v>1.3200000000000001E-4</v>
      </c>
      <c r="BT23">
        <v>1.5799999999999999E-4</v>
      </c>
      <c r="BU23">
        <v>1.5799999999999999E-4</v>
      </c>
      <c r="BV23">
        <v>1.5799999999999999E-4</v>
      </c>
      <c r="BW23">
        <v>1.5799999999999999E-4</v>
      </c>
      <c r="BX23">
        <v>1.5799999999999999E-4</v>
      </c>
      <c r="BY23">
        <v>1.2400000000000001E-4</v>
      </c>
      <c r="BZ23">
        <v>1.2400000000000001E-4</v>
      </c>
      <c r="CA23">
        <v>1.2400000000000001E-4</v>
      </c>
      <c r="CB23">
        <v>1.2400000000000001E-4</v>
      </c>
      <c r="CC23">
        <v>1.2400000000000001E-4</v>
      </c>
      <c r="CD23">
        <v>1.2400000000000001E-4</v>
      </c>
      <c r="CE23">
        <v>1.2400000000000001E-4</v>
      </c>
      <c r="CF23">
        <v>1.2400000000000001E-4</v>
      </c>
      <c r="CG23">
        <v>1.2400000000000001E-4</v>
      </c>
      <c r="CH23">
        <v>1.2400000000000001E-4</v>
      </c>
      <c r="CI23">
        <v>1.2400000000000001E-4</v>
      </c>
      <c r="CJ23">
        <v>1.2400000000000001E-4</v>
      </c>
      <c r="CK23">
        <v>1.2400000000000001E-4</v>
      </c>
      <c r="CL23">
        <v>1.2400000000000001E-4</v>
      </c>
      <c r="CM23">
        <v>1.2400000000000001E-4</v>
      </c>
      <c r="CN23">
        <v>1.2400000000000001E-4</v>
      </c>
      <c r="CO23">
        <v>1.2400000000000001E-4</v>
      </c>
      <c r="CP23">
        <v>1.2400000000000001E-4</v>
      </c>
      <c r="CQ23">
        <v>1.2400000000000001E-4</v>
      </c>
      <c r="CR23">
        <v>1.2400000000000001E-4</v>
      </c>
      <c r="CS23">
        <v>1.2400000000000001E-4</v>
      </c>
      <c r="CT23">
        <v>1.2400000000000001E-4</v>
      </c>
      <c r="CU23">
        <v>1.2400000000000001E-4</v>
      </c>
      <c r="CV23">
        <v>1.2400000000000001E-4</v>
      </c>
      <c r="CW23">
        <v>1.2400000000000001E-4</v>
      </c>
      <c r="CX23">
        <v>1.2400000000000001E-4</v>
      </c>
    </row>
    <row r="24" spans="1:102" x14ac:dyDescent="0.25">
      <c r="A24" t="s">
        <v>111</v>
      </c>
      <c r="B24" t="e">
        <v>#VALUE!</v>
      </c>
      <c r="C24" t="e">
        <v>#VALUE!</v>
      </c>
      <c r="D24" t="e">
        <v>#VALUE!</v>
      </c>
      <c r="E24" t="e">
        <v>#VALUE!</v>
      </c>
      <c r="F24" t="e">
        <v>#VALUE!</v>
      </c>
      <c r="G24" t="e">
        <v>#VALUE!</v>
      </c>
      <c r="H24" t="e">
        <v>#VALUE!</v>
      </c>
      <c r="I24" t="e">
        <v>#VALUE!</v>
      </c>
      <c r="J24" t="e">
        <v>#VALUE!</v>
      </c>
      <c r="K24" t="e">
        <v>#VALUE!</v>
      </c>
      <c r="L24" t="e">
        <v>#VALUE!</v>
      </c>
      <c r="M24" t="e">
        <v>#VALUE!</v>
      </c>
      <c r="N24" t="e">
        <v>#VALUE!</v>
      </c>
      <c r="O24" t="e">
        <v>#VALUE!</v>
      </c>
      <c r="P24" t="e">
        <v>#VALUE!</v>
      </c>
      <c r="Q24">
        <v>2.5999999999999998E-5</v>
      </c>
      <c r="R24">
        <v>2.5999999999999998E-5</v>
      </c>
      <c r="S24">
        <v>2.5999999999999998E-5</v>
      </c>
      <c r="T24">
        <v>2.5999999999999998E-5</v>
      </c>
      <c r="U24">
        <v>2.5999999999999998E-5</v>
      </c>
      <c r="V24">
        <v>2.5999999999999998E-5</v>
      </c>
      <c r="W24">
        <v>2.5999999999999998E-5</v>
      </c>
      <c r="X24">
        <v>2.5999999999999998E-5</v>
      </c>
      <c r="Y24">
        <v>2.5999999999999998E-5</v>
      </c>
      <c r="Z24">
        <v>2.5999999999999998E-5</v>
      </c>
      <c r="AA24">
        <v>2.5999999999999998E-5</v>
      </c>
      <c r="AB24">
        <v>2.5999999999999998E-5</v>
      </c>
      <c r="AC24">
        <v>2.5999999999999998E-5</v>
      </c>
      <c r="AD24">
        <v>2.5999999999999998E-5</v>
      </c>
      <c r="AE24">
        <v>2.5999999999999998E-5</v>
      </c>
      <c r="AF24">
        <v>2.5999999999999998E-5</v>
      </c>
      <c r="AG24">
        <v>2.5999999999999998E-5</v>
      </c>
      <c r="AH24">
        <v>2.5999999999999998E-5</v>
      </c>
      <c r="AI24">
        <v>2.5999999999999998E-5</v>
      </c>
      <c r="AJ24">
        <v>2.5999999999999998E-5</v>
      </c>
      <c r="AK24">
        <v>2.5999999999999998E-5</v>
      </c>
      <c r="AL24">
        <v>2.5999999999999998E-5</v>
      </c>
      <c r="AM24">
        <v>2.5999999999999998E-5</v>
      </c>
      <c r="AN24">
        <v>2.5999999999999998E-5</v>
      </c>
      <c r="AO24">
        <v>2.5999999999999998E-5</v>
      </c>
      <c r="AP24">
        <v>1.44E-4</v>
      </c>
      <c r="AQ24">
        <v>1.44E-4</v>
      </c>
      <c r="AR24">
        <v>1.44E-4</v>
      </c>
      <c r="AS24">
        <v>1.44E-4</v>
      </c>
      <c r="AT24">
        <v>1.44E-4</v>
      </c>
      <c r="AU24">
        <v>2.1100000000000001E-4</v>
      </c>
      <c r="AV24">
        <v>2.1100000000000001E-4</v>
      </c>
      <c r="AW24">
        <v>2.1100000000000001E-4</v>
      </c>
      <c r="AX24">
        <v>2.1100000000000001E-4</v>
      </c>
      <c r="AY24">
        <v>2.1100000000000001E-4</v>
      </c>
      <c r="AZ24">
        <v>2.6400000000000002E-4</v>
      </c>
      <c r="BA24">
        <v>2.6400000000000002E-4</v>
      </c>
      <c r="BB24">
        <v>2.6400000000000002E-4</v>
      </c>
      <c r="BC24">
        <v>2.6400000000000002E-4</v>
      </c>
      <c r="BD24">
        <v>2.6400000000000002E-4</v>
      </c>
      <c r="BE24">
        <v>3.3199999999999999E-4</v>
      </c>
      <c r="BF24">
        <v>3.3199999999999999E-4</v>
      </c>
      <c r="BG24">
        <v>3.3199999999999999E-4</v>
      </c>
      <c r="BH24">
        <v>3.3199999999999999E-4</v>
      </c>
      <c r="BI24">
        <v>3.3199999999999999E-4</v>
      </c>
      <c r="BJ24">
        <v>4.4900000000000002E-4</v>
      </c>
      <c r="BK24">
        <v>4.4900000000000002E-4</v>
      </c>
      <c r="BL24">
        <v>4.4900000000000002E-4</v>
      </c>
      <c r="BM24">
        <v>4.4900000000000002E-4</v>
      </c>
      <c r="BN24">
        <v>4.4900000000000002E-4</v>
      </c>
      <c r="BO24">
        <v>6.8999999999999997E-4</v>
      </c>
      <c r="BP24">
        <v>6.8999999999999997E-4</v>
      </c>
      <c r="BQ24">
        <v>6.8999999999999997E-4</v>
      </c>
      <c r="BR24">
        <v>6.8999999999999997E-4</v>
      </c>
      <c r="BS24">
        <v>6.8999999999999997E-4</v>
      </c>
      <c r="BT24">
        <v>1.049E-3</v>
      </c>
      <c r="BU24">
        <v>1.049E-3</v>
      </c>
      <c r="BV24">
        <v>1.049E-3</v>
      </c>
      <c r="BW24">
        <v>1.049E-3</v>
      </c>
      <c r="BX24">
        <v>1.049E-3</v>
      </c>
      <c r="BY24">
        <v>1.439E-3</v>
      </c>
      <c r="BZ24">
        <v>1.439E-3</v>
      </c>
      <c r="CA24">
        <v>1.439E-3</v>
      </c>
      <c r="CB24">
        <v>1.439E-3</v>
      </c>
      <c r="CC24">
        <v>1.439E-3</v>
      </c>
      <c r="CD24">
        <v>1.439E-3</v>
      </c>
      <c r="CE24">
        <v>1.439E-3</v>
      </c>
      <c r="CF24">
        <v>1.439E-3</v>
      </c>
      <c r="CG24">
        <v>1.439E-3</v>
      </c>
      <c r="CH24">
        <v>1.439E-3</v>
      </c>
      <c r="CI24">
        <v>1.439E-3</v>
      </c>
      <c r="CJ24">
        <v>1.439E-3</v>
      </c>
      <c r="CK24">
        <v>1.439E-3</v>
      </c>
      <c r="CL24">
        <v>1.439E-3</v>
      </c>
      <c r="CM24">
        <v>1.439E-3</v>
      </c>
      <c r="CN24">
        <v>1.439E-3</v>
      </c>
      <c r="CO24">
        <v>1.439E-3</v>
      </c>
      <c r="CP24">
        <v>1.439E-3</v>
      </c>
      <c r="CQ24">
        <v>1.439E-3</v>
      </c>
      <c r="CR24">
        <v>1.439E-3</v>
      </c>
      <c r="CS24">
        <v>1.439E-3</v>
      </c>
      <c r="CT24">
        <v>1.439E-3</v>
      </c>
      <c r="CU24">
        <v>1.439E-3</v>
      </c>
      <c r="CV24">
        <v>1.439E-3</v>
      </c>
      <c r="CW24">
        <v>1.439E-3</v>
      </c>
      <c r="CX24">
        <v>1.439E-3</v>
      </c>
    </row>
    <row r="25" spans="1:102" x14ac:dyDescent="0.25">
      <c r="A25" t="s">
        <v>113</v>
      </c>
      <c r="B25" t="e">
        <v>#VALUE!</v>
      </c>
      <c r="C25" t="e">
        <v>#VALUE!</v>
      </c>
      <c r="D25" t="e">
        <v>#VALUE!</v>
      </c>
      <c r="E25" t="e">
        <v>#VALUE!</v>
      </c>
      <c r="F25" t="e">
        <v>#VALUE!</v>
      </c>
      <c r="G25" t="e">
        <v>#VALUE!</v>
      </c>
      <c r="H25" t="e">
        <v>#VALUE!</v>
      </c>
      <c r="I25" t="e">
        <v>#VALUE!</v>
      </c>
      <c r="J25" t="e">
        <v>#VALUE!</v>
      </c>
      <c r="K25" t="e">
        <v>#VALUE!</v>
      </c>
      <c r="L25" t="e">
        <v>#VALUE!</v>
      </c>
      <c r="M25" t="e">
        <v>#VALUE!</v>
      </c>
      <c r="N25" t="e">
        <v>#VALUE!</v>
      </c>
      <c r="O25" t="e">
        <v>#VALUE!</v>
      </c>
      <c r="P25" t="e">
        <v>#VALUE!</v>
      </c>
      <c r="Q25">
        <v>2.8E-5</v>
      </c>
      <c r="R25">
        <v>2.8E-5</v>
      </c>
      <c r="S25">
        <v>2.8E-5</v>
      </c>
      <c r="T25">
        <v>2.8E-5</v>
      </c>
      <c r="U25">
        <v>2.8E-5</v>
      </c>
      <c r="V25">
        <v>2.8E-5</v>
      </c>
      <c r="W25">
        <v>2.8E-5</v>
      </c>
      <c r="X25">
        <v>2.8E-5</v>
      </c>
      <c r="Y25">
        <v>2.8E-5</v>
      </c>
      <c r="Z25">
        <v>2.8E-5</v>
      </c>
      <c r="AA25">
        <v>2.8E-5</v>
      </c>
      <c r="AB25">
        <v>2.8E-5</v>
      </c>
      <c r="AC25">
        <v>2.8E-5</v>
      </c>
      <c r="AD25">
        <v>2.8E-5</v>
      </c>
      <c r="AE25">
        <v>2.8E-5</v>
      </c>
      <c r="AF25">
        <v>2.8E-5</v>
      </c>
      <c r="AG25">
        <v>2.8E-5</v>
      </c>
      <c r="AH25">
        <v>2.8E-5</v>
      </c>
      <c r="AI25">
        <v>2.8E-5</v>
      </c>
      <c r="AJ25">
        <v>2.8E-5</v>
      </c>
      <c r="AK25">
        <v>2.8E-5</v>
      </c>
      <c r="AL25">
        <v>2.8E-5</v>
      </c>
      <c r="AM25">
        <v>2.8E-5</v>
      </c>
      <c r="AN25">
        <v>2.8E-5</v>
      </c>
      <c r="AO25">
        <v>2.8E-5</v>
      </c>
      <c r="AP25">
        <v>1.01E-4</v>
      </c>
      <c r="AQ25">
        <v>1.01E-4</v>
      </c>
      <c r="AR25">
        <v>1.01E-4</v>
      </c>
      <c r="AS25">
        <v>1.01E-4</v>
      </c>
      <c r="AT25">
        <v>1.01E-4</v>
      </c>
      <c r="AU25">
        <v>1.35E-4</v>
      </c>
      <c r="AV25">
        <v>1.35E-4</v>
      </c>
      <c r="AW25">
        <v>1.35E-4</v>
      </c>
      <c r="AX25">
        <v>1.35E-4</v>
      </c>
      <c r="AY25">
        <v>1.35E-4</v>
      </c>
      <c r="AZ25">
        <v>1.6699999999999999E-4</v>
      </c>
      <c r="BA25">
        <v>1.6699999999999999E-4</v>
      </c>
      <c r="BB25">
        <v>1.6699999999999999E-4</v>
      </c>
      <c r="BC25">
        <v>1.6699999999999999E-4</v>
      </c>
      <c r="BD25">
        <v>1.6699999999999999E-4</v>
      </c>
      <c r="BE25">
        <v>1.93E-4</v>
      </c>
      <c r="BF25">
        <v>1.93E-4</v>
      </c>
      <c r="BG25">
        <v>1.93E-4</v>
      </c>
      <c r="BH25">
        <v>1.93E-4</v>
      </c>
      <c r="BI25">
        <v>1.93E-4</v>
      </c>
      <c r="BJ25">
        <v>2.24E-4</v>
      </c>
      <c r="BK25">
        <v>2.24E-4</v>
      </c>
      <c r="BL25">
        <v>2.24E-4</v>
      </c>
      <c r="BM25">
        <v>2.24E-4</v>
      </c>
      <c r="BN25">
        <v>2.24E-4</v>
      </c>
      <c r="BO25">
        <v>2.7599999999999999E-4</v>
      </c>
      <c r="BP25">
        <v>2.7599999999999999E-4</v>
      </c>
      <c r="BQ25">
        <v>2.7599999999999999E-4</v>
      </c>
      <c r="BR25">
        <v>2.7599999999999999E-4</v>
      </c>
      <c r="BS25">
        <v>2.7599999999999999E-4</v>
      </c>
      <c r="BT25">
        <v>3.4400000000000001E-4</v>
      </c>
      <c r="BU25">
        <v>3.4400000000000001E-4</v>
      </c>
      <c r="BV25">
        <v>3.4400000000000001E-4</v>
      </c>
      <c r="BW25">
        <v>3.4400000000000001E-4</v>
      </c>
      <c r="BX25">
        <v>3.4400000000000001E-4</v>
      </c>
      <c r="BY25">
        <v>4.3100000000000001E-4</v>
      </c>
      <c r="BZ25">
        <v>4.3100000000000001E-4</v>
      </c>
      <c r="CA25">
        <v>4.3100000000000001E-4</v>
      </c>
      <c r="CB25">
        <v>4.3100000000000001E-4</v>
      </c>
      <c r="CC25">
        <v>4.3100000000000001E-4</v>
      </c>
      <c r="CD25">
        <v>4.3100000000000001E-4</v>
      </c>
      <c r="CE25">
        <v>4.3100000000000001E-4</v>
      </c>
      <c r="CF25">
        <v>4.3100000000000001E-4</v>
      </c>
      <c r="CG25">
        <v>4.3100000000000001E-4</v>
      </c>
      <c r="CH25">
        <v>4.3100000000000001E-4</v>
      </c>
      <c r="CI25">
        <v>4.3100000000000001E-4</v>
      </c>
      <c r="CJ25">
        <v>4.3100000000000001E-4</v>
      </c>
      <c r="CK25">
        <v>4.3100000000000001E-4</v>
      </c>
      <c r="CL25">
        <v>4.3100000000000001E-4</v>
      </c>
      <c r="CM25">
        <v>4.3100000000000001E-4</v>
      </c>
      <c r="CN25">
        <v>4.3100000000000001E-4</v>
      </c>
      <c r="CO25">
        <v>4.3100000000000001E-4</v>
      </c>
      <c r="CP25">
        <v>4.3100000000000001E-4</v>
      </c>
      <c r="CQ25">
        <v>4.3100000000000001E-4</v>
      </c>
      <c r="CR25">
        <v>4.3100000000000001E-4</v>
      </c>
      <c r="CS25">
        <v>4.3100000000000001E-4</v>
      </c>
      <c r="CT25">
        <v>4.3100000000000001E-4</v>
      </c>
      <c r="CU25">
        <v>4.3100000000000001E-4</v>
      </c>
      <c r="CV25">
        <v>4.3100000000000001E-4</v>
      </c>
      <c r="CW25">
        <v>4.3100000000000001E-4</v>
      </c>
      <c r="CX25">
        <v>4.3100000000000001E-4</v>
      </c>
    </row>
    <row r="26" spans="1:102" x14ac:dyDescent="0.25">
      <c r="A26" t="s">
        <v>115</v>
      </c>
      <c r="B26" t="e">
        <v>#VALUE!</v>
      </c>
      <c r="C26" t="e">
        <v>#VALUE!</v>
      </c>
      <c r="D26" t="e">
        <v>#VALUE!</v>
      </c>
      <c r="E26" t="e">
        <v>#VALUE!</v>
      </c>
      <c r="F26" t="e">
        <v>#VALUE!</v>
      </c>
      <c r="G26" t="e">
        <v>#VALUE!</v>
      </c>
      <c r="H26" t="e">
        <v>#VALUE!</v>
      </c>
      <c r="I26" t="e">
        <v>#VALUE!</v>
      </c>
      <c r="J26" t="e">
        <v>#VALUE!</v>
      </c>
      <c r="K26" t="e">
        <v>#VALUE!</v>
      </c>
      <c r="L26" t="e">
        <v>#VALUE!</v>
      </c>
      <c r="M26" t="e">
        <v>#VALUE!</v>
      </c>
      <c r="N26" t="e">
        <v>#VALUE!</v>
      </c>
      <c r="O26" t="e">
        <v>#VALUE!</v>
      </c>
      <c r="P26" t="e">
        <v>#VALUE!</v>
      </c>
      <c r="Q26">
        <v>1.1E-5</v>
      </c>
      <c r="R26">
        <v>1.1E-5</v>
      </c>
      <c r="S26">
        <v>1.1E-5</v>
      </c>
      <c r="T26">
        <v>1.1E-5</v>
      </c>
      <c r="U26">
        <v>1.1E-5</v>
      </c>
      <c r="V26">
        <v>1.1E-5</v>
      </c>
      <c r="W26">
        <v>1.1E-5</v>
      </c>
      <c r="X26">
        <v>1.1E-5</v>
      </c>
      <c r="Y26">
        <v>1.1E-5</v>
      </c>
      <c r="Z26">
        <v>1.1E-5</v>
      </c>
      <c r="AA26">
        <v>1.1E-5</v>
      </c>
      <c r="AB26">
        <v>1.1E-5</v>
      </c>
      <c r="AC26">
        <v>1.1E-5</v>
      </c>
      <c r="AD26">
        <v>1.1E-5</v>
      </c>
      <c r="AE26">
        <v>1.1E-5</v>
      </c>
      <c r="AF26">
        <v>1.1E-5</v>
      </c>
      <c r="AG26">
        <v>1.1E-5</v>
      </c>
      <c r="AH26">
        <v>1.1E-5</v>
      </c>
      <c r="AI26">
        <v>1.1E-5</v>
      </c>
      <c r="AJ26">
        <v>1.1E-5</v>
      </c>
      <c r="AK26">
        <v>1.1E-5</v>
      </c>
      <c r="AL26">
        <v>1.1E-5</v>
      </c>
      <c r="AM26">
        <v>1.1E-5</v>
      </c>
      <c r="AN26">
        <v>1.1E-5</v>
      </c>
      <c r="AO26">
        <v>1.1E-5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7.4999999999999993E-5</v>
      </c>
      <c r="AV26">
        <v>7.4999999999999993E-5</v>
      </c>
      <c r="AW26">
        <v>7.4999999999999993E-5</v>
      </c>
      <c r="AX26">
        <v>7.4999999999999993E-5</v>
      </c>
      <c r="AY26">
        <v>7.4999999999999993E-5</v>
      </c>
      <c r="AZ26">
        <v>3.79E-4</v>
      </c>
      <c r="BA26">
        <v>3.79E-4</v>
      </c>
      <c r="BB26">
        <v>3.79E-4</v>
      </c>
      <c r="BC26">
        <v>3.79E-4</v>
      </c>
      <c r="BD26">
        <v>3.79E-4</v>
      </c>
      <c r="BE26">
        <v>3.9300000000000001E-4</v>
      </c>
      <c r="BF26">
        <v>3.9300000000000001E-4</v>
      </c>
      <c r="BG26">
        <v>3.9300000000000001E-4</v>
      </c>
      <c r="BH26">
        <v>3.9300000000000001E-4</v>
      </c>
      <c r="BI26">
        <v>3.9300000000000001E-4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5.44E-4</v>
      </c>
      <c r="BU26">
        <v>5.44E-4</v>
      </c>
      <c r="BV26">
        <v>5.44E-4</v>
      </c>
      <c r="BW26">
        <v>5.44E-4</v>
      </c>
      <c r="BX26">
        <v>5.44E-4</v>
      </c>
      <c r="BY26">
        <v>2.9399999999999999E-4</v>
      </c>
      <c r="BZ26">
        <v>2.9399999999999999E-4</v>
      </c>
      <c r="CA26">
        <v>2.9399999999999999E-4</v>
      </c>
      <c r="CB26">
        <v>2.9399999999999999E-4</v>
      </c>
      <c r="CC26">
        <v>2.9399999999999999E-4</v>
      </c>
      <c r="CD26">
        <v>2.9399999999999999E-4</v>
      </c>
      <c r="CE26">
        <v>2.9399999999999999E-4</v>
      </c>
      <c r="CF26">
        <v>2.9399999999999999E-4</v>
      </c>
      <c r="CG26">
        <v>2.9399999999999999E-4</v>
      </c>
      <c r="CH26">
        <v>2.9399999999999999E-4</v>
      </c>
      <c r="CI26">
        <v>2.9399999999999999E-4</v>
      </c>
      <c r="CJ26">
        <v>2.9399999999999999E-4</v>
      </c>
      <c r="CK26">
        <v>2.9399999999999999E-4</v>
      </c>
      <c r="CL26">
        <v>2.9399999999999999E-4</v>
      </c>
      <c r="CM26">
        <v>2.9399999999999999E-4</v>
      </c>
      <c r="CN26">
        <v>2.9399999999999999E-4</v>
      </c>
      <c r="CO26">
        <v>2.9399999999999999E-4</v>
      </c>
      <c r="CP26">
        <v>2.9399999999999999E-4</v>
      </c>
      <c r="CQ26">
        <v>2.9399999999999999E-4</v>
      </c>
      <c r="CR26">
        <v>2.9399999999999999E-4</v>
      </c>
      <c r="CS26">
        <v>2.9399999999999999E-4</v>
      </c>
      <c r="CT26">
        <v>2.9399999999999999E-4</v>
      </c>
      <c r="CU26">
        <v>2.9399999999999999E-4</v>
      </c>
      <c r="CV26">
        <v>2.9399999999999999E-4</v>
      </c>
      <c r="CW26">
        <v>2.9399999999999999E-4</v>
      </c>
      <c r="CX26">
        <v>2.9399999999999999E-4</v>
      </c>
    </row>
    <row r="27" spans="1:102" x14ac:dyDescent="0.25">
      <c r="A27" t="s">
        <v>117</v>
      </c>
      <c r="B27" t="e">
        <v>#VALUE!</v>
      </c>
      <c r="C27" t="e">
        <v>#VALUE!</v>
      </c>
      <c r="D27" t="e">
        <v>#VALUE!</v>
      </c>
      <c r="E27" t="e">
        <v>#VALUE!</v>
      </c>
      <c r="F27" t="e">
        <v>#VALUE!</v>
      </c>
      <c r="G27" t="e">
        <v>#VALUE!</v>
      </c>
      <c r="H27" t="e">
        <v>#VALUE!</v>
      </c>
      <c r="I27" t="e">
        <v>#VALUE!</v>
      </c>
      <c r="J27" t="e">
        <v>#VALUE!</v>
      </c>
      <c r="K27" t="e">
        <v>#VALUE!</v>
      </c>
      <c r="L27" t="e">
        <v>#VALUE!</v>
      </c>
      <c r="M27" t="e">
        <v>#VALUE!</v>
      </c>
      <c r="N27" t="e">
        <v>#VALUE!</v>
      </c>
      <c r="O27" t="e">
        <v>#VALUE!</v>
      </c>
      <c r="P27" t="e">
        <v>#VALUE!</v>
      </c>
      <c r="Q27">
        <v>4.0000000000000003E-5</v>
      </c>
      <c r="R27">
        <v>4.0000000000000003E-5</v>
      </c>
      <c r="S27">
        <v>4.0000000000000003E-5</v>
      </c>
      <c r="T27">
        <v>4.0000000000000003E-5</v>
      </c>
      <c r="U27">
        <v>4.0000000000000003E-5</v>
      </c>
      <c r="V27">
        <v>4.0000000000000003E-5</v>
      </c>
      <c r="W27">
        <v>4.0000000000000003E-5</v>
      </c>
      <c r="X27">
        <v>4.0000000000000003E-5</v>
      </c>
      <c r="Y27">
        <v>4.0000000000000003E-5</v>
      </c>
      <c r="Z27">
        <v>4.0000000000000003E-5</v>
      </c>
      <c r="AA27">
        <v>4.0000000000000003E-5</v>
      </c>
      <c r="AB27">
        <v>4.0000000000000003E-5</v>
      </c>
      <c r="AC27">
        <v>4.0000000000000003E-5</v>
      </c>
      <c r="AD27">
        <v>4.0000000000000003E-5</v>
      </c>
      <c r="AE27">
        <v>4.0000000000000003E-5</v>
      </c>
      <c r="AF27">
        <v>4.0000000000000003E-5</v>
      </c>
      <c r="AG27">
        <v>4.0000000000000003E-5</v>
      </c>
      <c r="AH27">
        <v>4.0000000000000003E-5</v>
      </c>
      <c r="AI27">
        <v>4.0000000000000003E-5</v>
      </c>
      <c r="AJ27">
        <v>4.0000000000000003E-5</v>
      </c>
      <c r="AK27">
        <v>4.0000000000000003E-5</v>
      </c>
      <c r="AL27">
        <v>4.0000000000000003E-5</v>
      </c>
      <c r="AM27">
        <v>4.0000000000000003E-5</v>
      </c>
      <c r="AN27">
        <v>4.0000000000000003E-5</v>
      </c>
      <c r="AO27">
        <v>4.0000000000000003E-5</v>
      </c>
      <c r="AP27">
        <v>1.26E-4</v>
      </c>
      <c r="AQ27">
        <v>1.26E-4</v>
      </c>
      <c r="AR27">
        <v>1.26E-4</v>
      </c>
      <c r="AS27">
        <v>1.26E-4</v>
      </c>
      <c r="AT27">
        <v>1.26E-4</v>
      </c>
      <c r="AU27">
        <v>1.5699999999999999E-4</v>
      </c>
      <c r="AV27">
        <v>1.5699999999999999E-4</v>
      </c>
      <c r="AW27">
        <v>1.5699999999999999E-4</v>
      </c>
      <c r="AX27">
        <v>1.5699999999999999E-4</v>
      </c>
      <c r="AY27">
        <v>1.5699999999999999E-4</v>
      </c>
      <c r="AZ27">
        <v>1.75E-4</v>
      </c>
      <c r="BA27">
        <v>1.75E-4</v>
      </c>
      <c r="BB27">
        <v>1.75E-4</v>
      </c>
      <c r="BC27">
        <v>1.75E-4</v>
      </c>
      <c r="BD27">
        <v>1.75E-4</v>
      </c>
      <c r="BE27">
        <v>1.8599999999999999E-4</v>
      </c>
      <c r="BF27">
        <v>1.8599999999999999E-4</v>
      </c>
      <c r="BG27">
        <v>1.8599999999999999E-4</v>
      </c>
      <c r="BH27">
        <v>1.8599999999999999E-4</v>
      </c>
      <c r="BI27">
        <v>1.8599999999999999E-4</v>
      </c>
      <c r="BJ27">
        <v>1.9000000000000001E-4</v>
      </c>
      <c r="BK27">
        <v>1.9000000000000001E-4</v>
      </c>
      <c r="BL27">
        <v>1.9000000000000001E-4</v>
      </c>
      <c r="BM27">
        <v>1.9000000000000001E-4</v>
      </c>
      <c r="BN27">
        <v>1.9000000000000001E-4</v>
      </c>
      <c r="BO27">
        <v>2.02E-4</v>
      </c>
      <c r="BP27">
        <v>2.02E-4</v>
      </c>
      <c r="BQ27">
        <v>2.02E-4</v>
      </c>
      <c r="BR27">
        <v>2.02E-4</v>
      </c>
      <c r="BS27">
        <v>2.02E-4</v>
      </c>
      <c r="BT27">
        <v>2.14E-4</v>
      </c>
      <c r="BU27">
        <v>2.14E-4</v>
      </c>
      <c r="BV27">
        <v>2.14E-4</v>
      </c>
      <c r="BW27">
        <v>2.14E-4</v>
      </c>
      <c r="BX27">
        <v>2.14E-4</v>
      </c>
      <c r="BY27">
        <v>2.13E-4</v>
      </c>
      <c r="BZ27">
        <v>2.13E-4</v>
      </c>
      <c r="CA27">
        <v>2.13E-4</v>
      </c>
      <c r="CB27">
        <v>2.13E-4</v>
      </c>
      <c r="CC27">
        <v>2.13E-4</v>
      </c>
      <c r="CD27">
        <v>2.13E-4</v>
      </c>
      <c r="CE27">
        <v>2.13E-4</v>
      </c>
      <c r="CF27">
        <v>2.13E-4</v>
      </c>
      <c r="CG27">
        <v>2.13E-4</v>
      </c>
      <c r="CH27">
        <v>2.13E-4</v>
      </c>
      <c r="CI27">
        <v>2.13E-4</v>
      </c>
      <c r="CJ27">
        <v>2.13E-4</v>
      </c>
      <c r="CK27">
        <v>2.13E-4</v>
      </c>
      <c r="CL27">
        <v>2.13E-4</v>
      </c>
      <c r="CM27">
        <v>2.13E-4</v>
      </c>
      <c r="CN27">
        <v>2.13E-4</v>
      </c>
      <c r="CO27">
        <v>2.13E-4</v>
      </c>
      <c r="CP27">
        <v>2.13E-4</v>
      </c>
      <c r="CQ27">
        <v>2.13E-4</v>
      </c>
      <c r="CR27">
        <v>2.13E-4</v>
      </c>
      <c r="CS27">
        <v>2.13E-4</v>
      </c>
      <c r="CT27">
        <v>2.13E-4</v>
      </c>
      <c r="CU27">
        <v>2.13E-4</v>
      </c>
      <c r="CV27">
        <v>2.13E-4</v>
      </c>
      <c r="CW27">
        <v>2.13E-4</v>
      </c>
      <c r="CX27">
        <v>2.13E-4</v>
      </c>
    </row>
    <row r="28" spans="1:102" x14ac:dyDescent="0.25">
      <c r="A28" t="s">
        <v>119</v>
      </c>
      <c r="B28">
        <v>1.9999999999999999E-6</v>
      </c>
      <c r="C28">
        <v>1.9999999999999999E-6</v>
      </c>
      <c r="D28">
        <v>1.9999999999999999E-6</v>
      </c>
      <c r="E28">
        <v>1.9999999999999999E-6</v>
      </c>
      <c r="F28">
        <v>1.9999999999999999E-6</v>
      </c>
      <c r="G28">
        <v>1.9999999999999999E-6</v>
      </c>
      <c r="H28">
        <v>1.9999999999999999E-6</v>
      </c>
      <c r="I28">
        <v>1.9999999999999999E-6</v>
      </c>
      <c r="J28">
        <v>1.9999999999999999E-6</v>
      </c>
      <c r="K28">
        <v>1.9999999999999999E-6</v>
      </c>
      <c r="L28">
        <v>1.9999999999999999E-6</v>
      </c>
      <c r="M28">
        <v>1.9999999999999999E-6</v>
      </c>
      <c r="N28">
        <v>1.9999999999999999E-6</v>
      </c>
      <c r="O28">
        <v>1.9999999999999999E-6</v>
      </c>
      <c r="P28">
        <v>1.9999999999999999E-6</v>
      </c>
      <c r="Q28">
        <v>3.4999999999999997E-5</v>
      </c>
      <c r="R28">
        <v>3.4999999999999997E-5</v>
      </c>
      <c r="S28">
        <v>3.4999999999999997E-5</v>
      </c>
      <c r="T28">
        <v>3.4999999999999997E-5</v>
      </c>
      <c r="U28">
        <v>3.4999999999999997E-5</v>
      </c>
      <c r="V28">
        <v>3.4999999999999997E-5</v>
      </c>
      <c r="W28">
        <v>3.4999999999999997E-5</v>
      </c>
      <c r="X28">
        <v>3.4999999999999997E-5</v>
      </c>
      <c r="Y28">
        <v>3.4999999999999997E-5</v>
      </c>
      <c r="Z28">
        <v>3.4999999999999997E-5</v>
      </c>
      <c r="AA28">
        <v>3.4999999999999997E-5</v>
      </c>
      <c r="AB28">
        <v>3.4999999999999997E-5</v>
      </c>
      <c r="AC28">
        <v>3.4999999999999997E-5</v>
      </c>
      <c r="AD28">
        <v>3.4999999999999997E-5</v>
      </c>
      <c r="AE28">
        <v>3.4999999999999997E-5</v>
      </c>
      <c r="AF28">
        <v>3.4999999999999997E-5</v>
      </c>
      <c r="AG28">
        <v>3.4999999999999997E-5</v>
      </c>
      <c r="AH28">
        <v>3.4999999999999997E-5</v>
      </c>
      <c r="AI28">
        <v>3.4999999999999997E-5</v>
      </c>
      <c r="AJ28">
        <v>3.4999999999999997E-5</v>
      </c>
      <c r="AK28">
        <v>3.4999999999999997E-5</v>
      </c>
      <c r="AL28">
        <v>3.4999999999999997E-5</v>
      </c>
      <c r="AM28">
        <v>3.4999999999999997E-5</v>
      </c>
      <c r="AN28">
        <v>3.4999999999999997E-5</v>
      </c>
      <c r="AO28">
        <v>3.4999999999999997E-5</v>
      </c>
      <c r="AP28">
        <v>2.3000000000000001E-4</v>
      </c>
      <c r="AQ28">
        <v>2.3000000000000001E-4</v>
      </c>
      <c r="AR28">
        <v>2.3000000000000001E-4</v>
      </c>
      <c r="AS28">
        <v>2.3000000000000001E-4</v>
      </c>
      <c r="AT28">
        <v>2.3000000000000001E-4</v>
      </c>
      <c r="AU28">
        <v>3.57E-4</v>
      </c>
      <c r="AV28">
        <v>3.57E-4</v>
      </c>
      <c r="AW28">
        <v>3.57E-4</v>
      </c>
      <c r="AX28">
        <v>3.57E-4</v>
      </c>
      <c r="AY28">
        <v>3.57E-4</v>
      </c>
      <c r="AZ28">
        <v>4.7100000000000001E-4</v>
      </c>
      <c r="BA28">
        <v>4.7100000000000001E-4</v>
      </c>
      <c r="BB28">
        <v>4.7100000000000001E-4</v>
      </c>
      <c r="BC28">
        <v>4.7100000000000001E-4</v>
      </c>
      <c r="BD28">
        <v>4.7100000000000001E-4</v>
      </c>
      <c r="BE28">
        <v>5.4199999999999995E-4</v>
      </c>
      <c r="BF28">
        <v>5.4199999999999995E-4</v>
      </c>
      <c r="BG28">
        <v>5.4199999999999995E-4</v>
      </c>
      <c r="BH28">
        <v>5.4199999999999995E-4</v>
      </c>
      <c r="BI28">
        <v>5.4199999999999995E-4</v>
      </c>
      <c r="BJ28">
        <v>6.2200000000000005E-4</v>
      </c>
      <c r="BK28">
        <v>6.2200000000000005E-4</v>
      </c>
      <c r="BL28">
        <v>6.2200000000000005E-4</v>
      </c>
      <c r="BM28">
        <v>6.2200000000000005E-4</v>
      </c>
      <c r="BN28">
        <v>6.2200000000000005E-4</v>
      </c>
      <c r="BO28">
        <v>7.6300000000000001E-4</v>
      </c>
      <c r="BP28">
        <v>7.6300000000000001E-4</v>
      </c>
      <c r="BQ28">
        <v>7.6300000000000001E-4</v>
      </c>
      <c r="BR28">
        <v>7.6300000000000001E-4</v>
      </c>
      <c r="BS28">
        <v>7.6300000000000001E-4</v>
      </c>
      <c r="BT28">
        <v>9.7400000000000004E-4</v>
      </c>
      <c r="BU28">
        <v>9.7400000000000004E-4</v>
      </c>
      <c r="BV28">
        <v>9.7400000000000004E-4</v>
      </c>
      <c r="BW28">
        <v>9.7400000000000004E-4</v>
      </c>
      <c r="BX28">
        <v>9.7400000000000004E-4</v>
      </c>
      <c r="BY28">
        <v>1.237E-3</v>
      </c>
      <c r="BZ28">
        <v>1.237E-3</v>
      </c>
      <c r="CA28">
        <v>1.237E-3</v>
      </c>
      <c r="CB28">
        <v>1.237E-3</v>
      </c>
      <c r="CC28">
        <v>1.237E-3</v>
      </c>
      <c r="CD28">
        <v>1.237E-3</v>
      </c>
      <c r="CE28">
        <v>1.237E-3</v>
      </c>
      <c r="CF28">
        <v>1.237E-3</v>
      </c>
      <c r="CG28">
        <v>1.237E-3</v>
      </c>
      <c r="CH28">
        <v>1.237E-3</v>
      </c>
      <c r="CI28">
        <v>1.237E-3</v>
      </c>
      <c r="CJ28">
        <v>1.237E-3</v>
      </c>
      <c r="CK28">
        <v>1.237E-3</v>
      </c>
      <c r="CL28">
        <v>1.237E-3</v>
      </c>
      <c r="CM28">
        <v>1.237E-3</v>
      </c>
      <c r="CN28">
        <v>1.237E-3</v>
      </c>
      <c r="CO28">
        <v>1.237E-3</v>
      </c>
      <c r="CP28">
        <v>1.237E-3</v>
      </c>
      <c r="CQ28">
        <v>1.237E-3</v>
      </c>
      <c r="CR28">
        <v>1.237E-3</v>
      </c>
      <c r="CS28">
        <v>1.237E-3</v>
      </c>
      <c r="CT28">
        <v>1.237E-3</v>
      </c>
      <c r="CU28">
        <v>1.237E-3</v>
      </c>
      <c r="CV28">
        <v>1.237E-3</v>
      </c>
      <c r="CW28">
        <v>1.237E-3</v>
      </c>
      <c r="CX28">
        <v>1.237E-3</v>
      </c>
    </row>
    <row r="29" spans="1:102" x14ac:dyDescent="0.25">
      <c r="A29" t="s">
        <v>121</v>
      </c>
      <c r="B29" t="e">
        <v>#VALUE!</v>
      </c>
      <c r="C29" t="e">
        <v>#VALUE!</v>
      </c>
      <c r="D29" t="e">
        <v>#VALUE!</v>
      </c>
      <c r="E29" t="e">
        <v>#VALUE!</v>
      </c>
      <c r="F29" t="e">
        <v>#VALUE!</v>
      </c>
      <c r="G29" t="e">
        <v>#VALUE!</v>
      </c>
      <c r="H29" t="e">
        <v>#VALUE!</v>
      </c>
      <c r="I29" t="e">
        <v>#VALUE!</v>
      </c>
      <c r="J29" t="e">
        <v>#VALUE!</v>
      </c>
      <c r="K29" t="e">
        <v>#VALUE!</v>
      </c>
      <c r="L29" t="e">
        <v>#VALUE!</v>
      </c>
      <c r="M29" t="e">
        <v>#VALUE!</v>
      </c>
      <c r="N29" t="e">
        <v>#VALUE!</v>
      </c>
      <c r="O29" t="e">
        <v>#VALUE!</v>
      </c>
      <c r="P29" t="e">
        <v>#VALUE!</v>
      </c>
      <c r="Q29">
        <v>7.7999999999999999E-5</v>
      </c>
      <c r="R29">
        <v>7.7999999999999999E-5</v>
      </c>
      <c r="S29">
        <v>7.7999999999999999E-5</v>
      </c>
      <c r="T29">
        <v>7.7999999999999999E-5</v>
      </c>
      <c r="U29">
        <v>7.7999999999999999E-5</v>
      </c>
      <c r="V29">
        <v>7.7999999999999999E-5</v>
      </c>
      <c r="W29">
        <v>7.7999999999999999E-5</v>
      </c>
      <c r="X29">
        <v>7.7999999999999999E-5</v>
      </c>
      <c r="Y29">
        <v>7.7999999999999999E-5</v>
      </c>
      <c r="Z29">
        <v>7.7999999999999999E-5</v>
      </c>
      <c r="AA29">
        <v>7.7999999999999999E-5</v>
      </c>
      <c r="AB29">
        <v>7.7999999999999999E-5</v>
      </c>
      <c r="AC29">
        <v>7.7999999999999999E-5</v>
      </c>
      <c r="AD29">
        <v>7.7999999999999999E-5</v>
      </c>
      <c r="AE29">
        <v>7.7999999999999999E-5</v>
      </c>
      <c r="AF29">
        <v>7.7999999999999999E-5</v>
      </c>
      <c r="AG29">
        <v>7.7999999999999999E-5</v>
      </c>
      <c r="AH29">
        <v>7.7999999999999999E-5</v>
      </c>
      <c r="AI29">
        <v>7.7999999999999999E-5</v>
      </c>
      <c r="AJ29">
        <v>7.7999999999999999E-5</v>
      </c>
      <c r="AK29">
        <v>7.7999999999999999E-5</v>
      </c>
      <c r="AL29">
        <v>7.7999999999999999E-5</v>
      </c>
      <c r="AM29">
        <v>7.7999999999999999E-5</v>
      </c>
      <c r="AN29">
        <v>7.7999999999999999E-5</v>
      </c>
      <c r="AO29">
        <v>7.7999999999999999E-5</v>
      </c>
      <c r="AP29">
        <v>4.6900000000000002E-4</v>
      </c>
      <c r="AQ29">
        <v>4.6900000000000002E-4</v>
      </c>
      <c r="AR29">
        <v>4.6900000000000002E-4</v>
      </c>
      <c r="AS29">
        <v>4.6900000000000002E-4</v>
      </c>
      <c r="AT29">
        <v>4.6900000000000002E-4</v>
      </c>
      <c r="AU29">
        <v>7.2199999999999999E-4</v>
      </c>
      <c r="AV29">
        <v>7.2199999999999999E-4</v>
      </c>
      <c r="AW29">
        <v>7.2199999999999999E-4</v>
      </c>
      <c r="AX29">
        <v>7.2199999999999999E-4</v>
      </c>
      <c r="AY29">
        <v>7.2199999999999999E-4</v>
      </c>
      <c r="AZ29">
        <v>1.0020000000000001E-3</v>
      </c>
      <c r="BA29">
        <v>1.0020000000000001E-3</v>
      </c>
      <c r="BB29">
        <v>1.0020000000000001E-3</v>
      </c>
      <c r="BC29">
        <v>1.0020000000000001E-3</v>
      </c>
      <c r="BD29">
        <v>1.0020000000000001E-3</v>
      </c>
      <c r="BE29">
        <v>1.212E-3</v>
      </c>
      <c r="BF29">
        <v>1.212E-3</v>
      </c>
      <c r="BG29">
        <v>1.212E-3</v>
      </c>
      <c r="BH29">
        <v>1.212E-3</v>
      </c>
      <c r="BI29">
        <v>1.212E-3</v>
      </c>
      <c r="BJ29">
        <v>1.4270000000000001E-3</v>
      </c>
      <c r="BK29">
        <v>1.4270000000000001E-3</v>
      </c>
      <c r="BL29">
        <v>1.4270000000000001E-3</v>
      </c>
      <c r="BM29">
        <v>1.4270000000000001E-3</v>
      </c>
      <c r="BN29">
        <v>1.4270000000000001E-3</v>
      </c>
      <c r="BO29">
        <v>1.714E-3</v>
      </c>
      <c r="BP29">
        <v>1.714E-3</v>
      </c>
      <c r="BQ29">
        <v>1.714E-3</v>
      </c>
      <c r="BR29">
        <v>1.714E-3</v>
      </c>
      <c r="BS29">
        <v>1.714E-3</v>
      </c>
      <c r="BT29">
        <v>1.9880000000000002E-3</v>
      </c>
      <c r="BU29">
        <v>1.9880000000000002E-3</v>
      </c>
      <c r="BV29">
        <v>1.9880000000000002E-3</v>
      </c>
      <c r="BW29">
        <v>1.9880000000000002E-3</v>
      </c>
      <c r="BX29">
        <v>1.9880000000000002E-3</v>
      </c>
      <c r="BY29">
        <v>2.3E-3</v>
      </c>
      <c r="BZ29">
        <v>2.3E-3</v>
      </c>
      <c r="CA29">
        <v>2.3E-3</v>
      </c>
      <c r="CB29">
        <v>2.3E-3</v>
      </c>
      <c r="CC29">
        <v>2.3E-3</v>
      </c>
      <c r="CD29">
        <v>2.3E-3</v>
      </c>
      <c r="CE29">
        <v>2.3E-3</v>
      </c>
      <c r="CF29">
        <v>2.3E-3</v>
      </c>
      <c r="CG29">
        <v>2.3E-3</v>
      </c>
      <c r="CH29">
        <v>2.3E-3</v>
      </c>
      <c r="CI29">
        <v>2.3E-3</v>
      </c>
      <c r="CJ29">
        <v>2.3E-3</v>
      </c>
      <c r="CK29">
        <v>2.3E-3</v>
      </c>
      <c r="CL29">
        <v>2.3E-3</v>
      </c>
      <c r="CM29">
        <v>2.3E-3</v>
      </c>
      <c r="CN29">
        <v>2.3E-3</v>
      </c>
      <c r="CO29">
        <v>2.3E-3</v>
      </c>
      <c r="CP29">
        <v>2.3E-3</v>
      </c>
      <c r="CQ29">
        <v>2.3E-3</v>
      </c>
      <c r="CR29">
        <v>2.3E-3</v>
      </c>
      <c r="CS29">
        <v>2.3E-3</v>
      </c>
      <c r="CT29">
        <v>2.3E-3</v>
      </c>
      <c r="CU29">
        <v>2.3E-3</v>
      </c>
      <c r="CV29">
        <v>2.3E-3</v>
      </c>
      <c r="CW29">
        <v>2.3E-3</v>
      </c>
      <c r="CX29">
        <v>2.3E-3</v>
      </c>
    </row>
    <row r="30" spans="1:102" x14ac:dyDescent="0.25">
      <c r="A30" t="s">
        <v>123</v>
      </c>
      <c r="B30" t="e">
        <v>#VALUE!</v>
      </c>
      <c r="C30" t="e">
        <v>#VALUE!</v>
      </c>
      <c r="D30" t="e">
        <v>#VALUE!</v>
      </c>
      <c r="E30" t="e">
        <v>#VALUE!</v>
      </c>
      <c r="F30" t="e">
        <v>#VALUE!</v>
      </c>
      <c r="G30" t="e">
        <v>#VALUE!</v>
      </c>
      <c r="H30" t="e">
        <v>#VALUE!</v>
      </c>
      <c r="I30" t="e">
        <v>#VALUE!</v>
      </c>
      <c r="J30" t="e">
        <v>#VALUE!</v>
      </c>
      <c r="K30" t="e">
        <v>#VALUE!</v>
      </c>
      <c r="L30" t="e">
        <v>#VALUE!</v>
      </c>
      <c r="M30" t="e">
        <v>#VALUE!</v>
      </c>
      <c r="N30" t="e">
        <v>#VALUE!</v>
      </c>
      <c r="O30" t="e">
        <v>#VALUE!</v>
      </c>
      <c r="P30" t="e">
        <v>#VALUE!</v>
      </c>
      <c r="Q30">
        <v>1.1E-5</v>
      </c>
      <c r="R30">
        <v>1.1E-5</v>
      </c>
      <c r="S30">
        <v>1.1E-5</v>
      </c>
      <c r="T30">
        <v>1.1E-5</v>
      </c>
      <c r="U30">
        <v>1.1E-5</v>
      </c>
      <c r="V30">
        <v>1.1E-5</v>
      </c>
      <c r="W30">
        <v>1.1E-5</v>
      </c>
      <c r="X30">
        <v>1.1E-5</v>
      </c>
      <c r="Y30">
        <v>1.1E-5</v>
      </c>
      <c r="Z30">
        <v>1.1E-5</v>
      </c>
      <c r="AA30">
        <v>1.1E-5</v>
      </c>
      <c r="AB30">
        <v>1.1E-5</v>
      </c>
      <c r="AC30">
        <v>1.1E-5</v>
      </c>
      <c r="AD30">
        <v>1.1E-5</v>
      </c>
      <c r="AE30">
        <v>1.1E-5</v>
      </c>
      <c r="AF30">
        <v>1.1E-5</v>
      </c>
      <c r="AG30">
        <v>1.1E-5</v>
      </c>
      <c r="AH30">
        <v>1.1E-5</v>
      </c>
      <c r="AI30">
        <v>1.1E-5</v>
      </c>
      <c r="AJ30">
        <v>1.1E-5</v>
      </c>
      <c r="AK30">
        <v>1.1E-5</v>
      </c>
      <c r="AL30">
        <v>1.1E-5</v>
      </c>
      <c r="AM30">
        <v>1.1E-5</v>
      </c>
      <c r="AN30">
        <v>1.1E-5</v>
      </c>
      <c r="AO30">
        <v>1.1E-5</v>
      </c>
      <c r="AP30">
        <v>1.2899999999999999E-4</v>
      </c>
      <c r="AQ30">
        <v>1.2899999999999999E-4</v>
      </c>
      <c r="AR30">
        <v>1.2899999999999999E-4</v>
      </c>
      <c r="AS30">
        <v>1.2899999999999999E-4</v>
      </c>
      <c r="AT30">
        <v>1.2899999999999999E-4</v>
      </c>
      <c r="AU30">
        <v>2.3000000000000001E-4</v>
      </c>
      <c r="AV30">
        <v>2.3000000000000001E-4</v>
      </c>
      <c r="AW30">
        <v>2.3000000000000001E-4</v>
      </c>
      <c r="AX30">
        <v>2.3000000000000001E-4</v>
      </c>
      <c r="AY30">
        <v>2.3000000000000001E-4</v>
      </c>
      <c r="AZ30">
        <v>3.3300000000000002E-4</v>
      </c>
      <c r="BA30">
        <v>3.3300000000000002E-4</v>
      </c>
      <c r="BB30">
        <v>3.3300000000000002E-4</v>
      </c>
      <c r="BC30">
        <v>3.3300000000000002E-4</v>
      </c>
      <c r="BD30">
        <v>3.3300000000000002E-4</v>
      </c>
      <c r="BE30">
        <v>4.2499999999999998E-4</v>
      </c>
      <c r="BF30">
        <v>4.2499999999999998E-4</v>
      </c>
      <c r="BG30">
        <v>4.2499999999999998E-4</v>
      </c>
      <c r="BH30">
        <v>4.2499999999999998E-4</v>
      </c>
      <c r="BI30">
        <v>4.2499999999999998E-4</v>
      </c>
      <c r="BJ30">
        <v>5.13E-4</v>
      </c>
      <c r="BK30">
        <v>5.13E-4</v>
      </c>
      <c r="BL30">
        <v>5.13E-4</v>
      </c>
      <c r="BM30">
        <v>5.13E-4</v>
      </c>
      <c r="BN30">
        <v>5.13E-4</v>
      </c>
      <c r="BO30">
        <v>6.3299999999999999E-4</v>
      </c>
      <c r="BP30">
        <v>6.3299999999999999E-4</v>
      </c>
      <c r="BQ30">
        <v>6.3299999999999999E-4</v>
      </c>
      <c r="BR30">
        <v>6.3299999999999999E-4</v>
      </c>
      <c r="BS30">
        <v>6.3299999999999999E-4</v>
      </c>
      <c r="BT30">
        <v>7.7999999999999999E-4</v>
      </c>
      <c r="BU30">
        <v>7.7999999999999999E-4</v>
      </c>
      <c r="BV30">
        <v>7.7999999999999999E-4</v>
      </c>
      <c r="BW30">
        <v>7.7999999999999999E-4</v>
      </c>
      <c r="BX30">
        <v>7.7999999999999999E-4</v>
      </c>
      <c r="BY30">
        <v>9.5699999999999995E-4</v>
      </c>
      <c r="BZ30">
        <v>9.5699999999999995E-4</v>
      </c>
      <c r="CA30">
        <v>9.5699999999999995E-4</v>
      </c>
      <c r="CB30">
        <v>9.5699999999999995E-4</v>
      </c>
      <c r="CC30">
        <v>9.5699999999999995E-4</v>
      </c>
      <c r="CD30">
        <v>9.5699999999999995E-4</v>
      </c>
      <c r="CE30">
        <v>9.5699999999999995E-4</v>
      </c>
      <c r="CF30">
        <v>9.5699999999999995E-4</v>
      </c>
      <c r="CG30">
        <v>9.5699999999999995E-4</v>
      </c>
      <c r="CH30">
        <v>9.5699999999999995E-4</v>
      </c>
      <c r="CI30">
        <v>9.5699999999999995E-4</v>
      </c>
      <c r="CJ30">
        <v>9.5699999999999995E-4</v>
      </c>
      <c r="CK30">
        <v>9.5699999999999995E-4</v>
      </c>
      <c r="CL30">
        <v>9.5699999999999995E-4</v>
      </c>
      <c r="CM30">
        <v>9.5699999999999995E-4</v>
      </c>
      <c r="CN30">
        <v>9.5699999999999995E-4</v>
      </c>
      <c r="CO30">
        <v>9.5699999999999995E-4</v>
      </c>
      <c r="CP30">
        <v>9.5699999999999995E-4</v>
      </c>
      <c r="CQ30">
        <v>9.5699999999999995E-4</v>
      </c>
      <c r="CR30">
        <v>9.5699999999999995E-4</v>
      </c>
      <c r="CS30">
        <v>9.5699999999999995E-4</v>
      </c>
      <c r="CT30">
        <v>9.5699999999999995E-4</v>
      </c>
      <c r="CU30">
        <v>9.5699999999999995E-4</v>
      </c>
      <c r="CV30">
        <v>9.5699999999999995E-4</v>
      </c>
      <c r="CW30">
        <v>9.5699999999999995E-4</v>
      </c>
      <c r="CX30">
        <v>9.5699999999999995E-4</v>
      </c>
    </row>
    <row r="31" spans="1:102" x14ac:dyDescent="0.25">
      <c r="A31" t="s">
        <v>125</v>
      </c>
      <c r="B31" t="e">
        <v>#VALUE!</v>
      </c>
      <c r="C31" t="e">
        <v>#VALUE!</v>
      </c>
      <c r="D31" t="e">
        <v>#VALUE!</v>
      </c>
      <c r="E31" t="e">
        <v>#VALUE!</v>
      </c>
      <c r="F31" t="e">
        <v>#VALUE!</v>
      </c>
      <c r="G31" t="e">
        <v>#VALUE!</v>
      </c>
      <c r="H31" t="e">
        <v>#VALUE!</v>
      </c>
      <c r="I31" t="e">
        <v>#VALUE!</v>
      </c>
      <c r="J31" t="e">
        <v>#VALUE!</v>
      </c>
      <c r="K31" t="e">
        <v>#VALUE!</v>
      </c>
      <c r="L31" t="e">
        <v>#VALUE!</v>
      </c>
      <c r="M31" t="e">
        <v>#VALUE!</v>
      </c>
      <c r="N31" t="e">
        <v>#VALUE!</v>
      </c>
      <c r="O31" t="e">
        <v>#VALUE!</v>
      </c>
      <c r="P31" t="e">
        <v>#VALUE!</v>
      </c>
      <c r="Q31">
        <v>4.1E-5</v>
      </c>
      <c r="R31">
        <v>4.1E-5</v>
      </c>
      <c r="S31">
        <v>4.1E-5</v>
      </c>
      <c r="T31">
        <v>4.1E-5</v>
      </c>
      <c r="U31">
        <v>4.1E-5</v>
      </c>
      <c r="V31">
        <v>4.1E-5</v>
      </c>
      <c r="W31">
        <v>4.1E-5</v>
      </c>
      <c r="X31">
        <v>4.1E-5</v>
      </c>
      <c r="Y31">
        <v>4.1E-5</v>
      </c>
      <c r="Z31">
        <v>4.1E-5</v>
      </c>
      <c r="AA31">
        <v>4.1E-5</v>
      </c>
      <c r="AB31">
        <v>4.1E-5</v>
      </c>
      <c r="AC31">
        <v>4.1E-5</v>
      </c>
      <c r="AD31">
        <v>4.1E-5</v>
      </c>
      <c r="AE31">
        <v>4.1E-5</v>
      </c>
      <c r="AF31">
        <v>4.1E-5</v>
      </c>
      <c r="AG31">
        <v>4.1E-5</v>
      </c>
      <c r="AH31">
        <v>4.1E-5</v>
      </c>
      <c r="AI31">
        <v>4.1E-5</v>
      </c>
      <c r="AJ31">
        <v>4.1E-5</v>
      </c>
      <c r="AK31">
        <v>4.1E-5</v>
      </c>
      <c r="AL31">
        <v>4.1E-5</v>
      </c>
      <c r="AM31">
        <v>4.1E-5</v>
      </c>
      <c r="AN31">
        <v>4.1E-5</v>
      </c>
      <c r="AO31">
        <v>4.1E-5</v>
      </c>
      <c r="AP31">
        <v>2.7099999999999997E-4</v>
      </c>
      <c r="AQ31">
        <v>2.7099999999999997E-4</v>
      </c>
      <c r="AR31">
        <v>2.7099999999999997E-4</v>
      </c>
      <c r="AS31">
        <v>2.7099999999999997E-4</v>
      </c>
      <c r="AT31">
        <v>2.7099999999999997E-4</v>
      </c>
      <c r="AU31">
        <v>3.8299999999999999E-4</v>
      </c>
      <c r="AV31">
        <v>3.8299999999999999E-4</v>
      </c>
      <c r="AW31">
        <v>3.8299999999999999E-4</v>
      </c>
      <c r="AX31">
        <v>3.8299999999999999E-4</v>
      </c>
      <c r="AY31">
        <v>3.8299999999999999E-4</v>
      </c>
      <c r="AZ31">
        <v>4.8299999999999998E-4</v>
      </c>
      <c r="BA31">
        <v>4.8299999999999998E-4</v>
      </c>
      <c r="BB31">
        <v>4.8299999999999998E-4</v>
      </c>
      <c r="BC31">
        <v>4.8299999999999998E-4</v>
      </c>
      <c r="BD31">
        <v>4.8299999999999998E-4</v>
      </c>
      <c r="BE31">
        <v>5.7499999999999999E-4</v>
      </c>
      <c r="BF31">
        <v>5.7499999999999999E-4</v>
      </c>
      <c r="BG31">
        <v>5.7499999999999999E-4</v>
      </c>
      <c r="BH31">
        <v>5.7499999999999999E-4</v>
      </c>
      <c r="BI31">
        <v>5.7499999999999999E-4</v>
      </c>
      <c r="BJ31">
        <v>6.5899999999999997E-4</v>
      </c>
      <c r="BK31">
        <v>6.5899999999999997E-4</v>
      </c>
      <c r="BL31">
        <v>6.5899999999999997E-4</v>
      </c>
      <c r="BM31">
        <v>6.5899999999999997E-4</v>
      </c>
      <c r="BN31">
        <v>6.5899999999999997E-4</v>
      </c>
      <c r="BO31">
        <v>6.96E-4</v>
      </c>
      <c r="BP31">
        <v>6.96E-4</v>
      </c>
      <c r="BQ31">
        <v>6.96E-4</v>
      </c>
      <c r="BR31">
        <v>6.96E-4</v>
      </c>
      <c r="BS31">
        <v>6.96E-4</v>
      </c>
      <c r="BT31">
        <v>6.8800000000000003E-4</v>
      </c>
      <c r="BU31">
        <v>6.8800000000000003E-4</v>
      </c>
      <c r="BV31">
        <v>6.8800000000000003E-4</v>
      </c>
      <c r="BW31">
        <v>6.8800000000000003E-4</v>
      </c>
      <c r="BX31">
        <v>6.8800000000000003E-4</v>
      </c>
      <c r="BY31">
        <v>6.4300000000000002E-4</v>
      </c>
      <c r="BZ31">
        <v>6.4300000000000002E-4</v>
      </c>
      <c r="CA31">
        <v>6.4300000000000002E-4</v>
      </c>
      <c r="CB31">
        <v>6.4300000000000002E-4</v>
      </c>
      <c r="CC31">
        <v>6.4300000000000002E-4</v>
      </c>
      <c r="CD31">
        <v>6.4300000000000002E-4</v>
      </c>
      <c r="CE31">
        <v>6.4300000000000002E-4</v>
      </c>
      <c r="CF31">
        <v>6.4300000000000002E-4</v>
      </c>
      <c r="CG31">
        <v>6.4300000000000002E-4</v>
      </c>
      <c r="CH31">
        <v>6.4300000000000002E-4</v>
      </c>
      <c r="CI31">
        <v>6.4300000000000002E-4</v>
      </c>
      <c r="CJ31">
        <v>6.4300000000000002E-4</v>
      </c>
      <c r="CK31">
        <v>6.4300000000000002E-4</v>
      </c>
      <c r="CL31">
        <v>6.4300000000000002E-4</v>
      </c>
      <c r="CM31">
        <v>6.4300000000000002E-4</v>
      </c>
      <c r="CN31">
        <v>6.4300000000000002E-4</v>
      </c>
      <c r="CO31">
        <v>6.4300000000000002E-4</v>
      </c>
      <c r="CP31">
        <v>6.4300000000000002E-4</v>
      </c>
      <c r="CQ31">
        <v>6.4300000000000002E-4</v>
      </c>
      <c r="CR31">
        <v>6.4300000000000002E-4</v>
      </c>
      <c r="CS31">
        <v>6.4300000000000002E-4</v>
      </c>
      <c r="CT31">
        <v>6.4300000000000002E-4</v>
      </c>
      <c r="CU31">
        <v>6.4300000000000002E-4</v>
      </c>
      <c r="CV31">
        <v>6.4300000000000002E-4</v>
      </c>
      <c r="CW31">
        <v>6.4300000000000002E-4</v>
      </c>
      <c r="CX31">
        <v>6.4300000000000002E-4</v>
      </c>
    </row>
    <row r="32" spans="1:102" x14ac:dyDescent="0.25">
      <c r="A32" t="s">
        <v>127</v>
      </c>
      <c r="B32" t="e">
        <v>#VALUE!</v>
      </c>
      <c r="C32" t="e">
        <v>#VALUE!</v>
      </c>
      <c r="D32" t="e">
        <v>#VALUE!</v>
      </c>
      <c r="E32" t="e">
        <v>#VALUE!</v>
      </c>
      <c r="F32" t="e">
        <v>#VALUE!</v>
      </c>
      <c r="G32" t="e">
        <v>#VALUE!</v>
      </c>
      <c r="H32" t="e">
        <v>#VALUE!</v>
      </c>
      <c r="I32" t="e">
        <v>#VALUE!</v>
      </c>
      <c r="J32" t="e">
        <v>#VALUE!</v>
      </c>
      <c r="K32" t="e">
        <v>#VALUE!</v>
      </c>
      <c r="L32" t="e">
        <v>#VALUE!</v>
      </c>
      <c r="M32" t="e">
        <v>#VALUE!</v>
      </c>
      <c r="N32" t="e">
        <v>#VALUE!</v>
      </c>
      <c r="O32" t="e">
        <v>#VALUE!</v>
      </c>
      <c r="P32" t="e">
        <v>#VALUE!</v>
      </c>
      <c r="Q32">
        <v>6.9999999999999999E-6</v>
      </c>
      <c r="R32">
        <v>6.9999999999999999E-6</v>
      </c>
      <c r="S32">
        <v>6.9999999999999999E-6</v>
      </c>
      <c r="T32">
        <v>6.9999999999999999E-6</v>
      </c>
      <c r="U32">
        <v>6.9999999999999999E-6</v>
      </c>
      <c r="V32">
        <v>6.9999999999999999E-6</v>
      </c>
      <c r="W32">
        <v>6.9999999999999999E-6</v>
      </c>
      <c r="X32">
        <v>6.9999999999999999E-6</v>
      </c>
      <c r="Y32">
        <v>6.9999999999999999E-6</v>
      </c>
      <c r="Z32">
        <v>6.9999999999999999E-6</v>
      </c>
      <c r="AA32">
        <v>6.9999999999999999E-6</v>
      </c>
      <c r="AB32">
        <v>6.9999999999999999E-6</v>
      </c>
      <c r="AC32">
        <v>6.9999999999999999E-6</v>
      </c>
      <c r="AD32">
        <v>6.9999999999999999E-6</v>
      </c>
      <c r="AE32">
        <v>6.9999999999999999E-6</v>
      </c>
      <c r="AF32">
        <v>6.9999999999999999E-6</v>
      </c>
      <c r="AG32">
        <v>6.9999999999999999E-6</v>
      </c>
      <c r="AH32">
        <v>6.9999999999999999E-6</v>
      </c>
      <c r="AI32">
        <v>6.9999999999999999E-6</v>
      </c>
      <c r="AJ32">
        <v>6.9999999999999999E-6</v>
      </c>
      <c r="AK32">
        <v>6.9999999999999999E-6</v>
      </c>
      <c r="AL32">
        <v>6.9999999999999999E-6</v>
      </c>
      <c r="AM32">
        <v>6.9999999999999999E-6</v>
      </c>
      <c r="AN32">
        <v>6.9999999999999999E-6</v>
      </c>
      <c r="AO32">
        <v>6.9999999999999999E-6</v>
      </c>
      <c r="AP32">
        <v>2.4000000000000001E-5</v>
      </c>
      <c r="AQ32">
        <v>2.4000000000000001E-5</v>
      </c>
      <c r="AR32">
        <v>2.4000000000000001E-5</v>
      </c>
      <c r="AS32">
        <v>2.4000000000000001E-5</v>
      </c>
      <c r="AT32">
        <v>2.4000000000000001E-5</v>
      </c>
      <c r="AU32">
        <v>3.1999999999999999E-5</v>
      </c>
      <c r="AV32">
        <v>3.1999999999999999E-5</v>
      </c>
      <c r="AW32">
        <v>3.1999999999999999E-5</v>
      </c>
      <c r="AX32">
        <v>3.1999999999999999E-5</v>
      </c>
      <c r="AY32">
        <v>3.1999999999999999E-5</v>
      </c>
      <c r="AZ32">
        <v>4.0000000000000003E-5</v>
      </c>
      <c r="BA32">
        <v>4.0000000000000003E-5</v>
      </c>
      <c r="BB32">
        <v>4.0000000000000003E-5</v>
      </c>
      <c r="BC32">
        <v>4.0000000000000003E-5</v>
      </c>
      <c r="BD32">
        <v>4.0000000000000003E-5</v>
      </c>
      <c r="BE32">
        <v>4.6E-5</v>
      </c>
      <c r="BF32">
        <v>4.6E-5</v>
      </c>
      <c r="BG32">
        <v>4.6E-5</v>
      </c>
      <c r="BH32">
        <v>4.6E-5</v>
      </c>
      <c r="BI32">
        <v>4.6E-5</v>
      </c>
      <c r="BJ32">
        <v>5.0000000000000002E-5</v>
      </c>
      <c r="BK32">
        <v>5.0000000000000002E-5</v>
      </c>
      <c r="BL32">
        <v>5.0000000000000002E-5</v>
      </c>
      <c r="BM32">
        <v>5.0000000000000002E-5</v>
      </c>
      <c r="BN32">
        <v>5.0000000000000002E-5</v>
      </c>
      <c r="BO32">
        <v>5.3000000000000001E-5</v>
      </c>
      <c r="BP32">
        <v>5.3000000000000001E-5</v>
      </c>
      <c r="BQ32">
        <v>5.3000000000000001E-5</v>
      </c>
      <c r="BR32">
        <v>5.3000000000000001E-5</v>
      </c>
      <c r="BS32">
        <v>5.3000000000000001E-5</v>
      </c>
      <c r="BT32">
        <v>6.3E-5</v>
      </c>
      <c r="BU32">
        <v>6.3E-5</v>
      </c>
      <c r="BV32">
        <v>6.3E-5</v>
      </c>
      <c r="BW32">
        <v>6.3E-5</v>
      </c>
      <c r="BX32">
        <v>6.3E-5</v>
      </c>
      <c r="BY32">
        <v>1.06E-4</v>
      </c>
      <c r="BZ32">
        <v>1.06E-4</v>
      </c>
      <c r="CA32">
        <v>1.06E-4</v>
      </c>
      <c r="CB32">
        <v>1.06E-4</v>
      </c>
      <c r="CC32">
        <v>1.06E-4</v>
      </c>
      <c r="CD32">
        <v>1.06E-4</v>
      </c>
      <c r="CE32">
        <v>1.06E-4</v>
      </c>
      <c r="CF32">
        <v>1.06E-4</v>
      </c>
      <c r="CG32">
        <v>1.06E-4</v>
      </c>
      <c r="CH32">
        <v>1.06E-4</v>
      </c>
      <c r="CI32">
        <v>1.06E-4</v>
      </c>
      <c r="CJ32">
        <v>1.06E-4</v>
      </c>
      <c r="CK32">
        <v>1.06E-4</v>
      </c>
      <c r="CL32">
        <v>1.06E-4</v>
      </c>
      <c r="CM32">
        <v>1.06E-4</v>
      </c>
      <c r="CN32">
        <v>1.06E-4</v>
      </c>
      <c r="CO32">
        <v>1.06E-4</v>
      </c>
      <c r="CP32">
        <v>1.06E-4</v>
      </c>
      <c r="CQ32">
        <v>1.06E-4</v>
      </c>
      <c r="CR32">
        <v>1.06E-4</v>
      </c>
      <c r="CS32">
        <v>1.06E-4</v>
      </c>
      <c r="CT32">
        <v>1.06E-4</v>
      </c>
      <c r="CU32">
        <v>1.06E-4</v>
      </c>
      <c r="CV32">
        <v>1.06E-4</v>
      </c>
      <c r="CW32">
        <v>1.06E-4</v>
      </c>
      <c r="CX32">
        <v>1.06E-4</v>
      </c>
    </row>
    <row r="33" spans="1:102" x14ac:dyDescent="0.25">
      <c r="A33" t="s">
        <v>130</v>
      </c>
      <c r="B33" t="e">
        <v>#VALUE!</v>
      </c>
      <c r="C33" t="e">
        <v>#VALUE!</v>
      </c>
      <c r="D33" t="e">
        <v>#VALUE!</v>
      </c>
      <c r="E33" t="e">
        <v>#VALUE!</v>
      </c>
      <c r="F33" t="e">
        <v>#VALUE!</v>
      </c>
      <c r="G33" t="e">
        <v>#VALUE!</v>
      </c>
      <c r="H33" t="e">
        <v>#VALUE!</v>
      </c>
      <c r="I33" t="e">
        <v>#VALUE!</v>
      </c>
      <c r="J33" t="e">
        <v>#VALUE!</v>
      </c>
      <c r="K33" t="e">
        <v>#VALUE!</v>
      </c>
      <c r="L33" t="e">
        <v>#VALUE!</v>
      </c>
      <c r="M33" t="e">
        <v>#VALUE!</v>
      </c>
      <c r="N33" t="e">
        <v>#VALUE!</v>
      </c>
      <c r="O33" t="e">
        <v>#VALUE!</v>
      </c>
      <c r="P33" t="e">
        <v>#VALUE!</v>
      </c>
      <c r="Q33">
        <v>1.8E-5</v>
      </c>
      <c r="R33">
        <v>1.8E-5</v>
      </c>
      <c r="S33">
        <v>1.8E-5</v>
      </c>
      <c r="T33">
        <v>1.8E-5</v>
      </c>
      <c r="U33">
        <v>1.8E-5</v>
      </c>
      <c r="V33">
        <v>1.8E-5</v>
      </c>
      <c r="W33">
        <v>1.8E-5</v>
      </c>
      <c r="X33">
        <v>1.8E-5</v>
      </c>
      <c r="Y33">
        <v>1.8E-5</v>
      </c>
      <c r="Z33">
        <v>1.8E-5</v>
      </c>
      <c r="AA33">
        <v>1.8E-5</v>
      </c>
      <c r="AB33">
        <v>1.8E-5</v>
      </c>
      <c r="AC33">
        <v>1.8E-5</v>
      </c>
      <c r="AD33">
        <v>1.8E-5</v>
      </c>
      <c r="AE33">
        <v>1.8E-5</v>
      </c>
      <c r="AF33">
        <v>1.8E-5</v>
      </c>
      <c r="AG33">
        <v>1.8E-5</v>
      </c>
      <c r="AH33">
        <v>1.8E-5</v>
      </c>
      <c r="AI33">
        <v>1.8E-5</v>
      </c>
      <c r="AJ33">
        <v>1.8E-5</v>
      </c>
      <c r="AK33">
        <v>1.8E-5</v>
      </c>
      <c r="AL33">
        <v>1.8E-5</v>
      </c>
      <c r="AM33">
        <v>1.8E-5</v>
      </c>
      <c r="AN33">
        <v>1.8E-5</v>
      </c>
      <c r="AO33">
        <v>1.8E-5</v>
      </c>
      <c r="AP33">
        <v>1.5699999999999999E-4</v>
      </c>
      <c r="AQ33">
        <v>1.5699999999999999E-4</v>
      </c>
      <c r="AR33">
        <v>1.5699999999999999E-4</v>
      </c>
      <c r="AS33">
        <v>1.5699999999999999E-4</v>
      </c>
      <c r="AT33">
        <v>1.5699999999999999E-4</v>
      </c>
      <c r="AU33">
        <v>2.2499999999999999E-4</v>
      </c>
      <c r="AV33">
        <v>2.2499999999999999E-4</v>
      </c>
      <c r="AW33">
        <v>2.2499999999999999E-4</v>
      </c>
      <c r="AX33">
        <v>2.2499999999999999E-4</v>
      </c>
      <c r="AY33">
        <v>2.2499999999999999E-4</v>
      </c>
      <c r="AZ33">
        <v>2.6899999999999998E-4</v>
      </c>
      <c r="BA33">
        <v>2.6899999999999998E-4</v>
      </c>
      <c r="BB33">
        <v>2.6899999999999998E-4</v>
      </c>
      <c r="BC33">
        <v>2.6899999999999998E-4</v>
      </c>
      <c r="BD33">
        <v>2.6899999999999998E-4</v>
      </c>
      <c r="BE33">
        <v>3.4000000000000002E-4</v>
      </c>
      <c r="BF33">
        <v>3.4000000000000002E-4</v>
      </c>
      <c r="BG33">
        <v>3.4000000000000002E-4</v>
      </c>
      <c r="BH33">
        <v>3.4000000000000002E-4</v>
      </c>
      <c r="BI33">
        <v>3.4000000000000002E-4</v>
      </c>
      <c r="BJ33">
        <v>4.2000000000000002E-4</v>
      </c>
      <c r="BK33">
        <v>4.2000000000000002E-4</v>
      </c>
      <c r="BL33">
        <v>4.2000000000000002E-4</v>
      </c>
      <c r="BM33">
        <v>4.2000000000000002E-4</v>
      </c>
      <c r="BN33">
        <v>4.2000000000000002E-4</v>
      </c>
      <c r="BO33">
        <v>5.71E-4</v>
      </c>
      <c r="BP33">
        <v>5.71E-4</v>
      </c>
      <c r="BQ33">
        <v>5.71E-4</v>
      </c>
      <c r="BR33">
        <v>5.71E-4</v>
      </c>
      <c r="BS33">
        <v>5.71E-4</v>
      </c>
      <c r="BT33">
        <v>6.0400000000000004E-4</v>
      </c>
      <c r="BU33">
        <v>6.0400000000000004E-4</v>
      </c>
      <c r="BV33">
        <v>6.0400000000000004E-4</v>
      </c>
      <c r="BW33">
        <v>6.0400000000000004E-4</v>
      </c>
      <c r="BX33">
        <v>6.0400000000000004E-4</v>
      </c>
      <c r="BY33">
        <v>1.4580000000000001E-3</v>
      </c>
      <c r="BZ33">
        <v>1.4580000000000001E-3</v>
      </c>
      <c r="CA33">
        <v>1.4580000000000001E-3</v>
      </c>
      <c r="CB33">
        <v>1.4580000000000001E-3</v>
      </c>
      <c r="CC33">
        <v>1.4580000000000001E-3</v>
      </c>
      <c r="CD33">
        <v>1.4580000000000001E-3</v>
      </c>
      <c r="CE33">
        <v>1.4580000000000001E-3</v>
      </c>
      <c r="CF33">
        <v>1.4580000000000001E-3</v>
      </c>
      <c r="CG33">
        <v>1.4580000000000001E-3</v>
      </c>
      <c r="CH33">
        <v>1.4580000000000001E-3</v>
      </c>
      <c r="CI33">
        <v>1.4580000000000001E-3</v>
      </c>
      <c r="CJ33">
        <v>1.4580000000000001E-3</v>
      </c>
      <c r="CK33">
        <v>1.4580000000000001E-3</v>
      </c>
      <c r="CL33">
        <v>1.4580000000000001E-3</v>
      </c>
      <c r="CM33">
        <v>1.4580000000000001E-3</v>
      </c>
      <c r="CN33">
        <v>1.4580000000000001E-3</v>
      </c>
      <c r="CO33">
        <v>1.4580000000000001E-3</v>
      </c>
      <c r="CP33">
        <v>1.4580000000000001E-3</v>
      </c>
      <c r="CQ33">
        <v>1.4580000000000001E-3</v>
      </c>
      <c r="CR33">
        <v>1.4580000000000001E-3</v>
      </c>
      <c r="CS33">
        <v>1.4580000000000001E-3</v>
      </c>
      <c r="CT33">
        <v>1.4580000000000001E-3</v>
      </c>
      <c r="CU33">
        <v>1.4580000000000001E-3</v>
      </c>
      <c r="CV33">
        <v>1.4580000000000001E-3</v>
      </c>
      <c r="CW33">
        <v>1.4580000000000001E-3</v>
      </c>
      <c r="CX33">
        <v>1.4580000000000001E-3</v>
      </c>
    </row>
    <row r="34" spans="1:102" x14ac:dyDescent="0.25">
      <c r="A34" t="s">
        <v>132</v>
      </c>
      <c r="B34" t="e">
        <v>#VALUE!</v>
      </c>
      <c r="C34" t="e">
        <v>#VALUE!</v>
      </c>
      <c r="D34" t="e">
        <v>#VALUE!</v>
      </c>
      <c r="E34" t="e">
        <v>#VALUE!</v>
      </c>
      <c r="F34" t="e">
        <v>#VALUE!</v>
      </c>
      <c r="G34" t="e">
        <v>#VALUE!</v>
      </c>
      <c r="H34" t="e">
        <v>#VALUE!</v>
      </c>
      <c r="I34" t="e">
        <v>#VALUE!</v>
      </c>
      <c r="J34" t="e">
        <v>#VALUE!</v>
      </c>
      <c r="K34" t="e">
        <v>#VALUE!</v>
      </c>
      <c r="L34" t="e">
        <v>#VALUE!</v>
      </c>
      <c r="M34" t="e">
        <v>#VALUE!</v>
      </c>
      <c r="N34" t="e">
        <v>#VALUE!</v>
      </c>
      <c r="O34" t="e">
        <v>#VALUE!</v>
      </c>
      <c r="P34" t="e">
        <v>#VALUE!</v>
      </c>
      <c r="Q34">
        <v>1.8E-5</v>
      </c>
      <c r="R34">
        <v>1.8E-5</v>
      </c>
      <c r="S34">
        <v>1.8E-5</v>
      </c>
      <c r="T34">
        <v>1.8E-5</v>
      </c>
      <c r="U34">
        <v>1.8E-5</v>
      </c>
      <c r="V34">
        <v>1.8E-5</v>
      </c>
      <c r="W34">
        <v>1.8E-5</v>
      </c>
      <c r="X34">
        <v>1.8E-5</v>
      </c>
      <c r="Y34">
        <v>1.8E-5</v>
      </c>
      <c r="Z34">
        <v>1.8E-5</v>
      </c>
      <c r="AA34">
        <v>1.8E-5</v>
      </c>
      <c r="AB34">
        <v>1.8E-5</v>
      </c>
      <c r="AC34">
        <v>1.8E-5</v>
      </c>
      <c r="AD34">
        <v>1.8E-5</v>
      </c>
      <c r="AE34">
        <v>1.8E-5</v>
      </c>
      <c r="AF34">
        <v>1.8E-5</v>
      </c>
      <c r="AG34">
        <v>1.8E-5</v>
      </c>
      <c r="AH34">
        <v>1.8E-5</v>
      </c>
      <c r="AI34">
        <v>1.8E-5</v>
      </c>
      <c r="AJ34">
        <v>1.8E-5</v>
      </c>
      <c r="AK34">
        <v>1.8E-5</v>
      </c>
      <c r="AL34">
        <v>1.8E-5</v>
      </c>
      <c r="AM34">
        <v>1.8E-5</v>
      </c>
      <c r="AN34">
        <v>1.8E-5</v>
      </c>
      <c r="AO34">
        <v>1.8E-5</v>
      </c>
      <c r="AP34">
        <v>1.64E-4</v>
      </c>
      <c r="AQ34">
        <v>1.64E-4</v>
      </c>
      <c r="AR34">
        <v>1.64E-4</v>
      </c>
      <c r="AS34">
        <v>1.64E-4</v>
      </c>
      <c r="AT34">
        <v>1.64E-4</v>
      </c>
      <c r="AU34">
        <v>2.5599999999999999E-4</v>
      </c>
      <c r="AV34">
        <v>2.5599999999999999E-4</v>
      </c>
      <c r="AW34">
        <v>2.5599999999999999E-4</v>
      </c>
      <c r="AX34">
        <v>2.5599999999999999E-4</v>
      </c>
      <c r="AY34">
        <v>2.5599999999999999E-4</v>
      </c>
      <c r="AZ34">
        <v>3.9599999999999998E-4</v>
      </c>
      <c r="BA34">
        <v>3.9599999999999998E-4</v>
      </c>
      <c r="BB34">
        <v>3.9599999999999998E-4</v>
      </c>
      <c r="BC34">
        <v>3.9599999999999998E-4</v>
      </c>
      <c r="BD34">
        <v>3.9599999999999998E-4</v>
      </c>
      <c r="BE34">
        <v>5.53E-4</v>
      </c>
      <c r="BF34">
        <v>5.53E-4</v>
      </c>
      <c r="BG34">
        <v>5.53E-4</v>
      </c>
      <c r="BH34">
        <v>5.53E-4</v>
      </c>
      <c r="BI34">
        <v>5.53E-4</v>
      </c>
      <c r="BJ34">
        <v>7.0299999999999996E-4</v>
      </c>
      <c r="BK34">
        <v>7.0299999999999996E-4</v>
      </c>
      <c r="BL34">
        <v>7.0299999999999996E-4</v>
      </c>
      <c r="BM34">
        <v>7.0299999999999996E-4</v>
      </c>
      <c r="BN34">
        <v>7.0299999999999996E-4</v>
      </c>
      <c r="BO34">
        <v>7.8399999999999997E-4</v>
      </c>
      <c r="BP34">
        <v>7.8399999999999997E-4</v>
      </c>
      <c r="BQ34">
        <v>7.8399999999999997E-4</v>
      </c>
      <c r="BR34">
        <v>7.8399999999999997E-4</v>
      </c>
      <c r="BS34">
        <v>7.8399999999999997E-4</v>
      </c>
      <c r="BT34">
        <v>7.5299999999999998E-4</v>
      </c>
      <c r="BU34">
        <v>7.5299999999999998E-4</v>
      </c>
      <c r="BV34">
        <v>7.5299999999999998E-4</v>
      </c>
      <c r="BW34">
        <v>7.5299999999999998E-4</v>
      </c>
      <c r="BX34">
        <v>7.5299999999999998E-4</v>
      </c>
      <c r="BY34">
        <v>6.3599999999999996E-4</v>
      </c>
      <c r="BZ34">
        <v>6.3599999999999996E-4</v>
      </c>
      <c r="CA34">
        <v>6.3599999999999996E-4</v>
      </c>
      <c r="CB34">
        <v>6.3599999999999996E-4</v>
      </c>
      <c r="CC34">
        <v>6.3599999999999996E-4</v>
      </c>
      <c r="CD34">
        <v>6.3599999999999996E-4</v>
      </c>
      <c r="CE34">
        <v>6.3599999999999996E-4</v>
      </c>
      <c r="CF34">
        <v>6.3599999999999996E-4</v>
      </c>
      <c r="CG34">
        <v>6.3599999999999996E-4</v>
      </c>
      <c r="CH34">
        <v>6.3599999999999996E-4</v>
      </c>
      <c r="CI34">
        <v>6.3599999999999996E-4</v>
      </c>
      <c r="CJ34">
        <v>6.3599999999999996E-4</v>
      </c>
      <c r="CK34">
        <v>6.3599999999999996E-4</v>
      </c>
      <c r="CL34">
        <v>6.3599999999999996E-4</v>
      </c>
      <c r="CM34">
        <v>6.3599999999999996E-4</v>
      </c>
      <c r="CN34">
        <v>6.3599999999999996E-4</v>
      </c>
      <c r="CO34">
        <v>6.3599999999999996E-4</v>
      </c>
      <c r="CP34">
        <v>6.3599999999999996E-4</v>
      </c>
      <c r="CQ34">
        <v>6.3599999999999996E-4</v>
      </c>
      <c r="CR34">
        <v>6.3599999999999996E-4</v>
      </c>
      <c r="CS34">
        <v>6.3599999999999996E-4</v>
      </c>
      <c r="CT34">
        <v>6.3599999999999996E-4</v>
      </c>
      <c r="CU34">
        <v>6.3599999999999996E-4</v>
      </c>
      <c r="CV34">
        <v>6.3599999999999996E-4</v>
      </c>
      <c r="CW34">
        <v>6.3599999999999996E-4</v>
      </c>
      <c r="CX34">
        <v>6.3599999999999996E-4</v>
      </c>
    </row>
    <row r="35" spans="1:102" x14ac:dyDescent="0.25">
      <c r="A35" t="s">
        <v>134</v>
      </c>
      <c r="B35" t="e">
        <v>#VALUE!</v>
      </c>
      <c r="C35" t="e">
        <v>#VALUE!</v>
      </c>
      <c r="D35" t="e">
        <v>#VALUE!</v>
      </c>
      <c r="E35" t="e">
        <v>#VALUE!</v>
      </c>
      <c r="F35" t="e">
        <v>#VALUE!</v>
      </c>
      <c r="G35" t="e">
        <v>#VALUE!</v>
      </c>
      <c r="H35" t="e">
        <v>#VALUE!</v>
      </c>
      <c r="I35" t="e">
        <v>#VALUE!</v>
      </c>
      <c r="J35" t="e">
        <v>#VALUE!</v>
      </c>
      <c r="K35" t="e">
        <v>#VALUE!</v>
      </c>
      <c r="L35" t="e">
        <v>#VALUE!</v>
      </c>
      <c r="M35" t="e">
        <v>#VALUE!</v>
      </c>
      <c r="N35" t="e">
        <v>#VALUE!</v>
      </c>
      <c r="O35" t="e">
        <v>#VALUE!</v>
      </c>
      <c r="P35" t="e">
        <v>#VALUE!</v>
      </c>
      <c r="Q35">
        <v>2.3E-5</v>
      </c>
      <c r="R35">
        <v>2.3E-5</v>
      </c>
      <c r="S35">
        <v>2.3E-5</v>
      </c>
      <c r="T35">
        <v>2.3E-5</v>
      </c>
      <c r="U35">
        <v>2.3E-5</v>
      </c>
      <c r="V35">
        <v>2.3E-5</v>
      </c>
      <c r="W35">
        <v>2.3E-5</v>
      </c>
      <c r="X35">
        <v>2.3E-5</v>
      </c>
      <c r="Y35">
        <v>2.3E-5</v>
      </c>
      <c r="Z35">
        <v>2.3E-5</v>
      </c>
      <c r="AA35">
        <v>2.3E-5</v>
      </c>
      <c r="AB35">
        <v>2.3E-5</v>
      </c>
      <c r="AC35">
        <v>2.3E-5</v>
      </c>
      <c r="AD35">
        <v>2.3E-5</v>
      </c>
      <c r="AE35">
        <v>2.3E-5</v>
      </c>
      <c r="AF35">
        <v>2.3E-5</v>
      </c>
      <c r="AG35">
        <v>2.3E-5</v>
      </c>
      <c r="AH35">
        <v>2.3E-5</v>
      </c>
      <c r="AI35">
        <v>2.3E-5</v>
      </c>
      <c r="AJ35">
        <v>2.3E-5</v>
      </c>
      <c r="AK35">
        <v>2.3E-5</v>
      </c>
      <c r="AL35">
        <v>2.3E-5</v>
      </c>
      <c r="AM35">
        <v>2.3E-5</v>
      </c>
      <c r="AN35">
        <v>2.3E-5</v>
      </c>
      <c r="AO35">
        <v>2.3E-5</v>
      </c>
      <c r="AP35">
        <v>1.74E-4</v>
      </c>
      <c r="AQ35">
        <v>1.74E-4</v>
      </c>
      <c r="AR35">
        <v>1.74E-4</v>
      </c>
      <c r="AS35">
        <v>1.74E-4</v>
      </c>
      <c r="AT35">
        <v>1.74E-4</v>
      </c>
      <c r="AU35">
        <v>2.6400000000000002E-4</v>
      </c>
      <c r="AV35">
        <v>2.6400000000000002E-4</v>
      </c>
      <c r="AW35">
        <v>2.6400000000000002E-4</v>
      </c>
      <c r="AX35">
        <v>2.6400000000000002E-4</v>
      </c>
      <c r="AY35">
        <v>2.6400000000000002E-4</v>
      </c>
      <c r="AZ35">
        <v>3.6200000000000002E-4</v>
      </c>
      <c r="BA35">
        <v>3.6200000000000002E-4</v>
      </c>
      <c r="BB35">
        <v>3.6200000000000002E-4</v>
      </c>
      <c r="BC35">
        <v>3.6200000000000002E-4</v>
      </c>
      <c r="BD35">
        <v>3.6200000000000002E-4</v>
      </c>
      <c r="BE35">
        <v>4.7399999999999997E-4</v>
      </c>
      <c r="BF35">
        <v>4.7399999999999997E-4</v>
      </c>
      <c r="BG35">
        <v>4.7399999999999997E-4</v>
      </c>
      <c r="BH35">
        <v>4.7399999999999997E-4</v>
      </c>
      <c r="BI35">
        <v>4.7399999999999997E-4</v>
      </c>
      <c r="BJ35">
        <v>5.9000000000000003E-4</v>
      </c>
      <c r="BK35">
        <v>5.9000000000000003E-4</v>
      </c>
      <c r="BL35">
        <v>5.9000000000000003E-4</v>
      </c>
      <c r="BM35">
        <v>5.9000000000000003E-4</v>
      </c>
      <c r="BN35">
        <v>5.9000000000000003E-4</v>
      </c>
      <c r="BO35">
        <v>6.8999999999999997E-4</v>
      </c>
      <c r="BP35">
        <v>6.8999999999999997E-4</v>
      </c>
      <c r="BQ35">
        <v>6.8999999999999997E-4</v>
      </c>
      <c r="BR35">
        <v>6.8999999999999997E-4</v>
      </c>
      <c r="BS35">
        <v>6.8999999999999997E-4</v>
      </c>
      <c r="BT35">
        <v>7.4799999999999997E-4</v>
      </c>
      <c r="BU35">
        <v>7.4799999999999997E-4</v>
      </c>
      <c r="BV35">
        <v>7.4799999999999997E-4</v>
      </c>
      <c r="BW35">
        <v>7.4799999999999997E-4</v>
      </c>
      <c r="BX35">
        <v>7.4799999999999997E-4</v>
      </c>
      <c r="BY35">
        <v>7.3899999999999997E-4</v>
      </c>
      <c r="BZ35">
        <v>7.3899999999999997E-4</v>
      </c>
      <c r="CA35">
        <v>7.3899999999999997E-4</v>
      </c>
      <c r="CB35">
        <v>7.3899999999999997E-4</v>
      </c>
      <c r="CC35">
        <v>7.3899999999999997E-4</v>
      </c>
      <c r="CD35">
        <v>7.3899999999999997E-4</v>
      </c>
      <c r="CE35">
        <v>7.3899999999999997E-4</v>
      </c>
      <c r="CF35">
        <v>7.3899999999999997E-4</v>
      </c>
      <c r="CG35">
        <v>7.3899999999999997E-4</v>
      </c>
      <c r="CH35">
        <v>7.3899999999999997E-4</v>
      </c>
      <c r="CI35">
        <v>7.3899999999999997E-4</v>
      </c>
      <c r="CJ35">
        <v>7.3899999999999997E-4</v>
      </c>
      <c r="CK35">
        <v>7.3899999999999997E-4</v>
      </c>
      <c r="CL35">
        <v>7.3899999999999997E-4</v>
      </c>
      <c r="CM35">
        <v>7.3899999999999997E-4</v>
      </c>
      <c r="CN35">
        <v>7.3899999999999997E-4</v>
      </c>
      <c r="CO35">
        <v>7.3899999999999997E-4</v>
      </c>
      <c r="CP35">
        <v>7.3899999999999997E-4</v>
      </c>
      <c r="CQ35">
        <v>7.3899999999999997E-4</v>
      </c>
      <c r="CR35">
        <v>7.3899999999999997E-4</v>
      </c>
      <c r="CS35">
        <v>7.3899999999999997E-4</v>
      </c>
      <c r="CT35">
        <v>7.3899999999999997E-4</v>
      </c>
      <c r="CU35">
        <v>7.3899999999999997E-4</v>
      </c>
      <c r="CV35">
        <v>7.3899999999999997E-4</v>
      </c>
      <c r="CW35">
        <v>7.3899999999999997E-4</v>
      </c>
      <c r="CX35">
        <v>7.3899999999999997E-4</v>
      </c>
    </row>
    <row r="36" spans="1:102" x14ac:dyDescent="0.25">
      <c r="A36" t="s">
        <v>137</v>
      </c>
      <c r="B36" t="e">
        <v>#VALUE!</v>
      </c>
      <c r="C36" t="e">
        <v>#VALUE!</v>
      </c>
      <c r="D36" t="e">
        <v>#VALUE!</v>
      </c>
      <c r="E36" t="e">
        <v>#VALUE!</v>
      </c>
      <c r="F36" t="e">
        <v>#VALUE!</v>
      </c>
      <c r="G36" t="e">
        <v>#VALUE!</v>
      </c>
      <c r="H36" t="e">
        <v>#VALUE!</v>
      </c>
      <c r="I36" t="e">
        <v>#VALUE!</v>
      </c>
      <c r="J36" t="e">
        <v>#VALUE!</v>
      </c>
      <c r="K36" t="e">
        <v>#VALUE!</v>
      </c>
      <c r="L36" t="e">
        <v>#VALUE!</v>
      </c>
      <c r="M36" t="e">
        <v>#VALUE!</v>
      </c>
      <c r="N36" t="e">
        <v>#VALUE!</v>
      </c>
      <c r="O36" t="e">
        <v>#VALUE!</v>
      </c>
      <c r="P36" t="e">
        <v>#VALUE!</v>
      </c>
      <c r="Q36">
        <v>1.8E-5</v>
      </c>
      <c r="R36">
        <v>1.8E-5</v>
      </c>
      <c r="S36">
        <v>1.8E-5</v>
      </c>
      <c r="T36">
        <v>1.8E-5</v>
      </c>
      <c r="U36">
        <v>1.8E-5</v>
      </c>
      <c r="V36">
        <v>1.8E-5</v>
      </c>
      <c r="W36">
        <v>1.8E-5</v>
      </c>
      <c r="X36">
        <v>1.8E-5</v>
      </c>
      <c r="Y36">
        <v>1.8E-5</v>
      </c>
      <c r="Z36">
        <v>1.8E-5</v>
      </c>
      <c r="AA36">
        <v>1.8E-5</v>
      </c>
      <c r="AB36">
        <v>1.8E-5</v>
      </c>
      <c r="AC36">
        <v>1.8E-5</v>
      </c>
      <c r="AD36">
        <v>1.8E-5</v>
      </c>
      <c r="AE36">
        <v>1.8E-5</v>
      </c>
      <c r="AF36">
        <v>1.8E-5</v>
      </c>
      <c r="AG36">
        <v>1.8E-5</v>
      </c>
      <c r="AH36">
        <v>1.8E-5</v>
      </c>
      <c r="AI36">
        <v>1.8E-5</v>
      </c>
      <c r="AJ36">
        <v>1.8E-5</v>
      </c>
      <c r="AK36">
        <v>1.8E-5</v>
      </c>
      <c r="AL36">
        <v>1.8E-5</v>
      </c>
      <c r="AM36">
        <v>1.8E-5</v>
      </c>
      <c r="AN36">
        <v>1.8E-5</v>
      </c>
      <c r="AO36">
        <v>1.8E-5</v>
      </c>
      <c r="AP36">
        <v>7.2999999999999999E-5</v>
      </c>
      <c r="AQ36">
        <v>7.2999999999999999E-5</v>
      </c>
      <c r="AR36">
        <v>7.2999999999999999E-5</v>
      </c>
      <c r="AS36">
        <v>7.2999999999999999E-5</v>
      </c>
      <c r="AT36">
        <v>7.2999999999999999E-5</v>
      </c>
      <c r="AU36">
        <v>9.8999999999999994E-5</v>
      </c>
      <c r="AV36">
        <v>9.8999999999999994E-5</v>
      </c>
      <c r="AW36">
        <v>9.8999999999999994E-5</v>
      </c>
      <c r="AX36">
        <v>9.8999999999999994E-5</v>
      </c>
      <c r="AY36">
        <v>9.8999999999999994E-5</v>
      </c>
      <c r="AZ36">
        <v>1.27E-4</v>
      </c>
      <c r="BA36">
        <v>1.27E-4</v>
      </c>
      <c r="BB36">
        <v>1.27E-4</v>
      </c>
      <c r="BC36">
        <v>1.27E-4</v>
      </c>
      <c r="BD36">
        <v>1.27E-4</v>
      </c>
      <c r="BE36">
        <v>1.5899999999999999E-4</v>
      </c>
      <c r="BF36">
        <v>1.5899999999999999E-4</v>
      </c>
      <c r="BG36">
        <v>1.5899999999999999E-4</v>
      </c>
      <c r="BH36">
        <v>1.5899999999999999E-4</v>
      </c>
      <c r="BI36">
        <v>1.5899999999999999E-4</v>
      </c>
      <c r="BJ36">
        <v>1.8599999999999999E-4</v>
      </c>
      <c r="BK36">
        <v>1.8599999999999999E-4</v>
      </c>
      <c r="BL36">
        <v>1.8599999999999999E-4</v>
      </c>
      <c r="BM36">
        <v>1.8599999999999999E-4</v>
      </c>
      <c r="BN36">
        <v>1.8599999999999999E-4</v>
      </c>
      <c r="BO36">
        <v>2.4699999999999999E-4</v>
      </c>
      <c r="BP36">
        <v>2.4699999999999999E-4</v>
      </c>
      <c r="BQ36">
        <v>2.4699999999999999E-4</v>
      </c>
      <c r="BR36">
        <v>2.4699999999999999E-4</v>
      </c>
      <c r="BS36">
        <v>2.4699999999999999E-4</v>
      </c>
      <c r="BT36">
        <v>3.3599999999999998E-4</v>
      </c>
      <c r="BU36">
        <v>3.3599999999999998E-4</v>
      </c>
      <c r="BV36">
        <v>3.3599999999999998E-4</v>
      </c>
      <c r="BW36">
        <v>3.3599999999999998E-4</v>
      </c>
      <c r="BX36">
        <v>3.3599999999999998E-4</v>
      </c>
      <c r="BY36">
        <v>4.5199999999999998E-4</v>
      </c>
      <c r="BZ36">
        <v>4.5199999999999998E-4</v>
      </c>
      <c r="CA36">
        <v>4.5199999999999998E-4</v>
      </c>
      <c r="CB36">
        <v>4.5199999999999998E-4</v>
      </c>
      <c r="CC36">
        <v>4.5199999999999998E-4</v>
      </c>
      <c r="CD36">
        <v>4.5199999999999998E-4</v>
      </c>
      <c r="CE36">
        <v>4.5199999999999998E-4</v>
      </c>
      <c r="CF36">
        <v>4.5199999999999998E-4</v>
      </c>
      <c r="CG36">
        <v>4.5199999999999998E-4</v>
      </c>
      <c r="CH36">
        <v>4.5199999999999998E-4</v>
      </c>
      <c r="CI36">
        <v>4.5199999999999998E-4</v>
      </c>
      <c r="CJ36">
        <v>4.5199999999999998E-4</v>
      </c>
      <c r="CK36">
        <v>4.5199999999999998E-4</v>
      </c>
      <c r="CL36">
        <v>4.5199999999999998E-4</v>
      </c>
      <c r="CM36">
        <v>4.5199999999999998E-4</v>
      </c>
      <c r="CN36">
        <v>4.5199999999999998E-4</v>
      </c>
      <c r="CO36">
        <v>4.5199999999999998E-4</v>
      </c>
      <c r="CP36">
        <v>4.5199999999999998E-4</v>
      </c>
      <c r="CQ36">
        <v>4.5199999999999998E-4</v>
      </c>
      <c r="CR36">
        <v>4.5199999999999998E-4</v>
      </c>
      <c r="CS36">
        <v>4.5199999999999998E-4</v>
      </c>
      <c r="CT36">
        <v>4.5199999999999998E-4</v>
      </c>
      <c r="CU36">
        <v>4.5199999999999998E-4</v>
      </c>
      <c r="CV36">
        <v>4.5199999999999998E-4</v>
      </c>
      <c r="CW36">
        <v>4.5199999999999998E-4</v>
      </c>
      <c r="CX36">
        <v>4.5199999999999998E-4</v>
      </c>
    </row>
    <row r="37" spans="1:102" x14ac:dyDescent="0.25">
      <c r="A37" t="s">
        <v>139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1.2E-5</v>
      </c>
      <c r="R37">
        <v>1.2E-5</v>
      </c>
      <c r="S37">
        <v>1.2E-5</v>
      </c>
      <c r="T37">
        <v>1.2E-5</v>
      </c>
      <c r="U37">
        <v>1.2E-5</v>
      </c>
      <c r="V37">
        <v>1.2E-5</v>
      </c>
      <c r="W37">
        <v>1.2E-5</v>
      </c>
      <c r="X37">
        <v>1.2E-5</v>
      </c>
      <c r="Y37">
        <v>1.2E-5</v>
      </c>
      <c r="Z37">
        <v>1.2E-5</v>
      </c>
      <c r="AA37">
        <v>1.2E-5</v>
      </c>
      <c r="AB37">
        <v>1.2E-5</v>
      </c>
      <c r="AC37">
        <v>1.2E-5</v>
      </c>
      <c r="AD37">
        <v>1.2E-5</v>
      </c>
      <c r="AE37">
        <v>1.2E-5</v>
      </c>
      <c r="AF37">
        <v>1.2E-5</v>
      </c>
      <c r="AG37">
        <v>1.2E-5</v>
      </c>
      <c r="AH37">
        <v>1.2E-5</v>
      </c>
      <c r="AI37">
        <v>1.2E-5</v>
      </c>
      <c r="AJ37">
        <v>1.2E-5</v>
      </c>
      <c r="AK37">
        <v>1.2E-5</v>
      </c>
      <c r="AL37">
        <v>1.2E-5</v>
      </c>
      <c r="AM37">
        <v>1.2E-5</v>
      </c>
      <c r="AN37">
        <v>1.2E-5</v>
      </c>
      <c r="AO37">
        <v>1.2E-5</v>
      </c>
      <c r="AP37">
        <v>4.8000000000000001E-5</v>
      </c>
      <c r="AQ37">
        <v>4.8000000000000001E-5</v>
      </c>
      <c r="AR37">
        <v>4.8000000000000001E-5</v>
      </c>
      <c r="AS37">
        <v>4.8000000000000001E-5</v>
      </c>
      <c r="AT37">
        <v>4.8000000000000001E-5</v>
      </c>
      <c r="AU37">
        <v>6.3999999999999997E-5</v>
      </c>
      <c r="AV37">
        <v>6.3999999999999997E-5</v>
      </c>
      <c r="AW37">
        <v>6.3999999999999997E-5</v>
      </c>
      <c r="AX37">
        <v>6.3999999999999997E-5</v>
      </c>
      <c r="AY37">
        <v>6.3999999999999997E-5</v>
      </c>
      <c r="AZ37">
        <v>7.7999999999999999E-5</v>
      </c>
      <c r="BA37">
        <v>7.7999999999999999E-5</v>
      </c>
      <c r="BB37">
        <v>7.7999999999999999E-5</v>
      </c>
      <c r="BC37">
        <v>7.7999999999999999E-5</v>
      </c>
      <c r="BD37">
        <v>7.7999999999999999E-5</v>
      </c>
      <c r="BE37">
        <v>8.7999999999999998E-5</v>
      </c>
      <c r="BF37">
        <v>8.7999999999999998E-5</v>
      </c>
      <c r="BG37">
        <v>8.7999999999999998E-5</v>
      </c>
      <c r="BH37">
        <v>8.7999999999999998E-5</v>
      </c>
      <c r="BI37">
        <v>8.7999999999999998E-5</v>
      </c>
      <c r="BJ37">
        <v>9.8999999999999994E-5</v>
      </c>
      <c r="BK37">
        <v>9.8999999999999994E-5</v>
      </c>
      <c r="BL37">
        <v>9.8999999999999994E-5</v>
      </c>
      <c r="BM37">
        <v>9.8999999999999994E-5</v>
      </c>
      <c r="BN37">
        <v>9.8999999999999994E-5</v>
      </c>
      <c r="BO37">
        <v>1.15E-4</v>
      </c>
      <c r="BP37">
        <v>1.15E-4</v>
      </c>
      <c r="BQ37">
        <v>1.15E-4</v>
      </c>
      <c r="BR37">
        <v>1.15E-4</v>
      </c>
      <c r="BS37">
        <v>1.15E-4</v>
      </c>
      <c r="BT37">
        <v>1.4100000000000001E-4</v>
      </c>
      <c r="BU37">
        <v>1.4100000000000001E-4</v>
      </c>
      <c r="BV37">
        <v>1.4100000000000001E-4</v>
      </c>
      <c r="BW37">
        <v>1.4100000000000001E-4</v>
      </c>
      <c r="BX37">
        <v>1.4100000000000001E-4</v>
      </c>
      <c r="BY37">
        <v>2.31E-4</v>
      </c>
      <c r="BZ37">
        <v>2.31E-4</v>
      </c>
      <c r="CA37">
        <v>2.31E-4</v>
      </c>
      <c r="CB37">
        <v>2.31E-4</v>
      </c>
      <c r="CC37">
        <v>2.31E-4</v>
      </c>
      <c r="CD37">
        <v>2.31E-4</v>
      </c>
      <c r="CE37">
        <v>2.31E-4</v>
      </c>
      <c r="CF37">
        <v>2.31E-4</v>
      </c>
      <c r="CG37">
        <v>2.31E-4</v>
      </c>
      <c r="CH37">
        <v>2.31E-4</v>
      </c>
      <c r="CI37">
        <v>2.31E-4</v>
      </c>
      <c r="CJ37">
        <v>2.31E-4</v>
      </c>
      <c r="CK37">
        <v>2.31E-4</v>
      </c>
      <c r="CL37">
        <v>2.31E-4</v>
      </c>
      <c r="CM37">
        <v>2.31E-4</v>
      </c>
      <c r="CN37">
        <v>2.31E-4</v>
      </c>
      <c r="CO37">
        <v>2.31E-4</v>
      </c>
      <c r="CP37">
        <v>2.31E-4</v>
      </c>
      <c r="CQ37">
        <v>2.31E-4</v>
      </c>
      <c r="CR37">
        <v>2.31E-4</v>
      </c>
      <c r="CS37">
        <v>2.31E-4</v>
      </c>
      <c r="CT37">
        <v>2.31E-4</v>
      </c>
      <c r="CU37">
        <v>2.31E-4</v>
      </c>
      <c r="CV37">
        <v>2.31E-4</v>
      </c>
      <c r="CW37">
        <v>2.31E-4</v>
      </c>
      <c r="CX37">
        <v>2.31E-4</v>
      </c>
    </row>
    <row r="38" spans="1:102" x14ac:dyDescent="0.25">
      <c r="A38" t="s">
        <v>141</v>
      </c>
      <c r="B38" t="e">
        <v>#VALUE!</v>
      </c>
      <c r="C38" t="e">
        <v>#VALUE!</v>
      </c>
      <c r="D38" t="e">
        <v>#VALUE!</v>
      </c>
      <c r="E38" t="e">
        <v>#VALUE!</v>
      </c>
      <c r="F38" t="e">
        <v>#VALUE!</v>
      </c>
      <c r="G38" t="e">
        <v>#VALUE!</v>
      </c>
      <c r="H38" t="e">
        <v>#VALUE!</v>
      </c>
      <c r="I38" t="e">
        <v>#VALUE!</v>
      </c>
      <c r="J38" t="e">
        <v>#VALUE!</v>
      </c>
      <c r="K38" t="e">
        <v>#VALUE!</v>
      </c>
      <c r="L38" t="e">
        <v>#VALUE!</v>
      </c>
      <c r="M38" t="e">
        <v>#VALUE!</v>
      </c>
      <c r="N38" t="e">
        <v>#VALUE!</v>
      </c>
      <c r="O38" t="e">
        <v>#VALUE!</v>
      </c>
      <c r="P38" t="e">
        <v>#VALUE!</v>
      </c>
      <c r="Q38">
        <v>2.4000000000000001E-5</v>
      </c>
      <c r="R38">
        <v>2.4000000000000001E-5</v>
      </c>
      <c r="S38">
        <v>2.4000000000000001E-5</v>
      </c>
      <c r="T38">
        <v>2.4000000000000001E-5</v>
      </c>
      <c r="U38">
        <v>2.4000000000000001E-5</v>
      </c>
      <c r="V38">
        <v>2.4000000000000001E-5</v>
      </c>
      <c r="W38">
        <v>2.4000000000000001E-5</v>
      </c>
      <c r="X38">
        <v>2.4000000000000001E-5</v>
      </c>
      <c r="Y38">
        <v>2.4000000000000001E-5</v>
      </c>
      <c r="Z38">
        <v>2.4000000000000001E-5</v>
      </c>
      <c r="AA38">
        <v>2.4000000000000001E-5</v>
      </c>
      <c r="AB38">
        <v>2.4000000000000001E-5</v>
      </c>
      <c r="AC38">
        <v>2.4000000000000001E-5</v>
      </c>
      <c r="AD38">
        <v>2.4000000000000001E-5</v>
      </c>
      <c r="AE38">
        <v>2.4000000000000001E-5</v>
      </c>
      <c r="AF38">
        <v>2.4000000000000001E-5</v>
      </c>
      <c r="AG38">
        <v>2.4000000000000001E-5</v>
      </c>
      <c r="AH38">
        <v>2.4000000000000001E-5</v>
      </c>
      <c r="AI38">
        <v>2.4000000000000001E-5</v>
      </c>
      <c r="AJ38">
        <v>2.4000000000000001E-5</v>
      </c>
      <c r="AK38">
        <v>2.4000000000000001E-5</v>
      </c>
      <c r="AL38">
        <v>2.4000000000000001E-5</v>
      </c>
      <c r="AM38">
        <v>2.4000000000000001E-5</v>
      </c>
      <c r="AN38">
        <v>2.4000000000000001E-5</v>
      </c>
      <c r="AO38">
        <v>2.4000000000000001E-5</v>
      </c>
      <c r="AP38">
        <v>9.5000000000000005E-5</v>
      </c>
      <c r="AQ38">
        <v>9.5000000000000005E-5</v>
      </c>
      <c r="AR38">
        <v>9.5000000000000005E-5</v>
      </c>
      <c r="AS38">
        <v>9.5000000000000005E-5</v>
      </c>
      <c r="AT38">
        <v>9.5000000000000005E-5</v>
      </c>
      <c r="AU38">
        <v>1.27E-4</v>
      </c>
      <c r="AV38">
        <v>1.27E-4</v>
      </c>
      <c r="AW38">
        <v>1.27E-4</v>
      </c>
      <c r="AX38">
        <v>1.27E-4</v>
      </c>
      <c r="AY38">
        <v>1.27E-4</v>
      </c>
      <c r="AZ38">
        <v>1.5899999999999999E-4</v>
      </c>
      <c r="BA38">
        <v>1.5899999999999999E-4</v>
      </c>
      <c r="BB38">
        <v>1.5899999999999999E-4</v>
      </c>
      <c r="BC38">
        <v>1.5899999999999999E-4</v>
      </c>
      <c r="BD38">
        <v>1.5899999999999999E-4</v>
      </c>
      <c r="BE38">
        <v>1.9799999999999999E-4</v>
      </c>
      <c r="BF38">
        <v>1.9799999999999999E-4</v>
      </c>
      <c r="BG38">
        <v>1.9799999999999999E-4</v>
      </c>
      <c r="BH38">
        <v>1.9799999999999999E-4</v>
      </c>
      <c r="BI38">
        <v>1.9799999999999999E-4</v>
      </c>
      <c r="BJ38">
        <v>2.4000000000000001E-4</v>
      </c>
      <c r="BK38">
        <v>2.4000000000000001E-4</v>
      </c>
      <c r="BL38">
        <v>2.4000000000000001E-4</v>
      </c>
      <c r="BM38">
        <v>2.4000000000000001E-4</v>
      </c>
      <c r="BN38">
        <v>2.4000000000000001E-4</v>
      </c>
      <c r="BO38">
        <v>3.3300000000000002E-4</v>
      </c>
      <c r="BP38">
        <v>3.3300000000000002E-4</v>
      </c>
      <c r="BQ38">
        <v>3.3300000000000002E-4</v>
      </c>
      <c r="BR38">
        <v>3.3300000000000002E-4</v>
      </c>
      <c r="BS38">
        <v>3.3300000000000002E-4</v>
      </c>
      <c r="BT38">
        <v>4.7100000000000001E-4</v>
      </c>
      <c r="BU38">
        <v>4.7100000000000001E-4</v>
      </c>
      <c r="BV38">
        <v>4.7100000000000001E-4</v>
      </c>
      <c r="BW38">
        <v>4.7100000000000001E-4</v>
      </c>
      <c r="BX38">
        <v>4.7100000000000001E-4</v>
      </c>
      <c r="BY38">
        <v>6.5600000000000001E-4</v>
      </c>
      <c r="BZ38">
        <v>6.5600000000000001E-4</v>
      </c>
      <c r="CA38">
        <v>6.5600000000000001E-4</v>
      </c>
      <c r="CB38">
        <v>6.5600000000000001E-4</v>
      </c>
      <c r="CC38">
        <v>6.5600000000000001E-4</v>
      </c>
      <c r="CD38">
        <v>6.5600000000000001E-4</v>
      </c>
      <c r="CE38">
        <v>6.5600000000000001E-4</v>
      </c>
      <c r="CF38">
        <v>6.5600000000000001E-4</v>
      </c>
      <c r="CG38">
        <v>6.5600000000000001E-4</v>
      </c>
      <c r="CH38">
        <v>6.5600000000000001E-4</v>
      </c>
      <c r="CI38">
        <v>6.5600000000000001E-4</v>
      </c>
      <c r="CJ38">
        <v>6.5600000000000001E-4</v>
      </c>
      <c r="CK38">
        <v>6.5600000000000001E-4</v>
      </c>
      <c r="CL38">
        <v>6.5600000000000001E-4</v>
      </c>
      <c r="CM38">
        <v>6.5600000000000001E-4</v>
      </c>
      <c r="CN38">
        <v>6.5600000000000001E-4</v>
      </c>
      <c r="CO38">
        <v>6.5600000000000001E-4</v>
      </c>
      <c r="CP38">
        <v>6.5600000000000001E-4</v>
      </c>
      <c r="CQ38">
        <v>6.5600000000000001E-4</v>
      </c>
      <c r="CR38">
        <v>6.5600000000000001E-4</v>
      </c>
      <c r="CS38">
        <v>6.5600000000000001E-4</v>
      </c>
      <c r="CT38">
        <v>6.5600000000000001E-4</v>
      </c>
      <c r="CU38">
        <v>6.5600000000000001E-4</v>
      </c>
      <c r="CV38">
        <v>6.5600000000000001E-4</v>
      </c>
      <c r="CW38">
        <v>6.5600000000000001E-4</v>
      </c>
      <c r="CX38">
        <v>6.5600000000000001E-4</v>
      </c>
    </row>
    <row r="39" spans="1:102" x14ac:dyDescent="0.25">
      <c r="A39" t="s">
        <v>143</v>
      </c>
      <c r="B39" t="e">
        <v>#VALUE!</v>
      </c>
      <c r="C39" t="e">
        <v>#VALUE!</v>
      </c>
      <c r="D39" t="e">
        <v>#VALUE!</v>
      </c>
      <c r="E39" t="e">
        <v>#VALUE!</v>
      </c>
      <c r="F39" t="e">
        <v>#VALUE!</v>
      </c>
      <c r="G39" t="e">
        <v>#VALUE!</v>
      </c>
      <c r="H39" t="e">
        <v>#VALUE!</v>
      </c>
      <c r="I39" t="e">
        <v>#VALUE!</v>
      </c>
      <c r="J39" t="e">
        <v>#VALUE!</v>
      </c>
      <c r="K39" t="e">
        <v>#VALUE!</v>
      </c>
      <c r="L39" t="e">
        <v>#VALUE!</v>
      </c>
      <c r="M39" t="e">
        <v>#VALUE!</v>
      </c>
      <c r="N39" t="e">
        <v>#VALUE!</v>
      </c>
      <c r="O39" t="e">
        <v>#VALUE!</v>
      </c>
      <c r="P39" t="e">
        <v>#VALUE!</v>
      </c>
      <c r="Q39">
        <v>1.46E-4</v>
      </c>
      <c r="R39">
        <v>1.46E-4</v>
      </c>
      <c r="S39">
        <v>1.46E-4</v>
      </c>
      <c r="T39">
        <v>1.46E-4</v>
      </c>
      <c r="U39">
        <v>1.46E-4</v>
      </c>
      <c r="V39">
        <v>1.46E-4</v>
      </c>
      <c r="W39">
        <v>1.46E-4</v>
      </c>
      <c r="X39">
        <v>1.46E-4</v>
      </c>
      <c r="Y39">
        <v>1.46E-4</v>
      </c>
      <c r="Z39">
        <v>1.46E-4</v>
      </c>
      <c r="AA39">
        <v>1.46E-4</v>
      </c>
      <c r="AB39">
        <v>1.46E-4</v>
      </c>
      <c r="AC39">
        <v>1.46E-4</v>
      </c>
      <c r="AD39">
        <v>1.46E-4</v>
      </c>
      <c r="AE39">
        <v>1.46E-4</v>
      </c>
      <c r="AF39">
        <v>1.46E-4</v>
      </c>
      <c r="AG39">
        <v>1.46E-4</v>
      </c>
      <c r="AH39">
        <v>1.46E-4</v>
      </c>
      <c r="AI39">
        <v>1.46E-4</v>
      </c>
      <c r="AJ39">
        <v>1.46E-4</v>
      </c>
      <c r="AK39">
        <v>1.46E-4</v>
      </c>
      <c r="AL39">
        <v>1.46E-4</v>
      </c>
      <c r="AM39">
        <v>1.46E-4</v>
      </c>
      <c r="AN39">
        <v>1.46E-4</v>
      </c>
      <c r="AO39">
        <v>1.46E-4</v>
      </c>
      <c r="AP39">
        <v>4.5300000000000001E-4</v>
      </c>
      <c r="AQ39">
        <v>4.5300000000000001E-4</v>
      </c>
      <c r="AR39">
        <v>4.5300000000000001E-4</v>
      </c>
      <c r="AS39">
        <v>4.5300000000000001E-4</v>
      </c>
      <c r="AT39">
        <v>4.5300000000000001E-4</v>
      </c>
      <c r="AU39">
        <v>6.2E-4</v>
      </c>
      <c r="AV39">
        <v>6.2E-4</v>
      </c>
      <c r="AW39">
        <v>6.2E-4</v>
      </c>
      <c r="AX39">
        <v>6.2E-4</v>
      </c>
      <c r="AY39">
        <v>6.2E-4</v>
      </c>
      <c r="AZ39">
        <v>9.19E-4</v>
      </c>
      <c r="BA39">
        <v>9.19E-4</v>
      </c>
      <c r="BB39">
        <v>9.19E-4</v>
      </c>
      <c r="BC39">
        <v>9.19E-4</v>
      </c>
      <c r="BD39">
        <v>9.19E-4</v>
      </c>
      <c r="BE39">
        <v>1.1670000000000001E-3</v>
      </c>
      <c r="BF39">
        <v>1.1670000000000001E-3</v>
      </c>
      <c r="BG39">
        <v>1.1670000000000001E-3</v>
      </c>
      <c r="BH39">
        <v>1.1670000000000001E-3</v>
      </c>
      <c r="BI39">
        <v>1.1670000000000001E-3</v>
      </c>
      <c r="BJ39">
        <v>1.4430000000000001E-3</v>
      </c>
      <c r="BK39">
        <v>1.4430000000000001E-3</v>
      </c>
      <c r="BL39">
        <v>1.4430000000000001E-3</v>
      </c>
      <c r="BM39">
        <v>1.4430000000000001E-3</v>
      </c>
      <c r="BN39">
        <v>1.4430000000000001E-3</v>
      </c>
      <c r="BO39">
        <v>1.8289999999999999E-3</v>
      </c>
      <c r="BP39">
        <v>1.8289999999999999E-3</v>
      </c>
      <c r="BQ39">
        <v>1.8289999999999999E-3</v>
      </c>
      <c r="BR39">
        <v>1.8289999999999999E-3</v>
      </c>
      <c r="BS39">
        <v>1.8289999999999999E-3</v>
      </c>
      <c r="BT39">
        <v>2.104E-3</v>
      </c>
      <c r="BU39">
        <v>2.104E-3</v>
      </c>
      <c r="BV39">
        <v>2.104E-3</v>
      </c>
      <c r="BW39">
        <v>2.104E-3</v>
      </c>
      <c r="BX39">
        <v>2.104E-3</v>
      </c>
      <c r="BY39">
        <v>1.8890000000000001E-3</v>
      </c>
      <c r="BZ39">
        <v>1.8890000000000001E-3</v>
      </c>
      <c r="CA39">
        <v>1.8890000000000001E-3</v>
      </c>
      <c r="CB39">
        <v>1.8890000000000001E-3</v>
      </c>
      <c r="CC39">
        <v>1.8890000000000001E-3</v>
      </c>
      <c r="CD39">
        <v>1.8890000000000001E-3</v>
      </c>
      <c r="CE39">
        <v>1.8890000000000001E-3</v>
      </c>
      <c r="CF39">
        <v>1.8890000000000001E-3</v>
      </c>
      <c r="CG39">
        <v>1.8890000000000001E-3</v>
      </c>
      <c r="CH39">
        <v>1.8890000000000001E-3</v>
      </c>
      <c r="CI39">
        <v>1.8890000000000001E-3</v>
      </c>
      <c r="CJ39">
        <v>1.8890000000000001E-3</v>
      </c>
      <c r="CK39">
        <v>1.8890000000000001E-3</v>
      </c>
      <c r="CL39">
        <v>1.8890000000000001E-3</v>
      </c>
      <c r="CM39">
        <v>1.8890000000000001E-3</v>
      </c>
      <c r="CN39">
        <v>1.8890000000000001E-3</v>
      </c>
      <c r="CO39">
        <v>1.8890000000000001E-3</v>
      </c>
      <c r="CP39">
        <v>1.8890000000000001E-3</v>
      </c>
      <c r="CQ39">
        <v>1.8890000000000001E-3</v>
      </c>
      <c r="CR39">
        <v>1.8890000000000001E-3</v>
      </c>
      <c r="CS39">
        <v>1.8890000000000001E-3</v>
      </c>
      <c r="CT39">
        <v>1.8890000000000001E-3</v>
      </c>
      <c r="CU39">
        <v>1.8890000000000001E-3</v>
      </c>
      <c r="CV39">
        <v>1.8890000000000001E-3</v>
      </c>
      <c r="CW39">
        <v>1.8890000000000001E-3</v>
      </c>
      <c r="CX39">
        <v>1.8890000000000001E-3</v>
      </c>
    </row>
    <row r="40" spans="1:102" x14ac:dyDescent="0.25">
      <c r="A40" t="s">
        <v>145</v>
      </c>
      <c r="B40">
        <v>9.9999999999999995E-7</v>
      </c>
      <c r="C40">
        <v>9.9999999999999995E-7</v>
      </c>
      <c r="D40">
        <v>9.9999999999999995E-7</v>
      </c>
      <c r="E40">
        <v>9.9999999999999995E-7</v>
      </c>
      <c r="F40">
        <v>9.9999999999999995E-7</v>
      </c>
      <c r="G40">
        <v>9.9999999999999995E-7</v>
      </c>
      <c r="H40">
        <v>9.9999999999999995E-7</v>
      </c>
      <c r="I40">
        <v>9.9999999999999995E-7</v>
      </c>
      <c r="J40">
        <v>9.9999999999999995E-7</v>
      </c>
      <c r="K40">
        <v>9.9999999999999995E-7</v>
      </c>
      <c r="L40">
        <v>9.9999999999999995E-7</v>
      </c>
      <c r="M40">
        <v>9.9999999999999995E-7</v>
      </c>
      <c r="N40">
        <v>9.9999999999999995E-7</v>
      </c>
      <c r="O40">
        <v>9.9999999999999995E-7</v>
      </c>
      <c r="P40">
        <v>9.9999999999999995E-7</v>
      </c>
      <c r="Q40">
        <v>3.9999999999999998E-6</v>
      </c>
      <c r="R40">
        <v>3.9999999999999998E-6</v>
      </c>
      <c r="S40">
        <v>3.9999999999999998E-6</v>
      </c>
      <c r="T40">
        <v>3.9999999999999998E-6</v>
      </c>
      <c r="U40">
        <v>3.9999999999999998E-6</v>
      </c>
      <c r="V40">
        <v>3.9999999999999998E-6</v>
      </c>
      <c r="W40">
        <v>3.9999999999999998E-6</v>
      </c>
      <c r="X40">
        <v>3.9999999999999998E-6</v>
      </c>
      <c r="Y40">
        <v>3.9999999999999998E-6</v>
      </c>
      <c r="Z40">
        <v>3.9999999999999998E-6</v>
      </c>
      <c r="AA40">
        <v>3.9999999999999998E-6</v>
      </c>
      <c r="AB40">
        <v>3.9999999999999998E-6</v>
      </c>
      <c r="AC40">
        <v>3.9999999999999998E-6</v>
      </c>
      <c r="AD40">
        <v>3.9999999999999998E-6</v>
      </c>
      <c r="AE40">
        <v>3.9999999999999998E-6</v>
      </c>
      <c r="AF40">
        <v>3.9999999999999998E-6</v>
      </c>
      <c r="AG40">
        <v>3.9999999999999998E-6</v>
      </c>
      <c r="AH40">
        <v>3.9999999999999998E-6</v>
      </c>
      <c r="AI40">
        <v>3.9999999999999998E-6</v>
      </c>
      <c r="AJ40">
        <v>3.9999999999999998E-6</v>
      </c>
      <c r="AK40">
        <v>3.9999999999999998E-6</v>
      </c>
      <c r="AL40">
        <v>3.9999999999999998E-6</v>
      </c>
      <c r="AM40">
        <v>3.9999999999999998E-6</v>
      </c>
      <c r="AN40">
        <v>3.9999999999999998E-6</v>
      </c>
      <c r="AO40">
        <v>3.9999999999999998E-6</v>
      </c>
      <c r="AP40">
        <v>6.0000000000000002E-5</v>
      </c>
      <c r="AQ40">
        <v>6.0000000000000002E-5</v>
      </c>
      <c r="AR40">
        <v>6.0000000000000002E-5</v>
      </c>
      <c r="AS40">
        <v>6.0000000000000002E-5</v>
      </c>
      <c r="AT40">
        <v>6.0000000000000002E-5</v>
      </c>
      <c r="AU40">
        <v>1.56E-4</v>
      </c>
      <c r="AV40">
        <v>1.56E-4</v>
      </c>
      <c r="AW40">
        <v>1.56E-4</v>
      </c>
      <c r="AX40">
        <v>1.56E-4</v>
      </c>
      <c r="AY40">
        <v>1.56E-4</v>
      </c>
      <c r="AZ40">
        <v>3.4000000000000002E-4</v>
      </c>
      <c r="BA40">
        <v>3.4000000000000002E-4</v>
      </c>
      <c r="BB40">
        <v>3.4000000000000002E-4</v>
      </c>
      <c r="BC40">
        <v>3.4000000000000002E-4</v>
      </c>
      <c r="BD40">
        <v>3.4000000000000002E-4</v>
      </c>
      <c r="BE40">
        <v>5.6800000000000004E-4</v>
      </c>
      <c r="BF40">
        <v>5.6800000000000004E-4</v>
      </c>
      <c r="BG40">
        <v>5.6800000000000004E-4</v>
      </c>
      <c r="BH40">
        <v>5.6800000000000004E-4</v>
      </c>
      <c r="BI40">
        <v>5.6800000000000004E-4</v>
      </c>
      <c r="BJ40">
        <v>7.6599999999999997E-4</v>
      </c>
      <c r="BK40">
        <v>7.6599999999999997E-4</v>
      </c>
      <c r="BL40">
        <v>7.6599999999999997E-4</v>
      </c>
      <c r="BM40">
        <v>7.6599999999999997E-4</v>
      </c>
      <c r="BN40">
        <v>7.6599999999999997E-4</v>
      </c>
      <c r="BO40">
        <v>8.2299999999999995E-4</v>
      </c>
      <c r="BP40">
        <v>8.2299999999999995E-4</v>
      </c>
      <c r="BQ40">
        <v>8.2299999999999995E-4</v>
      </c>
      <c r="BR40">
        <v>8.2299999999999995E-4</v>
      </c>
      <c r="BS40">
        <v>8.2299999999999995E-4</v>
      </c>
      <c r="BT40">
        <v>6.7100000000000005E-4</v>
      </c>
      <c r="BU40">
        <v>6.7100000000000005E-4</v>
      </c>
      <c r="BV40">
        <v>6.7100000000000005E-4</v>
      </c>
      <c r="BW40">
        <v>6.7100000000000005E-4</v>
      </c>
      <c r="BX40">
        <v>6.7100000000000005E-4</v>
      </c>
      <c r="BY40">
        <v>3.5599999999999998E-4</v>
      </c>
      <c r="BZ40">
        <v>3.5599999999999998E-4</v>
      </c>
      <c r="CA40">
        <v>3.5599999999999998E-4</v>
      </c>
      <c r="CB40">
        <v>3.5599999999999998E-4</v>
      </c>
      <c r="CC40">
        <v>3.5599999999999998E-4</v>
      </c>
      <c r="CD40">
        <v>3.5599999999999998E-4</v>
      </c>
      <c r="CE40">
        <v>3.5599999999999998E-4</v>
      </c>
      <c r="CF40">
        <v>3.5599999999999998E-4</v>
      </c>
      <c r="CG40">
        <v>3.5599999999999998E-4</v>
      </c>
      <c r="CH40">
        <v>3.5599999999999998E-4</v>
      </c>
      <c r="CI40">
        <v>3.5599999999999998E-4</v>
      </c>
      <c r="CJ40">
        <v>3.5599999999999998E-4</v>
      </c>
      <c r="CK40">
        <v>3.5599999999999998E-4</v>
      </c>
      <c r="CL40">
        <v>3.5599999999999998E-4</v>
      </c>
      <c r="CM40">
        <v>3.5599999999999998E-4</v>
      </c>
      <c r="CN40">
        <v>3.5599999999999998E-4</v>
      </c>
      <c r="CO40">
        <v>3.5599999999999998E-4</v>
      </c>
      <c r="CP40">
        <v>3.5599999999999998E-4</v>
      </c>
      <c r="CQ40">
        <v>3.5599999999999998E-4</v>
      </c>
      <c r="CR40">
        <v>3.5599999999999998E-4</v>
      </c>
      <c r="CS40">
        <v>3.5599999999999998E-4</v>
      </c>
      <c r="CT40">
        <v>3.5599999999999998E-4</v>
      </c>
      <c r="CU40">
        <v>3.5599999999999998E-4</v>
      </c>
      <c r="CV40">
        <v>3.5599999999999998E-4</v>
      </c>
      <c r="CW40">
        <v>3.5599999999999998E-4</v>
      </c>
      <c r="CX40">
        <v>3.5599999999999998E-4</v>
      </c>
    </row>
    <row r="41" spans="1:102" x14ac:dyDescent="0.25">
      <c r="A41" t="s">
        <v>147</v>
      </c>
      <c r="B41">
        <v>9.9999999999999995E-7</v>
      </c>
      <c r="C41">
        <v>9.9999999999999995E-7</v>
      </c>
      <c r="D41">
        <v>9.9999999999999995E-7</v>
      </c>
      <c r="E41">
        <v>9.9999999999999995E-7</v>
      </c>
      <c r="F41">
        <v>9.9999999999999995E-7</v>
      </c>
      <c r="G41">
        <v>9.9999999999999995E-7</v>
      </c>
      <c r="H41">
        <v>9.9999999999999995E-7</v>
      </c>
      <c r="I41">
        <v>9.9999999999999995E-7</v>
      </c>
      <c r="J41">
        <v>9.9999999999999995E-7</v>
      </c>
      <c r="K41">
        <v>9.9999999999999995E-7</v>
      </c>
      <c r="L41">
        <v>9.9999999999999995E-7</v>
      </c>
      <c r="M41">
        <v>9.9999999999999995E-7</v>
      </c>
      <c r="N41">
        <v>9.9999999999999995E-7</v>
      </c>
      <c r="O41">
        <v>9.9999999999999995E-7</v>
      </c>
      <c r="P41">
        <v>9.9999999999999995E-7</v>
      </c>
      <c r="Q41">
        <v>2.5999999999999998E-5</v>
      </c>
      <c r="R41">
        <v>2.5999999999999998E-5</v>
      </c>
      <c r="S41">
        <v>2.5999999999999998E-5</v>
      </c>
      <c r="T41">
        <v>2.5999999999999998E-5</v>
      </c>
      <c r="U41">
        <v>2.5999999999999998E-5</v>
      </c>
      <c r="V41">
        <v>2.5999999999999998E-5</v>
      </c>
      <c r="W41">
        <v>2.5999999999999998E-5</v>
      </c>
      <c r="X41">
        <v>2.5999999999999998E-5</v>
      </c>
      <c r="Y41">
        <v>2.5999999999999998E-5</v>
      </c>
      <c r="Z41">
        <v>2.5999999999999998E-5</v>
      </c>
      <c r="AA41">
        <v>2.5999999999999998E-5</v>
      </c>
      <c r="AB41">
        <v>2.5999999999999998E-5</v>
      </c>
      <c r="AC41">
        <v>2.5999999999999998E-5</v>
      </c>
      <c r="AD41">
        <v>2.5999999999999998E-5</v>
      </c>
      <c r="AE41">
        <v>2.5999999999999998E-5</v>
      </c>
      <c r="AF41">
        <v>2.5999999999999998E-5</v>
      </c>
      <c r="AG41">
        <v>2.5999999999999998E-5</v>
      </c>
      <c r="AH41">
        <v>2.5999999999999998E-5</v>
      </c>
      <c r="AI41">
        <v>2.5999999999999998E-5</v>
      </c>
      <c r="AJ41">
        <v>2.5999999999999998E-5</v>
      </c>
      <c r="AK41">
        <v>2.5999999999999998E-5</v>
      </c>
      <c r="AL41">
        <v>2.5999999999999998E-5</v>
      </c>
      <c r="AM41">
        <v>2.5999999999999998E-5</v>
      </c>
      <c r="AN41">
        <v>2.5999999999999998E-5</v>
      </c>
      <c r="AO41">
        <v>2.5999999999999998E-5</v>
      </c>
      <c r="AP41">
        <v>2.7799999999999998E-4</v>
      </c>
      <c r="AQ41">
        <v>2.7799999999999998E-4</v>
      </c>
      <c r="AR41">
        <v>2.7799999999999998E-4</v>
      </c>
      <c r="AS41">
        <v>2.7799999999999998E-4</v>
      </c>
      <c r="AT41">
        <v>2.7799999999999998E-4</v>
      </c>
      <c r="AU41">
        <v>5.0299999999999997E-4</v>
      </c>
      <c r="AV41">
        <v>5.0299999999999997E-4</v>
      </c>
      <c r="AW41">
        <v>5.0299999999999997E-4</v>
      </c>
      <c r="AX41">
        <v>5.0299999999999997E-4</v>
      </c>
      <c r="AY41">
        <v>5.0299999999999997E-4</v>
      </c>
      <c r="AZ41">
        <v>7.9500000000000003E-4</v>
      </c>
      <c r="BA41">
        <v>7.9500000000000003E-4</v>
      </c>
      <c r="BB41">
        <v>7.9500000000000003E-4</v>
      </c>
      <c r="BC41">
        <v>7.9500000000000003E-4</v>
      </c>
      <c r="BD41">
        <v>7.9500000000000003E-4</v>
      </c>
      <c r="BE41">
        <v>1.0920000000000001E-3</v>
      </c>
      <c r="BF41">
        <v>1.0920000000000001E-3</v>
      </c>
      <c r="BG41">
        <v>1.0920000000000001E-3</v>
      </c>
      <c r="BH41">
        <v>1.0920000000000001E-3</v>
      </c>
      <c r="BI41">
        <v>1.0920000000000001E-3</v>
      </c>
      <c r="BJ41">
        <v>1.297E-3</v>
      </c>
      <c r="BK41">
        <v>1.297E-3</v>
      </c>
      <c r="BL41">
        <v>1.297E-3</v>
      </c>
      <c r="BM41">
        <v>1.297E-3</v>
      </c>
      <c r="BN41">
        <v>1.297E-3</v>
      </c>
      <c r="BO41">
        <v>1.322E-3</v>
      </c>
      <c r="BP41">
        <v>1.322E-3</v>
      </c>
      <c r="BQ41">
        <v>1.322E-3</v>
      </c>
      <c r="BR41">
        <v>1.322E-3</v>
      </c>
      <c r="BS41">
        <v>1.322E-3</v>
      </c>
      <c r="BT41">
        <v>1.193E-3</v>
      </c>
      <c r="BU41">
        <v>1.193E-3</v>
      </c>
      <c r="BV41">
        <v>1.193E-3</v>
      </c>
      <c r="BW41">
        <v>1.193E-3</v>
      </c>
      <c r="BX41">
        <v>1.193E-3</v>
      </c>
      <c r="BY41">
        <v>9.0399999999999996E-4</v>
      </c>
      <c r="BZ41">
        <v>9.0399999999999996E-4</v>
      </c>
      <c r="CA41">
        <v>9.0399999999999996E-4</v>
      </c>
      <c r="CB41">
        <v>9.0399999999999996E-4</v>
      </c>
      <c r="CC41">
        <v>9.0399999999999996E-4</v>
      </c>
      <c r="CD41">
        <v>9.0399999999999996E-4</v>
      </c>
      <c r="CE41">
        <v>9.0399999999999996E-4</v>
      </c>
      <c r="CF41">
        <v>9.0399999999999996E-4</v>
      </c>
      <c r="CG41">
        <v>9.0399999999999996E-4</v>
      </c>
      <c r="CH41">
        <v>9.0399999999999996E-4</v>
      </c>
      <c r="CI41">
        <v>9.0399999999999996E-4</v>
      </c>
      <c r="CJ41">
        <v>9.0399999999999996E-4</v>
      </c>
      <c r="CK41">
        <v>9.0399999999999996E-4</v>
      </c>
      <c r="CL41">
        <v>9.0399999999999996E-4</v>
      </c>
      <c r="CM41">
        <v>9.0399999999999996E-4</v>
      </c>
      <c r="CN41">
        <v>9.0399999999999996E-4</v>
      </c>
      <c r="CO41">
        <v>9.0399999999999996E-4</v>
      </c>
      <c r="CP41">
        <v>9.0399999999999996E-4</v>
      </c>
      <c r="CQ41">
        <v>9.0399999999999996E-4</v>
      </c>
      <c r="CR41">
        <v>9.0399999999999996E-4</v>
      </c>
      <c r="CS41">
        <v>9.0399999999999996E-4</v>
      </c>
      <c r="CT41">
        <v>9.0399999999999996E-4</v>
      </c>
      <c r="CU41">
        <v>9.0399999999999996E-4</v>
      </c>
      <c r="CV41">
        <v>9.0399999999999996E-4</v>
      </c>
      <c r="CW41">
        <v>9.0399999999999996E-4</v>
      </c>
      <c r="CX41">
        <v>9.0399999999999996E-4</v>
      </c>
    </row>
    <row r="42" spans="1:102" x14ac:dyDescent="0.25">
      <c r="A42" t="s">
        <v>149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1.2999999999999999E-5</v>
      </c>
      <c r="R42">
        <v>1.2999999999999999E-5</v>
      </c>
      <c r="S42">
        <v>1.2999999999999999E-5</v>
      </c>
      <c r="T42">
        <v>1.2999999999999999E-5</v>
      </c>
      <c r="U42">
        <v>1.2999999999999999E-5</v>
      </c>
      <c r="V42">
        <v>1.2999999999999999E-5</v>
      </c>
      <c r="W42">
        <v>1.2999999999999999E-5</v>
      </c>
      <c r="X42">
        <v>1.2999999999999999E-5</v>
      </c>
      <c r="Y42">
        <v>1.2999999999999999E-5</v>
      </c>
      <c r="Z42">
        <v>1.2999999999999999E-5</v>
      </c>
      <c r="AA42">
        <v>1.2999999999999999E-5</v>
      </c>
      <c r="AB42">
        <v>1.2999999999999999E-5</v>
      </c>
      <c r="AC42">
        <v>1.2999999999999999E-5</v>
      </c>
      <c r="AD42">
        <v>1.2999999999999999E-5</v>
      </c>
      <c r="AE42">
        <v>1.2999999999999999E-5</v>
      </c>
      <c r="AF42">
        <v>1.2999999999999999E-5</v>
      </c>
      <c r="AG42">
        <v>1.2999999999999999E-5</v>
      </c>
      <c r="AH42">
        <v>1.2999999999999999E-5</v>
      </c>
      <c r="AI42">
        <v>1.2999999999999999E-5</v>
      </c>
      <c r="AJ42">
        <v>1.2999999999999999E-5</v>
      </c>
      <c r="AK42">
        <v>1.2999999999999999E-5</v>
      </c>
      <c r="AL42">
        <v>1.2999999999999999E-5</v>
      </c>
      <c r="AM42">
        <v>1.2999999999999999E-5</v>
      </c>
      <c r="AN42">
        <v>1.2999999999999999E-5</v>
      </c>
      <c r="AO42">
        <v>1.2999999999999999E-5</v>
      </c>
      <c r="AP42">
        <v>5.1E-5</v>
      </c>
      <c r="AQ42">
        <v>5.1E-5</v>
      </c>
      <c r="AR42">
        <v>5.1E-5</v>
      </c>
      <c r="AS42">
        <v>5.1E-5</v>
      </c>
      <c r="AT42">
        <v>5.1E-5</v>
      </c>
      <c r="AU42">
        <v>6.9999999999999994E-5</v>
      </c>
      <c r="AV42">
        <v>6.9999999999999994E-5</v>
      </c>
      <c r="AW42">
        <v>6.9999999999999994E-5</v>
      </c>
      <c r="AX42">
        <v>6.9999999999999994E-5</v>
      </c>
      <c r="AY42">
        <v>6.9999999999999994E-5</v>
      </c>
      <c r="AZ42">
        <v>8.7999999999999998E-5</v>
      </c>
      <c r="BA42">
        <v>8.7999999999999998E-5</v>
      </c>
      <c r="BB42">
        <v>8.7999999999999998E-5</v>
      </c>
      <c r="BC42">
        <v>8.7999999999999998E-5</v>
      </c>
      <c r="BD42">
        <v>8.7999999999999998E-5</v>
      </c>
      <c r="BE42">
        <v>9.7E-5</v>
      </c>
      <c r="BF42">
        <v>9.7E-5</v>
      </c>
      <c r="BG42">
        <v>9.7E-5</v>
      </c>
      <c r="BH42">
        <v>9.7E-5</v>
      </c>
      <c r="BI42">
        <v>9.7E-5</v>
      </c>
      <c r="BJ42">
        <v>1.06E-4</v>
      </c>
      <c r="BK42">
        <v>1.06E-4</v>
      </c>
      <c r="BL42">
        <v>1.06E-4</v>
      </c>
      <c r="BM42">
        <v>1.06E-4</v>
      </c>
      <c r="BN42">
        <v>1.06E-4</v>
      </c>
      <c r="BO42">
        <v>1.2E-4</v>
      </c>
      <c r="BP42">
        <v>1.2E-4</v>
      </c>
      <c r="BQ42">
        <v>1.2E-4</v>
      </c>
      <c r="BR42">
        <v>1.2E-4</v>
      </c>
      <c r="BS42">
        <v>1.2E-4</v>
      </c>
      <c r="BT42">
        <v>1.4300000000000001E-4</v>
      </c>
      <c r="BU42">
        <v>1.4300000000000001E-4</v>
      </c>
      <c r="BV42">
        <v>1.4300000000000001E-4</v>
      </c>
      <c r="BW42">
        <v>1.4300000000000001E-4</v>
      </c>
      <c r="BX42">
        <v>1.4300000000000001E-4</v>
      </c>
      <c r="BY42">
        <v>2.2100000000000001E-4</v>
      </c>
      <c r="BZ42">
        <v>2.2100000000000001E-4</v>
      </c>
      <c r="CA42">
        <v>2.2100000000000001E-4</v>
      </c>
      <c r="CB42">
        <v>2.2100000000000001E-4</v>
      </c>
      <c r="CC42">
        <v>2.2100000000000001E-4</v>
      </c>
      <c r="CD42">
        <v>2.2100000000000001E-4</v>
      </c>
      <c r="CE42">
        <v>2.2100000000000001E-4</v>
      </c>
      <c r="CF42">
        <v>2.2100000000000001E-4</v>
      </c>
      <c r="CG42">
        <v>2.2100000000000001E-4</v>
      </c>
      <c r="CH42">
        <v>2.2100000000000001E-4</v>
      </c>
      <c r="CI42">
        <v>2.2100000000000001E-4</v>
      </c>
      <c r="CJ42">
        <v>2.2100000000000001E-4</v>
      </c>
      <c r="CK42">
        <v>2.2100000000000001E-4</v>
      </c>
      <c r="CL42">
        <v>2.2100000000000001E-4</v>
      </c>
      <c r="CM42">
        <v>2.2100000000000001E-4</v>
      </c>
      <c r="CN42">
        <v>2.2100000000000001E-4</v>
      </c>
      <c r="CO42">
        <v>2.2100000000000001E-4</v>
      </c>
      <c r="CP42">
        <v>2.2100000000000001E-4</v>
      </c>
      <c r="CQ42">
        <v>2.2100000000000001E-4</v>
      </c>
      <c r="CR42">
        <v>2.2100000000000001E-4</v>
      </c>
      <c r="CS42">
        <v>2.2100000000000001E-4</v>
      </c>
      <c r="CT42">
        <v>2.2100000000000001E-4</v>
      </c>
      <c r="CU42">
        <v>2.2100000000000001E-4</v>
      </c>
      <c r="CV42">
        <v>2.2100000000000001E-4</v>
      </c>
      <c r="CW42">
        <v>2.2100000000000001E-4</v>
      </c>
      <c r="CX42">
        <v>2.2100000000000001E-4</v>
      </c>
    </row>
    <row r="43" spans="1:102" x14ac:dyDescent="0.25">
      <c r="A43" t="s">
        <v>151</v>
      </c>
      <c r="B43" t="e">
        <v>#VALUE!</v>
      </c>
      <c r="C43" t="e">
        <v>#VALUE!</v>
      </c>
      <c r="D43" t="e">
        <v>#VALUE!</v>
      </c>
      <c r="E43" t="e">
        <v>#VALUE!</v>
      </c>
      <c r="F43" t="e">
        <v>#VALUE!</v>
      </c>
      <c r="G43" t="e">
        <v>#VALUE!</v>
      </c>
      <c r="H43" t="e">
        <v>#VALUE!</v>
      </c>
      <c r="I43" t="e">
        <v>#VALUE!</v>
      </c>
      <c r="J43" t="e">
        <v>#VALUE!</v>
      </c>
      <c r="K43" t="e">
        <v>#VALUE!</v>
      </c>
      <c r="L43" t="e">
        <v>#VALUE!</v>
      </c>
      <c r="M43" t="e">
        <v>#VALUE!</v>
      </c>
      <c r="N43" t="e">
        <v>#VALUE!</v>
      </c>
      <c r="O43" t="e">
        <v>#VALUE!</v>
      </c>
      <c r="P43" t="e">
        <v>#VALUE!</v>
      </c>
      <c r="Q43">
        <v>1.2999999999999999E-5</v>
      </c>
      <c r="R43">
        <v>1.2999999999999999E-5</v>
      </c>
      <c r="S43">
        <v>1.2999999999999999E-5</v>
      </c>
      <c r="T43">
        <v>1.2999999999999999E-5</v>
      </c>
      <c r="U43">
        <v>1.2999999999999999E-5</v>
      </c>
      <c r="V43">
        <v>1.2999999999999999E-5</v>
      </c>
      <c r="W43">
        <v>1.2999999999999999E-5</v>
      </c>
      <c r="X43">
        <v>1.2999999999999999E-5</v>
      </c>
      <c r="Y43">
        <v>1.2999999999999999E-5</v>
      </c>
      <c r="Z43">
        <v>1.2999999999999999E-5</v>
      </c>
      <c r="AA43">
        <v>1.2999999999999999E-5</v>
      </c>
      <c r="AB43">
        <v>1.2999999999999999E-5</v>
      </c>
      <c r="AC43">
        <v>1.2999999999999999E-5</v>
      </c>
      <c r="AD43">
        <v>1.2999999999999999E-5</v>
      </c>
      <c r="AE43">
        <v>1.2999999999999999E-5</v>
      </c>
      <c r="AF43">
        <v>1.2999999999999999E-5</v>
      </c>
      <c r="AG43">
        <v>1.2999999999999999E-5</v>
      </c>
      <c r="AH43">
        <v>1.2999999999999999E-5</v>
      </c>
      <c r="AI43">
        <v>1.2999999999999999E-5</v>
      </c>
      <c r="AJ43">
        <v>1.2999999999999999E-5</v>
      </c>
      <c r="AK43">
        <v>1.2999999999999999E-5</v>
      </c>
      <c r="AL43">
        <v>1.2999999999999999E-5</v>
      </c>
      <c r="AM43">
        <v>1.2999999999999999E-5</v>
      </c>
      <c r="AN43">
        <v>1.2999999999999999E-5</v>
      </c>
      <c r="AO43">
        <v>1.2999999999999999E-5</v>
      </c>
      <c r="AP43">
        <v>5.1999999999999997E-5</v>
      </c>
      <c r="AQ43">
        <v>5.1999999999999997E-5</v>
      </c>
      <c r="AR43">
        <v>5.1999999999999997E-5</v>
      </c>
      <c r="AS43">
        <v>5.1999999999999997E-5</v>
      </c>
      <c r="AT43">
        <v>5.1999999999999997E-5</v>
      </c>
      <c r="AU43">
        <v>6.9999999999999994E-5</v>
      </c>
      <c r="AV43">
        <v>6.9999999999999994E-5</v>
      </c>
      <c r="AW43">
        <v>6.9999999999999994E-5</v>
      </c>
      <c r="AX43">
        <v>6.9999999999999994E-5</v>
      </c>
      <c r="AY43">
        <v>6.9999999999999994E-5</v>
      </c>
      <c r="AZ43">
        <v>8.7999999999999998E-5</v>
      </c>
      <c r="BA43">
        <v>8.7999999999999998E-5</v>
      </c>
      <c r="BB43">
        <v>8.7999999999999998E-5</v>
      </c>
      <c r="BC43">
        <v>8.7999999999999998E-5</v>
      </c>
      <c r="BD43">
        <v>8.7999999999999998E-5</v>
      </c>
      <c r="BE43">
        <v>1.11E-4</v>
      </c>
      <c r="BF43">
        <v>1.11E-4</v>
      </c>
      <c r="BG43">
        <v>1.11E-4</v>
      </c>
      <c r="BH43">
        <v>1.11E-4</v>
      </c>
      <c r="BI43">
        <v>1.11E-4</v>
      </c>
      <c r="BJ43">
        <v>1.26E-4</v>
      </c>
      <c r="BK43">
        <v>1.26E-4</v>
      </c>
      <c r="BL43">
        <v>1.26E-4</v>
      </c>
      <c r="BM43">
        <v>1.26E-4</v>
      </c>
      <c r="BN43">
        <v>1.26E-4</v>
      </c>
      <c r="BO43">
        <v>1.74E-4</v>
      </c>
      <c r="BP43">
        <v>1.74E-4</v>
      </c>
      <c r="BQ43">
        <v>1.74E-4</v>
      </c>
      <c r="BR43">
        <v>1.74E-4</v>
      </c>
      <c r="BS43">
        <v>1.74E-4</v>
      </c>
      <c r="BT43">
        <v>2.5099999999999998E-4</v>
      </c>
      <c r="BU43">
        <v>2.5099999999999998E-4</v>
      </c>
      <c r="BV43">
        <v>2.5099999999999998E-4</v>
      </c>
      <c r="BW43">
        <v>2.5099999999999998E-4</v>
      </c>
      <c r="BX43">
        <v>2.5099999999999998E-4</v>
      </c>
      <c r="BY43">
        <v>3.8900000000000002E-4</v>
      </c>
      <c r="BZ43">
        <v>3.8900000000000002E-4</v>
      </c>
      <c r="CA43">
        <v>3.8900000000000002E-4</v>
      </c>
      <c r="CB43">
        <v>3.8900000000000002E-4</v>
      </c>
      <c r="CC43">
        <v>3.8900000000000002E-4</v>
      </c>
      <c r="CD43">
        <v>3.8900000000000002E-4</v>
      </c>
      <c r="CE43">
        <v>3.8900000000000002E-4</v>
      </c>
      <c r="CF43">
        <v>3.8900000000000002E-4</v>
      </c>
      <c r="CG43">
        <v>3.8900000000000002E-4</v>
      </c>
      <c r="CH43">
        <v>3.8900000000000002E-4</v>
      </c>
      <c r="CI43">
        <v>3.8900000000000002E-4</v>
      </c>
      <c r="CJ43">
        <v>3.8900000000000002E-4</v>
      </c>
      <c r="CK43">
        <v>3.8900000000000002E-4</v>
      </c>
      <c r="CL43">
        <v>3.8900000000000002E-4</v>
      </c>
      <c r="CM43">
        <v>3.8900000000000002E-4</v>
      </c>
      <c r="CN43">
        <v>3.8900000000000002E-4</v>
      </c>
      <c r="CO43">
        <v>3.8900000000000002E-4</v>
      </c>
      <c r="CP43">
        <v>3.8900000000000002E-4</v>
      </c>
      <c r="CQ43">
        <v>3.8900000000000002E-4</v>
      </c>
      <c r="CR43">
        <v>3.8900000000000002E-4</v>
      </c>
      <c r="CS43">
        <v>3.8900000000000002E-4</v>
      </c>
      <c r="CT43">
        <v>3.8900000000000002E-4</v>
      </c>
      <c r="CU43">
        <v>3.8900000000000002E-4</v>
      </c>
      <c r="CV43">
        <v>3.8900000000000002E-4</v>
      </c>
      <c r="CW43">
        <v>3.8900000000000002E-4</v>
      </c>
      <c r="CX43">
        <v>3.8900000000000002E-4</v>
      </c>
    </row>
    <row r="44" spans="1:102" x14ac:dyDescent="0.25">
      <c r="A44" t="s">
        <v>153</v>
      </c>
      <c r="B44" t="e">
        <v>#VALUE!</v>
      </c>
      <c r="C44" t="e">
        <v>#VALUE!</v>
      </c>
      <c r="D44" t="e">
        <v>#VALUE!</v>
      </c>
      <c r="E44" t="e">
        <v>#VALUE!</v>
      </c>
      <c r="F44" t="e">
        <v>#VALUE!</v>
      </c>
      <c r="G44" t="e">
        <v>#VALUE!</v>
      </c>
      <c r="H44" t="e">
        <v>#VALUE!</v>
      </c>
      <c r="I44" t="e">
        <v>#VALUE!</v>
      </c>
      <c r="J44" t="e">
        <v>#VALUE!</v>
      </c>
      <c r="K44" t="e">
        <v>#VALUE!</v>
      </c>
      <c r="L44" t="e">
        <v>#VALUE!</v>
      </c>
      <c r="M44" t="e">
        <v>#VALUE!</v>
      </c>
      <c r="N44" t="e">
        <v>#VALUE!</v>
      </c>
      <c r="O44" t="e">
        <v>#VALUE!</v>
      </c>
      <c r="P44" t="e">
        <v>#VALUE!</v>
      </c>
      <c r="Q44">
        <v>2.4000000000000001E-5</v>
      </c>
      <c r="R44">
        <v>2.4000000000000001E-5</v>
      </c>
      <c r="S44">
        <v>2.4000000000000001E-5</v>
      </c>
      <c r="T44">
        <v>2.4000000000000001E-5</v>
      </c>
      <c r="U44">
        <v>2.4000000000000001E-5</v>
      </c>
      <c r="V44">
        <v>2.4000000000000001E-5</v>
      </c>
      <c r="W44">
        <v>2.4000000000000001E-5</v>
      </c>
      <c r="X44">
        <v>2.4000000000000001E-5</v>
      </c>
      <c r="Y44">
        <v>2.4000000000000001E-5</v>
      </c>
      <c r="Z44">
        <v>2.4000000000000001E-5</v>
      </c>
      <c r="AA44">
        <v>2.4000000000000001E-5</v>
      </c>
      <c r="AB44">
        <v>2.4000000000000001E-5</v>
      </c>
      <c r="AC44">
        <v>2.4000000000000001E-5</v>
      </c>
      <c r="AD44">
        <v>2.4000000000000001E-5</v>
      </c>
      <c r="AE44">
        <v>2.4000000000000001E-5</v>
      </c>
      <c r="AF44">
        <v>2.4000000000000001E-5</v>
      </c>
      <c r="AG44">
        <v>2.4000000000000001E-5</v>
      </c>
      <c r="AH44">
        <v>2.4000000000000001E-5</v>
      </c>
      <c r="AI44">
        <v>2.4000000000000001E-5</v>
      </c>
      <c r="AJ44">
        <v>2.4000000000000001E-5</v>
      </c>
      <c r="AK44">
        <v>2.4000000000000001E-5</v>
      </c>
      <c r="AL44">
        <v>2.4000000000000001E-5</v>
      </c>
      <c r="AM44">
        <v>2.4000000000000001E-5</v>
      </c>
      <c r="AN44">
        <v>2.4000000000000001E-5</v>
      </c>
      <c r="AO44">
        <v>2.4000000000000001E-5</v>
      </c>
      <c r="AP44">
        <v>1.45E-4</v>
      </c>
      <c r="AQ44">
        <v>1.45E-4</v>
      </c>
      <c r="AR44">
        <v>1.45E-4</v>
      </c>
      <c r="AS44">
        <v>1.45E-4</v>
      </c>
      <c r="AT44">
        <v>1.45E-4</v>
      </c>
      <c r="AU44">
        <v>2.2900000000000001E-4</v>
      </c>
      <c r="AV44">
        <v>2.2900000000000001E-4</v>
      </c>
      <c r="AW44">
        <v>2.2900000000000001E-4</v>
      </c>
      <c r="AX44">
        <v>2.2900000000000001E-4</v>
      </c>
      <c r="AY44">
        <v>2.2900000000000001E-4</v>
      </c>
      <c r="AZ44">
        <v>3.28E-4</v>
      </c>
      <c r="BA44">
        <v>3.28E-4</v>
      </c>
      <c r="BB44">
        <v>3.28E-4</v>
      </c>
      <c r="BC44">
        <v>3.28E-4</v>
      </c>
      <c r="BD44">
        <v>3.28E-4</v>
      </c>
      <c r="BE44">
        <v>4.2200000000000001E-4</v>
      </c>
      <c r="BF44">
        <v>4.2200000000000001E-4</v>
      </c>
      <c r="BG44">
        <v>4.2200000000000001E-4</v>
      </c>
      <c r="BH44">
        <v>4.2200000000000001E-4</v>
      </c>
      <c r="BI44">
        <v>4.2200000000000001E-4</v>
      </c>
      <c r="BJ44">
        <v>5.22E-4</v>
      </c>
      <c r="BK44">
        <v>5.22E-4</v>
      </c>
      <c r="BL44">
        <v>5.22E-4</v>
      </c>
      <c r="BM44">
        <v>5.22E-4</v>
      </c>
      <c r="BN44">
        <v>5.22E-4</v>
      </c>
      <c r="BO44">
        <v>6.8099999999999996E-4</v>
      </c>
      <c r="BP44">
        <v>6.8099999999999996E-4</v>
      </c>
      <c r="BQ44">
        <v>6.8099999999999996E-4</v>
      </c>
      <c r="BR44">
        <v>6.8099999999999996E-4</v>
      </c>
      <c r="BS44">
        <v>6.8099999999999996E-4</v>
      </c>
      <c r="BT44">
        <v>8.8199999999999997E-4</v>
      </c>
      <c r="BU44">
        <v>8.8199999999999997E-4</v>
      </c>
      <c r="BV44">
        <v>8.8199999999999997E-4</v>
      </c>
      <c r="BW44">
        <v>8.8199999999999997E-4</v>
      </c>
      <c r="BX44">
        <v>8.8199999999999997E-4</v>
      </c>
      <c r="BY44">
        <v>1.145E-3</v>
      </c>
      <c r="BZ44">
        <v>1.145E-3</v>
      </c>
      <c r="CA44">
        <v>1.145E-3</v>
      </c>
      <c r="CB44">
        <v>1.145E-3</v>
      </c>
      <c r="CC44">
        <v>1.145E-3</v>
      </c>
      <c r="CD44">
        <v>1.145E-3</v>
      </c>
      <c r="CE44">
        <v>1.145E-3</v>
      </c>
      <c r="CF44">
        <v>1.145E-3</v>
      </c>
      <c r="CG44">
        <v>1.145E-3</v>
      </c>
      <c r="CH44">
        <v>1.145E-3</v>
      </c>
      <c r="CI44">
        <v>1.145E-3</v>
      </c>
      <c r="CJ44">
        <v>1.145E-3</v>
      </c>
      <c r="CK44">
        <v>1.145E-3</v>
      </c>
      <c r="CL44">
        <v>1.145E-3</v>
      </c>
      <c r="CM44">
        <v>1.145E-3</v>
      </c>
      <c r="CN44">
        <v>1.145E-3</v>
      </c>
      <c r="CO44">
        <v>1.145E-3</v>
      </c>
      <c r="CP44">
        <v>1.145E-3</v>
      </c>
      <c r="CQ44">
        <v>1.145E-3</v>
      </c>
      <c r="CR44">
        <v>1.145E-3</v>
      </c>
      <c r="CS44">
        <v>1.145E-3</v>
      </c>
      <c r="CT44">
        <v>1.145E-3</v>
      </c>
      <c r="CU44">
        <v>1.145E-3</v>
      </c>
      <c r="CV44">
        <v>1.145E-3</v>
      </c>
      <c r="CW44">
        <v>1.145E-3</v>
      </c>
      <c r="CX44">
        <v>1.145E-3</v>
      </c>
    </row>
    <row r="45" spans="1:102" x14ac:dyDescent="0.25">
      <c r="A45" t="s">
        <v>155</v>
      </c>
      <c r="B45" t="e">
        <v>#VALUE!</v>
      </c>
      <c r="C45" t="e">
        <v>#VALUE!</v>
      </c>
      <c r="D45" t="e">
        <v>#VALUE!</v>
      </c>
      <c r="E45" t="e">
        <v>#VALUE!</v>
      </c>
      <c r="F45" t="e">
        <v>#VALUE!</v>
      </c>
      <c r="G45" t="e">
        <v>#VALUE!</v>
      </c>
      <c r="H45" t="e">
        <v>#VALUE!</v>
      </c>
      <c r="I45" t="e">
        <v>#VALUE!</v>
      </c>
      <c r="J45" t="e">
        <v>#VALUE!</v>
      </c>
      <c r="K45" t="e">
        <v>#VALUE!</v>
      </c>
      <c r="L45" t="e">
        <v>#VALUE!</v>
      </c>
      <c r="M45" t="e">
        <v>#VALUE!</v>
      </c>
      <c r="N45" t="e">
        <v>#VALUE!</v>
      </c>
      <c r="O45" t="e">
        <v>#VALUE!</v>
      </c>
      <c r="P45" t="e">
        <v>#VALUE!</v>
      </c>
      <c r="Q45">
        <v>1.0000000000000001E-5</v>
      </c>
      <c r="R45">
        <v>1.0000000000000001E-5</v>
      </c>
      <c r="S45">
        <v>1.0000000000000001E-5</v>
      </c>
      <c r="T45">
        <v>1.0000000000000001E-5</v>
      </c>
      <c r="U45">
        <v>1.0000000000000001E-5</v>
      </c>
      <c r="V45">
        <v>1.0000000000000001E-5</v>
      </c>
      <c r="W45">
        <v>1.0000000000000001E-5</v>
      </c>
      <c r="X45">
        <v>1.0000000000000001E-5</v>
      </c>
      <c r="Y45">
        <v>1.0000000000000001E-5</v>
      </c>
      <c r="Z45">
        <v>1.0000000000000001E-5</v>
      </c>
      <c r="AA45">
        <v>1.0000000000000001E-5</v>
      </c>
      <c r="AB45">
        <v>1.0000000000000001E-5</v>
      </c>
      <c r="AC45">
        <v>1.0000000000000001E-5</v>
      </c>
      <c r="AD45">
        <v>1.0000000000000001E-5</v>
      </c>
      <c r="AE45">
        <v>1.0000000000000001E-5</v>
      </c>
      <c r="AF45">
        <v>1.0000000000000001E-5</v>
      </c>
      <c r="AG45">
        <v>1.0000000000000001E-5</v>
      </c>
      <c r="AH45">
        <v>1.0000000000000001E-5</v>
      </c>
      <c r="AI45">
        <v>1.0000000000000001E-5</v>
      </c>
      <c r="AJ45">
        <v>1.0000000000000001E-5</v>
      </c>
      <c r="AK45">
        <v>1.0000000000000001E-5</v>
      </c>
      <c r="AL45">
        <v>1.0000000000000001E-5</v>
      </c>
      <c r="AM45">
        <v>1.0000000000000001E-5</v>
      </c>
      <c r="AN45">
        <v>1.0000000000000001E-5</v>
      </c>
      <c r="AO45">
        <v>1.0000000000000001E-5</v>
      </c>
      <c r="AP45">
        <v>4.6999999999999997E-5</v>
      </c>
      <c r="AQ45">
        <v>4.6999999999999997E-5</v>
      </c>
      <c r="AR45">
        <v>4.6999999999999997E-5</v>
      </c>
      <c r="AS45">
        <v>4.6999999999999997E-5</v>
      </c>
      <c r="AT45">
        <v>4.6999999999999997E-5</v>
      </c>
      <c r="AU45">
        <v>6.3999999999999997E-5</v>
      </c>
      <c r="AV45">
        <v>6.3999999999999997E-5</v>
      </c>
      <c r="AW45">
        <v>6.3999999999999997E-5</v>
      </c>
      <c r="AX45">
        <v>6.3999999999999997E-5</v>
      </c>
      <c r="AY45">
        <v>6.3999999999999997E-5</v>
      </c>
      <c r="AZ45">
        <v>8.5000000000000006E-5</v>
      </c>
      <c r="BA45">
        <v>8.5000000000000006E-5</v>
      </c>
      <c r="BB45">
        <v>8.5000000000000006E-5</v>
      </c>
      <c r="BC45">
        <v>8.5000000000000006E-5</v>
      </c>
      <c r="BD45">
        <v>8.5000000000000006E-5</v>
      </c>
      <c r="BE45">
        <v>9.2E-5</v>
      </c>
      <c r="BF45">
        <v>9.2E-5</v>
      </c>
      <c r="BG45">
        <v>9.2E-5</v>
      </c>
      <c r="BH45">
        <v>9.2E-5</v>
      </c>
      <c r="BI45">
        <v>9.2E-5</v>
      </c>
      <c r="BJ45">
        <v>1E-4</v>
      </c>
      <c r="BK45">
        <v>1E-4</v>
      </c>
      <c r="BL45">
        <v>1E-4</v>
      </c>
      <c r="BM45">
        <v>1E-4</v>
      </c>
      <c r="BN45">
        <v>1E-4</v>
      </c>
      <c r="BO45">
        <v>1.11E-4</v>
      </c>
      <c r="BP45">
        <v>1.11E-4</v>
      </c>
      <c r="BQ45">
        <v>1.11E-4</v>
      </c>
      <c r="BR45">
        <v>1.11E-4</v>
      </c>
      <c r="BS45">
        <v>1.11E-4</v>
      </c>
      <c r="BT45">
        <v>1.2999999999999999E-4</v>
      </c>
      <c r="BU45">
        <v>1.2999999999999999E-4</v>
      </c>
      <c r="BV45">
        <v>1.2999999999999999E-4</v>
      </c>
      <c r="BW45">
        <v>1.2999999999999999E-4</v>
      </c>
      <c r="BX45">
        <v>1.2999999999999999E-4</v>
      </c>
      <c r="BY45">
        <v>1.84E-4</v>
      </c>
      <c r="BZ45">
        <v>1.84E-4</v>
      </c>
      <c r="CA45">
        <v>1.84E-4</v>
      </c>
      <c r="CB45">
        <v>1.84E-4</v>
      </c>
      <c r="CC45">
        <v>1.84E-4</v>
      </c>
      <c r="CD45">
        <v>1.84E-4</v>
      </c>
      <c r="CE45">
        <v>1.84E-4</v>
      </c>
      <c r="CF45">
        <v>1.84E-4</v>
      </c>
      <c r="CG45">
        <v>1.84E-4</v>
      </c>
      <c r="CH45">
        <v>1.84E-4</v>
      </c>
      <c r="CI45">
        <v>1.84E-4</v>
      </c>
      <c r="CJ45">
        <v>1.84E-4</v>
      </c>
      <c r="CK45">
        <v>1.84E-4</v>
      </c>
      <c r="CL45">
        <v>1.84E-4</v>
      </c>
      <c r="CM45">
        <v>1.84E-4</v>
      </c>
      <c r="CN45">
        <v>1.84E-4</v>
      </c>
      <c r="CO45">
        <v>1.84E-4</v>
      </c>
      <c r="CP45">
        <v>1.84E-4</v>
      </c>
      <c r="CQ45">
        <v>1.84E-4</v>
      </c>
      <c r="CR45">
        <v>1.84E-4</v>
      </c>
      <c r="CS45">
        <v>1.84E-4</v>
      </c>
      <c r="CT45">
        <v>1.84E-4</v>
      </c>
      <c r="CU45">
        <v>1.84E-4</v>
      </c>
      <c r="CV45">
        <v>1.84E-4</v>
      </c>
      <c r="CW45">
        <v>1.84E-4</v>
      </c>
      <c r="CX45">
        <v>1.84E-4</v>
      </c>
    </row>
    <row r="46" spans="1:102" x14ac:dyDescent="0.25">
      <c r="A46" t="s">
        <v>157</v>
      </c>
      <c r="B46" t="e">
        <v>#VALUE!</v>
      </c>
      <c r="C46" t="e">
        <v>#VALUE!</v>
      </c>
      <c r="D46" t="e">
        <v>#VALUE!</v>
      </c>
      <c r="E46" t="e">
        <v>#VALUE!</v>
      </c>
      <c r="F46" t="e">
        <v>#VALUE!</v>
      </c>
      <c r="G46" t="e">
        <v>#VALUE!</v>
      </c>
      <c r="H46" t="e">
        <v>#VALUE!</v>
      </c>
      <c r="I46" t="e">
        <v>#VALUE!</v>
      </c>
      <c r="J46" t="e">
        <v>#VALUE!</v>
      </c>
      <c r="K46" t="e">
        <v>#VALUE!</v>
      </c>
      <c r="L46" t="e">
        <v>#VALUE!</v>
      </c>
      <c r="M46" t="e">
        <v>#VALUE!</v>
      </c>
      <c r="N46" t="e">
        <v>#VALUE!</v>
      </c>
      <c r="O46" t="e">
        <v>#VALUE!</v>
      </c>
      <c r="P46" t="e">
        <v>#VALUE!</v>
      </c>
      <c r="Q46">
        <v>2.9E-5</v>
      </c>
      <c r="R46">
        <v>2.9E-5</v>
      </c>
      <c r="S46">
        <v>2.9E-5</v>
      </c>
      <c r="T46">
        <v>2.9E-5</v>
      </c>
      <c r="U46">
        <v>2.9E-5</v>
      </c>
      <c r="V46">
        <v>2.9E-5</v>
      </c>
      <c r="W46">
        <v>2.9E-5</v>
      </c>
      <c r="X46">
        <v>2.9E-5</v>
      </c>
      <c r="Y46">
        <v>2.9E-5</v>
      </c>
      <c r="Z46">
        <v>2.9E-5</v>
      </c>
      <c r="AA46">
        <v>2.9E-5</v>
      </c>
      <c r="AB46">
        <v>2.9E-5</v>
      </c>
      <c r="AC46">
        <v>2.9E-5</v>
      </c>
      <c r="AD46">
        <v>2.9E-5</v>
      </c>
      <c r="AE46">
        <v>2.9E-5</v>
      </c>
      <c r="AF46">
        <v>2.9E-5</v>
      </c>
      <c r="AG46">
        <v>2.9E-5</v>
      </c>
      <c r="AH46">
        <v>2.9E-5</v>
      </c>
      <c r="AI46">
        <v>2.9E-5</v>
      </c>
      <c r="AJ46">
        <v>2.9E-5</v>
      </c>
      <c r="AK46">
        <v>2.9E-5</v>
      </c>
      <c r="AL46">
        <v>2.9E-5</v>
      </c>
      <c r="AM46">
        <v>2.9E-5</v>
      </c>
      <c r="AN46">
        <v>2.9E-5</v>
      </c>
      <c r="AO46">
        <v>2.9E-5</v>
      </c>
      <c r="AP46">
        <v>1.0900000000000001E-4</v>
      </c>
      <c r="AQ46">
        <v>1.0900000000000001E-4</v>
      </c>
      <c r="AR46">
        <v>1.0900000000000001E-4</v>
      </c>
      <c r="AS46">
        <v>1.0900000000000001E-4</v>
      </c>
      <c r="AT46">
        <v>1.0900000000000001E-4</v>
      </c>
      <c r="AU46">
        <v>1.3999999999999999E-4</v>
      </c>
      <c r="AV46">
        <v>1.3999999999999999E-4</v>
      </c>
      <c r="AW46">
        <v>1.3999999999999999E-4</v>
      </c>
      <c r="AX46">
        <v>1.3999999999999999E-4</v>
      </c>
      <c r="AY46">
        <v>1.3999999999999999E-4</v>
      </c>
      <c r="AZ46">
        <v>1.66E-4</v>
      </c>
      <c r="BA46">
        <v>1.66E-4</v>
      </c>
      <c r="BB46">
        <v>1.66E-4</v>
      </c>
      <c r="BC46">
        <v>1.66E-4</v>
      </c>
      <c r="BD46">
        <v>1.66E-4</v>
      </c>
      <c r="BE46">
        <v>1.8699999999999999E-4</v>
      </c>
      <c r="BF46">
        <v>1.8699999999999999E-4</v>
      </c>
      <c r="BG46">
        <v>1.8699999999999999E-4</v>
      </c>
      <c r="BH46">
        <v>1.8699999999999999E-4</v>
      </c>
      <c r="BI46">
        <v>1.8699999999999999E-4</v>
      </c>
      <c r="BJ46">
        <v>2.03E-4</v>
      </c>
      <c r="BK46">
        <v>2.03E-4</v>
      </c>
      <c r="BL46">
        <v>2.03E-4</v>
      </c>
      <c r="BM46">
        <v>2.03E-4</v>
      </c>
      <c r="BN46">
        <v>2.03E-4</v>
      </c>
      <c r="BO46">
        <v>2.2499999999999999E-4</v>
      </c>
      <c r="BP46">
        <v>2.2499999999999999E-4</v>
      </c>
      <c r="BQ46">
        <v>2.2499999999999999E-4</v>
      </c>
      <c r="BR46">
        <v>2.2499999999999999E-4</v>
      </c>
      <c r="BS46">
        <v>2.2499999999999999E-4</v>
      </c>
      <c r="BT46">
        <v>2.5000000000000001E-4</v>
      </c>
      <c r="BU46">
        <v>2.5000000000000001E-4</v>
      </c>
      <c r="BV46">
        <v>2.5000000000000001E-4</v>
      </c>
      <c r="BW46">
        <v>2.5000000000000001E-4</v>
      </c>
      <c r="BX46">
        <v>2.5000000000000001E-4</v>
      </c>
      <c r="BY46">
        <v>2.8800000000000001E-4</v>
      </c>
      <c r="BZ46">
        <v>2.8800000000000001E-4</v>
      </c>
      <c r="CA46">
        <v>2.8800000000000001E-4</v>
      </c>
      <c r="CB46">
        <v>2.8800000000000001E-4</v>
      </c>
      <c r="CC46">
        <v>2.8800000000000001E-4</v>
      </c>
      <c r="CD46">
        <v>2.8800000000000001E-4</v>
      </c>
      <c r="CE46">
        <v>2.8800000000000001E-4</v>
      </c>
      <c r="CF46">
        <v>2.8800000000000001E-4</v>
      </c>
      <c r="CG46">
        <v>2.8800000000000001E-4</v>
      </c>
      <c r="CH46">
        <v>2.8800000000000001E-4</v>
      </c>
      <c r="CI46">
        <v>2.8800000000000001E-4</v>
      </c>
      <c r="CJ46">
        <v>2.8800000000000001E-4</v>
      </c>
      <c r="CK46">
        <v>2.8800000000000001E-4</v>
      </c>
      <c r="CL46">
        <v>2.8800000000000001E-4</v>
      </c>
      <c r="CM46">
        <v>2.8800000000000001E-4</v>
      </c>
      <c r="CN46">
        <v>2.8800000000000001E-4</v>
      </c>
      <c r="CO46">
        <v>2.8800000000000001E-4</v>
      </c>
      <c r="CP46">
        <v>2.8800000000000001E-4</v>
      </c>
      <c r="CQ46">
        <v>2.8800000000000001E-4</v>
      </c>
      <c r="CR46">
        <v>2.8800000000000001E-4</v>
      </c>
      <c r="CS46">
        <v>2.8800000000000001E-4</v>
      </c>
      <c r="CT46">
        <v>2.8800000000000001E-4</v>
      </c>
      <c r="CU46">
        <v>2.8800000000000001E-4</v>
      </c>
      <c r="CV46">
        <v>2.8800000000000001E-4</v>
      </c>
      <c r="CW46">
        <v>2.8800000000000001E-4</v>
      </c>
      <c r="CX46">
        <v>2.8800000000000001E-4</v>
      </c>
    </row>
    <row r="47" spans="1:102" x14ac:dyDescent="0.25">
      <c r="A47" t="s">
        <v>159</v>
      </c>
      <c r="B47" t="e">
        <v>#VALUE!</v>
      </c>
      <c r="C47" t="e">
        <v>#VALUE!</v>
      </c>
      <c r="D47" t="e">
        <v>#VALUE!</v>
      </c>
      <c r="E47" t="e">
        <v>#VALUE!</v>
      </c>
      <c r="F47" t="e">
        <v>#VALUE!</v>
      </c>
      <c r="G47" t="e">
        <v>#VALUE!</v>
      </c>
      <c r="H47" t="e">
        <v>#VALUE!</v>
      </c>
      <c r="I47" t="e">
        <v>#VALUE!</v>
      </c>
      <c r="J47" t="e">
        <v>#VALUE!</v>
      </c>
      <c r="K47" t="e">
        <v>#VALUE!</v>
      </c>
      <c r="L47" t="e">
        <v>#VALUE!</v>
      </c>
      <c r="M47" t="e">
        <v>#VALUE!</v>
      </c>
      <c r="N47" t="e">
        <v>#VALUE!</v>
      </c>
      <c r="O47" t="e">
        <v>#VALUE!</v>
      </c>
      <c r="P47" t="e">
        <v>#VALUE!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2.6999999999999999E-5</v>
      </c>
      <c r="AQ47">
        <v>2.6999999999999999E-5</v>
      </c>
      <c r="AR47">
        <v>2.6999999999999999E-5</v>
      </c>
      <c r="AS47">
        <v>2.6999999999999999E-5</v>
      </c>
      <c r="AT47">
        <v>2.6999999999999999E-5</v>
      </c>
      <c r="AU47" t="e">
        <v>#VALUE!</v>
      </c>
      <c r="AV47" t="e">
        <v>#VALUE!</v>
      </c>
      <c r="AW47" t="e">
        <v>#VALUE!</v>
      </c>
      <c r="AX47" t="e">
        <v>#VALUE!</v>
      </c>
      <c r="AY47" t="e">
        <v>#VALUE!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6.2000000000000003E-5</v>
      </c>
      <c r="BF47">
        <v>6.2000000000000003E-5</v>
      </c>
      <c r="BG47">
        <v>6.2000000000000003E-5</v>
      </c>
      <c r="BH47">
        <v>6.2000000000000003E-5</v>
      </c>
      <c r="BI47">
        <v>6.2000000000000003E-5</v>
      </c>
      <c r="BJ47">
        <v>3.6000000000000001E-5</v>
      </c>
      <c r="BK47">
        <v>3.6000000000000001E-5</v>
      </c>
      <c r="BL47">
        <v>3.6000000000000001E-5</v>
      </c>
      <c r="BM47">
        <v>3.6000000000000001E-5</v>
      </c>
      <c r="BN47">
        <v>3.6000000000000001E-5</v>
      </c>
      <c r="BO47" t="e">
        <v>#VALUE!</v>
      </c>
      <c r="BP47" t="e">
        <v>#VALUE!</v>
      </c>
      <c r="BQ47" t="e">
        <v>#VALUE!</v>
      </c>
      <c r="BR47" t="e">
        <v>#VALUE!</v>
      </c>
      <c r="BS47" t="e">
        <v>#VALUE!</v>
      </c>
      <c r="BT47">
        <v>5.3999999999999998E-5</v>
      </c>
      <c r="BU47">
        <v>5.3999999999999998E-5</v>
      </c>
      <c r="BV47">
        <v>5.3999999999999998E-5</v>
      </c>
      <c r="BW47">
        <v>5.3999999999999998E-5</v>
      </c>
      <c r="BX47">
        <v>5.3999999999999998E-5</v>
      </c>
      <c r="BY47">
        <v>3.4099999999999999E-4</v>
      </c>
      <c r="BZ47">
        <v>3.4099999999999999E-4</v>
      </c>
      <c r="CA47">
        <v>3.4099999999999999E-4</v>
      </c>
      <c r="CB47">
        <v>3.4099999999999999E-4</v>
      </c>
      <c r="CC47">
        <v>3.4099999999999999E-4</v>
      </c>
      <c r="CD47">
        <v>3.4099999999999999E-4</v>
      </c>
      <c r="CE47">
        <v>3.4099999999999999E-4</v>
      </c>
      <c r="CF47">
        <v>3.4099999999999999E-4</v>
      </c>
      <c r="CG47">
        <v>3.4099999999999999E-4</v>
      </c>
      <c r="CH47">
        <v>3.4099999999999999E-4</v>
      </c>
      <c r="CI47">
        <v>3.4099999999999999E-4</v>
      </c>
      <c r="CJ47">
        <v>3.4099999999999999E-4</v>
      </c>
      <c r="CK47">
        <v>3.4099999999999999E-4</v>
      </c>
      <c r="CL47">
        <v>3.4099999999999999E-4</v>
      </c>
      <c r="CM47">
        <v>3.4099999999999999E-4</v>
      </c>
      <c r="CN47">
        <v>3.4099999999999999E-4</v>
      </c>
      <c r="CO47">
        <v>3.4099999999999999E-4</v>
      </c>
      <c r="CP47">
        <v>3.4099999999999999E-4</v>
      </c>
      <c r="CQ47">
        <v>3.4099999999999999E-4</v>
      </c>
      <c r="CR47">
        <v>3.4099999999999999E-4</v>
      </c>
      <c r="CS47">
        <v>3.4099999999999999E-4</v>
      </c>
      <c r="CT47">
        <v>3.4099999999999999E-4</v>
      </c>
      <c r="CU47">
        <v>3.4099999999999999E-4</v>
      </c>
      <c r="CV47">
        <v>3.4099999999999999E-4</v>
      </c>
      <c r="CW47">
        <v>3.4099999999999999E-4</v>
      </c>
      <c r="CX47">
        <v>3.4099999999999999E-4</v>
      </c>
    </row>
    <row r="48" spans="1:102" x14ac:dyDescent="0.25">
      <c r="A48" t="s">
        <v>161</v>
      </c>
      <c r="B48" t="e">
        <v>#VALUE!</v>
      </c>
      <c r="C48" t="e">
        <v>#VALUE!</v>
      </c>
      <c r="D48" t="e">
        <v>#VALUE!</v>
      </c>
      <c r="E48" t="e">
        <v>#VALUE!</v>
      </c>
      <c r="F48" t="e">
        <v>#VALUE!</v>
      </c>
      <c r="G48" t="e">
        <v>#VALUE!</v>
      </c>
      <c r="H48" t="e">
        <v>#VALUE!</v>
      </c>
      <c r="I48" t="e">
        <v>#VALUE!</v>
      </c>
      <c r="J48" t="e">
        <v>#VALUE!</v>
      </c>
      <c r="K48" t="e">
        <v>#VALUE!</v>
      </c>
      <c r="L48" t="e">
        <v>#VALUE!</v>
      </c>
      <c r="M48" t="e">
        <v>#VALUE!</v>
      </c>
      <c r="N48" t="e">
        <v>#VALUE!</v>
      </c>
      <c r="O48" t="e">
        <v>#VALUE!</v>
      </c>
      <c r="P48" t="e">
        <v>#VALUE!</v>
      </c>
      <c r="Q48">
        <v>9.0000000000000002E-6</v>
      </c>
      <c r="R48">
        <v>9.0000000000000002E-6</v>
      </c>
      <c r="S48">
        <v>9.0000000000000002E-6</v>
      </c>
      <c r="T48">
        <v>9.0000000000000002E-6</v>
      </c>
      <c r="U48">
        <v>9.0000000000000002E-6</v>
      </c>
      <c r="V48">
        <v>9.0000000000000002E-6</v>
      </c>
      <c r="W48">
        <v>9.0000000000000002E-6</v>
      </c>
      <c r="X48">
        <v>9.0000000000000002E-6</v>
      </c>
      <c r="Y48">
        <v>9.0000000000000002E-6</v>
      </c>
      <c r="Z48">
        <v>9.0000000000000002E-6</v>
      </c>
      <c r="AA48">
        <v>9.0000000000000002E-6</v>
      </c>
      <c r="AB48">
        <v>9.0000000000000002E-6</v>
      </c>
      <c r="AC48">
        <v>9.0000000000000002E-6</v>
      </c>
      <c r="AD48">
        <v>9.0000000000000002E-6</v>
      </c>
      <c r="AE48">
        <v>9.0000000000000002E-6</v>
      </c>
      <c r="AF48">
        <v>9.0000000000000002E-6</v>
      </c>
      <c r="AG48">
        <v>9.0000000000000002E-6</v>
      </c>
      <c r="AH48">
        <v>9.0000000000000002E-6</v>
      </c>
      <c r="AI48">
        <v>9.0000000000000002E-6</v>
      </c>
      <c r="AJ48">
        <v>9.0000000000000002E-6</v>
      </c>
      <c r="AK48">
        <v>9.0000000000000002E-6</v>
      </c>
      <c r="AL48">
        <v>9.0000000000000002E-6</v>
      </c>
      <c r="AM48">
        <v>9.0000000000000002E-6</v>
      </c>
      <c r="AN48">
        <v>9.0000000000000002E-6</v>
      </c>
      <c r="AO48">
        <v>9.0000000000000002E-6</v>
      </c>
      <c r="AP48">
        <v>4.1E-5</v>
      </c>
      <c r="AQ48">
        <v>4.1E-5</v>
      </c>
      <c r="AR48">
        <v>4.1E-5</v>
      </c>
      <c r="AS48">
        <v>4.1E-5</v>
      </c>
      <c r="AT48">
        <v>4.1E-5</v>
      </c>
      <c r="AU48">
        <v>6.0000000000000002E-5</v>
      </c>
      <c r="AV48">
        <v>6.0000000000000002E-5</v>
      </c>
      <c r="AW48">
        <v>6.0000000000000002E-5</v>
      </c>
      <c r="AX48">
        <v>6.0000000000000002E-5</v>
      </c>
      <c r="AY48">
        <v>6.0000000000000002E-5</v>
      </c>
      <c r="AZ48">
        <v>7.7000000000000001E-5</v>
      </c>
      <c r="BA48">
        <v>7.7000000000000001E-5</v>
      </c>
      <c r="BB48">
        <v>7.7000000000000001E-5</v>
      </c>
      <c r="BC48">
        <v>7.7000000000000001E-5</v>
      </c>
      <c r="BD48">
        <v>7.7000000000000001E-5</v>
      </c>
      <c r="BE48">
        <v>9.5000000000000005E-5</v>
      </c>
      <c r="BF48">
        <v>9.5000000000000005E-5</v>
      </c>
      <c r="BG48">
        <v>9.5000000000000005E-5</v>
      </c>
      <c r="BH48">
        <v>9.5000000000000005E-5</v>
      </c>
      <c r="BI48">
        <v>9.5000000000000005E-5</v>
      </c>
      <c r="BJ48">
        <v>1.16E-4</v>
      </c>
      <c r="BK48">
        <v>1.16E-4</v>
      </c>
      <c r="BL48">
        <v>1.16E-4</v>
      </c>
      <c r="BM48">
        <v>1.16E-4</v>
      </c>
      <c r="BN48">
        <v>1.16E-4</v>
      </c>
      <c r="BO48">
        <v>1.2999999999999999E-4</v>
      </c>
      <c r="BP48">
        <v>1.2999999999999999E-4</v>
      </c>
      <c r="BQ48">
        <v>1.2999999999999999E-4</v>
      </c>
      <c r="BR48">
        <v>1.2999999999999999E-4</v>
      </c>
      <c r="BS48">
        <v>1.2999999999999999E-4</v>
      </c>
      <c r="BT48">
        <v>1.4100000000000001E-4</v>
      </c>
      <c r="BU48">
        <v>1.4100000000000001E-4</v>
      </c>
      <c r="BV48">
        <v>1.4100000000000001E-4</v>
      </c>
      <c r="BW48">
        <v>1.4100000000000001E-4</v>
      </c>
      <c r="BX48">
        <v>1.4100000000000001E-4</v>
      </c>
      <c r="BY48">
        <v>1.8100000000000001E-4</v>
      </c>
      <c r="BZ48">
        <v>1.8100000000000001E-4</v>
      </c>
      <c r="CA48">
        <v>1.8100000000000001E-4</v>
      </c>
      <c r="CB48">
        <v>1.8100000000000001E-4</v>
      </c>
      <c r="CC48">
        <v>1.8100000000000001E-4</v>
      </c>
      <c r="CD48">
        <v>1.8100000000000001E-4</v>
      </c>
      <c r="CE48">
        <v>1.8100000000000001E-4</v>
      </c>
      <c r="CF48">
        <v>1.8100000000000001E-4</v>
      </c>
      <c r="CG48">
        <v>1.8100000000000001E-4</v>
      </c>
      <c r="CH48">
        <v>1.8100000000000001E-4</v>
      </c>
      <c r="CI48">
        <v>1.8100000000000001E-4</v>
      </c>
      <c r="CJ48">
        <v>1.8100000000000001E-4</v>
      </c>
      <c r="CK48">
        <v>1.8100000000000001E-4</v>
      </c>
      <c r="CL48">
        <v>1.8100000000000001E-4</v>
      </c>
      <c r="CM48">
        <v>1.8100000000000001E-4</v>
      </c>
      <c r="CN48">
        <v>1.8100000000000001E-4</v>
      </c>
      <c r="CO48">
        <v>1.8100000000000001E-4</v>
      </c>
      <c r="CP48">
        <v>1.8100000000000001E-4</v>
      </c>
      <c r="CQ48">
        <v>1.8100000000000001E-4</v>
      </c>
      <c r="CR48">
        <v>1.8100000000000001E-4</v>
      </c>
      <c r="CS48">
        <v>1.8100000000000001E-4</v>
      </c>
      <c r="CT48">
        <v>1.8100000000000001E-4</v>
      </c>
      <c r="CU48">
        <v>1.8100000000000001E-4</v>
      </c>
      <c r="CV48">
        <v>1.8100000000000001E-4</v>
      </c>
      <c r="CW48">
        <v>1.8100000000000001E-4</v>
      </c>
      <c r="CX48">
        <v>1.8100000000000001E-4</v>
      </c>
    </row>
    <row r="49" spans="1:102" x14ac:dyDescent="0.25">
      <c r="A49" t="s">
        <v>163</v>
      </c>
      <c r="B49" t="e">
        <v>#VALUE!</v>
      </c>
      <c r="C49" t="e">
        <v>#VALUE!</v>
      </c>
      <c r="D49" t="e">
        <v>#VALUE!</v>
      </c>
      <c r="E49" t="e">
        <v>#VALUE!</v>
      </c>
      <c r="F49" t="e">
        <v>#VALUE!</v>
      </c>
      <c r="G49" t="e">
        <v>#VALUE!</v>
      </c>
      <c r="H49" t="e">
        <v>#VALUE!</v>
      </c>
      <c r="I49" t="e">
        <v>#VALUE!</v>
      </c>
      <c r="J49" t="e">
        <v>#VALUE!</v>
      </c>
      <c r="K49" t="e">
        <v>#VALUE!</v>
      </c>
      <c r="L49" t="e">
        <v>#VALUE!</v>
      </c>
      <c r="M49" t="e">
        <v>#VALUE!</v>
      </c>
      <c r="N49" t="e">
        <v>#VALUE!</v>
      </c>
      <c r="O49" t="e">
        <v>#VALUE!</v>
      </c>
      <c r="P49" t="e">
        <v>#VALUE!</v>
      </c>
      <c r="Q49">
        <v>9.0000000000000002E-6</v>
      </c>
      <c r="R49">
        <v>9.0000000000000002E-6</v>
      </c>
      <c r="S49">
        <v>9.0000000000000002E-6</v>
      </c>
      <c r="T49">
        <v>9.0000000000000002E-6</v>
      </c>
      <c r="U49">
        <v>9.0000000000000002E-6</v>
      </c>
      <c r="V49">
        <v>9.0000000000000002E-6</v>
      </c>
      <c r="W49">
        <v>9.0000000000000002E-6</v>
      </c>
      <c r="X49">
        <v>9.0000000000000002E-6</v>
      </c>
      <c r="Y49">
        <v>9.0000000000000002E-6</v>
      </c>
      <c r="Z49">
        <v>9.0000000000000002E-6</v>
      </c>
      <c r="AA49">
        <v>9.0000000000000002E-6</v>
      </c>
      <c r="AB49">
        <v>9.0000000000000002E-6</v>
      </c>
      <c r="AC49">
        <v>9.0000000000000002E-6</v>
      </c>
      <c r="AD49">
        <v>9.0000000000000002E-6</v>
      </c>
      <c r="AE49">
        <v>9.0000000000000002E-6</v>
      </c>
      <c r="AF49">
        <v>9.0000000000000002E-6</v>
      </c>
      <c r="AG49">
        <v>9.0000000000000002E-6</v>
      </c>
      <c r="AH49">
        <v>9.0000000000000002E-6</v>
      </c>
      <c r="AI49">
        <v>9.0000000000000002E-6</v>
      </c>
      <c r="AJ49">
        <v>9.0000000000000002E-6</v>
      </c>
      <c r="AK49">
        <v>9.0000000000000002E-6</v>
      </c>
      <c r="AL49">
        <v>9.0000000000000002E-6</v>
      </c>
      <c r="AM49">
        <v>9.0000000000000002E-6</v>
      </c>
      <c r="AN49">
        <v>9.0000000000000002E-6</v>
      </c>
      <c r="AO49">
        <v>9.0000000000000002E-6</v>
      </c>
      <c r="AP49">
        <v>3.0000000000000001E-5</v>
      </c>
      <c r="AQ49">
        <v>3.0000000000000001E-5</v>
      </c>
      <c r="AR49">
        <v>3.0000000000000001E-5</v>
      </c>
      <c r="AS49">
        <v>3.0000000000000001E-5</v>
      </c>
      <c r="AT49">
        <v>3.0000000000000001E-5</v>
      </c>
      <c r="AU49">
        <v>3.8999999999999999E-5</v>
      </c>
      <c r="AV49">
        <v>3.8999999999999999E-5</v>
      </c>
      <c r="AW49">
        <v>3.8999999999999999E-5</v>
      </c>
      <c r="AX49">
        <v>3.8999999999999999E-5</v>
      </c>
      <c r="AY49">
        <v>3.8999999999999999E-5</v>
      </c>
      <c r="AZ49">
        <v>4.3000000000000002E-5</v>
      </c>
      <c r="BA49">
        <v>4.3000000000000002E-5</v>
      </c>
      <c r="BB49">
        <v>4.3000000000000002E-5</v>
      </c>
      <c r="BC49">
        <v>4.3000000000000002E-5</v>
      </c>
      <c r="BD49">
        <v>4.3000000000000002E-5</v>
      </c>
      <c r="BE49">
        <v>4.1E-5</v>
      </c>
      <c r="BF49">
        <v>4.1E-5</v>
      </c>
      <c r="BG49">
        <v>4.1E-5</v>
      </c>
      <c r="BH49">
        <v>4.1E-5</v>
      </c>
      <c r="BI49">
        <v>4.1E-5</v>
      </c>
      <c r="BJ49">
        <v>4.3999999999999999E-5</v>
      </c>
      <c r="BK49">
        <v>4.3999999999999999E-5</v>
      </c>
      <c r="BL49">
        <v>4.3999999999999999E-5</v>
      </c>
      <c r="BM49">
        <v>4.3999999999999999E-5</v>
      </c>
      <c r="BN49">
        <v>4.3999999999999999E-5</v>
      </c>
      <c r="BO49">
        <v>5.3000000000000001E-5</v>
      </c>
      <c r="BP49">
        <v>5.3000000000000001E-5</v>
      </c>
      <c r="BQ49">
        <v>5.3000000000000001E-5</v>
      </c>
      <c r="BR49">
        <v>5.3000000000000001E-5</v>
      </c>
      <c r="BS49">
        <v>5.3000000000000001E-5</v>
      </c>
      <c r="BT49">
        <v>7.2000000000000002E-5</v>
      </c>
      <c r="BU49">
        <v>7.2000000000000002E-5</v>
      </c>
      <c r="BV49">
        <v>7.2000000000000002E-5</v>
      </c>
      <c r="BW49">
        <v>7.2000000000000002E-5</v>
      </c>
      <c r="BX49">
        <v>7.2000000000000002E-5</v>
      </c>
      <c r="BY49">
        <v>1.4200000000000001E-4</v>
      </c>
      <c r="BZ49">
        <v>1.4200000000000001E-4</v>
      </c>
      <c r="CA49">
        <v>1.4200000000000001E-4</v>
      </c>
      <c r="CB49">
        <v>1.4200000000000001E-4</v>
      </c>
      <c r="CC49">
        <v>1.4200000000000001E-4</v>
      </c>
      <c r="CD49">
        <v>1.4200000000000001E-4</v>
      </c>
      <c r="CE49">
        <v>1.4200000000000001E-4</v>
      </c>
      <c r="CF49">
        <v>1.4200000000000001E-4</v>
      </c>
      <c r="CG49">
        <v>1.4200000000000001E-4</v>
      </c>
      <c r="CH49">
        <v>1.4200000000000001E-4</v>
      </c>
      <c r="CI49">
        <v>1.4200000000000001E-4</v>
      </c>
      <c r="CJ49">
        <v>1.4200000000000001E-4</v>
      </c>
      <c r="CK49">
        <v>1.4200000000000001E-4</v>
      </c>
      <c r="CL49">
        <v>1.4200000000000001E-4</v>
      </c>
      <c r="CM49">
        <v>1.4200000000000001E-4</v>
      </c>
      <c r="CN49">
        <v>1.4200000000000001E-4</v>
      </c>
      <c r="CO49">
        <v>1.4200000000000001E-4</v>
      </c>
      <c r="CP49">
        <v>1.4200000000000001E-4</v>
      </c>
      <c r="CQ49">
        <v>1.4200000000000001E-4</v>
      </c>
      <c r="CR49">
        <v>1.4200000000000001E-4</v>
      </c>
      <c r="CS49">
        <v>1.4200000000000001E-4</v>
      </c>
      <c r="CT49">
        <v>1.4200000000000001E-4</v>
      </c>
      <c r="CU49">
        <v>1.4200000000000001E-4</v>
      </c>
      <c r="CV49">
        <v>1.4200000000000001E-4</v>
      </c>
      <c r="CW49">
        <v>1.4200000000000001E-4</v>
      </c>
      <c r="CX49">
        <v>1.4200000000000001E-4</v>
      </c>
    </row>
    <row r="50" spans="1:102" x14ac:dyDescent="0.25">
      <c r="A50" t="s">
        <v>165</v>
      </c>
      <c r="B50" t="e">
        <v>#VALUE!</v>
      </c>
      <c r="C50" t="e">
        <v>#VALUE!</v>
      </c>
      <c r="D50" t="e">
        <v>#VALUE!</v>
      </c>
      <c r="E50" t="e">
        <v>#VALUE!</v>
      </c>
      <c r="F50" t="e">
        <v>#VALUE!</v>
      </c>
      <c r="G50" t="e">
        <v>#VALUE!</v>
      </c>
      <c r="H50" t="e">
        <v>#VALUE!</v>
      </c>
      <c r="I50" t="e">
        <v>#VALUE!</v>
      </c>
      <c r="J50" t="e">
        <v>#VALUE!</v>
      </c>
      <c r="K50" t="e">
        <v>#VALUE!</v>
      </c>
      <c r="L50" t="e">
        <v>#VALUE!</v>
      </c>
      <c r="M50" t="e">
        <v>#VALUE!</v>
      </c>
      <c r="N50" t="e">
        <v>#VALUE!</v>
      </c>
      <c r="O50" t="e">
        <v>#VALUE!</v>
      </c>
      <c r="P50" t="e">
        <v>#VALUE!</v>
      </c>
      <c r="Q50">
        <v>2.0000000000000002E-5</v>
      </c>
      <c r="R50">
        <v>2.0000000000000002E-5</v>
      </c>
      <c r="S50">
        <v>2.0000000000000002E-5</v>
      </c>
      <c r="T50">
        <v>2.0000000000000002E-5</v>
      </c>
      <c r="U50">
        <v>2.0000000000000002E-5</v>
      </c>
      <c r="V50">
        <v>2.0000000000000002E-5</v>
      </c>
      <c r="W50">
        <v>2.0000000000000002E-5</v>
      </c>
      <c r="X50">
        <v>2.0000000000000002E-5</v>
      </c>
      <c r="Y50">
        <v>2.0000000000000002E-5</v>
      </c>
      <c r="Z50">
        <v>2.0000000000000002E-5</v>
      </c>
      <c r="AA50">
        <v>2.0000000000000002E-5</v>
      </c>
      <c r="AB50">
        <v>2.0000000000000002E-5</v>
      </c>
      <c r="AC50">
        <v>2.0000000000000002E-5</v>
      </c>
      <c r="AD50">
        <v>2.0000000000000002E-5</v>
      </c>
      <c r="AE50">
        <v>2.0000000000000002E-5</v>
      </c>
      <c r="AF50">
        <v>2.0000000000000002E-5</v>
      </c>
      <c r="AG50">
        <v>2.0000000000000002E-5</v>
      </c>
      <c r="AH50">
        <v>2.0000000000000002E-5</v>
      </c>
      <c r="AI50">
        <v>2.0000000000000002E-5</v>
      </c>
      <c r="AJ50">
        <v>2.0000000000000002E-5</v>
      </c>
      <c r="AK50">
        <v>2.0000000000000002E-5</v>
      </c>
      <c r="AL50">
        <v>2.0000000000000002E-5</v>
      </c>
      <c r="AM50">
        <v>2.0000000000000002E-5</v>
      </c>
      <c r="AN50">
        <v>2.0000000000000002E-5</v>
      </c>
      <c r="AO50">
        <v>2.0000000000000002E-5</v>
      </c>
      <c r="AP50">
        <v>8.3999999999999995E-5</v>
      </c>
      <c r="AQ50">
        <v>8.3999999999999995E-5</v>
      </c>
      <c r="AR50">
        <v>8.3999999999999995E-5</v>
      </c>
      <c r="AS50">
        <v>8.3999999999999995E-5</v>
      </c>
      <c r="AT50">
        <v>8.3999999999999995E-5</v>
      </c>
      <c r="AU50">
        <v>2.0100000000000001E-4</v>
      </c>
      <c r="AV50">
        <v>2.0100000000000001E-4</v>
      </c>
      <c r="AW50">
        <v>2.0100000000000001E-4</v>
      </c>
      <c r="AX50">
        <v>2.0100000000000001E-4</v>
      </c>
      <c r="AY50">
        <v>2.0100000000000001E-4</v>
      </c>
      <c r="AZ50">
        <v>3.0800000000000001E-4</v>
      </c>
      <c r="BA50">
        <v>3.0800000000000001E-4</v>
      </c>
      <c r="BB50">
        <v>3.0800000000000001E-4</v>
      </c>
      <c r="BC50">
        <v>3.0800000000000001E-4</v>
      </c>
      <c r="BD50">
        <v>3.0800000000000001E-4</v>
      </c>
      <c r="BE50">
        <v>3.9100000000000002E-4</v>
      </c>
      <c r="BF50">
        <v>3.9100000000000002E-4</v>
      </c>
      <c r="BG50">
        <v>3.9100000000000002E-4</v>
      </c>
      <c r="BH50">
        <v>3.9100000000000002E-4</v>
      </c>
      <c r="BI50">
        <v>3.9100000000000002E-4</v>
      </c>
      <c r="BJ50">
        <v>4.8899999999999996E-4</v>
      </c>
      <c r="BK50">
        <v>4.8899999999999996E-4</v>
      </c>
      <c r="BL50">
        <v>4.8899999999999996E-4</v>
      </c>
      <c r="BM50">
        <v>4.8899999999999996E-4</v>
      </c>
      <c r="BN50">
        <v>4.8899999999999996E-4</v>
      </c>
      <c r="BO50">
        <v>5.1900000000000004E-4</v>
      </c>
      <c r="BP50">
        <v>5.1900000000000004E-4</v>
      </c>
      <c r="BQ50">
        <v>5.1900000000000004E-4</v>
      </c>
      <c r="BR50">
        <v>5.1900000000000004E-4</v>
      </c>
      <c r="BS50">
        <v>5.1900000000000004E-4</v>
      </c>
      <c r="BT50">
        <v>5.9199999999999997E-4</v>
      </c>
      <c r="BU50">
        <v>5.9199999999999997E-4</v>
      </c>
      <c r="BV50">
        <v>5.9199999999999997E-4</v>
      </c>
      <c r="BW50">
        <v>5.9199999999999997E-4</v>
      </c>
      <c r="BX50">
        <v>5.9199999999999997E-4</v>
      </c>
      <c r="BY50">
        <v>6.1200000000000002E-4</v>
      </c>
      <c r="BZ50">
        <v>6.1200000000000002E-4</v>
      </c>
      <c r="CA50">
        <v>6.1200000000000002E-4</v>
      </c>
      <c r="CB50">
        <v>6.1200000000000002E-4</v>
      </c>
      <c r="CC50">
        <v>6.1200000000000002E-4</v>
      </c>
      <c r="CD50">
        <v>6.1200000000000002E-4</v>
      </c>
      <c r="CE50">
        <v>6.1200000000000002E-4</v>
      </c>
      <c r="CF50">
        <v>6.1200000000000002E-4</v>
      </c>
      <c r="CG50">
        <v>6.1200000000000002E-4</v>
      </c>
      <c r="CH50">
        <v>6.1200000000000002E-4</v>
      </c>
      <c r="CI50">
        <v>6.1200000000000002E-4</v>
      </c>
      <c r="CJ50">
        <v>6.1200000000000002E-4</v>
      </c>
      <c r="CK50">
        <v>6.1200000000000002E-4</v>
      </c>
      <c r="CL50">
        <v>6.1200000000000002E-4</v>
      </c>
      <c r="CM50">
        <v>6.1200000000000002E-4</v>
      </c>
      <c r="CN50">
        <v>6.1200000000000002E-4</v>
      </c>
      <c r="CO50">
        <v>6.1200000000000002E-4</v>
      </c>
      <c r="CP50">
        <v>6.1200000000000002E-4</v>
      </c>
      <c r="CQ50">
        <v>6.1200000000000002E-4</v>
      </c>
      <c r="CR50">
        <v>6.1200000000000002E-4</v>
      </c>
      <c r="CS50">
        <v>6.1200000000000002E-4</v>
      </c>
      <c r="CT50">
        <v>6.1200000000000002E-4</v>
      </c>
      <c r="CU50">
        <v>6.1200000000000002E-4</v>
      </c>
      <c r="CV50">
        <v>6.1200000000000002E-4</v>
      </c>
      <c r="CW50">
        <v>6.1200000000000002E-4</v>
      </c>
      <c r="CX50">
        <v>6.1200000000000002E-4</v>
      </c>
    </row>
    <row r="51" spans="1:102" x14ac:dyDescent="0.25">
      <c r="A51" t="s">
        <v>167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2.3E-5</v>
      </c>
      <c r="R51">
        <v>2.3E-5</v>
      </c>
      <c r="S51">
        <v>2.3E-5</v>
      </c>
      <c r="T51">
        <v>2.3E-5</v>
      </c>
      <c r="U51">
        <v>2.3E-5</v>
      </c>
      <c r="V51">
        <v>2.3E-5</v>
      </c>
      <c r="W51">
        <v>2.3E-5</v>
      </c>
      <c r="X51">
        <v>2.3E-5</v>
      </c>
      <c r="Y51">
        <v>2.3E-5</v>
      </c>
      <c r="Z51">
        <v>2.3E-5</v>
      </c>
      <c r="AA51">
        <v>2.3E-5</v>
      </c>
      <c r="AB51">
        <v>2.3E-5</v>
      </c>
      <c r="AC51">
        <v>2.3E-5</v>
      </c>
      <c r="AD51">
        <v>2.3E-5</v>
      </c>
      <c r="AE51">
        <v>2.3E-5</v>
      </c>
      <c r="AF51">
        <v>2.3E-5</v>
      </c>
      <c r="AG51">
        <v>2.3E-5</v>
      </c>
      <c r="AH51">
        <v>2.3E-5</v>
      </c>
      <c r="AI51">
        <v>2.3E-5</v>
      </c>
      <c r="AJ51">
        <v>2.3E-5</v>
      </c>
      <c r="AK51">
        <v>2.3E-5</v>
      </c>
      <c r="AL51">
        <v>2.3E-5</v>
      </c>
      <c r="AM51">
        <v>2.3E-5</v>
      </c>
      <c r="AN51">
        <v>2.3E-5</v>
      </c>
      <c r="AO51">
        <v>2.3E-5</v>
      </c>
      <c r="AP51">
        <v>9.2E-5</v>
      </c>
      <c r="AQ51">
        <v>9.2E-5</v>
      </c>
      <c r="AR51">
        <v>9.2E-5</v>
      </c>
      <c r="AS51">
        <v>9.2E-5</v>
      </c>
      <c r="AT51">
        <v>9.2E-5</v>
      </c>
      <c r="AU51">
        <v>1.18E-4</v>
      </c>
      <c r="AV51">
        <v>1.18E-4</v>
      </c>
      <c r="AW51">
        <v>1.18E-4</v>
      </c>
      <c r="AX51">
        <v>1.18E-4</v>
      </c>
      <c r="AY51">
        <v>1.18E-4</v>
      </c>
      <c r="AZ51">
        <v>1.3899999999999999E-4</v>
      </c>
      <c r="BA51">
        <v>1.3899999999999999E-4</v>
      </c>
      <c r="BB51">
        <v>1.3899999999999999E-4</v>
      </c>
      <c r="BC51">
        <v>1.3899999999999999E-4</v>
      </c>
      <c r="BD51">
        <v>1.3899999999999999E-4</v>
      </c>
      <c r="BE51">
        <v>1.5799999999999999E-4</v>
      </c>
      <c r="BF51">
        <v>1.5799999999999999E-4</v>
      </c>
      <c r="BG51">
        <v>1.5799999999999999E-4</v>
      </c>
      <c r="BH51">
        <v>1.5799999999999999E-4</v>
      </c>
      <c r="BI51">
        <v>1.5799999999999999E-4</v>
      </c>
      <c r="BJ51">
        <v>1.75E-4</v>
      </c>
      <c r="BK51">
        <v>1.75E-4</v>
      </c>
      <c r="BL51">
        <v>1.75E-4</v>
      </c>
      <c r="BM51">
        <v>1.75E-4</v>
      </c>
      <c r="BN51">
        <v>1.75E-4</v>
      </c>
      <c r="BO51">
        <v>2.1000000000000001E-4</v>
      </c>
      <c r="BP51">
        <v>2.1000000000000001E-4</v>
      </c>
      <c r="BQ51">
        <v>2.1000000000000001E-4</v>
      </c>
      <c r="BR51">
        <v>2.1000000000000001E-4</v>
      </c>
      <c r="BS51">
        <v>2.1000000000000001E-4</v>
      </c>
      <c r="BT51">
        <v>2.6400000000000002E-4</v>
      </c>
      <c r="BU51">
        <v>2.6400000000000002E-4</v>
      </c>
      <c r="BV51">
        <v>2.6400000000000002E-4</v>
      </c>
      <c r="BW51">
        <v>2.6400000000000002E-4</v>
      </c>
      <c r="BX51">
        <v>2.6400000000000002E-4</v>
      </c>
      <c r="BY51">
        <v>2.9599999999999998E-4</v>
      </c>
      <c r="BZ51">
        <v>2.9599999999999998E-4</v>
      </c>
      <c r="CA51">
        <v>2.9599999999999998E-4</v>
      </c>
      <c r="CB51">
        <v>2.9599999999999998E-4</v>
      </c>
      <c r="CC51">
        <v>2.9599999999999998E-4</v>
      </c>
      <c r="CD51">
        <v>2.9599999999999998E-4</v>
      </c>
      <c r="CE51">
        <v>2.9599999999999998E-4</v>
      </c>
      <c r="CF51">
        <v>2.9599999999999998E-4</v>
      </c>
      <c r="CG51">
        <v>2.9599999999999998E-4</v>
      </c>
      <c r="CH51">
        <v>2.9599999999999998E-4</v>
      </c>
      <c r="CI51">
        <v>2.9599999999999998E-4</v>
      </c>
      <c r="CJ51">
        <v>2.9599999999999998E-4</v>
      </c>
      <c r="CK51">
        <v>2.9599999999999998E-4</v>
      </c>
      <c r="CL51">
        <v>2.9599999999999998E-4</v>
      </c>
      <c r="CM51">
        <v>2.9599999999999998E-4</v>
      </c>
      <c r="CN51">
        <v>2.9599999999999998E-4</v>
      </c>
      <c r="CO51">
        <v>2.9599999999999998E-4</v>
      </c>
      <c r="CP51">
        <v>2.9599999999999998E-4</v>
      </c>
      <c r="CQ51">
        <v>2.9599999999999998E-4</v>
      </c>
      <c r="CR51">
        <v>2.9599999999999998E-4</v>
      </c>
      <c r="CS51">
        <v>2.9599999999999998E-4</v>
      </c>
      <c r="CT51">
        <v>2.9599999999999998E-4</v>
      </c>
      <c r="CU51">
        <v>2.9599999999999998E-4</v>
      </c>
      <c r="CV51">
        <v>2.9599999999999998E-4</v>
      </c>
      <c r="CW51">
        <v>2.9599999999999998E-4</v>
      </c>
      <c r="CX51">
        <v>2.9599999999999998E-4</v>
      </c>
    </row>
    <row r="52" spans="1:102" x14ac:dyDescent="0.25">
      <c r="A52" t="s">
        <v>169</v>
      </c>
      <c r="B52">
        <v>1.9999999999999999E-6</v>
      </c>
      <c r="C52">
        <v>1.9999999999999999E-6</v>
      </c>
      <c r="D52">
        <v>1.9999999999999999E-6</v>
      </c>
      <c r="E52">
        <v>1.9999999999999999E-6</v>
      </c>
      <c r="F52">
        <v>1.9999999999999999E-6</v>
      </c>
      <c r="G52">
        <v>1.9999999999999999E-6</v>
      </c>
      <c r="H52">
        <v>1.9999999999999999E-6</v>
      </c>
      <c r="I52">
        <v>1.9999999999999999E-6</v>
      </c>
      <c r="J52">
        <v>1.9999999999999999E-6</v>
      </c>
      <c r="K52">
        <v>1.9999999999999999E-6</v>
      </c>
      <c r="L52">
        <v>1.9999999999999999E-6</v>
      </c>
      <c r="M52">
        <v>1.9999999999999999E-6</v>
      </c>
      <c r="N52">
        <v>1.9999999999999999E-6</v>
      </c>
      <c r="O52">
        <v>1.9999999999999999E-6</v>
      </c>
      <c r="P52">
        <v>1.9999999999999999E-6</v>
      </c>
      <c r="Q52">
        <v>2.8E-5</v>
      </c>
      <c r="R52">
        <v>2.8E-5</v>
      </c>
      <c r="S52">
        <v>2.8E-5</v>
      </c>
      <c r="T52">
        <v>2.8E-5</v>
      </c>
      <c r="U52">
        <v>2.8E-5</v>
      </c>
      <c r="V52">
        <v>2.8E-5</v>
      </c>
      <c r="W52">
        <v>2.8E-5</v>
      </c>
      <c r="X52">
        <v>2.8E-5</v>
      </c>
      <c r="Y52">
        <v>2.8E-5</v>
      </c>
      <c r="Z52">
        <v>2.8E-5</v>
      </c>
      <c r="AA52">
        <v>2.8E-5</v>
      </c>
      <c r="AB52">
        <v>2.8E-5</v>
      </c>
      <c r="AC52">
        <v>2.8E-5</v>
      </c>
      <c r="AD52">
        <v>2.8E-5</v>
      </c>
      <c r="AE52">
        <v>2.8E-5</v>
      </c>
      <c r="AF52">
        <v>2.8E-5</v>
      </c>
      <c r="AG52">
        <v>2.8E-5</v>
      </c>
      <c r="AH52">
        <v>2.8E-5</v>
      </c>
      <c r="AI52">
        <v>2.8E-5</v>
      </c>
      <c r="AJ52">
        <v>2.8E-5</v>
      </c>
      <c r="AK52">
        <v>2.8E-5</v>
      </c>
      <c r="AL52">
        <v>2.8E-5</v>
      </c>
      <c r="AM52">
        <v>2.8E-5</v>
      </c>
      <c r="AN52">
        <v>2.8E-5</v>
      </c>
      <c r="AO52">
        <v>2.8E-5</v>
      </c>
      <c r="AP52">
        <v>1.18E-4</v>
      </c>
      <c r="AQ52">
        <v>1.18E-4</v>
      </c>
      <c r="AR52">
        <v>1.18E-4</v>
      </c>
      <c r="AS52">
        <v>1.18E-4</v>
      </c>
      <c r="AT52">
        <v>1.18E-4</v>
      </c>
      <c r="AU52">
        <v>1.7699999999999999E-4</v>
      </c>
      <c r="AV52">
        <v>1.7699999999999999E-4</v>
      </c>
      <c r="AW52">
        <v>1.7699999999999999E-4</v>
      </c>
      <c r="AX52">
        <v>1.7699999999999999E-4</v>
      </c>
      <c r="AY52">
        <v>1.7699999999999999E-4</v>
      </c>
      <c r="AZ52">
        <v>2.72E-4</v>
      </c>
      <c r="BA52">
        <v>2.72E-4</v>
      </c>
      <c r="BB52">
        <v>2.72E-4</v>
      </c>
      <c r="BC52">
        <v>2.72E-4</v>
      </c>
      <c r="BD52">
        <v>2.72E-4</v>
      </c>
      <c r="BE52">
        <v>3.5799999999999997E-4</v>
      </c>
      <c r="BF52">
        <v>3.5799999999999997E-4</v>
      </c>
      <c r="BG52">
        <v>3.5799999999999997E-4</v>
      </c>
      <c r="BH52">
        <v>3.5799999999999997E-4</v>
      </c>
      <c r="BI52">
        <v>3.5799999999999997E-4</v>
      </c>
      <c r="BJ52">
        <v>4.1899999999999999E-4</v>
      </c>
      <c r="BK52">
        <v>4.1899999999999999E-4</v>
      </c>
      <c r="BL52">
        <v>4.1899999999999999E-4</v>
      </c>
      <c r="BM52">
        <v>4.1899999999999999E-4</v>
      </c>
      <c r="BN52">
        <v>4.1899999999999999E-4</v>
      </c>
      <c r="BO52">
        <v>5.4799999999999998E-4</v>
      </c>
      <c r="BP52">
        <v>5.4799999999999998E-4</v>
      </c>
      <c r="BQ52">
        <v>5.4799999999999998E-4</v>
      </c>
      <c r="BR52">
        <v>5.4799999999999998E-4</v>
      </c>
      <c r="BS52">
        <v>5.4799999999999998E-4</v>
      </c>
      <c r="BT52">
        <v>7.1900000000000002E-4</v>
      </c>
      <c r="BU52">
        <v>7.1900000000000002E-4</v>
      </c>
      <c r="BV52">
        <v>7.1900000000000002E-4</v>
      </c>
      <c r="BW52">
        <v>7.1900000000000002E-4</v>
      </c>
      <c r="BX52">
        <v>7.1900000000000002E-4</v>
      </c>
      <c r="BY52">
        <v>9.4799999999999995E-4</v>
      </c>
      <c r="BZ52">
        <v>9.4799999999999995E-4</v>
      </c>
      <c r="CA52">
        <v>9.4799999999999995E-4</v>
      </c>
      <c r="CB52">
        <v>9.4799999999999995E-4</v>
      </c>
      <c r="CC52">
        <v>9.4799999999999995E-4</v>
      </c>
      <c r="CD52">
        <v>9.4799999999999995E-4</v>
      </c>
      <c r="CE52">
        <v>9.4799999999999995E-4</v>
      </c>
      <c r="CF52">
        <v>9.4799999999999995E-4</v>
      </c>
      <c r="CG52">
        <v>9.4799999999999995E-4</v>
      </c>
      <c r="CH52">
        <v>9.4799999999999995E-4</v>
      </c>
      <c r="CI52">
        <v>9.4799999999999995E-4</v>
      </c>
      <c r="CJ52">
        <v>9.4799999999999995E-4</v>
      </c>
      <c r="CK52">
        <v>9.4799999999999995E-4</v>
      </c>
      <c r="CL52">
        <v>9.4799999999999995E-4</v>
      </c>
      <c r="CM52">
        <v>9.4799999999999995E-4</v>
      </c>
      <c r="CN52">
        <v>9.4799999999999995E-4</v>
      </c>
      <c r="CO52">
        <v>9.4799999999999995E-4</v>
      </c>
      <c r="CP52">
        <v>9.4799999999999995E-4</v>
      </c>
      <c r="CQ52">
        <v>9.4799999999999995E-4</v>
      </c>
      <c r="CR52">
        <v>9.4799999999999995E-4</v>
      </c>
      <c r="CS52">
        <v>9.4799999999999995E-4</v>
      </c>
      <c r="CT52">
        <v>9.4799999999999995E-4</v>
      </c>
      <c r="CU52">
        <v>9.4799999999999995E-4</v>
      </c>
      <c r="CV52">
        <v>9.4799999999999995E-4</v>
      </c>
      <c r="CW52">
        <v>9.4799999999999995E-4</v>
      </c>
      <c r="CX52">
        <v>9.4799999999999995E-4</v>
      </c>
    </row>
    <row r="53" spans="1:102" x14ac:dyDescent="0.25">
      <c r="A53" t="s">
        <v>171</v>
      </c>
      <c r="B53" t="e">
        <v>#VALUE!</v>
      </c>
      <c r="C53" t="e">
        <v>#VALUE!</v>
      </c>
      <c r="D53" t="e">
        <v>#VALUE!</v>
      </c>
      <c r="E53" t="e">
        <v>#VALUE!</v>
      </c>
      <c r="F53" t="e">
        <v>#VALUE!</v>
      </c>
      <c r="G53" t="e">
        <v>#VALUE!</v>
      </c>
      <c r="H53" t="e">
        <v>#VALUE!</v>
      </c>
      <c r="I53" t="e">
        <v>#VALUE!</v>
      </c>
      <c r="J53" t="e">
        <v>#VALUE!</v>
      </c>
      <c r="K53" t="e">
        <v>#VALUE!</v>
      </c>
      <c r="L53" t="e">
        <v>#VALUE!</v>
      </c>
      <c r="M53" t="e">
        <v>#VALUE!</v>
      </c>
      <c r="N53" t="e">
        <v>#VALUE!</v>
      </c>
      <c r="O53" t="e">
        <v>#VALUE!</v>
      </c>
      <c r="P53" t="e">
        <v>#VALUE!</v>
      </c>
      <c r="Q53">
        <v>3.0000000000000001E-5</v>
      </c>
      <c r="R53">
        <v>3.0000000000000001E-5</v>
      </c>
      <c r="S53">
        <v>3.0000000000000001E-5</v>
      </c>
      <c r="T53">
        <v>3.0000000000000001E-5</v>
      </c>
      <c r="U53">
        <v>3.0000000000000001E-5</v>
      </c>
      <c r="V53">
        <v>3.0000000000000001E-5</v>
      </c>
      <c r="W53">
        <v>3.0000000000000001E-5</v>
      </c>
      <c r="X53">
        <v>3.0000000000000001E-5</v>
      </c>
      <c r="Y53">
        <v>3.0000000000000001E-5</v>
      </c>
      <c r="Z53">
        <v>3.0000000000000001E-5</v>
      </c>
      <c r="AA53">
        <v>3.0000000000000001E-5</v>
      </c>
      <c r="AB53">
        <v>3.0000000000000001E-5</v>
      </c>
      <c r="AC53">
        <v>3.0000000000000001E-5</v>
      </c>
      <c r="AD53">
        <v>3.0000000000000001E-5</v>
      </c>
      <c r="AE53">
        <v>3.0000000000000001E-5</v>
      </c>
      <c r="AF53">
        <v>3.0000000000000001E-5</v>
      </c>
      <c r="AG53">
        <v>3.0000000000000001E-5</v>
      </c>
      <c r="AH53">
        <v>3.0000000000000001E-5</v>
      </c>
      <c r="AI53">
        <v>3.0000000000000001E-5</v>
      </c>
      <c r="AJ53">
        <v>3.0000000000000001E-5</v>
      </c>
      <c r="AK53">
        <v>3.0000000000000001E-5</v>
      </c>
      <c r="AL53">
        <v>3.0000000000000001E-5</v>
      </c>
      <c r="AM53">
        <v>3.0000000000000001E-5</v>
      </c>
      <c r="AN53">
        <v>3.0000000000000001E-5</v>
      </c>
      <c r="AO53">
        <v>3.0000000000000001E-5</v>
      </c>
      <c r="AP53">
        <v>1.6899999999999999E-4</v>
      </c>
      <c r="AQ53">
        <v>1.6899999999999999E-4</v>
      </c>
      <c r="AR53">
        <v>1.6899999999999999E-4</v>
      </c>
      <c r="AS53">
        <v>1.6899999999999999E-4</v>
      </c>
      <c r="AT53">
        <v>1.6899999999999999E-4</v>
      </c>
      <c r="AU53">
        <v>2.34E-4</v>
      </c>
      <c r="AV53">
        <v>2.34E-4</v>
      </c>
      <c r="AW53">
        <v>2.34E-4</v>
      </c>
      <c r="AX53">
        <v>2.34E-4</v>
      </c>
      <c r="AY53">
        <v>2.34E-4</v>
      </c>
      <c r="AZ53">
        <v>2.8899999999999998E-4</v>
      </c>
      <c r="BA53">
        <v>2.8899999999999998E-4</v>
      </c>
      <c r="BB53">
        <v>2.8899999999999998E-4</v>
      </c>
      <c r="BC53">
        <v>2.8899999999999998E-4</v>
      </c>
      <c r="BD53">
        <v>2.8899999999999998E-4</v>
      </c>
      <c r="BE53">
        <v>3.6400000000000001E-4</v>
      </c>
      <c r="BF53">
        <v>3.6400000000000001E-4</v>
      </c>
      <c r="BG53">
        <v>3.6400000000000001E-4</v>
      </c>
      <c r="BH53">
        <v>3.6400000000000001E-4</v>
      </c>
      <c r="BI53">
        <v>3.6400000000000001E-4</v>
      </c>
      <c r="BJ53">
        <v>4.2999999999999999E-4</v>
      </c>
      <c r="BK53">
        <v>4.2999999999999999E-4</v>
      </c>
      <c r="BL53">
        <v>4.2999999999999999E-4</v>
      </c>
      <c r="BM53">
        <v>4.2999999999999999E-4</v>
      </c>
      <c r="BN53">
        <v>4.2999999999999999E-4</v>
      </c>
      <c r="BO53">
        <v>5.9900000000000003E-4</v>
      </c>
      <c r="BP53">
        <v>5.9900000000000003E-4</v>
      </c>
      <c r="BQ53">
        <v>5.9900000000000003E-4</v>
      </c>
      <c r="BR53">
        <v>5.9900000000000003E-4</v>
      </c>
      <c r="BS53">
        <v>5.9900000000000003E-4</v>
      </c>
      <c r="BT53">
        <v>8.4400000000000002E-4</v>
      </c>
      <c r="BU53">
        <v>8.4400000000000002E-4</v>
      </c>
      <c r="BV53">
        <v>8.4400000000000002E-4</v>
      </c>
      <c r="BW53">
        <v>8.4400000000000002E-4</v>
      </c>
      <c r="BX53">
        <v>8.4400000000000002E-4</v>
      </c>
      <c r="BY53">
        <v>1.1820000000000001E-3</v>
      </c>
      <c r="BZ53">
        <v>1.1820000000000001E-3</v>
      </c>
      <c r="CA53">
        <v>1.1820000000000001E-3</v>
      </c>
      <c r="CB53">
        <v>1.1820000000000001E-3</v>
      </c>
      <c r="CC53">
        <v>1.1820000000000001E-3</v>
      </c>
      <c r="CD53">
        <v>1.1820000000000001E-3</v>
      </c>
      <c r="CE53">
        <v>1.1820000000000001E-3</v>
      </c>
      <c r="CF53">
        <v>1.1820000000000001E-3</v>
      </c>
      <c r="CG53">
        <v>1.1820000000000001E-3</v>
      </c>
      <c r="CH53">
        <v>1.1820000000000001E-3</v>
      </c>
      <c r="CI53">
        <v>1.1820000000000001E-3</v>
      </c>
      <c r="CJ53">
        <v>1.1820000000000001E-3</v>
      </c>
      <c r="CK53">
        <v>1.1820000000000001E-3</v>
      </c>
      <c r="CL53">
        <v>1.1820000000000001E-3</v>
      </c>
      <c r="CM53">
        <v>1.1820000000000001E-3</v>
      </c>
      <c r="CN53">
        <v>1.1820000000000001E-3</v>
      </c>
      <c r="CO53">
        <v>1.1820000000000001E-3</v>
      </c>
      <c r="CP53">
        <v>1.1820000000000001E-3</v>
      </c>
      <c r="CQ53">
        <v>1.1820000000000001E-3</v>
      </c>
      <c r="CR53">
        <v>1.1820000000000001E-3</v>
      </c>
      <c r="CS53">
        <v>1.1820000000000001E-3</v>
      </c>
      <c r="CT53">
        <v>1.1820000000000001E-3</v>
      </c>
      <c r="CU53">
        <v>1.1820000000000001E-3</v>
      </c>
      <c r="CV53">
        <v>1.1820000000000001E-3</v>
      </c>
      <c r="CW53">
        <v>1.1820000000000001E-3</v>
      </c>
      <c r="CX53">
        <v>1.1820000000000001E-3</v>
      </c>
    </row>
    <row r="54" spans="1:102" x14ac:dyDescent="0.25">
      <c r="A54" t="s">
        <v>173</v>
      </c>
      <c r="B54" t="e">
        <v>#VALUE!</v>
      </c>
      <c r="C54" t="e">
        <v>#VALUE!</v>
      </c>
      <c r="D54" t="e">
        <v>#VALUE!</v>
      </c>
      <c r="E54" t="e">
        <v>#VALUE!</v>
      </c>
      <c r="F54" t="e">
        <v>#VALUE!</v>
      </c>
      <c r="G54" t="e">
        <v>#VALUE!</v>
      </c>
      <c r="H54" t="e">
        <v>#VALUE!</v>
      </c>
      <c r="I54" t="e">
        <v>#VALUE!</v>
      </c>
      <c r="J54" t="e">
        <v>#VALUE!</v>
      </c>
      <c r="K54" t="e">
        <v>#VALUE!</v>
      </c>
      <c r="L54" t="e">
        <v>#VALUE!</v>
      </c>
      <c r="M54" t="e">
        <v>#VALUE!</v>
      </c>
      <c r="N54" t="e">
        <v>#VALUE!</v>
      </c>
      <c r="O54" t="e">
        <v>#VALUE!</v>
      </c>
      <c r="P54" t="e">
        <v>#VALUE!</v>
      </c>
      <c r="Q54">
        <v>9.9999999999999995E-7</v>
      </c>
      <c r="R54">
        <v>9.9999999999999995E-7</v>
      </c>
      <c r="S54">
        <v>9.9999999999999995E-7</v>
      </c>
      <c r="T54">
        <v>9.9999999999999995E-7</v>
      </c>
      <c r="U54">
        <v>9.9999999999999995E-7</v>
      </c>
      <c r="V54">
        <v>9.9999999999999995E-7</v>
      </c>
      <c r="W54">
        <v>9.9999999999999995E-7</v>
      </c>
      <c r="X54">
        <v>9.9999999999999995E-7</v>
      </c>
      <c r="Y54">
        <v>9.9999999999999995E-7</v>
      </c>
      <c r="Z54">
        <v>9.9999999999999995E-7</v>
      </c>
      <c r="AA54">
        <v>9.9999999999999995E-7</v>
      </c>
      <c r="AB54">
        <v>9.9999999999999995E-7</v>
      </c>
      <c r="AC54">
        <v>9.9999999999999995E-7</v>
      </c>
      <c r="AD54">
        <v>9.9999999999999995E-7</v>
      </c>
      <c r="AE54">
        <v>9.9999999999999995E-7</v>
      </c>
      <c r="AF54">
        <v>9.9999999999999995E-7</v>
      </c>
      <c r="AG54">
        <v>9.9999999999999995E-7</v>
      </c>
      <c r="AH54">
        <v>9.9999999999999995E-7</v>
      </c>
      <c r="AI54">
        <v>9.9999999999999995E-7</v>
      </c>
      <c r="AJ54">
        <v>9.9999999999999995E-7</v>
      </c>
      <c r="AK54">
        <v>9.9999999999999995E-7</v>
      </c>
      <c r="AL54">
        <v>9.9999999999999995E-7</v>
      </c>
      <c r="AM54">
        <v>9.9999999999999995E-7</v>
      </c>
      <c r="AN54">
        <v>9.9999999999999995E-7</v>
      </c>
      <c r="AO54">
        <v>9.9999999999999995E-7</v>
      </c>
      <c r="AP54">
        <v>7.9999999999999996E-6</v>
      </c>
      <c r="AQ54">
        <v>7.9999999999999996E-6</v>
      </c>
      <c r="AR54">
        <v>7.9999999999999996E-6</v>
      </c>
      <c r="AS54">
        <v>7.9999999999999996E-6</v>
      </c>
      <c r="AT54">
        <v>7.9999999999999996E-6</v>
      </c>
      <c r="AU54">
        <v>1.5E-5</v>
      </c>
      <c r="AV54">
        <v>1.5E-5</v>
      </c>
      <c r="AW54">
        <v>1.5E-5</v>
      </c>
      <c r="AX54">
        <v>1.5E-5</v>
      </c>
      <c r="AY54">
        <v>1.5E-5</v>
      </c>
      <c r="AZ54">
        <v>2.3E-5</v>
      </c>
      <c r="BA54">
        <v>2.3E-5</v>
      </c>
      <c r="BB54">
        <v>2.3E-5</v>
      </c>
      <c r="BC54">
        <v>2.3E-5</v>
      </c>
      <c r="BD54">
        <v>2.3E-5</v>
      </c>
      <c r="BE54">
        <v>3.0000000000000001E-5</v>
      </c>
      <c r="BF54">
        <v>3.0000000000000001E-5</v>
      </c>
      <c r="BG54">
        <v>3.0000000000000001E-5</v>
      </c>
      <c r="BH54">
        <v>3.0000000000000001E-5</v>
      </c>
      <c r="BI54">
        <v>3.0000000000000001E-5</v>
      </c>
      <c r="BJ54">
        <v>3.8999999999999999E-5</v>
      </c>
      <c r="BK54">
        <v>3.8999999999999999E-5</v>
      </c>
      <c r="BL54">
        <v>3.8999999999999999E-5</v>
      </c>
      <c r="BM54">
        <v>3.8999999999999999E-5</v>
      </c>
      <c r="BN54">
        <v>3.8999999999999999E-5</v>
      </c>
      <c r="BO54">
        <v>5.1E-5</v>
      </c>
      <c r="BP54">
        <v>5.1E-5</v>
      </c>
      <c r="BQ54">
        <v>5.1E-5</v>
      </c>
      <c r="BR54">
        <v>5.1E-5</v>
      </c>
      <c r="BS54">
        <v>5.1E-5</v>
      </c>
      <c r="BT54">
        <v>6.6000000000000005E-5</v>
      </c>
      <c r="BU54">
        <v>6.6000000000000005E-5</v>
      </c>
      <c r="BV54">
        <v>6.6000000000000005E-5</v>
      </c>
      <c r="BW54">
        <v>6.6000000000000005E-5</v>
      </c>
      <c r="BX54">
        <v>6.6000000000000005E-5</v>
      </c>
      <c r="BY54">
        <v>8.3999999999999995E-5</v>
      </c>
      <c r="BZ54">
        <v>8.3999999999999995E-5</v>
      </c>
      <c r="CA54">
        <v>8.3999999999999995E-5</v>
      </c>
      <c r="CB54">
        <v>8.3999999999999995E-5</v>
      </c>
      <c r="CC54">
        <v>8.3999999999999995E-5</v>
      </c>
      <c r="CD54">
        <v>8.3999999999999995E-5</v>
      </c>
      <c r="CE54">
        <v>8.3999999999999995E-5</v>
      </c>
      <c r="CF54">
        <v>8.3999999999999995E-5</v>
      </c>
      <c r="CG54">
        <v>8.3999999999999995E-5</v>
      </c>
      <c r="CH54">
        <v>8.3999999999999995E-5</v>
      </c>
      <c r="CI54">
        <v>8.3999999999999995E-5</v>
      </c>
      <c r="CJ54">
        <v>8.3999999999999995E-5</v>
      </c>
      <c r="CK54">
        <v>8.3999999999999995E-5</v>
      </c>
      <c r="CL54">
        <v>8.3999999999999995E-5</v>
      </c>
      <c r="CM54">
        <v>8.3999999999999995E-5</v>
      </c>
      <c r="CN54">
        <v>8.3999999999999995E-5</v>
      </c>
      <c r="CO54">
        <v>8.3999999999999995E-5</v>
      </c>
      <c r="CP54">
        <v>8.3999999999999995E-5</v>
      </c>
      <c r="CQ54">
        <v>8.3999999999999995E-5</v>
      </c>
      <c r="CR54">
        <v>8.3999999999999995E-5</v>
      </c>
      <c r="CS54">
        <v>8.3999999999999995E-5</v>
      </c>
      <c r="CT54">
        <v>8.3999999999999995E-5</v>
      </c>
      <c r="CU54">
        <v>8.3999999999999995E-5</v>
      </c>
      <c r="CV54">
        <v>8.3999999999999995E-5</v>
      </c>
      <c r="CW54">
        <v>8.3999999999999995E-5</v>
      </c>
      <c r="CX54">
        <v>8.3999999999999995E-5</v>
      </c>
    </row>
    <row r="55" spans="1:102" x14ac:dyDescent="0.25">
      <c r="A55" t="s">
        <v>175</v>
      </c>
      <c r="B55" t="e">
        <v>#VALUE!</v>
      </c>
      <c r="C55" t="e">
        <v>#VALUE!</v>
      </c>
      <c r="D55" t="e">
        <v>#VALUE!</v>
      </c>
      <c r="E55" t="e">
        <v>#VALUE!</v>
      </c>
      <c r="F55" t="e">
        <v>#VALUE!</v>
      </c>
      <c r="G55" t="e">
        <v>#VALUE!</v>
      </c>
      <c r="H55" t="e">
        <v>#VALUE!</v>
      </c>
      <c r="I55" t="e">
        <v>#VALUE!</v>
      </c>
      <c r="J55" t="e">
        <v>#VALUE!</v>
      </c>
      <c r="K55" t="e">
        <v>#VALUE!</v>
      </c>
      <c r="L55" t="e">
        <v>#VALUE!</v>
      </c>
      <c r="M55" t="e">
        <v>#VALUE!</v>
      </c>
      <c r="N55" t="e">
        <v>#VALUE!</v>
      </c>
      <c r="O55" t="e">
        <v>#VALUE!</v>
      </c>
      <c r="P55" t="e">
        <v>#VALUE!</v>
      </c>
      <c r="Q55">
        <v>5.1999999999999997E-5</v>
      </c>
      <c r="R55">
        <v>5.1999999999999997E-5</v>
      </c>
      <c r="S55">
        <v>5.1999999999999997E-5</v>
      </c>
      <c r="T55">
        <v>5.1999999999999997E-5</v>
      </c>
      <c r="U55">
        <v>5.1999999999999997E-5</v>
      </c>
      <c r="V55">
        <v>5.1999999999999997E-5</v>
      </c>
      <c r="W55">
        <v>5.1999999999999997E-5</v>
      </c>
      <c r="X55">
        <v>5.1999999999999997E-5</v>
      </c>
      <c r="Y55">
        <v>5.1999999999999997E-5</v>
      </c>
      <c r="Z55">
        <v>5.1999999999999997E-5</v>
      </c>
      <c r="AA55">
        <v>5.1999999999999997E-5</v>
      </c>
      <c r="AB55">
        <v>5.1999999999999997E-5</v>
      </c>
      <c r="AC55">
        <v>5.1999999999999997E-5</v>
      </c>
      <c r="AD55">
        <v>5.1999999999999997E-5</v>
      </c>
      <c r="AE55">
        <v>5.1999999999999997E-5</v>
      </c>
      <c r="AF55">
        <v>5.1999999999999997E-5</v>
      </c>
      <c r="AG55">
        <v>5.1999999999999997E-5</v>
      </c>
      <c r="AH55">
        <v>5.1999999999999997E-5</v>
      </c>
      <c r="AI55">
        <v>5.1999999999999997E-5</v>
      </c>
      <c r="AJ55">
        <v>5.1999999999999997E-5</v>
      </c>
      <c r="AK55">
        <v>5.1999999999999997E-5</v>
      </c>
      <c r="AL55">
        <v>5.1999999999999997E-5</v>
      </c>
      <c r="AM55">
        <v>5.1999999999999997E-5</v>
      </c>
      <c r="AN55">
        <v>5.1999999999999997E-5</v>
      </c>
      <c r="AO55">
        <v>5.1999999999999997E-5</v>
      </c>
      <c r="AP55">
        <v>2.41E-4</v>
      </c>
      <c r="AQ55">
        <v>2.41E-4</v>
      </c>
      <c r="AR55">
        <v>2.41E-4</v>
      </c>
      <c r="AS55">
        <v>2.41E-4</v>
      </c>
      <c r="AT55">
        <v>2.41E-4</v>
      </c>
      <c r="AU55">
        <v>2.8200000000000002E-4</v>
      </c>
      <c r="AV55">
        <v>2.8200000000000002E-4</v>
      </c>
      <c r="AW55">
        <v>2.8200000000000002E-4</v>
      </c>
      <c r="AX55">
        <v>2.8200000000000002E-4</v>
      </c>
      <c r="AY55">
        <v>2.8200000000000002E-4</v>
      </c>
      <c r="AZ55">
        <v>2.7700000000000001E-4</v>
      </c>
      <c r="BA55">
        <v>2.7700000000000001E-4</v>
      </c>
      <c r="BB55">
        <v>2.7700000000000001E-4</v>
      </c>
      <c r="BC55">
        <v>2.7700000000000001E-4</v>
      </c>
      <c r="BD55">
        <v>2.7700000000000001E-4</v>
      </c>
      <c r="BE55">
        <v>2.6899999999999998E-4</v>
      </c>
      <c r="BF55">
        <v>2.6899999999999998E-4</v>
      </c>
      <c r="BG55">
        <v>2.6899999999999998E-4</v>
      </c>
      <c r="BH55">
        <v>2.6899999999999998E-4</v>
      </c>
      <c r="BI55">
        <v>2.6899999999999998E-4</v>
      </c>
      <c r="BJ55">
        <v>2.7500000000000002E-4</v>
      </c>
      <c r="BK55">
        <v>2.7500000000000002E-4</v>
      </c>
      <c r="BL55">
        <v>2.7500000000000002E-4</v>
      </c>
      <c r="BM55">
        <v>2.7500000000000002E-4</v>
      </c>
      <c r="BN55">
        <v>2.7500000000000002E-4</v>
      </c>
      <c r="BO55">
        <v>3.4699999999999998E-4</v>
      </c>
      <c r="BP55">
        <v>3.4699999999999998E-4</v>
      </c>
      <c r="BQ55">
        <v>3.4699999999999998E-4</v>
      </c>
      <c r="BR55">
        <v>3.4699999999999998E-4</v>
      </c>
      <c r="BS55">
        <v>3.4699999999999998E-4</v>
      </c>
      <c r="BT55">
        <v>4.57E-4</v>
      </c>
      <c r="BU55">
        <v>4.57E-4</v>
      </c>
      <c r="BV55">
        <v>4.57E-4</v>
      </c>
      <c r="BW55">
        <v>4.57E-4</v>
      </c>
      <c r="BX55">
        <v>4.57E-4</v>
      </c>
      <c r="BY55">
        <v>6.4300000000000002E-4</v>
      </c>
      <c r="BZ55">
        <v>6.4300000000000002E-4</v>
      </c>
      <c r="CA55">
        <v>6.4300000000000002E-4</v>
      </c>
      <c r="CB55">
        <v>6.4300000000000002E-4</v>
      </c>
      <c r="CC55">
        <v>6.4300000000000002E-4</v>
      </c>
      <c r="CD55">
        <v>6.4300000000000002E-4</v>
      </c>
      <c r="CE55">
        <v>6.4300000000000002E-4</v>
      </c>
      <c r="CF55">
        <v>6.4300000000000002E-4</v>
      </c>
      <c r="CG55">
        <v>6.4300000000000002E-4</v>
      </c>
      <c r="CH55">
        <v>6.4300000000000002E-4</v>
      </c>
      <c r="CI55">
        <v>6.4300000000000002E-4</v>
      </c>
      <c r="CJ55">
        <v>6.4300000000000002E-4</v>
      </c>
      <c r="CK55">
        <v>6.4300000000000002E-4</v>
      </c>
      <c r="CL55">
        <v>6.4300000000000002E-4</v>
      </c>
      <c r="CM55">
        <v>6.4300000000000002E-4</v>
      </c>
      <c r="CN55">
        <v>6.4300000000000002E-4</v>
      </c>
      <c r="CO55">
        <v>6.4300000000000002E-4</v>
      </c>
      <c r="CP55">
        <v>6.4300000000000002E-4</v>
      </c>
      <c r="CQ55">
        <v>6.4300000000000002E-4</v>
      </c>
      <c r="CR55">
        <v>6.4300000000000002E-4</v>
      </c>
      <c r="CS55">
        <v>6.4300000000000002E-4</v>
      </c>
      <c r="CT55">
        <v>6.4300000000000002E-4</v>
      </c>
      <c r="CU55">
        <v>6.4300000000000002E-4</v>
      </c>
      <c r="CV55">
        <v>6.4300000000000002E-4</v>
      </c>
      <c r="CW55">
        <v>6.4300000000000002E-4</v>
      </c>
      <c r="CX55">
        <v>6.4300000000000002E-4</v>
      </c>
    </row>
    <row r="56" spans="1:102" x14ac:dyDescent="0.25">
      <c r="A56" t="s">
        <v>177</v>
      </c>
      <c r="B56" t="e">
        <v>#VALUE!</v>
      </c>
      <c r="C56" t="e">
        <v>#VALUE!</v>
      </c>
      <c r="D56" t="e">
        <v>#VALUE!</v>
      </c>
      <c r="E56" t="e">
        <v>#VALUE!</v>
      </c>
      <c r="F56" t="e">
        <v>#VALUE!</v>
      </c>
      <c r="G56" t="e">
        <v>#VALUE!</v>
      </c>
      <c r="H56" t="e">
        <v>#VALUE!</v>
      </c>
      <c r="I56" t="e">
        <v>#VALUE!</v>
      </c>
      <c r="J56" t="e">
        <v>#VALUE!</v>
      </c>
      <c r="K56" t="e">
        <v>#VALUE!</v>
      </c>
      <c r="L56" t="e">
        <v>#VALUE!</v>
      </c>
      <c r="M56" t="e">
        <v>#VALUE!</v>
      </c>
      <c r="N56" t="e">
        <v>#VALUE!</v>
      </c>
      <c r="O56" t="e">
        <v>#VALUE!</v>
      </c>
      <c r="P56" t="e">
        <v>#VALUE!</v>
      </c>
      <c r="Q56">
        <v>3.0000000000000001E-5</v>
      </c>
      <c r="R56">
        <v>3.0000000000000001E-5</v>
      </c>
      <c r="S56">
        <v>3.0000000000000001E-5</v>
      </c>
      <c r="T56">
        <v>3.0000000000000001E-5</v>
      </c>
      <c r="U56">
        <v>3.0000000000000001E-5</v>
      </c>
      <c r="V56">
        <v>3.0000000000000001E-5</v>
      </c>
      <c r="W56">
        <v>3.0000000000000001E-5</v>
      </c>
      <c r="X56">
        <v>3.0000000000000001E-5</v>
      </c>
      <c r="Y56">
        <v>3.0000000000000001E-5</v>
      </c>
      <c r="Z56">
        <v>3.0000000000000001E-5</v>
      </c>
      <c r="AA56">
        <v>3.0000000000000001E-5</v>
      </c>
      <c r="AB56">
        <v>3.0000000000000001E-5</v>
      </c>
      <c r="AC56">
        <v>3.0000000000000001E-5</v>
      </c>
      <c r="AD56">
        <v>3.0000000000000001E-5</v>
      </c>
      <c r="AE56">
        <v>3.0000000000000001E-5</v>
      </c>
      <c r="AF56">
        <v>3.0000000000000001E-5</v>
      </c>
      <c r="AG56">
        <v>3.0000000000000001E-5</v>
      </c>
      <c r="AH56">
        <v>3.0000000000000001E-5</v>
      </c>
      <c r="AI56">
        <v>3.0000000000000001E-5</v>
      </c>
      <c r="AJ56">
        <v>3.0000000000000001E-5</v>
      </c>
      <c r="AK56">
        <v>3.0000000000000001E-5</v>
      </c>
      <c r="AL56">
        <v>3.0000000000000001E-5</v>
      </c>
      <c r="AM56">
        <v>3.0000000000000001E-5</v>
      </c>
      <c r="AN56">
        <v>3.0000000000000001E-5</v>
      </c>
      <c r="AO56">
        <v>3.0000000000000001E-5</v>
      </c>
      <c r="AP56">
        <v>2.02E-4</v>
      </c>
      <c r="AQ56">
        <v>2.02E-4</v>
      </c>
      <c r="AR56">
        <v>2.02E-4</v>
      </c>
      <c r="AS56">
        <v>2.02E-4</v>
      </c>
      <c r="AT56">
        <v>2.02E-4</v>
      </c>
      <c r="AU56">
        <v>3.01E-4</v>
      </c>
      <c r="AV56">
        <v>3.01E-4</v>
      </c>
      <c r="AW56">
        <v>3.01E-4</v>
      </c>
      <c r="AX56">
        <v>3.01E-4</v>
      </c>
      <c r="AY56">
        <v>3.01E-4</v>
      </c>
      <c r="AZ56">
        <v>3.6299999999999999E-4</v>
      </c>
      <c r="BA56">
        <v>3.6299999999999999E-4</v>
      </c>
      <c r="BB56">
        <v>3.6299999999999999E-4</v>
      </c>
      <c r="BC56">
        <v>3.6299999999999999E-4</v>
      </c>
      <c r="BD56">
        <v>3.6299999999999999E-4</v>
      </c>
      <c r="BE56">
        <v>4.6099999999999998E-4</v>
      </c>
      <c r="BF56">
        <v>4.6099999999999998E-4</v>
      </c>
      <c r="BG56">
        <v>4.6099999999999998E-4</v>
      </c>
      <c r="BH56">
        <v>4.6099999999999998E-4</v>
      </c>
      <c r="BI56">
        <v>4.6099999999999998E-4</v>
      </c>
      <c r="BJ56">
        <v>5.3200000000000003E-4</v>
      </c>
      <c r="BK56">
        <v>5.3200000000000003E-4</v>
      </c>
      <c r="BL56">
        <v>5.3200000000000003E-4</v>
      </c>
      <c r="BM56">
        <v>5.3200000000000003E-4</v>
      </c>
      <c r="BN56">
        <v>5.3200000000000003E-4</v>
      </c>
      <c r="BO56">
        <v>5.6899999999999995E-4</v>
      </c>
      <c r="BP56">
        <v>5.6899999999999995E-4</v>
      </c>
      <c r="BQ56">
        <v>5.6899999999999995E-4</v>
      </c>
      <c r="BR56">
        <v>5.6899999999999995E-4</v>
      </c>
      <c r="BS56">
        <v>5.6899999999999995E-4</v>
      </c>
      <c r="BT56">
        <v>7.0500000000000001E-4</v>
      </c>
      <c r="BU56">
        <v>7.0500000000000001E-4</v>
      </c>
      <c r="BV56">
        <v>7.0500000000000001E-4</v>
      </c>
      <c r="BW56">
        <v>7.0500000000000001E-4</v>
      </c>
      <c r="BX56">
        <v>7.0500000000000001E-4</v>
      </c>
      <c r="BY56">
        <v>5.1099999999999995E-4</v>
      </c>
      <c r="BZ56">
        <v>5.1099999999999995E-4</v>
      </c>
      <c r="CA56">
        <v>5.1099999999999995E-4</v>
      </c>
      <c r="CB56">
        <v>5.1099999999999995E-4</v>
      </c>
      <c r="CC56">
        <v>5.1099999999999995E-4</v>
      </c>
      <c r="CD56">
        <v>5.1099999999999995E-4</v>
      </c>
      <c r="CE56">
        <v>5.1099999999999995E-4</v>
      </c>
      <c r="CF56">
        <v>5.1099999999999995E-4</v>
      </c>
      <c r="CG56">
        <v>5.1099999999999995E-4</v>
      </c>
      <c r="CH56">
        <v>5.1099999999999995E-4</v>
      </c>
      <c r="CI56">
        <v>5.1099999999999995E-4</v>
      </c>
      <c r="CJ56">
        <v>5.1099999999999995E-4</v>
      </c>
      <c r="CK56">
        <v>5.1099999999999995E-4</v>
      </c>
      <c r="CL56">
        <v>5.1099999999999995E-4</v>
      </c>
      <c r="CM56">
        <v>5.1099999999999995E-4</v>
      </c>
      <c r="CN56">
        <v>5.1099999999999995E-4</v>
      </c>
      <c r="CO56">
        <v>5.1099999999999995E-4</v>
      </c>
      <c r="CP56">
        <v>5.1099999999999995E-4</v>
      </c>
      <c r="CQ56">
        <v>5.1099999999999995E-4</v>
      </c>
      <c r="CR56">
        <v>5.1099999999999995E-4</v>
      </c>
      <c r="CS56">
        <v>5.1099999999999995E-4</v>
      </c>
      <c r="CT56">
        <v>5.1099999999999995E-4</v>
      </c>
      <c r="CU56">
        <v>5.1099999999999995E-4</v>
      </c>
      <c r="CV56">
        <v>5.1099999999999995E-4</v>
      </c>
      <c r="CW56">
        <v>5.1099999999999995E-4</v>
      </c>
      <c r="CX56">
        <v>5.1099999999999995E-4</v>
      </c>
    </row>
    <row r="57" spans="1:102" x14ac:dyDescent="0.25">
      <c r="A57" t="s">
        <v>179</v>
      </c>
      <c r="B57" t="e">
        <v>#VALUE!</v>
      </c>
      <c r="C57" t="e">
        <v>#VALUE!</v>
      </c>
      <c r="D57" t="e">
        <v>#VALUE!</v>
      </c>
      <c r="E57" t="e">
        <v>#VALUE!</v>
      </c>
      <c r="F57" t="e">
        <v>#VALUE!</v>
      </c>
      <c r="G57" t="e">
        <v>#VALUE!</v>
      </c>
      <c r="H57" t="e">
        <v>#VALUE!</v>
      </c>
      <c r="I57" t="e">
        <v>#VALUE!</v>
      </c>
      <c r="J57" t="e">
        <v>#VALUE!</v>
      </c>
      <c r="K57" t="e">
        <v>#VALUE!</v>
      </c>
      <c r="L57" t="e">
        <v>#VALUE!</v>
      </c>
      <c r="M57" t="e">
        <v>#VALUE!</v>
      </c>
      <c r="N57" t="e">
        <v>#VALUE!</v>
      </c>
      <c r="O57" t="e">
        <v>#VALUE!</v>
      </c>
      <c r="P57" t="e">
        <v>#VALUE!</v>
      </c>
      <c r="Q57">
        <v>1.8E-5</v>
      </c>
      <c r="R57">
        <v>1.8E-5</v>
      </c>
      <c r="S57">
        <v>1.8E-5</v>
      </c>
      <c r="T57">
        <v>1.8E-5</v>
      </c>
      <c r="U57">
        <v>1.8E-5</v>
      </c>
      <c r="V57">
        <v>1.8E-5</v>
      </c>
      <c r="W57">
        <v>1.8E-5</v>
      </c>
      <c r="X57">
        <v>1.8E-5</v>
      </c>
      <c r="Y57">
        <v>1.8E-5</v>
      </c>
      <c r="Z57">
        <v>1.8E-5</v>
      </c>
      <c r="AA57">
        <v>1.8E-5</v>
      </c>
      <c r="AB57">
        <v>1.8E-5</v>
      </c>
      <c r="AC57">
        <v>1.8E-5</v>
      </c>
      <c r="AD57">
        <v>1.8E-5</v>
      </c>
      <c r="AE57">
        <v>1.8E-5</v>
      </c>
      <c r="AF57">
        <v>1.8E-5</v>
      </c>
      <c r="AG57">
        <v>1.8E-5</v>
      </c>
      <c r="AH57">
        <v>1.8E-5</v>
      </c>
      <c r="AI57">
        <v>1.8E-5</v>
      </c>
      <c r="AJ57">
        <v>1.8E-5</v>
      </c>
      <c r="AK57">
        <v>1.8E-5</v>
      </c>
      <c r="AL57">
        <v>1.8E-5</v>
      </c>
      <c r="AM57">
        <v>1.8E-5</v>
      </c>
      <c r="AN57">
        <v>1.8E-5</v>
      </c>
      <c r="AO57">
        <v>1.8E-5</v>
      </c>
      <c r="AP57">
        <v>1.16E-4</v>
      </c>
      <c r="AQ57">
        <v>1.16E-4</v>
      </c>
      <c r="AR57">
        <v>1.16E-4</v>
      </c>
      <c r="AS57">
        <v>1.16E-4</v>
      </c>
      <c r="AT57">
        <v>1.16E-4</v>
      </c>
      <c r="AU57">
        <v>2.2599999999999999E-4</v>
      </c>
      <c r="AV57">
        <v>2.2599999999999999E-4</v>
      </c>
      <c r="AW57">
        <v>2.2599999999999999E-4</v>
      </c>
      <c r="AX57">
        <v>2.2599999999999999E-4</v>
      </c>
      <c r="AY57">
        <v>2.2599999999999999E-4</v>
      </c>
      <c r="AZ57">
        <v>3.5500000000000001E-4</v>
      </c>
      <c r="BA57">
        <v>3.5500000000000001E-4</v>
      </c>
      <c r="BB57">
        <v>3.5500000000000001E-4</v>
      </c>
      <c r="BC57">
        <v>3.5500000000000001E-4</v>
      </c>
      <c r="BD57">
        <v>3.5500000000000001E-4</v>
      </c>
      <c r="BE57">
        <v>4.46E-4</v>
      </c>
      <c r="BF57">
        <v>4.46E-4</v>
      </c>
      <c r="BG57">
        <v>4.46E-4</v>
      </c>
      <c r="BH57">
        <v>4.46E-4</v>
      </c>
      <c r="BI57">
        <v>4.46E-4</v>
      </c>
      <c r="BJ57">
        <v>5.4900000000000001E-4</v>
      </c>
      <c r="BK57">
        <v>5.4900000000000001E-4</v>
      </c>
      <c r="BL57">
        <v>5.4900000000000001E-4</v>
      </c>
      <c r="BM57">
        <v>5.4900000000000001E-4</v>
      </c>
      <c r="BN57">
        <v>5.4900000000000001E-4</v>
      </c>
      <c r="BO57">
        <v>6.1899999999999998E-4</v>
      </c>
      <c r="BP57">
        <v>6.1899999999999998E-4</v>
      </c>
      <c r="BQ57">
        <v>6.1899999999999998E-4</v>
      </c>
      <c r="BR57">
        <v>6.1899999999999998E-4</v>
      </c>
      <c r="BS57">
        <v>6.1899999999999998E-4</v>
      </c>
      <c r="BT57">
        <v>6.9200000000000002E-4</v>
      </c>
      <c r="BU57">
        <v>6.9200000000000002E-4</v>
      </c>
      <c r="BV57">
        <v>6.9200000000000002E-4</v>
      </c>
      <c r="BW57">
        <v>6.9200000000000002E-4</v>
      </c>
      <c r="BX57">
        <v>6.9200000000000002E-4</v>
      </c>
      <c r="BY57">
        <v>6.8800000000000003E-4</v>
      </c>
      <c r="BZ57">
        <v>6.8800000000000003E-4</v>
      </c>
      <c r="CA57">
        <v>6.8800000000000003E-4</v>
      </c>
      <c r="CB57">
        <v>6.8800000000000003E-4</v>
      </c>
      <c r="CC57">
        <v>6.8800000000000003E-4</v>
      </c>
      <c r="CD57">
        <v>6.8800000000000003E-4</v>
      </c>
      <c r="CE57">
        <v>6.8800000000000003E-4</v>
      </c>
      <c r="CF57">
        <v>6.8800000000000003E-4</v>
      </c>
      <c r="CG57">
        <v>6.8800000000000003E-4</v>
      </c>
      <c r="CH57">
        <v>6.8800000000000003E-4</v>
      </c>
      <c r="CI57">
        <v>6.8800000000000003E-4</v>
      </c>
      <c r="CJ57">
        <v>6.8800000000000003E-4</v>
      </c>
      <c r="CK57">
        <v>6.8800000000000003E-4</v>
      </c>
      <c r="CL57">
        <v>6.8800000000000003E-4</v>
      </c>
      <c r="CM57">
        <v>6.8800000000000003E-4</v>
      </c>
      <c r="CN57">
        <v>6.8800000000000003E-4</v>
      </c>
      <c r="CO57">
        <v>6.8800000000000003E-4</v>
      </c>
      <c r="CP57">
        <v>6.8800000000000003E-4</v>
      </c>
      <c r="CQ57">
        <v>6.8800000000000003E-4</v>
      </c>
      <c r="CR57">
        <v>6.8800000000000003E-4</v>
      </c>
      <c r="CS57">
        <v>6.8800000000000003E-4</v>
      </c>
      <c r="CT57">
        <v>6.8800000000000003E-4</v>
      </c>
      <c r="CU57">
        <v>6.8800000000000003E-4</v>
      </c>
      <c r="CV57">
        <v>6.8800000000000003E-4</v>
      </c>
      <c r="CW57">
        <v>6.8800000000000003E-4</v>
      </c>
      <c r="CX57">
        <v>6.8800000000000003E-4</v>
      </c>
    </row>
    <row r="58" spans="1:102" x14ac:dyDescent="0.25">
      <c r="A58" t="s">
        <v>181</v>
      </c>
      <c r="B58" t="e">
        <v>#VALUE!</v>
      </c>
      <c r="C58" t="e">
        <v>#VALUE!</v>
      </c>
      <c r="D58" t="e">
        <v>#VALUE!</v>
      </c>
      <c r="E58" t="e">
        <v>#VALUE!</v>
      </c>
      <c r="F58" t="e">
        <v>#VALUE!</v>
      </c>
      <c r="G58" t="e">
        <v>#VALUE!</v>
      </c>
      <c r="H58" t="e">
        <v>#VALUE!</v>
      </c>
      <c r="I58" t="e">
        <v>#VALUE!</v>
      </c>
      <c r="J58" t="e">
        <v>#VALUE!</v>
      </c>
      <c r="K58" t="e">
        <v>#VALUE!</v>
      </c>
      <c r="L58" t="e">
        <v>#VALUE!</v>
      </c>
      <c r="M58" t="e">
        <v>#VALUE!</v>
      </c>
      <c r="N58" t="e">
        <v>#VALUE!</v>
      </c>
      <c r="O58" t="e">
        <v>#VALUE!</v>
      </c>
      <c r="P58" t="e">
        <v>#VALUE!</v>
      </c>
      <c r="Q58">
        <v>1.2999999999999999E-5</v>
      </c>
      <c r="R58">
        <v>1.2999999999999999E-5</v>
      </c>
      <c r="S58">
        <v>1.2999999999999999E-5</v>
      </c>
      <c r="T58">
        <v>1.2999999999999999E-5</v>
      </c>
      <c r="U58">
        <v>1.2999999999999999E-5</v>
      </c>
      <c r="V58">
        <v>1.2999999999999999E-5</v>
      </c>
      <c r="W58">
        <v>1.2999999999999999E-5</v>
      </c>
      <c r="X58">
        <v>1.2999999999999999E-5</v>
      </c>
      <c r="Y58">
        <v>1.2999999999999999E-5</v>
      </c>
      <c r="Z58">
        <v>1.2999999999999999E-5</v>
      </c>
      <c r="AA58">
        <v>1.2999999999999999E-5</v>
      </c>
      <c r="AB58">
        <v>1.2999999999999999E-5</v>
      </c>
      <c r="AC58">
        <v>1.2999999999999999E-5</v>
      </c>
      <c r="AD58">
        <v>1.2999999999999999E-5</v>
      </c>
      <c r="AE58">
        <v>1.2999999999999999E-5</v>
      </c>
      <c r="AF58">
        <v>1.2999999999999999E-5</v>
      </c>
      <c r="AG58">
        <v>1.2999999999999999E-5</v>
      </c>
      <c r="AH58">
        <v>1.2999999999999999E-5</v>
      </c>
      <c r="AI58">
        <v>1.2999999999999999E-5</v>
      </c>
      <c r="AJ58">
        <v>1.2999999999999999E-5</v>
      </c>
      <c r="AK58">
        <v>1.2999999999999999E-5</v>
      </c>
      <c r="AL58">
        <v>1.2999999999999999E-5</v>
      </c>
      <c r="AM58">
        <v>1.2999999999999999E-5</v>
      </c>
      <c r="AN58">
        <v>1.2999999999999999E-5</v>
      </c>
      <c r="AO58">
        <v>1.2999999999999999E-5</v>
      </c>
      <c r="AP58">
        <v>6.6000000000000005E-5</v>
      </c>
      <c r="AQ58">
        <v>6.6000000000000005E-5</v>
      </c>
      <c r="AR58">
        <v>6.6000000000000005E-5</v>
      </c>
      <c r="AS58">
        <v>6.6000000000000005E-5</v>
      </c>
      <c r="AT58">
        <v>6.6000000000000005E-5</v>
      </c>
      <c r="AU58">
        <v>1.07E-4</v>
      </c>
      <c r="AV58">
        <v>1.07E-4</v>
      </c>
      <c r="AW58">
        <v>1.07E-4</v>
      </c>
      <c r="AX58">
        <v>1.07E-4</v>
      </c>
      <c r="AY58">
        <v>1.07E-4</v>
      </c>
      <c r="AZ58">
        <v>1.4100000000000001E-4</v>
      </c>
      <c r="BA58">
        <v>1.4100000000000001E-4</v>
      </c>
      <c r="BB58">
        <v>1.4100000000000001E-4</v>
      </c>
      <c r="BC58">
        <v>1.4100000000000001E-4</v>
      </c>
      <c r="BD58">
        <v>1.4100000000000001E-4</v>
      </c>
      <c r="BE58">
        <v>1.4200000000000001E-4</v>
      </c>
      <c r="BF58">
        <v>1.4200000000000001E-4</v>
      </c>
      <c r="BG58">
        <v>1.4200000000000001E-4</v>
      </c>
      <c r="BH58">
        <v>1.4200000000000001E-4</v>
      </c>
      <c r="BI58">
        <v>1.4200000000000001E-4</v>
      </c>
      <c r="BJ58">
        <v>1.3300000000000001E-4</v>
      </c>
      <c r="BK58">
        <v>1.3300000000000001E-4</v>
      </c>
      <c r="BL58">
        <v>1.3300000000000001E-4</v>
      </c>
      <c r="BM58">
        <v>1.3300000000000001E-4</v>
      </c>
      <c r="BN58">
        <v>1.3300000000000001E-4</v>
      </c>
      <c r="BO58">
        <v>1.3200000000000001E-4</v>
      </c>
      <c r="BP58">
        <v>1.3200000000000001E-4</v>
      </c>
      <c r="BQ58">
        <v>1.3200000000000001E-4</v>
      </c>
      <c r="BR58">
        <v>1.3200000000000001E-4</v>
      </c>
      <c r="BS58">
        <v>1.3200000000000001E-4</v>
      </c>
      <c r="BT58">
        <v>1.5699999999999999E-4</v>
      </c>
      <c r="BU58">
        <v>1.5699999999999999E-4</v>
      </c>
      <c r="BV58">
        <v>1.5699999999999999E-4</v>
      </c>
      <c r="BW58">
        <v>1.5699999999999999E-4</v>
      </c>
      <c r="BX58">
        <v>1.5699999999999999E-4</v>
      </c>
      <c r="BY58">
        <v>2.3800000000000001E-4</v>
      </c>
      <c r="BZ58">
        <v>2.3800000000000001E-4</v>
      </c>
      <c r="CA58">
        <v>2.3800000000000001E-4</v>
      </c>
      <c r="CB58">
        <v>2.3800000000000001E-4</v>
      </c>
      <c r="CC58">
        <v>2.3800000000000001E-4</v>
      </c>
      <c r="CD58">
        <v>2.3800000000000001E-4</v>
      </c>
      <c r="CE58">
        <v>2.3800000000000001E-4</v>
      </c>
      <c r="CF58">
        <v>2.3800000000000001E-4</v>
      </c>
      <c r="CG58">
        <v>2.3800000000000001E-4</v>
      </c>
      <c r="CH58">
        <v>2.3800000000000001E-4</v>
      </c>
      <c r="CI58">
        <v>2.3800000000000001E-4</v>
      </c>
      <c r="CJ58">
        <v>2.3800000000000001E-4</v>
      </c>
      <c r="CK58">
        <v>2.3800000000000001E-4</v>
      </c>
      <c r="CL58">
        <v>2.3800000000000001E-4</v>
      </c>
      <c r="CM58">
        <v>2.3800000000000001E-4</v>
      </c>
      <c r="CN58">
        <v>2.3800000000000001E-4</v>
      </c>
      <c r="CO58">
        <v>2.3800000000000001E-4</v>
      </c>
      <c r="CP58">
        <v>2.3800000000000001E-4</v>
      </c>
      <c r="CQ58">
        <v>2.3800000000000001E-4</v>
      </c>
      <c r="CR58">
        <v>2.3800000000000001E-4</v>
      </c>
      <c r="CS58">
        <v>2.3800000000000001E-4</v>
      </c>
      <c r="CT58">
        <v>2.3800000000000001E-4</v>
      </c>
      <c r="CU58">
        <v>2.3800000000000001E-4</v>
      </c>
      <c r="CV58">
        <v>2.3800000000000001E-4</v>
      </c>
      <c r="CW58">
        <v>2.3800000000000001E-4</v>
      </c>
      <c r="CX58">
        <v>2.3800000000000001E-4</v>
      </c>
    </row>
    <row r="59" spans="1:102" x14ac:dyDescent="0.25">
      <c r="A59" t="s">
        <v>183</v>
      </c>
      <c r="B59" t="e">
        <v>#VALUE!</v>
      </c>
      <c r="C59" t="e">
        <v>#VALUE!</v>
      </c>
      <c r="D59" t="e">
        <v>#VALUE!</v>
      </c>
      <c r="E59" t="e">
        <v>#VALUE!</v>
      </c>
      <c r="F59" t="e">
        <v>#VALUE!</v>
      </c>
      <c r="G59" t="e">
        <v>#VALUE!</v>
      </c>
      <c r="H59" t="e">
        <v>#VALUE!</v>
      </c>
      <c r="I59" t="e">
        <v>#VALUE!</v>
      </c>
      <c r="J59" t="e">
        <v>#VALUE!</v>
      </c>
      <c r="K59" t="e">
        <v>#VALUE!</v>
      </c>
      <c r="L59" t="e">
        <v>#VALUE!</v>
      </c>
      <c r="M59" t="e">
        <v>#VALUE!</v>
      </c>
      <c r="N59" t="e">
        <v>#VALUE!</v>
      </c>
      <c r="O59" t="e">
        <v>#VALUE!</v>
      </c>
      <c r="P59" t="e">
        <v>#VALUE!</v>
      </c>
      <c r="Q59">
        <v>2.0999999999999999E-5</v>
      </c>
      <c r="R59">
        <v>2.0999999999999999E-5</v>
      </c>
      <c r="S59">
        <v>2.0999999999999999E-5</v>
      </c>
      <c r="T59">
        <v>2.0999999999999999E-5</v>
      </c>
      <c r="U59">
        <v>2.0999999999999999E-5</v>
      </c>
      <c r="V59">
        <v>2.0999999999999999E-5</v>
      </c>
      <c r="W59">
        <v>2.0999999999999999E-5</v>
      </c>
      <c r="X59">
        <v>2.0999999999999999E-5</v>
      </c>
      <c r="Y59">
        <v>2.0999999999999999E-5</v>
      </c>
      <c r="Z59">
        <v>2.0999999999999999E-5</v>
      </c>
      <c r="AA59">
        <v>2.0999999999999999E-5</v>
      </c>
      <c r="AB59">
        <v>2.0999999999999999E-5</v>
      </c>
      <c r="AC59">
        <v>2.0999999999999999E-5</v>
      </c>
      <c r="AD59">
        <v>2.0999999999999999E-5</v>
      </c>
      <c r="AE59">
        <v>2.0999999999999999E-5</v>
      </c>
      <c r="AF59">
        <v>2.0999999999999999E-5</v>
      </c>
      <c r="AG59">
        <v>2.0999999999999999E-5</v>
      </c>
      <c r="AH59">
        <v>2.0999999999999999E-5</v>
      </c>
      <c r="AI59">
        <v>2.0999999999999999E-5</v>
      </c>
      <c r="AJ59">
        <v>2.0999999999999999E-5</v>
      </c>
      <c r="AK59">
        <v>2.0999999999999999E-5</v>
      </c>
      <c r="AL59">
        <v>2.0999999999999999E-5</v>
      </c>
      <c r="AM59">
        <v>2.0999999999999999E-5</v>
      </c>
      <c r="AN59">
        <v>2.0999999999999999E-5</v>
      </c>
      <c r="AO59">
        <v>2.0999999999999999E-5</v>
      </c>
      <c r="AP59">
        <v>2.0000000000000001E-4</v>
      </c>
      <c r="AQ59">
        <v>2.0000000000000001E-4</v>
      </c>
      <c r="AR59">
        <v>2.0000000000000001E-4</v>
      </c>
      <c r="AS59">
        <v>2.0000000000000001E-4</v>
      </c>
      <c r="AT59">
        <v>2.0000000000000001E-4</v>
      </c>
      <c r="AU59">
        <v>3.5100000000000002E-4</v>
      </c>
      <c r="AV59">
        <v>3.5100000000000002E-4</v>
      </c>
      <c r="AW59">
        <v>3.5100000000000002E-4</v>
      </c>
      <c r="AX59">
        <v>3.5100000000000002E-4</v>
      </c>
      <c r="AY59">
        <v>3.5100000000000002E-4</v>
      </c>
      <c r="AZ59">
        <v>5.2400000000000005E-4</v>
      </c>
      <c r="BA59">
        <v>5.2400000000000005E-4</v>
      </c>
      <c r="BB59">
        <v>5.2400000000000005E-4</v>
      </c>
      <c r="BC59">
        <v>5.2400000000000005E-4</v>
      </c>
      <c r="BD59">
        <v>5.2400000000000005E-4</v>
      </c>
      <c r="BE59">
        <v>6.8400000000000004E-4</v>
      </c>
      <c r="BF59">
        <v>6.8400000000000004E-4</v>
      </c>
      <c r="BG59">
        <v>6.8400000000000004E-4</v>
      </c>
      <c r="BH59">
        <v>6.8400000000000004E-4</v>
      </c>
      <c r="BI59">
        <v>6.8400000000000004E-4</v>
      </c>
      <c r="BJ59">
        <v>7.9699999999999997E-4</v>
      </c>
      <c r="BK59">
        <v>7.9699999999999997E-4</v>
      </c>
      <c r="BL59">
        <v>7.9699999999999997E-4</v>
      </c>
      <c r="BM59">
        <v>7.9699999999999997E-4</v>
      </c>
      <c r="BN59">
        <v>7.9699999999999997E-4</v>
      </c>
      <c r="BO59">
        <v>8.4599999999999996E-4</v>
      </c>
      <c r="BP59">
        <v>8.4599999999999996E-4</v>
      </c>
      <c r="BQ59">
        <v>8.4599999999999996E-4</v>
      </c>
      <c r="BR59">
        <v>8.4599999999999996E-4</v>
      </c>
      <c r="BS59">
        <v>8.4599999999999996E-4</v>
      </c>
      <c r="BT59">
        <v>8.3600000000000005E-4</v>
      </c>
      <c r="BU59">
        <v>8.3600000000000005E-4</v>
      </c>
      <c r="BV59">
        <v>8.3600000000000005E-4</v>
      </c>
      <c r="BW59">
        <v>8.3600000000000005E-4</v>
      </c>
      <c r="BX59">
        <v>8.3600000000000005E-4</v>
      </c>
      <c r="BY59">
        <v>7.6800000000000002E-4</v>
      </c>
      <c r="BZ59">
        <v>7.6800000000000002E-4</v>
      </c>
      <c r="CA59">
        <v>7.6800000000000002E-4</v>
      </c>
      <c r="CB59">
        <v>7.6800000000000002E-4</v>
      </c>
      <c r="CC59">
        <v>7.6800000000000002E-4</v>
      </c>
      <c r="CD59">
        <v>7.6800000000000002E-4</v>
      </c>
      <c r="CE59">
        <v>7.6800000000000002E-4</v>
      </c>
      <c r="CF59">
        <v>7.6800000000000002E-4</v>
      </c>
      <c r="CG59">
        <v>7.6800000000000002E-4</v>
      </c>
      <c r="CH59">
        <v>7.6800000000000002E-4</v>
      </c>
      <c r="CI59">
        <v>7.6800000000000002E-4</v>
      </c>
      <c r="CJ59">
        <v>7.6800000000000002E-4</v>
      </c>
      <c r="CK59">
        <v>7.6800000000000002E-4</v>
      </c>
      <c r="CL59">
        <v>7.6800000000000002E-4</v>
      </c>
      <c r="CM59">
        <v>7.6800000000000002E-4</v>
      </c>
      <c r="CN59">
        <v>7.6800000000000002E-4</v>
      </c>
      <c r="CO59">
        <v>7.6800000000000002E-4</v>
      </c>
      <c r="CP59">
        <v>7.6800000000000002E-4</v>
      </c>
      <c r="CQ59">
        <v>7.6800000000000002E-4</v>
      </c>
      <c r="CR59">
        <v>7.6800000000000002E-4</v>
      </c>
      <c r="CS59">
        <v>7.6800000000000002E-4</v>
      </c>
      <c r="CT59">
        <v>7.6800000000000002E-4</v>
      </c>
      <c r="CU59">
        <v>7.6800000000000002E-4</v>
      </c>
      <c r="CV59">
        <v>7.6800000000000002E-4</v>
      </c>
      <c r="CW59">
        <v>7.6800000000000002E-4</v>
      </c>
      <c r="CX59">
        <v>7.6800000000000002E-4</v>
      </c>
    </row>
    <row r="60" spans="1:102" x14ac:dyDescent="0.25">
      <c r="A60" t="s">
        <v>185</v>
      </c>
      <c r="B60" t="e">
        <v>#VALUE!</v>
      </c>
      <c r="C60" t="e">
        <v>#VALUE!</v>
      </c>
      <c r="D60" t="e">
        <v>#VALUE!</v>
      </c>
      <c r="E60" t="e">
        <v>#VALUE!</v>
      </c>
      <c r="F60" t="e">
        <v>#VALUE!</v>
      </c>
      <c r="G60" t="e">
        <v>#VALUE!</v>
      </c>
      <c r="H60" t="e">
        <v>#VALUE!</v>
      </c>
      <c r="I60" t="e">
        <v>#VALUE!</v>
      </c>
      <c r="J60" t="e">
        <v>#VALUE!</v>
      </c>
      <c r="K60" t="e">
        <v>#VALUE!</v>
      </c>
      <c r="L60" t="e">
        <v>#VALUE!</v>
      </c>
      <c r="M60" t="e">
        <v>#VALUE!</v>
      </c>
      <c r="N60" t="e">
        <v>#VALUE!</v>
      </c>
      <c r="O60" t="e">
        <v>#VALUE!</v>
      </c>
      <c r="P60" t="e">
        <v>#VALUE!</v>
      </c>
      <c r="Q60">
        <v>2.9E-5</v>
      </c>
      <c r="R60">
        <v>2.9E-5</v>
      </c>
      <c r="S60">
        <v>2.9E-5</v>
      </c>
      <c r="T60">
        <v>2.9E-5</v>
      </c>
      <c r="U60">
        <v>2.9E-5</v>
      </c>
      <c r="V60">
        <v>2.9E-5</v>
      </c>
      <c r="W60">
        <v>2.9E-5</v>
      </c>
      <c r="X60">
        <v>2.9E-5</v>
      </c>
      <c r="Y60">
        <v>2.9E-5</v>
      </c>
      <c r="Z60">
        <v>2.9E-5</v>
      </c>
      <c r="AA60">
        <v>2.9E-5</v>
      </c>
      <c r="AB60">
        <v>2.9E-5</v>
      </c>
      <c r="AC60">
        <v>2.9E-5</v>
      </c>
      <c r="AD60">
        <v>2.9E-5</v>
      </c>
      <c r="AE60">
        <v>2.9E-5</v>
      </c>
      <c r="AF60">
        <v>2.9E-5</v>
      </c>
      <c r="AG60">
        <v>2.9E-5</v>
      </c>
      <c r="AH60">
        <v>2.9E-5</v>
      </c>
      <c r="AI60">
        <v>2.9E-5</v>
      </c>
      <c r="AJ60">
        <v>2.9E-5</v>
      </c>
      <c r="AK60">
        <v>2.9E-5</v>
      </c>
      <c r="AL60">
        <v>2.9E-5</v>
      </c>
      <c r="AM60">
        <v>2.9E-5</v>
      </c>
      <c r="AN60">
        <v>2.9E-5</v>
      </c>
      <c r="AO60">
        <v>2.9E-5</v>
      </c>
      <c r="AP60">
        <v>3.5199999999999999E-4</v>
      </c>
      <c r="AQ60">
        <v>3.5199999999999999E-4</v>
      </c>
      <c r="AR60">
        <v>3.5199999999999999E-4</v>
      </c>
      <c r="AS60">
        <v>3.5199999999999999E-4</v>
      </c>
      <c r="AT60">
        <v>3.5199999999999999E-4</v>
      </c>
      <c r="AU60">
        <v>3.0800000000000001E-4</v>
      </c>
      <c r="AV60">
        <v>3.0800000000000001E-4</v>
      </c>
      <c r="AW60">
        <v>3.0800000000000001E-4</v>
      </c>
      <c r="AX60">
        <v>3.0800000000000001E-4</v>
      </c>
      <c r="AY60">
        <v>3.0800000000000001E-4</v>
      </c>
      <c r="AZ60">
        <v>6.2699999999999995E-4</v>
      </c>
      <c r="BA60">
        <v>6.2699999999999995E-4</v>
      </c>
      <c r="BB60">
        <v>6.2699999999999995E-4</v>
      </c>
      <c r="BC60">
        <v>6.2699999999999995E-4</v>
      </c>
      <c r="BD60">
        <v>6.2699999999999995E-4</v>
      </c>
      <c r="BE60">
        <v>4.3199999999999998E-4</v>
      </c>
      <c r="BF60">
        <v>4.3199999999999998E-4</v>
      </c>
      <c r="BG60">
        <v>4.3199999999999998E-4</v>
      </c>
      <c r="BH60">
        <v>4.3199999999999998E-4</v>
      </c>
      <c r="BI60">
        <v>4.3199999999999998E-4</v>
      </c>
      <c r="BJ60">
        <v>7.8600000000000002E-4</v>
      </c>
      <c r="BK60">
        <v>7.8600000000000002E-4</v>
      </c>
      <c r="BL60">
        <v>7.8600000000000002E-4</v>
      </c>
      <c r="BM60">
        <v>7.8600000000000002E-4</v>
      </c>
      <c r="BN60">
        <v>7.8600000000000002E-4</v>
      </c>
      <c r="BO60">
        <v>1.3010000000000001E-3</v>
      </c>
      <c r="BP60">
        <v>1.3010000000000001E-3</v>
      </c>
      <c r="BQ60">
        <v>1.3010000000000001E-3</v>
      </c>
      <c r="BR60">
        <v>1.3010000000000001E-3</v>
      </c>
      <c r="BS60">
        <v>1.3010000000000001E-3</v>
      </c>
      <c r="BT60">
        <v>1.4120000000000001E-3</v>
      </c>
      <c r="BU60">
        <v>1.4120000000000001E-3</v>
      </c>
      <c r="BV60">
        <v>1.4120000000000001E-3</v>
      </c>
      <c r="BW60">
        <v>1.4120000000000001E-3</v>
      </c>
      <c r="BX60">
        <v>1.4120000000000001E-3</v>
      </c>
      <c r="BY60">
        <v>5.8100000000000003E-4</v>
      </c>
      <c r="BZ60">
        <v>5.8100000000000003E-4</v>
      </c>
      <c r="CA60">
        <v>5.8100000000000003E-4</v>
      </c>
      <c r="CB60">
        <v>5.8100000000000003E-4</v>
      </c>
      <c r="CC60">
        <v>5.8100000000000003E-4</v>
      </c>
      <c r="CD60">
        <v>5.8100000000000003E-4</v>
      </c>
      <c r="CE60">
        <v>5.8100000000000003E-4</v>
      </c>
      <c r="CF60">
        <v>5.8100000000000003E-4</v>
      </c>
      <c r="CG60">
        <v>5.8100000000000003E-4</v>
      </c>
      <c r="CH60">
        <v>5.8100000000000003E-4</v>
      </c>
      <c r="CI60">
        <v>5.8100000000000003E-4</v>
      </c>
      <c r="CJ60">
        <v>5.8100000000000003E-4</v>
      </c>
      <c r="CK60">
        <v>5.8100000000000003E-4</v>
      </c>
      <c r="CL60">
        <v>5.8100000000000003E-4</v>
      </c>
      <c r="CM60">
        <v>5.8100000000000003E-4</v>
      </c>
      <c r="CN60">
        <v>5.8100000000000003E-4</v>
      </c>
      <c r="CO60">
        <v>5.8100000000000003E-4</v>
      </c>
      <c r="CP60">
        <v>5.8100000000000003E-4</v>
      </c>
      <c r="CQ60">
        <v>5.8100000000000003E-4</v>
      </c>
      <c r="CR60">
        <v>5.8100000000000003E-4</v>
      </c>
      <c r="CS60">
        <v>5.8100000000000003E-4</v>
      </c>
      <c r="CT60">
        <v>5.8100000000000003E-4</v>
      </c>
      <c r="CU60">
        <v>5.8100000000000003E-4</v>
      </c>
      <c r="CV60">
        <v>5.8100000000000003E-4</v>
      </c>
      <c r="CW60">
        <v>5.8100000000000003E-4</v>
      </c>
      <c r="CX60">
        <v>5.8100000000000003E-4</v>
      </c>
    </row>
    <row r="61" spans="1:102" x14ac:dyDescent="0.25">
      <c r="A61" t="s">
        <v>187</v>
      </c>
      <c r="B61" t="e">
        <v>#VALUE!</v>
      </c>
      <c r="C61" t="e">
        <v>#VALUE!</v>
      </c>
      <c r="D61" t="e">
        <v>#VALUE!</v>
      </c>
      <c r="E61" t="e">
        <v>#VALUE!</v>
      </c>
      <c r="F61" t="e">
        <v>#VALUE!</v>
      </c>
      <c r="G61" t="e">
        <v>#VALUE!</v>
      </c>
      <c r="H61" t="e">
        <v>#VALUE!</v>
      </c>
      <c r="I61" t="e">
        <v>#VALUE!</v>
      </c>
      <c r="J61" t="e">
        <v>#VALUE!</v>
      </c>
      <c r="K61" t="e">
        <v>#VALUE!</v>
      </c>
      <c r="L61" t="e">
        <v>#VALUE!</v>
      </c>
      <c r="M61" t="e">
        <v>#VALUE!</v>
      </c>
      <c r="N61" t="e">
        <v>#VALUE!</v>
      </c>
      <c r="O61" t="e">
        <v>#VALUE!</v>
      </c>
      <c r="P61" t="e">
        <v>#VALUE!</v>
      </c>
      <c r="Q61">
        <v>6.0000000000000002E-6</v>
      </c>
      <c r="R61">
        <v>6.0000000000000002E-6</v>
      </c>
      <c r="S61">
        <v>6.0000000000000002E-6</v>
      </c>
      <c r="T61">
        <v>6.0000000000000002E-6</v>
      </c>
      <c r="U61">
        <v>6.0000000000000002E-6</v>
      </c>
      <c r="V61">
        <v>6.0000000000000002E-6</v>
      </c>
      <c r="W61">
        <v>6.0000000000000002E-6</v>
      </c>
      <c r="X61">
        <v>6.0000000000000002E-6</v>
      </c>
      <c r="Y61">
        <v>6.0000000000000002E-6</v>
      </c>
      <c r="Z61">
        <v>6.0000000000000002E-6</v>
      </c>
      <c r="AA61">
        <v>6.0000000000000002E-6</v>
      </c>
      <c r="AB61">
        <v>6.0000000000000002E-6</v>
      </c>
      <c r="AC61">
        <v>6.0000000000000002E-6</v>
      </c>
      <c r="AD61">
        <v>6.0000000000000002E-6</v>
      </c>
      <c r="AE61">
        <v>6.0000000000000002E-6</v>
      </c>
      <c r="AF61">
        <v>6.0000000000000002E-6</v>
      </c>
      <c r="AG61">
        <v>6.0000000000000002E-6</v>
      </c>
      <c r="AH61">
        <v>6.0000000000000002E-6</v>
      </c>
      <c r="AI61">
        <v>6.0000000000000002E-6</v>
      </c>
      <c r="AJ61">
        <v>6.0000000000000002E-6</v>
      </c>
      <c r="AK61">
        <v>6.0000000000000002E-6</v>
      </c>
      <c r="AL61">
        <v>6.0000000000000002E-6</v>
      </c>
      <c r="AM61">
        <v>6.0000000000000002E-6</v>
      </c>
      <c r="AN61">
        <v>6.0000000000000002E-6</v>
      </c>
      <c r="AO61">
        <v>6.0000000000000002E-6</v>
      </c>
      <c r="AP61">
        <v>1.8E-5</v>
      </c>
      <c r="AQ61">
        <v>1.8E-5</v>
      </c>
      <c r="AR61">
        <v>1.8E-5</v>
      </c>
      <c r="AS61">
        <v>1.8E-5</v>
      </c>
      <c r="AT61">
        <v>1.8E-5</v>
      </c>
      <c r="AU61">
        <v>1.5999999999999999E-5</v>
      </c>
      <c r="AV61">
        <v>1.5999999999999999E-5</v>
      </c>
      <c r="AW61">
        <v>1.5999999999999999E-5</v>
      </c>
      <c r="AX61">
        <v>1.5999999999999999E-5</v>
      </c>
      <c r="AY61">
        <v>1.5999999999999999E-5</v>
      </c>
      <c r="AZ61">
        <v>2.0999999999999999E-5</v>
      </c>
      <c r="BA61">
        <v>2.0999999999999999E-5</v>
      </c>
      <c r="BB61">
        <v>2.0999999999999999E-5</v>
      </c>
      <c r="BC61">
        <v>2.0999999999999999E-5</v>
      </c>
      <c r="BD61">
        <v>2.0999999999999999E-5</v>
      </c>
      <c r="BE61">
        <v>2.0999999999999999E-5</v>
      </c>
      <c r="BF61">
        <v>2.0999999999999999E-5</v>
      </c>
      <c r="BG61">
        <v>2.0999999999999999E-5</v>
      </c>
      <c r="BH61">
        <v>2.0999999999999999E-5</v>
      </c>
      <c r="BI61">
        <v>2.0999999999999999E-5</v>
      </c>
      <c r="BJ61">
        <v>2.4000000000000001E-5</v>
      </c>
      <c r="BK61">
        <v>2.4000000000000001E-5</v>
      </c>
      <c r="BL61">
        <v>2.4000000000000001E-5</v>
      </c>
      <c r="BM61">
        <v>2.4000000000000001E-5</v>
      </c>
      <c r="BN61">
        <v>2.4000000000000001E-5</v>
      </c>
      <c r="BO61">
        <v>2.4000000000000001E-5</v>
      </c>
      <c r="BP61">
        <v>2.4000000000000001E-5</v>
      </c>
      <c r="BQ61">
        <v>2.4000000000000001E-5</v>
      </c>
      <c r="BR61">
        <v>2.4000000000000001E-5</v>
      </c>
      <c r="BS61">
        <v>2.4000000000000001E-5</v>
      </c>
      <c r="BT61">
        <v>4.1E-5</v>
      </c>
      <c r="BU61">
        <v>4.1E-5</v>
      </c>
      <c r="BV61">
        <v>4.1E-5</v>
      </c>
      <c r="BW61">
        <v>4.1E-5</v>
      </c>
      <c r="BX61">
        <v>4.1E-5</v>
      </c>
      <c r="BY61">
        <v>6.9999999999999994E-5</v>
      </c>
      <c r="BZ61">
        <v>6.9999999999999994E-5</v>
      </c>
      <c r="CA61">
        <v>6.9999999999999994E-5</v>
      </c>
      <c r="CB61">
        <v>6.9999999999999994E-5</v>
      </c>
      <c r="CC61">
        <v>6.9999999999999994E-5</v>
      </c>
      <c r="CD61">
        <v>6.9999999999999994E-5</v>
      </c>
      <c r="CE61">
        <v>6.9999999999999994E-5</v>
      </c>
      <c r="CF61">
        <v>6.9999999999999994E-5</v>
      </c>
      <c r="CG61">
        <v>6.9999999999999994E-5</v>
      </c>
      <c r="CH61">
        <v>6.9999999999999994E-5</v>
      </c>
      <c r="CI61">
        <v>6.9999999999999994E-5</v>
      </c>
      <c r="CJ61">
        <v>6.9999999999999994E-5</v>
      </c>
      <c r="CK61">
        <v>6.9999999999999994E-5</v>
      </c>
      <c r="CL61">
        <v>6.9999999999999994E-5</v>
      </c>
      <c r="CM61">
        <v>6.9999999999999994E-5</v>
      </c>
      <c r="CN61">
        <v>6.9999999999999994E-5</v>
      </c>
      <c r="CO61">
        <v>6.9999999999999994E-5</v>
      </c>
      <c r="CP61">
        <v>6.9999999999999994E-5</v>
      </c>
      <c r="CQ61">
        <v>6.9999999999999994E-5</v>
      </c>
      <c r="CR61">
        <v>6.9999999999999994E-5</v>
      </c>
      <c r="CS61">
        <v>6.9999999999999994E-5</v>
      </c>
      <c r="CT61">
        <v>6.9999999999999994E-5</v>
      </c>
      <c r="CU61">
        <v>6.9999999999999994E-5</v>
      </c>
      <c r="CV61">
        <v>6.9999999999999994E-5</v>
      </c>
      <c r="CW61">
        <v>6.9999999999999994E-5</v>
      </c>
      <c r="CX61">
        <v>6.9999999999999994E-5</v>
      </c>
    </row>
    <row r="62" spans="1:102" x14ac:dyDescent="0.25">
      <c r="A62" t="s">
        <v>189</v>
      </c>
      <c r="B62" t="e">
        <v>#VALUE!</v>
      </c>
      <c r="C62" t="e">
        <v>#VALUE!</v>
      </c>
      <c r="D62" t="e">
        <v>#VALUE!</v>
      </c>
      <c r="E62" t="e">
        <v>#VALUE!</v>
      </c>
      <c r="F62" t="e">
        <v>#VALUE!</v>
      </c>
      <c r="G62" t="e">
        <v>#VALUE!</v>
      </c>
      <c r="H62" t="e">
        <v>#VALUE!</v>
      </c>
      <c r="I62" t="e">
        <v>#VALUE!</v>
      </c>
      <c r="J62" t="e">
        <v>#VALUE!</v>
      </c>
      <c r="K62" t="e">
        <v>#VALUE!</v>
      </c>
      <c r="L62" t="e">
        <v>#VALUE!</v>
      </c>
      <c r="M62" t="e">
        <v>#VALUE!</v>
      </c>
      <c r="N62" t="e">
        <v>#VALUE!</v>
      </c>
      <c r="O62" t="e">
        <v>#VALUE!</v>
      </c>
      <c r="P62" t="e">
        <v>#VALUE!</v>
      </c>
      <c r="Q62">
        <v>6.0000000000000002E-6</v>
      </c>
      <c r="R62">
        <v>6.0000000000000002E-6</v>
      </c>
      <c r="S62">
        <v>6.0000000000000002E-6</v>
      </c>
      <c r="T62">
        <v>6.0000000000000002E-6</v>
      </c>
      <c r="U62">
        <v>6.0000000000000002E-6</v>
      </c>
      <c r="V62">
        <v>6.0000000000000002E-6</v>
      </c>
      <c r="W62">
        <v>6.0000000000000002E-6</v>
      </c>
      <c r="X62">
        <v>6.0000000000000002E-6</v>
      </c>
      <c r="Y62">
        <v>6.0000000000000002E-6</v>
      </c>
      <c r="Z62">
        <v>6.0000000000000002E-6</v>
      </c>
      <c r="AA62">
        <v>6.0000000000000002E-6</v>
      </c>
      <c r="AB62">
        <v>6.0000000000000002E-6</v>
      </c>
      <c r="AC62">
        <v>6.0000000000000002E-6</v>
      </c>
      <c r="AD62">
        <v>6.0000000000000002E-6</v>
      </c>
      <c r="AE62">
        <v>6.0000000000000002E-6</v>
      </c>
      <c r="AF62">
        <v>6.0000000000000002E-6</v>
      </c>
      <c r="AG62">
        <v>6.0000000000000002E-6</v>
      </c>
      <c r="AH62">
        <v>6.0000000000000002E-6</v>
      </c>
      <c r="AI62">
        <v>6.0000000000000002E-6</v>
      </c>
      <c r="AJ62">
        <v>6.0000000000000002E-6</v>
      </c>
      <c r="AK62">
        <v>6.0000000000000002E-6</v>
      </c>
      <c r="AL62">
        <v>6.0000000000000002E-6</v>
      </c>
      <c r="AM62">
        <v>6.0000000000000002E-6</v>
      </c>
      <c r="AN62">
        <v>6.0000000000000002E-6</v>
      </c>
      <c r="AO62">
        <v>6.0000000000000002E-6</v>
      </c>
      <c r="AP62">
        <v>3.1999999999999999E-5</v>
      </c>
      <c r="AQ62">
        <v>3.1999999999999999E-5</v>
      </c>
      <c r="AR62">
        <v>3.1999999999999999E-5</v>
      </c>
      <c r="AS62">
        <v>3.1999999999999999E-5</v>
      </c>
      <c r="AT62">
        <v>3.1999999999999999E-5</v>
      </c>
      <c r="AU62">
        <v>4.3000000000000002E-5</v>
      </c>
      <c r="AV62">
        <v>4.3000000000000002E-5</v>
      </c>
      <c r="AW62">
        <v>4.3000000000000002E-5</v>
      </c>
      <c r="AX62">
        <v>4.3000000000000002E-5</v>
      </c>
      <c r="AY62">
        <v>4.3000000000000002E-5</v>
      </c>
      <c r="AZ62">
        <v>5.3000000000000001E-5</v>
      </c>
      <c r="BA62">
        <v>5.3000000000000001E-5</v>
      </c>
      <c r="BB62">
        <v>5.3000000000000001E-5</v>
      </c>
      <c r="BC62">
        <v>5.3000000000000001E-5</v>
      </c>
      <c r="BD62">
        <v>5.3000000000000001E-5</v>
      </c>
      <c r="BE62">
        <v>5.5000000000000002E-5</v>
      </c>
      <c r="BF62">
        <v>5.5000000000000002E-5</v>
      </c>
      <c r="BG62">
        <v>5.5000000000000002E-5</v>
      </c>
      <c r="BH62">
        <v>5.5000000000000002E-5</v>
      </c>
      <c r="BI62">
        <v>5.5000000000000002E-5</v>
      </c>
      <c r="BJ62">
        <v>5.0000000000000002E-5</v>
      </c>
      <c r="BK62">
        <v>5.0000000000000002E-5</v>
      </c>
      <c r="BL62">
        <v>5.0000000000000002E-5</v>
      </c>
      <c r="BM62">
        <v>5.0000000000000002E-5</v>
      </c>
      <c r="BN62">
        <v>5.0000000000000002E-5</v>
      </c>
      <c r="BO62">
        <v>5.3999999999999998E-5</v>
      </c>
      <c r="BP62">
        <v>5.3999999999999998E-5</v>
      </c>
      <c r="BQ62">
        <v>5.3999999999999998E-5</v>
      </c>
      <c r="BR62">
        <v>5.3999999999999998E-5</v>
      </c>
      <c r="BS62">
        <v>5.3999999999999998E-5</v>
      </c>
      <c r="BT62">
        <v>6.8999999999999997E-5</v>
      </c>
      <c r="BU62">
        <v>6.8999999999999997E-5</v>
      </c>
      <c r="BV62">
        <v>6.8999999999999997E-5</v>
      </c>
      <c r="BW62">
        <v>6.8999999999999997E-5</v>
      </c>
      <c r="BX62">
        <v>6.8999999999999997E-5</v>
      </c>
      <c r="BY62">
        <v>1.25E-4</v>
      </c>
      <c r="BZ62">
        <v>1.25E-4</v>
      </c>
      <c r="CA62">
        <v>1.25E-4</v>
      </c>
      <c r="CB62">
        <v>1.25E-4</v>
      </c>
      <c r="CC62">
        <v>1.25E-4</v>
      </c>
      <c r="CD62">
        <v>1.25E-4</v>
      </c>
      <c r="CE62">
        <v>1.25E-4</v>
      </c>
      <c r="CF62">
        <v>1.25E-4</v>
      </c>
      <c r="CG62">
        <v>1.25E-4</v>
      </c>
      <c r="CH62">
        <v>1.25E-4</v>
      </c>
      <c r="CI62">
        <v>1.25E-4</v>
      </c>
      <c r="CJ62">
        <v>1.25E-4</v>
      </c>
      <c r="CK62">
        <v>1.25E-4</v>
      </c>
      <c r="CL62">
        <v>1.25E-4</v>
      </c>
      <c r="CM62">
        <v>1.25E-4</v>
      </c>
      <c r="CN62">
        <v>1.25E-4</v>
      </c>
      <c r="CO62">
        <v>1.25E-4</v>
      </c>
      <c r="CP62">
        <v>1.25E-4</v>
      </c>
      <c r="CQ62">
        <v>1.25E-4</v>
      </c>
      <c r="CR62">
        <v>1.25E-4</v>
      </c>
      <c r="CS62">
        <v>1.25E-4</v>
      </c>
      <c r="CT62">
        <v>1.25E-4</v>
      </c>
      <c r="CU62">
        <v>1.25E-4</v>
      </c>
      <c r="CV62">
        <v>1.25E-4</v>
      </c>
      <c r="CW62">
        <v>1.25E-4</v>
      </c>
      <c r="CX62">
        <v>1.25E-4</v>
      </c>
    </row>
    <row r="63" spans="1:102" x14ac:dyDescent="0.25">
      <c r="A63" t="s">
        <v>191</v>
      </c>
      <c r="B63" t="e">
        <v>#VALUE!</v>
      </c>
      <c r="C63" t="e">
        <v>#VALUE!</v>
      </c>
      <c r="D63" t="e">
        <v>#VALUE!</v>
      </c>
      <c r="E63" t="e">
        <v>#VALUE!</v>
      </c>
      <c r="F63" t="e">
        <v>#VALUE!</v>
      </c>
      <c r="G63" t="e">
        <v>#VALUE!</v>
      </c>
      <c r="H63" t="e">
        <v>#VALUE!</v>
      </c>
      <c r="I63" t="e">
        <v>#VALUE!</v>
      </c>
      <c r="J63" t="e">
        <v>#VALUE!</v>
      </c>
      <c r="K63" t="e">
        <v>#VALUE!</v>
      </c>
      <c r="L63" t="e">
        <v>#VALUE!</v>
      </c>
      <c r="M63" t="e">
        <v>#VALUE!</v>
      </c>
      <c r="N63" t="e">
        <v>#VALUE!</v>
      </c>
      <c r="O63" t="e">
        <v>#VALUE!</v>
      </c>
      <c r="P63" t="e">
        <v>#VALUE!</v>
      </c>
      <c r="Q63">
        <v>2.0999999999999999E-5</v>
      </c>
      <c r="R63">
        <v>2.0999999999999999E-5</v>
      </c>
      <c r="S63">
        <v>2.0999999999999999E-5</v>
      </c>
      <c r="T63">
        <v>2.0999999999999999E-5</v>
      </c>
      <c r="U63">
        <v>2.0999999999999999E-5</v>
      </c>
      <c r="V63">
        <v>2.0999999999999999E-5</v>
      </c>
      <c r="W63">
        <v>2.0999999999999999E-5</v>
      </c>
      <c r="X63">
        <v>2.0999999999999999E-5</v>
      </c>
      <c r="Y63">
        <v>2.0999999999999999E-5</v>
      </c>
      <c r="Z63">
        <v>2.0999999999999999E-5</v>
      </c>
      <c r="AA63">
        <v>2.0999999999999999E-5</v>
      </c>
      <c r="AB63">
        <v>2.0999999999999999E-5</v>
      </c>
      <c r="AC63">
        <v>2.0999999999999999E-5</v>
      </c>
      <c r="AD63">
        <v>2.0999999999999999E-5</v>
      </c>
      <c r="AE63">
        <v>2.0999999999999999E-5</v>
      </c>
      <c r="AF63">
        <v>2.0999999999999999E-5</v>
      </c>
      <c r="AG63">
        <v>2.0999999999999999E-5</v>
      </c>
      <c r="AH63">
        <v>2.0999999999999999E-5</v>
      </c>
      <c r="AI63">
        <v>2.0999999999999999E-5</v>
      </c>
      <c r="AJ63">
        <v>2.0999999999999999E-5</v>
      </c>
      <c r="AK63">
        <v>2.0999999999999999E-5</v>
      </c>
      <c r="AL63">
        <v>2.0999999999999999E-5</v>
      </c>
      <c r="AM63">
        <v>2.0999999999999999E-5</v>
      </c>
      <c r="AN63">
        <v>2.0999999999999999E-5</v>
      </c>
      <c r="AO63">
        <v>2.0999999999999999E-5</v>
      </c>
      <c r="AP63">
        <v>1.27E-4</v>
      </c>
      <c r="AQ63">
        <v>1.27E-4</v>
      </c>
      <c r="AR63">
        <v>1.27E-4</v>
      </c>
      <c r="AS63">
        <v>1.27E-4</v>
      </c>
      <c r="AT63">
        <v>1.27E-4</v>
      </c>
      <c r="AU63">
        <v>1.8200000000000001E-4</v>
      </c>
      <c r="AV63">
        <v>1.8200000000000001E-4</v>
      </c>
      <c r="AW63">
        <v>1.8200000000000001E-4</v>
      </c>
      <c r="AX63">
        <v>1.8200000000000001E-4</v>
      </c>
      <c r="AY63">
        <v>1.8200000000000001E-4</v>
      </c>
      <c r="AZ63">
        <v>2.1599999999999999E-4</v>
      </c>
      <c r="BA63">
        <v>2.1599999999999999E-4</v>
      </c>
      <c r="BB63">
        <v>2.1599999999999999E-4</v>
      </c>
      <c r="BC63">
        <v>2.1599999999999999E-4</v>
      </c>
      <c r="BD63">
        <v>2.1599999999999999E-4</v>
      </c>
      <c r="BE63">
        <v>2.9599999999999998E-4</v>
      </c>
      <c r="BF63">
        <v>2.9599999999999998E-4</v>
      </c>
      <c r="BG63">
        <v>2.9599999999999998E-4</v>
      </c>
      <c r="BH63">
        <v>2.9599999999999998E-4</v>
      </c>
      <c r="BI63">
        <v>2.9599999999999998E-4</v>
      </c>
      <c r="BJ63">
        <v>3.3599999999999998E-4</v>
      </c>
      <c r="BK63">
        <v>3.3599999999999998E-4</v>
      </c>
      <c r="BL63">
        <v>3.3599999999999998E-4</v>
      </c>
      <c r="BM63">
        <v>3.3599999999999998E-4</v>
      </c>
      <c r="BN63">
        <v>3.3599999999999998E-4</v>
      </c>
      <c r="BO63">
        <v>3.2000000000000003E-4</v>
      </c>
      <c r="BP63">
        <v>3.2000000000000003E-4</v>
      </c>
      <c r="BQ63">
        <v>3.2000000000000003E-4</v>
      </c>
      <c r="BR63">
        <v>3.2000000000000003E-4</v>
      </c>
      <c r="BS63">
        <v>3.2000000000000003E-4</v>
      </c>
      <c r="BT63">
        <v>3.2299999999999999E-4</v>
      </c>
      <c r="BU63">
        <v>3.2299999999999999E-4</v>
      </c>
      <c r="BV63">
        <v>3.2299999999999999E-4</v>
      </c>
      <c r="BW63">
        <v>3.2299999999999999E-4</v>
      </c>
      <c r="BX63">
        <v>3.2299999999999999E-4</v>
      </c>
      <c r="BY63">
        <v>2.7599999999999999E-4</v>
      </c>
      <c r="BZ63">
        <v>2.7599999999999999E-4</v>
      </c>
      <c r="CA63">
        <v>2.7599999999999999E-4</v>
      </c>
      <c r="CB63">
        <v>2.7599999999999999E-4</v>
      </c>
      <c r="CC63">
        <v>2.7599999999999999E-4</v>
      </c>
      <c r="CD63">
        <v>2.7599999999999999E-4</v>
      </c>
      <c r="CE63">
        <v>2.7599999999999999E-4</v>
      </c>
      <c r="CF63">
        <v>2.7599999999999999E-4</v>
      </c>
      <c r="CG63">
        <v>2.7599999999999999E-4</v>
      </c>
      <c r="CH63">
        <v>2.7599999999999999E-4</v>
      </c>
      <c r="CI63">
        <v>2.7599999999999999E-4</v>
      </c>
      <c r="CJ63">
        <v>2.7599999999999999E-4</v>
      </c>
      <c r="CK63">
        <v>2.7599999999999999E-4</v>
      </c>
      <c r="CL63">
        <v>2.7599999999999999E-4</v>
      </c>
      <c r="CM63">
        <v>2.7599999999999999E-4</v>
      </c>
      <c r="CN63">
        <v>2.7599999999999999E-4</v>
      </c>
      <c r="CO63">
        <v>2.7599999999999999E-4</v>
      </c>
      <c r="CP63">
        <v>2.7599999999999999E-4</v>
      </c>
      <c r="CQ63">
        <v>2.7599999999999999E-4</v>
      </c>
      <c r="CR63">
        <v>2.7599999999999999E-4</v>
      </c>
      <c r="CS63">
        <v>2.7599999999999999E-4</v>
      </c>
      <c r="CT63">
        <v>2.7599999999999999E-4</v>
      </c>
      <c r="CU63">
        <v>2.7599999999999999E-4</v>
      </c>
      <c r="CV63">
        <v>2.7599999999999999E-4</v>
      </c>
      <c r="CW63">
        <v>2.7599999999999999E-4</v>
      </c>
      <c r="CX63">
        <v>2.7599999999999999E-4</v>
      </c>
    </row>
    <row r="64" spans="1:102" x14ac:dyDescent="0.25">
      <c r="A64" t="s">
        <v>193</v>
      </c>
      <c r="B64" t="e">
        <v>#VALUE!</v>
      </c>
      <c r="C64" t="e">
        <v>#VALUE!</v>
      </c>
      <c r="D64" t="e">
        <v>#VALUE!</v>
      </c>
      <c r="E64" t="e">
        <v>#VALUE!</v>
      </c>
      <c r="F64" t="e">
        <v>#VALUE!</v>
      </c>
      <c r="G64" t="e">
        <v>#VALUE!</v>
      </c>
      <c r="H64" t="e">
        <v>#VALUE!</v>
      </c>
      <c r="I64" t="e">
        <v>#VALUE!</v>
      </c>
      <c r="J64" t="e">
        <v>#VALUE!</v>
      </c>
      <c r="K64" t="e">
        <v>#VALUE!</v>
      </c>
      <c r="L64" t="e">
        <v>#VALUE!</v>
      </c>
      <c r="M64" t="e">
        <v>#VALUE!</v>
      </c>
      <c r="N64" t="e">
        <v>#VALUE!</v>
      </c>
      <c r="O64" t="e">
        <v>#VALUE!</v>
      </c>
      <c r="P64" t="e">
        <v>#VALUE!</v>
      </c>
      <c r="Q64">
        <v>2.5999999999999998E-5</v>
      </c>
      <c r="R64">
        <v>2.5999999999999998E-5</v>
      </c>
      <c r="S64">
        <v>2.5999999999999998E-5</v>
      </c>
      <c r="T64">
        <v>2.5999999999999998E-5</v>
      </c>
      <c r="U64">
        <v>2.5999999999999998E-5</v>
      </c>
      <c r="V64">
        <v>2.5999999999999998E-5</v>
      </c>
      <c r="W64">
        <v>2.5999999999999998E-5</v>
      </c>
      <c r="X64">
        <v>2.5999999999999998E-5</v>
      </c>
      <c r="Y64">
        <v>2.5999999999999998E-5</v>
      </c>
      <c r="Z64">
        <v>2.5999999999999998E-5</v>
      </c>
      <c r="AA64">
        <v>2.5999999999999998E-5</v>
      </c>
      <c r="AB64">
        <v>2.5999999999999998E-5</v>
      </c>
      <c r="AC64">
        <v>2.5999999999999998E-5</v>
      </c>
      <c r="AD64">
        <v>2.5999999999999998E-5</v>
      </c>
      <c r="AE64">
        <v>2.5999999999999998E-5</v>
      </c>
      <c r="AF64">
        <v>2.5999999999999998E-5</v>
      </c>
      <c r="AG64">
        <v>2.5999999999999998E-5</v>
      </c>
      <c r="AH64">
        <v>2.5999999999999998E-5</v>
      </c>
      <c r="AI64">
        <v>2.5999999999999998E-5</v>
      </c>
      <c r="AJ64">
        <v>2.5999999999999998E-5</v>
      </c>
      <c r="AK64">
        <v>2.5999999999999998E-5</v>
      </c>
      <c r="AL64">
        <v>2.5999999999999998E-5</v>
      </c>
      <c r="AM64">
        <v>2.5999999999999998E-5</v>
      </c>
      <c r="AN64">
        <v>2.5999999999999998E-5</v>
      </c>
      <c r="AO64">
        <v>2.5999999999999998E-5</v>
      </c>
      <c r="AP64">
        <v>1.01E-4</v>
      </c>
      <c r="AQ64">
        <v>1.01E-4</v>
      </c>
      <c r="AR64">
        <v>1.01E-4</v>
      </c>
      <c r="AS64">
        <v>1.01E-4</v>
      </c>
      <c r="AT64">
        <v>1.01E-4</v>
      </c>
      <c r="AU64">
        <v>1.5699999999999999E-4</v>
      </c>
      <c r="AV64">
        <v>1.5699999999999999E-4</v>
      </c>
      <c r="AW64">
        <v>1.5699999999999999E-4</v>
      </c>
      <c r="AX64">
        <v>1.5699999999999999E-4</v>
      </c>
      <c r="AY64">
        <v>1.5699999999999999E-4</v>
      </c>
      <c r="AZ64">
        <v>1.6799999999999999E-4</v>
      </c>
      <c r="BA64">
        <v>1.6799999999999999E-4</v>
      </c>
      <c r="BB64">
        <v>1.6799999999999999E-4</v>
      </c>
      <c r="BC64">
        <v>1.6799999999999999E-4</v>
      </c>
      <c r="BD64">
        <v>1.6799999999999999E-4</v>
      </c>
      <c r="BE64">
        <v>1.12E-4</v>
      </c>
      <c r="BF64">
        <v>1.12E-4</v>
      </c>
      <c r="BG64">
        <v>1.12E-4</v>
      </c>
      <c r="BH64">
        <v>1.12E-4</v>
      </c>
      <c r="BI64">
        <v>1.12E-4</v>
      </c>
      <c r="BJ64">
        <v>3.4400000000000001E-4</v>
      </c>
      <c r="BK64">
        <v>3.4400000000000001E-4</v>
      </c>
      <c r="BL64">
        <v>3.4400000000000001E-4</v>
      </c>
      <c r="BM64">
        <v>3.4400000000000001E-4</v>
      </c>
      <c r="BN64">
        <v>3.4400000000000001E-4</v>
      </c>
      <c r="BO64">
        <v>3.4299999999999999E-4</v>
      </c>
      <c r="BP64">
        <v>3.4299999999999999E-4</v>
      </c>
      <c r="BQ64">
        <v>3.4299999999999999E-4</v>
      </c>
      <c r="BR64">
        <v>3.4299999999999999E-4</v>
      </c>
      <c r="BS64">
        <v>3.4299999999999999E-4</v>
      </c>
      <c r="BT64">
        <v>3.3700000000000001E-4</v>
      </c>
      <c r="BU64">
        <v>3.3700000000000001E-4</v>
      </c>
      <c r="BV64">
        <v>3.3700000000000001E-4</v>
      </c>
      <c r="BW64">
        <v>3.3700000000000001E-4</v>
      </c>
      <c r="BX64">
        <v>3.3700000000000001E-4</v>
      </c>
      <c r="BY64">
        <v>5.5420000000000001E-3</v>
      </c>
      <c r="BZ64">
        <v>5.5420000000000001E-3</v>
      </c>
      <c r="CA64">
        <v>5.5420000000000001E-3</v>
      </c>
      <c r="CB64">
        <v>5.5420000000000001E-3</v>
      </c>
      <c r="CC64">
        <v>5.5420000000000001E-3</v>
      </c>
      <c r="CD64">
        <v>5.5420000000000001E-3</v>
      </c>
      <c r="CE64">
        <v>5.5420000000000001E-3</v>
      </c>
      <c r="CF64">
        <v>5.5420000000000001E-3</v>
      </c>
      <c r="CG64">
        <v>5.5420000000000001E-3</v>
      </c>
      <c r="CH64">
        <v>5.5420000000000001E-3</v>
      </c>
      <c r="CI64">
        <v>5.5420000000000001E-3</v>
      </c>
      <c r="CJ64">
        <v>5.5420000000000001E-3</v>
      </c>
      <c r="CK64">
        <v>5.5420000000000001E-3</v>
      </c>
      <c r="CL64">
        <v>5.5420000000000001E-3</v>
      </c>
      <c r="CM64">
        <v>5.5420000000000001E-3</v>
      </c>
      <c r="CN64">
        <v>5.5420000000000001E-3</v>
      </c>
      <c r="CO64">
        <v>5.5420000000000001E-3</v>
      </c>
      <c r="CP64">
        <v>5.5420000000000001E-3</v>
      </c>
      <c r="CQ64">
        <v>5.5420000000000001E-3</v>
      </c>
      <c r="CR64">
        <v>5.5420000000000001E-3</v>
      </c>
      <c r="CS64">
        <v>5.5420000000000001E-3</v>
      </c>
      <c r="CT64">
        <v>5.5420000000000001E-3</v>
      </c>
      <c r="CU64">
        <v>5.5420000000000001E-3</v>
      </c>
      <c r="CV64">
        <v>5.5420000000000001E-3</v>
      </c>
      <c r="CW64">
        <v>5.5420000000000001E-3</v>
      </c>
      <c r="CX64">
        <v>5.5420000000000001E-3</v>
      </c>
    </row>
    <row r="65" spans="1:102" x14ac:dyDescent="0.25">
      <c r="A65" t="s">
        <v>195</v>
      </c>
      <c r="B65" t="e">
        <v>#VALUE!</v>
      </c>
      <c r="C65" t="e">
        <v>#VALUE!</v>
      </c>
      <c r="D65" t="e">
        <v>#VALUE!</v>
      </c>
      <c r="E65" t="e">
        <v>#VALUE!</v>
      </c>
      <c r="F65" t="e">
        <v>#VALUE!</v>
      </c>
      <c r="G65" t="e">
        <v>#VALUE!</v>
      </c>
      <c r="H65" t="e">
        <v>#VALUE!</v>
      </c>
      <c r="I65" t="e">
        <v>#VALUE!</v>
      </c>
      <c r="J65" t="e">
        <v>#VALUE!</v>
      </c>
      <c r="K65" t="e">
        <v>#VALUE!</v>
      </c>
      <c r="L65" t="e">
        <v>#VALUE!</v>
      </c>
      <c r="M65" t="e">
        <v>#VALUE!</v>
      </c>
      <c r="N65" t="e">
        <v>#VALUE!</v>
      </c>
      <c r="O65" t="e">
        <v>#VALUE!</v>
      </c>
      <c r="P65" t="e">
        <v>#VALUE!</v>
      </c>
      <c r="Q65">
        <v>1.9000000000000001E-5</v>
      </c>
      <c r="R65">
        <v>1.9000000000000001E-5</v>
      </c>
      <c r="S65">
        <v>1.9000000000000001E-5</v>
      </c>
      <c r="T65">
        <v>1.9000000000000001E-5</v>
      </c>
      <c r="U65">
        <v>1.9000000000000001E-5</v>
      </c>
      <c r="V65">
        <v>1.9000000000000001E-5</v>
      </c>
      <c r="W65">
        <v>1.9000000000000001E-5</v>
      </c>
      <c r="X65">
        <v>1.9000000000000001E-5</v>
      </c>
      <c r="Y65">
        <v>1.9000000000000001E-5</v>
      </c>
      <c r="Z65">
        <v>1.9000000000000001E-5</v>
      </c>
      <c r="AA65">
        <v>1.9000000000000001E-5</v>
      </c>
      <c r="AB65">
        <v>1.9000000000000001E-5</v>
      </c>
      <c r="AC65">
        <v>1.9000000000000001E-5</v>
      </c>
      <c r="AD65">
        <v>1.9000000000000001E-5</v>
      </c>
      <c r="AE65">
        <v>1.9000000000000001E-5</v>
      </c>
      <c r="AF65">
        <v>1.9000000000000001E-5</v>
      </c>
      <c r="AG65">
        <v>1.9000000000000001E-5</v>
      </c>
      <c r="AH65">
        <v>1.9000000000000001E-5</v>
      </c>
      <c r="AI65">
        <v>1.9000000000000001E-5</v>
      </c>
      <c r="AJ65">
        <v>1.9000000000000001E-5</v>
      </c>
      <c r="AK65">
        <v>1.9000000000000001E-5</v>
      </c>
      <c r="AL65">
        <v>1.9000000000000001E-5</v>
      </c>
      <c r="AM65">
        <v>1.9000000000000001E-5</v>
      </c>
      <c r="AN65">
        <v>1.9000000000000001E-5</v>
      </c>
      <c r="AO65">
        <v>1.9000000000000001E-5</v>
      </c>
      <c r="AP65">
        <v>1.06E-4</v>
      </c>
      <c r="AQ65">
        <v>1.06E-4</v>
      </c>
      <c r="AR65">
        <v>1.06E-4</v>
      </c>
      <c r="AS65">
        <v>1.06E-4</v>
      </c>
      <c r="AT65">
        <v>1.06E-4</v>
      </c>
      <c r="AU65">
        <v>1.4100000000000001E-4</v>
      </c>
      <c r="AV65">
        <v>1.4100000000000001E-4</v>
      </c>
      <c r="AW65">
        <v>1.4100000000000001E-4</v>
      </c>
      <c r="AX65">
        <v>1.4100000000000001E-4</v>
      </c>
      <c r="AY65">
        <v>1.4100000000000001E-4</v>
      </c>
      <c r="AZ65">
        <v>1.8599999999999999E-4</v>
      </c>
      <c r="BA65">
        <v>1.8599999999999999E-4</v>
      </c>
      <c r="BB65">
        <v>1.8599999999999999E-4</v>
      </c>
      <c r="BC65">
        <v>1.8599999999999999E-4</v>
      </c>
      <c r="BD65">
        <v>1.8599999999999999E-4</v>
      </c>
      <c r="BE65">
        <v>1.9599999999999999E-4</v>
      </c>
      <c r="BF65">
        <v>1.9599999999999999E-4</v>
      </c>
      <c r="BG65">
        <v>1.9599999999999999E-4</v>
      </c>
      <c r="BH65">
        <v>1.9599999999999999E-4</v>
      </c>
      <c r="BI65">
        <v>1.9599999999999999E-4</v>
      </c>
      <c r="BJ65">
        <v>1.75E-4</v>
      </c>
      <c r="BK65">
        <v>1.75E-4</v>
      </c>
      <c r="BL65">
        <v>1.75E-4</v>
      </c>
      <c r="BM65">
        <v>1.75E-4</v>
      </c>
      <c r="BN65">
        <v>1.75E-4</v>
      </c>
      <c r="BO65">
        <v>1.4799999999999999E-4</v>
      </c>
      <c r="BP65">
        <v>1.4799999999999999E-4</v>
      </c>
      <c r="BQ65">
        <v>1.4799999999999999E-4</v>
      </c>
      <c r="BR65">
        <v>1.4799999999999999E-4</v>
      </c>
      <c r="BS65">
        <v>1.4799999999999999E-4</v>
      </c>
      <c r="BT65">
        <v>1.5200000000000001E-4</v>
      </c>
      <c r="BU65">
        <v>1.5200000000000001E-4</v>
      </c>
      <c r="BV65">
        <v>1.5200000000000001E-4</v>
      </c>
      <c r="BW65">
        <v>1.5200000000000001E-4</v>
      </c>
      <c r="BX65">
        <v>1.5200000000000001E-4</v>
      </c>
      <c r="BY65">
        <v>1.6799999999999999E-4</v>
      </c>
      <c r="BZ65">
        <v>1.6799999999999999E-4</v>
      </c>
      <c r="CA65">
        <v>1.6799999999999999E-4</v>
      </c>
      <c r="CB65">
        <v>1.6799999999999999E-4</v>
      </c>
      <c r="CC65">
        <v>1.6799999999999999E-4</v>
      </c>
      <c r="CD65">
        <v>1.6799999999999999E-4</v>
      </c>
      <c r="CE65">
        <v>1.6799999999999999E-4</v>
      </c>
      <c r="CF65">
        <v>1.6799999999999999E-4</v>
      </c>
      <c r="CG65">
        <v>1.6799999999999999E-4</v>
      </c>
      <c r="CH65">
        <v>1.6799999999999999E-4</v>
      </c>
      <c r="CI65">
        <v>1.6799999999999999E-4</v>
      </c>
      <c r="CJ65">
        <v>1.6799999999999999E-4</v>
      </c>
      <c r="CK65">
        <v>1.6799999999999999E-4</v>
      </c>
      <c r="CL65">
        <v>1.6799999999999999E-4</v>
      </c>
      <c r="CM65">
        <v>1.6799999999999999E-4</v>
      </c>
      <c r="CN65">
        <v>1.6799999999999999E-4</v>
      </c>
      <c r="CO65">
        <v>1.6799999999999999E-4</v>
      </c>
      <c r="CP65">
        <v>1.6799999999999999E-4</v>
      </c>
      <c r="CQ65">
        <v>1.6799999999999999E-4</v>
      </c>
      <c r="CR65">
        <v>1.6799999999999999E-4</v>
      </c>
      <c r="CS65">
        <v>1.6799999999999999E-4</v>
      </c>
      <c r="CT65">
        <v>1.6799999999999999E-4</v>
      </c>
      <c r="CU65">
        <v>1.6799999999999999E-4</v>
      </c>
      <c r="CV65">
        <v>1.6799999999999999E-4</v>
      </c>
      <c r="CW65">
        <v>1.6799999999999999E-4</v>
      </c>
      <c r="CX65">
        <v>1.6799999999999999E-4</v>
      </c>
    </row>
    <row r="66" spans="1:102" x14ac:dyDescent="0.25">
      <c r="A66" t="s">
        <v>197</v>
      </c>
      <c r="B66" t="e">
        <v>#VALUE!</v>
      </c>
      <c r="C66" t="e">
        <v>#VALUE!</v>
      </c>
      <c r="D66" t="e">
        <v>#VALUE!</v>
      </c>
      <c r="E66" t="e">
        <v>#VALUE!</v>
      </c>
      <c r="F66" t="e">
        <v>#VALUE!</v>
      </c>
      <c r="G66" t="e">
        <v>#VALUE!</v>
      </c>
      <c r="H66" t="e">
        <v>#VALUE!</v>
      </c>
      <c r="I66" t="e">
        <v>#VALUE!</v>
      </c>
      <c r="J66" t="e">
        <v>#VALUE!</v>
      </c>
      <c r="K66" t="e">
        <v>#VALUE!</v>
      </c>
      <c r="L66" t="e">
        <v>#VALUE!</v>
      </c>
      <c r="M66" t="e">
        <v>#VALUE!</v>
      </c>
      <c r="N66" t="e">
        <v>#VALUE!</v>
      </c>
      <c r="O66" t="e">
        <v>#VALUE!</v>
      </c>
      <c r="P66" t="e">
        <v>#VALUE!</v>
      </c>
      <c r="Q66">
        <v>3.9999999999999998E-6</v>
      </c>
      <c r="R66">
        <v>3.9999999999999998E-6</v>
      </c>
      <c r="S66">
        <v>3.9999999999999998E-6</v>
      </c>
      <c r="T66">
        <v>3.9999999999999998E-6</v>
      </c>
      <c r="U66">
        <v>3.9999999999999998E-6</v>
      </c>
      <c r="V66">
        <v>3.9999999999999998E-6</v>
      </c>
      <c r="W66">
        <v>3.9999999999999998E-6</v>
      </c>
      <c r="X66">
        <v>3.9999999999999998E-6</v>
      </c>
      <c r="Y66">
        <v>3.9999999999999998E-6</v>
      </c>
      <c r="Z66">
        <v>3.9999999999999998E-6</v>
      </c>
      <c r="AA66">
        <v>3.9999999999999998E-6</v>
      </c>
      <c r="AB66">
        <v>3.9999999999999998E-6</v>
      </c>
      <c r="AC66">
        <v>3.9999999999999998E-6</v>
      </c>
      <c r="AD66">
        <v>3.9999999999999998E-6</v>
      </c>
      <c r="AE66">
        <v>3.9999999999999998E-6</v>
      </c>
      <c r="AF66">
        <v>3.9999999999999998E-6</v>
      </c>
      <c r="AG66">
        <v>3.9999999999999998E-6</v>
      </c>
      <c r="AH66">
        <v>3.9999999999999998E-6</v>
      </c>
      <c r="AI66">
        <v>3.9999999999999998E-6</v>
      </c>
      <c r="AJ66">
        <v>3.9999999999999998E-6</v>
      </c>
      <c r="AK66">
        <v>3.9999999999999998E-6</v>
      </c>
      <c r="AL66">
        <v>3.9999999999999998E-6</v>
      </c>
      <c r="AM66">
        <v>3.9999999999999998E-6</v>
      </c>
      <c r="AN66">
        <v>3.9999999999999998E-6</v>
      </c>
      <c r="AO66">
        <v>3.9999999999999998E-6</v>
      </c>
      <c r="AP66">
        <v>2.3E-5</v>
      </c>
      <c r="AQ66">
        <v>2.3E-5</v>
      </c>
      <c r="AR66">
        <v>2.3E-5</v>
      </c>
      <c r="AS66">
        <v>2.3E-5</v>
      </c>
      <c r="AT66">
        <v>2.3E-5</v>
      </c>
      <c r="AU66">
        <v>3.4E-5</v>
      </c>
      <c r="AV66">
        <v>3.4E-5</v>
      </c>
      <c r="AW66">
        <v>3.4E-5</v>
      </c>
      <c r="AX66">
        <v>3.4E-5</v>
      </c>
      <c r="AY66">
        <v>3.4E-5</v>
      </c>
      <c r="AZ66">
        <v>4.5000000000000003E-5</v>
      </c>
      <c r="BA66">
        <v>4.5000000000000003E-5</v>
      </c>
      <c r="BB66">
        <v>4.5000000000000003E-5</v>
      </c>
      <c r="BC66">
        <v>4.5000000000000003E-5</v>
      </c>
      <c r="BD66">
        <v>4.5000000000000003E-5</v>
      </c>
      <c r="BE66">
        <v>5.3999999999999998E-5</v>
      </c>
      <c r="BF66">
        <v>5.3999999999999998E-5</v>
      </c>
      <c r="BG66">
        <v>5.3999999999999998E-5</v>
      </c>
      <c r="BH66">
        <v>5.3999999999999998E-5</v>
      </c>
      <c r="BI66">
        <v>5.3999999999999998E-5</v>
      </c>
      <c r="BJ66">
        <v>5.8999999999999998E-5</v>
      </c>
      <c r="BK66">
        <v>5.8999999999999998E-5</v>
      </c>
      <c r="BL66">
        <v>5.8999999999999998E-5</v>
      </c>
      <c r="BM66">
        <v>5.8999999999999998E-5</v>
      </c>
      <c r="BN66">
        <v>5.8999999999999998E-5</v>
      </c>
      <c r="BO66">
        <v>6.0999999999999999E-5</v>
      </c>
      <c r="BP66">
        <v>6.0999999999999999E-5</v>
      </c>
      <c r="BQ66">
        <v>6.0999999999999999E-5</v>
      </c>
      <c r="BR66">
        <v>6.0999999999999999E-5</v>
      </c>
      <c r="BS66">
        <v>6.0999999999999999E-5</v>
      </c>
      <c r="BT66">
        <v>6.8999999999999997E-5</v>
      </c>
      <c r="BU66">
        <v>6.8999999999999997E-5</v>
      </c>
      <c r="BV66">
        <v>6.8999999999999997E-5</v>
      </c>
      <c r="BW66">
        <v>6.8999999999999997E-5</v>
      </c>
      <c r="BX66">
        <v>6.8999999999999997E-5</v>
      </c>
      <c r="BY66">
        <v>1.15E-4</v>
      </c>
      <c r="BZ66">
        <v>1.15E-4</v>
      </c>
      <c r="CA66">
        <v>1.15E-4</v>
      </c>
      <c r="CB66">
        <v>1.15E-4</v>
      </c>
      <c r="CC66">
        <v>1.15E-4</v>
      </c>
      <c r="CD66">
        <v>1.15E-4</v>
      </c>
      <c r="CE66">
        <v>1.15E-4</v>
      </c>
      <c r="CF66">
        <v>1.15E-4</v>
      </c>
      <c r="CG66">
        <v>1.15E-4</v>
      </c>
      <c r="CH66">
        <v>1.15E-4</v>
      </c>
      <c r="CI66">
        <v>1.15E-4</v>
      </c>
      <c r="CJ66">
        <v>1.15E-4</v>
      </c>
      <c r="CK66">
        <v>1.15E-4</v>
      </c>
      <c r="CL66">
        <v>1.15E-4</v>
      </c>
      <c r="CM66">
        <v>1.15E-4</v>
      </c>
      <c r="CN66">
        <v>1.15E-4</v>
      </c>
      <c r="CO66">
        <v>1.15E-4</v>
      </c>
      <c r="CP66">
        <v>1.15E-4</v>
      </c>
      <c r="CQ66">
        <v>1.15E-4</v>
      </c>
      <c r="CR66">
        <v>1.15E-4</v>
      </c>
      <c r="CS66">
        <v>1.15E-4</v>
      </c>
      <c r="CT66">
        <v>1.15E-4</v>
      </c>
      <c r="CU66">
        <v>1.15E-4</v>
      </c>
      <c r="CV66">
        <v>1.15E-4</v>
      </c>
      <c r="CW66">
        <v>1.15E-4</v>
      </c>
      <c r="CX66">
        <v>1.15E-4</v>
      </c>
    </row>
    <row r="67" spans="1:102" x14ac:dyDescent="0.25">
      <c r="A67" t="s">
        <v>199</v>
      </c>
      <c r="B67" t="e">
        <v>#VALUE!</v>
      </c>
      <c r="C67" t="e">
        <v>#VALUE!</v>
      </c>
      <c r="D67" t="e">
        <v>#VALUE!</v>
      </c>
      <c r="E67" t="e">
        <v>#VALUE!</v>
      </c>
      <c r="F67" t="e">
        <v>#VALUE!</v>
      </c>
      <c r="G67" t="e">
        <v>#VALUE!</v>
      </c>
      <c r="H67" t="e">
        <v>#VALUE!</v>
      </c>
      <c r="I67" t="e">
        <v>#VALUE!</v>
      </c>
      <c r="J67" t="e">
        <v>#VALUE!</v>
      </c>
      <c r="K67" t="e">
        <v>#VALUE!</v>
      </c>
      <c r="L67" t="e">
        <v>#VALUE!</v>
      </c>
      <c r="M67" t="e">
        <v>#VALUE!</v>
      </c>
      <c r="N67" t="e">
        <v>#VALUE!</v>
      </c>
      <c r="O67" t="e">
        <v>#VALUE!</v>
      </c>
      <c r="P67" t="e">
        <v>#VALUE!</v>
      </c>
      <c r="Q67">
        <v>3.3000000000000003E-5</v>
      </c>
      <c r="R67">
        <v>3.3000000000000003E-5</v>
      </c>
      <c r="S67">
        <v>3.3000000000000003E-5</v>
      </c>
      <c r="T67">
        <v>3.3000000000000003E-5</v>
      </c>
      <c r="U67">
        <v>3.3000000000000003E-5</v>
      </c>
      <c r="V67">
        <v>3.3000000000000003E-5</v>
      </c>
      <c r="W67">
        <v>3.3000000000000003E-5</v>
      </c>
      <c r="X67">
        <v>3.3000000000000003E-5</v>
      </c>
      <c r="Y67">
        <v>3.3000000000000003E-5</v>
      </c>
      <c r="Z67">
        <v>3.3000000000000003E-5</v>
      </c>
      <c r="AA67">
        <v>3.3000000000000003E-5</v>
      </c>
      <c r="AB67">
        <v>3.3000000000000003E-5</v>
      </c>
      <c r="AC67">
        <v>3.3000000000000003E-5</v>
      </c>
      <c r="AD67">
        <v>3.3000000000000003E-5</v>
      </c>
      <c r="AE67">
        <v>3.3000000000000003E-5</v>
      </c>
      <c r="AF67">
        <v>3.3000000000000003E-5</v>
      </c>
      <c r="AG67">
        <v>3.3000000000000003E-5</v>
      </c>
      <c r="AH67">
        <v>3.3000000000000003E-5</v>
      </c>
      <c r="AI67">
        <v>3.3000000000000003E-5</v>
      </c>
      <c r="AJ67">
        <v>3.3000000000000003E-5</v>
      </c>
      <c r="AK67">
        <v>3.3000000000000003E-5</v>
      </c>
      <c r="AL67">
        <v>3.3000000000000003E-5</v>
      </c>
      <c r="AM67">
        <v>3.3000000000000003E-5</v>
      </c>
      <c r="AN67">
        <v>3.3000000000000003E-5</v>
      </c>
      <c r="AO67">
        <v>3.3000000000000003E-5</v>
      </c>
      <c r="AP67">
        <v>1.6699999999999999E-4</v>
      </c>
      <c r="AQ67">
        <v>1.6699999999999999E-4</v>
      </c>
      <c r="AR67">
        <v>1.6699999999999999E-4</v>
      </c>
      <c r="AS67">
        <v>1.6699999999999999E-4</v>
      </c>
      <c r="AT67">
        <v>1.6699999999999999E-4</v>
      </c>
      <c r="AU67">
        <v>2.5300000000000002E-4</v>
      </c>
      <c r="AV67">
        <v>2.5300000000000002E-4</v>
      </c>
      <c r="AW67">
        <v>2.5300000000000002E-4</v>
      </c>
      <c r="AX67">
        <v>2.5300000000000002E-4</v>
      </c>
      <c r="AY67">
        <v>2.5300000000000002E-4</v>
      </c>
      <c r="AZ67">
        <v>3.5500000000000001E-4</v>
      </c>
      <c r="BA67">
        <v>3.5500000000000001E-4</v>
      </c>
      <c r="BB67">
        <v>3.5500000000000001E-4</v>
      </c>
      <c r="BC67">
        <v>3.5500000000000001E-4</v>
      </c>
      <c r="BD67">
        <v>3.5500000000000001E-4</v>
      </c>
      <c r="BE67">
        <v>4.6700000000000002E-4</v>
      </c>
      <c r="BF67">
        <v>4.6700000000000002E-4</v>
      </c>
      <c r="BG67">
        <v>4.6700000000000002E-4</v>
      </c>
      <c r="BH67">
        <v>4.6700000000000002E-4</v>
      </c>
      <c r="BI67">
        <v>4.6700000000000002E-4</v>
      </c>
      <c r="BJ67">
        <v>6.2500000000000001E-4</v>
      </c>
      <c r="BK67">
        <v>6.2500000000000001E-4</v>
      </c>
      <c r="BL67">
        <v>6.2500000000000001E-4</v>
      </c>
      <c r="BM67">
        <v>6.2500000000000001E-4</v>
      </c>
      <c r="BN67">
        <v>6.2500000000000001E-4</v>
      </c>
      <c r="BO67">
        <v>9.1299999999999997E-4</v>
      </c>
      <c r="BP67">
        <v>9.1299999999999997E-4</v>
      </c>
      <c r="BQ67">
        <v>9.1299999999999997E-4</v>
      </c>
      <c r="BR67">
        <v>9.1299999999999997E-4</v>
      </c>
      <c r="BS67">
        <v>9.1299999999999997E-4</v>
      </c>
      <c r="BT67">
        <v>1.3159999999999999E-3</v>
      </c>
      <c r="BU67">
        <v>1.3159999999999999E-3</v>
      </c>
      <c r="BV67">
        <v>1.3159999999999999E-3</v>
      </c>
      <c r="BW67">
        <v>1.3159999999999999E-3</v>
      </c>
      <c r="BX67">
        <v>1.3159999999999999E-3</v>
      </c>
      <c r="BY67">
        <v>1.8370000000000001E-3</v>
      </c>
      <c r="BZ67">
        <v>1.8370000000000001E-3</v>
      </c>
      <c r="CA67">
        <v>1.8370000000000001E-3</v>
      </c>
      <c r="CB67">
        <v>1.8370000000000001E-3</v>
      </c>
      <c r="CC67">
        <v>1.8370000000000001E-3</v>
      </c>
      <c r="CD67">
        <v>1.8370000000000001E-3</v>
      </c>
      <c r="CE67">
        <v>1.8370000000000001E-3</v>
      </c>
      <c r="CF67">
        <v>1.8370000000000001E-3</v>
      </c>
      <c r="CG67">
        <v>1.8370000000000001E-3</v>
      </c>
      <c r="CH67">
        <v>1.8370000000000001E-3</v>
      </c>
      <c r="CI67">
        <v>1.8370000000000001E-3</v>
      </c>
      <c r="CJ67">
        <v>1.8370000000000001E-3</v>
      </c>
      <c r="CK67">
        <v>1.8370000000000001E-3</v>
      </c>
      <c r="CL67">
        <v>1.8370000000000001E-3</v>
      </c>
      <c r="CM67">
        <v>1.8370000000000001E-3</v>
      </c>
      <c r="CN67">
        <v>1.8370000000000001E-3</v>
      </c>
      <c r="CO67">
        <v>1.8370000000000001E-3</v>
      </c>
      <c r="CP67">
        <v>1.8370000000000001E-3</v>
      </c>
      <c r="CQ67">
        <v>1.8370000000000001E-3</v>
      </c>
      <c r="CR67">
        <v>1.8370000000000001E-3</v>
      </c>
      <c r="CS67">
        <v>1.8370000000000001E-3</v>
      </c>
      <c r="CT67">
        <v>1.8370000000000001E-3</v>
      </c>
      <c r="CU67">
        <v>1.8370000000000001E-3</v>
      </c>
      <c r="CV67">
        <v>1.8370000000000001E-3</v>
      </c>
      <c r="CW67">
        <v>1.8370000000000001E-3</v>
      </c>
      <c r="CX67">
        <v>1.8370000000000001E-3</v>
      </c>
    </row>
    <row r="68" spans="1:102" x14ac:dyDescent="0.25">
      <c r="A68" t="s">
        <v>201</v>
      </c>
      <c r="B68" t="e">
        <v>#VALUE!</v>
      </c>
      <c r="C68" t="e">
        <v>#VALUE!</v>
      </c>
      <c r="D68" t="e">
        <v>#VALUE!</v>
      </c>
      <c r="E68" t="e">
        <v>#VALUE!</v>
      </c>
      <c r="F68" t="e">
        <v>#VALUE!</v>
      </c>
      <c r="G68" t="e">
        <v>#VALUE!</v>
      </c>
      <c r="H68" t="e">
        <v>#VALUE!</v>
      </c>
      <c r="I68" t="e">
        <v>#VALUE!</v>
      </c>
      <c r="J68" t="e">
        <v>#VALUE!</v>
      </c>
      <c r="K68" t="e">
        <v>#VALUE!</v>
      </c>
      <c r="L68" t="e">
        <v>#VALUE!</v>
      </c>
      <c r="M68" t="e">
        <v>#VALUE!</v>
      </c>
      <c r="N68" t="e">
        <v>#VALUE!</v>
      </c>
      <c r="O68" t="e">
        <v>#VALUE!</v>
      </c>
      <c r="P68" t="e">
        <v>#VALUE!</v>
      </c>
      <c r="Q68">
        <v>5.0000000000000004E-6</v>
      </c>
      <c r="R68">
        <v>5.0000000000000004E-6</v>
      </c>
      <c r="S68">
        <v>5.0000000000000004E-6</v>
      </c>
      <c r="T68">
        <v>5.0000000000000004E-6</v>
      </c>
      <c r="U68">
        <v>5.0000000000000004E-6</v>
      </c>
      <c r="V68">
        <v>5.0000000000000004E-6</v>
      </c>
      <c r="W68">
        <v>5.0000000000000004E-6</v>
      </c>
      <c r="X68">
        <v>5.0000000000000004E-6</v>
      </c>
      <c r="Y68">
        <v>5.0000000000000004E-6</v>
      </c>
      <c r="Z68">
        <v>5.0000000000000004E-6</v>
      </c>
      <c r="AA68">
        <v>5.0000000000000004E-6</v>
      </c>
      <c r="AB68">
        <v>5.0000000000000004E-6</v>
      </c>
      <c r="AC68">
        <v>5.0000000000000004E-6</v>
      </c>
      <c r="AD68">
        <v>5.0000000000000004E-6</v>
      </c>
      <c r="AE68">
        <v>5.0000000000000004E-6</v>
      </c>
      <c r="AF68">
        <v>5.0000000000000004E-6</v>
      </c>
      <c r="AG68">
        <v>5.0000000000000004E-6</v>
      </c>
      <c r="AH68">
        <v>5.0000000000000004E-6</v>
      </c>
      <c r="AI68">
        <v>5.0000000000000004E-6</v>
      </c>
      <c r="AJ68">
        <v>5.0000000000000004E-6</v>
      </c>
      <c r="AK68">
        <v>5.0000000000000004E-6</v>
      </c>
      <c r="AL68">
        <v>5.0000000000000004E-6</v>
      </c>
      <c r="AM68">
        <v>5.0000000000000004E-6</v>
      </c>
      <c r="AN68">
        <v>5.0000000000000004E-6</v>
      </c>
      <c r="AO68">
        <v>5.0000000000000004E-6</v>
      </c>
      <c r="AP68">
        <v>2.9E-5</v>
      </c>
      <c r="AQ68">
        <v>2.9E-5</v>
      </c>
      <c r="AR68">
        <v>2.9E-5</v>
      </c>
      <c r="AS68">
        <v>2.9E-5</v>
      </c>
      <c r="AT68">
        <v>2.9E-5</v>
      </c>
      <c r="AU68">
        <v>4.6E-5</v>
      </c>
      <c r="AV68">
        <v>4.6E-5</v>
      </c>
      <c r="AW68">
        <v>4.6E-5</v>
      </c>
      <c r="AX68">
        <v>4.6E-5</v>
      </c>
      <c r="AY68">
        <v>4.6E-5</v>
      </c>
      <c r="AZ68">
        <v>5.5999999999999999E-5</v>
      </c>
      <c r="BA68">
        <v>5.5999999999999999E-5</v>
      </c>
      <c r="BB68">
        <v>5.5999999999999999E-5</v>
      </c>
      <c r="BC68">
        <v>5.5999999999999999E-5</v>
      </c>
      <c r="BD68">
        <v>5.5999999999999999E-5</v>
      </c>
      <c r="BE68">
        <v>5.3999999999999998E-5</v>
      </c>
      <c r="BF68">
        <v>5.3999999999999998E-5</v>
      </c>
      <c r="BG68">
        <v>5.3999999999999998E-5</v>
      </c>
      <c r="BH68">
        <v>5.3999999999999998E-5</v>
      </c>
      <c r="BI68">
        <v>5.3999999999999998E-5</v>
      </c>
      <c r="BJ68">
        <v>4.8999999999999998E-5</v>
      </c>
      <c r="BK68">
        <v>4.8999999999999998E-5</v>
      </c>
      <c r="BL68">
        <v>4.8999999999999998E-5</v>
      </c>
      <c r="BM68">
        <v>4.8999999999999998E-5</v>
      </c>
      <c r="BN68">
        <v>4.8999999999999998E-5</v>
      </c>
      <c r="BO68">
        <v>4.8000000000000001E-5</v>
      </c>
      <c r="BP68">
        <v>4.8000000000000001E-5</v>
      </c>
      <c r="BQ68">
        <v>4.8000000000000001E-5</v>
      </c>
      <c r="BR68">
        <v>4.8000000000000001E-5</v>
      </c>
      <c r="BS68">
        <v>4.8000000000000001E-5</v>
      </c>
      <c r="BT68">
        <v>5.8999999999999998E-5</v>
      </c>
      <c r="BU68">
        <v>5.8999999999999998E-5</v>
      </c>
      <c r="BV68">
        <v>5.8999999999999998E-5</v>
      </c>
      <c r="BW68">
        <v>5.8999999999999998E-5</v>
      </c>
      <c r="BX68">
        <v>5.8999999999999998E-5</v>
      </c>
      <c r="BY68">
        <v>1.2300000000000001E-4</v>
      </c>
      <c r="BZ68">
        <v>1.2300000000000001E-4</v>
      </c>
      <c r="CA68">
        <v>1.2300000000000001E-4</v>
      </c>
      <c r="CB68">
        <v>1.2300000000000001E-4</v>
      </c>
      <c r="CC68">
        <v>1.2300000000000001E-4</v>
      </c>
      <c r="CD68">
        <v>1.2300000000000001E-4</v>
      </c>
      <c r="CE68">
        <v>1.2300000000000001E-4</v>
      </c>
      <c r="CF68">
        <v>1.2300000000000001E-4</v>
      </c>
      <c r="CG68">
        <v>1.2300000000000001E-4</v>
      </c>
      <c r="CH68">
        <v>1.2300000000000001E-4</v>
      </c>
      <c r="CI68">
        <v>1.2300000000000001E-4</v>
      </c>
      <c r="CJ68">
        <v>1.2300000000000001E-4</v>
      </c>
      <c r="CK68">
        <v>1.2300000000000001E-4</v>
      </c>
      <c r="CL68">
        <v>1.2300000000000001E-4</v>
      </c>
      <c r="CM68">
        <v>1.2300000000000001E-4</v>
      </c>
      <c r="CN68">
        <v>1.2300000000000001E-4</v>
      </c>
      <c r="CO68">
        <v>1.2300000000000001E-4</v>
      </c>
      <c r="CP68">
        <v>1.2300000000000001E-4</v>
      </c>
      <c r="CQ68">
        <v>1.2300000000000001E-4</v>
      </c>
      <c r="CR68">
        <v>1.2300000000000001E-4</v>
      </c>
      <c r="CS68">
        <v>1.2300000000000001E-4</v>
      </c>
      <c r="CT68">
        <v>1.2300000000000001E-4</v>
      </c>
      <c r="CU68">
        <v>1.2300000000000001E-4</v>
      </c>
      <c r="CV68">
        <v>1.2300000000000001E-4</v>
      </c>
      <c r="CW68">
        <v>1.2300000000000001E-4</v>
      </c>
      <c r="CX68">
        <v>1.2300000000000001E-4</v>
      </c>
    </row>
    <row r="69" spans="1:102" x14ac:dyDescent="0.25">
      <c r="A69" t="s">
        <v>203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2.3E-5</v>
      </c>
      <c r="R69">
        <v>2.3E-5</v>
      </c>
      <c r="S69">
        <v>2.3E-5</v>
      </c>
      <c r="T69">
        <v>2.3E-5</v>
      </c>
      <c r="U69">
        <v>2.3E-5</v>
      </c>
      <c r="V69">
        <v>2.3E-5</v>
      </c>
      <c r="W69">
        <v>2.3E-5</v>
      </c>
      <c r="X69">
        <v>2.3E-5</v>
      </c>
      <c r="Y69">
        <v>2.3E-5</v>
      </c>
      <c r="Z69">
        <v>2.3E-5</v>
      </c>
      <c r="AA69">
        <v>2.3E-5</v>
      </c>
      <c r="AB69">
        <v>2.3E-5</v>
      </c>
      <c r="AC69">
        <v>2.3E-5</v>
      </c>
      <c r="AD69">
        <v>2.3E-5</v>
      </c>
      <c r="AE69">
        <v>2.3E-5</v>
      </c>
      <c r="AF69">
        <v>2.3E-5</v>
      </c>
      <c r="AG69">
        <v>2.3E-5</v>
      </c>
      <c r="AH69">
        <v>2.3E-5</v>
      </c>
      <c r="AI69">
        <v>2.3E-5</v>
      </c>
      <c r="AJ69">
        <v>2.3E-5</v>
      </c>
      <c r="AK69">
        <v>2.3E-5</v>
      </c>
      <c r="AL69">
        <v>2.3E-5</v>
      </c>
      <c r="AM69">
        <v>2.3E-5</v>
      </c>
      <c r="AN69">
        <v>2.3E-5</v>
      </c>
      <c r="AO69">
        <v>2.3E-5</v>
      </c>
      <c r="AP69">
        <v>9.2E-5</v>
      </c>
      <c r="AQ69">
        <v>9.2E-5</v>
      </c>
      <c r="AR69">
        <v>9.2E-5</v>
      </c>
      <c r="AS69">
        <v>9.2E-5</v>
      </c>
      <c r="AT69">
        <v>9.2E-5</v>
      </c>
      <c r="AU69">
        <v>1.18E-4</v>
      </c>
      <c r="AV69">
        <v>1.18E-4</v>
      </c>
      <c r="AW69">
        <v>1.18E-4</v>
      </c>
      <c r="AX69">
        <v>1.18E-4</v>
      </c>
      <c r="AY69">
        <v>1.18E-4</v>
      </c>
      <c r="AZ69">
        <v>1.3899999999999999E-4</v>
      </c>
      <c r="BA69">
        <v>1.3899999999999999E-4</v>
      </c>
      <c r="BB69">
        <v>1.3899999999999999E-4</v>
      </c>
      <c r="BC69">
        <v>1.3899999999999999E-4</v>
      </c>
      <c r="BD69">
        <v>1.3899999999999999E-4</v>
      </c>
      <c r="BE69">
        <v>1.5799999999999999E-4</v>
      </c>
      <c r="BF69">
        <v>1.5799999999999999E-4</v>
      </c>
      <c r="BG69">
        <v>1.5799999999999999E-4</v>
      </c>
      <c r="BH69">
        <v>1.5799999999999999E-4</v>
      </c>
      <c r="BI69">
        <v>1.5799999999999999E-4</v>
      </c>
      <c r="BJ69">
        <v>1.75E-4</v>
      </c>
      <c r="BK69">
        <v>1.75E-4</v>
      </c>
      <c r="BL69">
        <v>1.75E-4</v>
      </c>
      <c r="BM69">
        <v>1.75E-4</v>
      </c>
      <c r="BN69">
        <v>1.75E-4</v>
      </c>
      <c r="BO69">
        <v>2.1000000000000001E-4</v>
      </c>
      <c r="BP69">
        <v>2.1000000000000001E-4</v>
      </c>
      <c r="BQ69">
        <v>2.1000000000000001E-4</v>
      </c>
      <c r="BR69">
        <v>2.1000000000000001E-4</v>
      </c>
      <c r="BS69">
        <v>2.1000000000000001E-4</v>
      </c>
      <c r="BT69">
        <v>2.6400000000000002E-4</v>
      </c>
      <c r="BU69">
        <v>2.6400000000000002E-4</v>
      </c>
      <c r="BV69">
        <v>2.6400000000000002E-4</v>
      </c>
      <c r="BW69">
        <v>2.6400000000000002E-4</v>
      </c>
      <c r="BX69">
        <v>2.6400000000000002E-4</v>
      </c>
      <c r="BY69">
        <v>2.9599999999999998E-4</v>
      </c>
      <c r="BZ69">
        <v>2.9599999999999998E-4</v>
      </c>
      <c r="CA69">
        <v>2.9599999999999998E-4</v>
      </c>
      <c r="CB69">
        <v>2.9599999999999998E-4</v>
      </c>
      <c r="CC69">
        <v>2.9599999999999998E-4</v>
      </c>
      <c r="CD69">
        <v>2.9599999999999998E-4</v>
      </c>
      <c r="CE69">
        <v>2.9599999999999998E-4</v>
      </c>
      <c r="CF69">
        <v>2.9599999999999998E-4</v>
      </c>
      <c r="CG69">
        <v>2.9599999999999998E-4</v>
      </c>
      <c r="CH69">
        <v>2.9599999999999998E-4</v>
      </c>
      <c r="CI69">
        <v>2.9599999999999998E-4</v>
      </c>
      <c r="CJ69">
        <v>2.9599999999999998E-4</v>
      </c>
      <c r="CK69">
        <v>2.9599999999999998E-4</v>
      </c>
      <c r="CL69">
        <v>2.9599999999999998E-4</v>
      </c>
      <c r="CM69">
        <v>2.9599999999999998E-4</v>
      </c>
      <c r="CN69">
        <v>2.9599999999999998E-4</v>
      </c>
      <c r="CO69">
        <v>2.9599999999999998E-4</v>
      </c>
      <c r="CP69">
        <v>2.9599999999999998E-4</v>
      </c>
      <c r="CQ69">
        <v>2.9599999999999998E-4</v>
      </c>
      <c r="CR69">
        <v>2.9599999999999998E-4</v>
      </c>
      <c r="CS69">
        <v>2.9599999999999998E-4</v>
      </c>
      <c r="CT69">
        <v>2.9599999999999998E-4</v>
      </c>
      <c r="CU69">
        <v>2.9599999999999998E-4</v>
      </c>
      <c r="CV69">
        <v>2.9599999999999998E-4</v>
      </c>
      <c r="CW69">
        <v>2.9599999999999998E-4</v>
      </c>
      <c r="CX69">
        <v>2.9599999999999998E-4</v>
      </c>
    </row>
    <row r="70" spans="1:102" x14ac:dyDescent="0.25">
      <c r="A70" t="s">
        <v>205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4.8999999999999998E-5</v>
      </c>
      <c r="R70">
        <v>4.8999999999999998E-5</v>
      </c>
      <c r="S70">
        <v>4.8999999999999998E-5</v>
      </c>
      <c r="T70">
        <v>4.8999999999999998E-5</v>
      </c>
      <c r="U70">
        <v>4.8999999999999998E-5</v>
      </c>
      <c r="V70">
        <v>4.8999999999999998E-5</v>
      </c>
      <c r="W70">
        <v>4.8999999999999998E-5</v>
      </c>
      <c r="X70">
        <v>4.8999999999999998E-5</v>
      </c>
      <c r="Y70">
        <v>4.8999999999999998E-5</v>
      </c>
      <c r="Z70">
        <v>4.8999999999999998E-5</v>
      </c>
      <c r="AA70">
        <v>4.8999999999999998E-5</v>
      </c>
      <c r="AB70">
        <v>4.8999999999999998E-5</v>
      </c>
      <c r="AC70">
        <v>4.8999999999999998E-5</v>
      </c>
      <c r="AD70">
        <v>4.8999999999999998E-5</v>
      </c>
      <c r="AE70">
        <v>4.8999999999999998E-5</v>
      </c>
      <c r="AF70">
        <v>4.8999999999999998E-5</v>
      </c>
      <c r="AG70">
        <v>4.8999999999999998E-5</v>
      </c>
      <c r="AH70">
        <v>4.8999999999999998E-5</v>
      </c>
      <c r="AI70">
        <v>4.8999999999999998E-5</v>
      </c>
      <c r="AJ70">
        <v>4.8999999999999998E-5</v>
      </c>
      <c r="AK70">
        <v>4.8999999999999998E-5</v>
      </c>
      <c r="AL70">
        <v>4.8999999999999998E-5</v>
      </c>
      <c r="AM70">
        <v>4.8999999999999998E-5</v>
      </c>
      <c r="AN70">
        <v>4.8999999999999998E-5</v>
      </c>
      <c r="AO70">
        <v>4.8999999999999998E-5</v>
      </c>
      <c r="AP70">
        <v>2.7399999999999999E-4</v>
      </c>
      <c r="AQ70">
        <v>2.7399999999999999E-4</v>
      </c>
      <c r="AR70">
        <v>2.7399999999999999E-4</v>
      </c>
      <c r="AS70">
        <v>2.7399999999999999E-4</v>
      </c>
      <c r="AT70">
        <v>2.7399999999999999E-4</v>
      </c>
      <c r="AU70">
        <v>3.5799999999999997E-4</v>
      </c>
      <c r="AV70">
        <v>3.5799999999999997E-4</v>
      </c>
      <c r="AW70">
        <v>3.5799999999999997E-4</v>
      </c>
      <c r="AX70">
        <v>3.5799999999999997E-4</v>
      </c>
      <c r="AY70">
        <v>3.5799999999999997E-4</v>
      </c>
      <c r="AZ70">
        <v>3.5500000000000001E-4</v>
      </c>
      <c r="BA70">
        <v>3.5500000000000001E-4</v>
      </c>
      <c r="BB70">
        <v>3.5500000000000001E-4</v>
      </c>
      <c r="BC70">
        <v>3.5500000000000001E-4</v>
      </c>
      <c r="BD70">
        <v>3.5500000000000001E-4</v>
      </c>
      <c r="BE70">
        <v>3.0600000000000001E-4</v>
      </c>
      <c r="BF70">
        <v>3.0600000000000001E-4</v>
      </c>
      <c r="BG70">
        <v>3.0600000000000001E-4</v>
      </c>
      <c r="BH70">
        <v>3.0600000000000001E-4</v>
      </c>
      <c r="BI70">
        <v>3.0600000000000001E-4</v>
      </c>
      <c r="BJ70">
        <v>2.6800000000000001E-4</v>
      </c>
      <c r="BK70">
        <v>2.6800000000000001E-4</v>
      </c>
      <c r="BL70">
        <v>2.6800000000000001E-4</v>
      </c>
      <c r="BM70">
        <v>2.6800000000000001E-4</v>
      </c>
      <c r="BN70">
        <v>2.6800000000000001E-4</v>
      </c>
      <c r="BO70">
        <v>2.8400000000000002E-4</v>
      </c>
      <c r="BP70">
        <v>2.8400000000000002E-4</v>
      </c>
      <c r="BQ70">
        <v>2.8400000000000002E-4</v>
      </c>
      <c r="BR70">
        <v>2.8400000000000002E-4</v>
      </c>
      <c r="BS70">
        <v>2.8400000000000002E-4</v>
      </c>
      <c r="BT70">
        <v>3.5199999999999999E-4</v>
      </c>
      <c r="BU70">
        <v>3.5199999999999999E-4</v>
      </c>
      <c r="BV70">
        <v>3.5199999999999999E-4</v>
      </c>
      <c r="BW70">
        <v>3.5199999999999999E-4</v>
      </c>
      <c r="BX70">
        <v>3.5199999999999999E-4</v>
      </c>
      <c r="BY70">
        <v>4.7800000000000002E-4</v>
      </c>
      <c r="BZ70">
        <v>4.7800000000000002E-4</v>
      </c>
      <c r="CA70">
        <v>4.7800000000000002E-4</v>
      </c>
      <c r="CB70">
        <v>4.7800000000000002E-4</v>
      </c>
      <c r="CC70">
        <v>4.7800000000000002E-4</v>
      </c>
      <c r="CD70">
        <v>4.7800000000000002E-4</v>
      </c>
      <c r="CE70">
        <v>4.7800000000000002E-4</v>
      </c>
      <c r="CF70">
        <v>4.7800000000000002E-4</v>
      </c>
      <c r="CG70">
        <v>4.7800000000000002E-4</v>
      </c>
      <c r="CH70">
        <v>4.7800000000000002E-4</v>
      </c>
      <c r="CI70">
        <v>4.7800000000000002E-4</v>
      </c>
      <c r="CJ70">
        <v>4.7800000000000002E-4</v>
      </c>
      <c r="CK70">
        <v>4.7800000000000002E-4</v>
      </c>
      <c r="CL70">
        <v>4.7800000000000002E-4</v>
      </c>
      <c r="CM70">
        <v>4.7800000000000002E-4</v>
      </c>
      <c r="CN70">
        <v>4.7800000000000002E-4</v>
      </c>
      <c r="CO70">
        <v>4.7800000000000002E-4</v>
      </c>
      <c r="CP70">
        <v>4.7800000000000002E-4</v>
      </c>
      <c r="CQ70">
        <v>4.7800000000000002E-4</v>
      </c>
      <c r="CR70">
        <v>4.7800000000000002E-4</v>
      </c>
      <c r="CS70">
        <v>4.7800000000000002E-4</v>
      </c>
      <c r="CT70">
        <v>4.7800000000000002E-4</v>
      </c>
      <c r="CU70">
        <v>4.7800000000000002E-4</v>
      </c>
      <c r="CV70">
        <v>4.7800000000000002E-4</v>
      </c>
      <c r="CW70">
        <v>4.7800000000000002E-4</v>
      </c>
      <c r="CX70">
        <v>4.7800000000000002E-4</v>
      </c>
    </row>
    <row r="71" spans="1:102" x14ac:dyDescent="0.25">
      <c r="A71" t="s">
        <v>207</v>
      </c>
      <c r="B71" t="e">
        <v>#VALUE!</v>
      </c>
      <c r="C71" t="e">
        <v>#VALUE!</v>
      </c>
      <c r="D71" t="e">
        <v>#VALUE!</v>
      </c>
      <c r="E71" t="e">
        <v>#VALUE!</v>
      </c>
      <c r="F71" t="e">
        <v>#VALUE!</v>
      </c>
      <c r="G71" t="e">
        <v>#VALUE!</v>
      </c>
      <c r="H71" t="e">
        <v>#VALUE!</v>
      </c>
      <c r="I71" t="e">
        <v>#VALUE!</v>
      </c>
      <c r="J71" t="e">
        <v>#VALUE!</v>
      </c>
      <c r="K71" t="e">
        <v>#VALUE!</v>
      </c>
      <c r="L71" t="e">
        <v>#VALUE!</v>
      </c>
      <c r="M71" t="e">
        <v>#VALUE!</v>
      </c>
      <c r="N71" t="e">
        <v>#VALUE!</v>
      </c>
      <c r="O71" t="e">
        <v>#VALUE!</v>
      </c>
      <c r="P71" t="e">
        <v>#VALUE!</v>
      </c>
      <c r="Q71">
        <v>4.3999999999999999E-5</v>
      </c>
      <c r="R71">
        <v>4.3999999999999999E-5</v>
      </c>
      <c r="S71">
        <v>4.3999999999999999E-5</v>
      </c>
      <c r="T71">
        <v>4.3999999999999999E-5</v>
      </c>
      <c r="U71">
        <v>4.3999999999999999E-5</v>
      </c>
      <c r="V71">
        <v>4.3999999999999999E-5</v>
      </c>
      <c r="W71">
        <v>4.3999999999999999E-5</v>
      </c>
      <c r="X71">
        <v>4.3999999999999999E-5</v>
      </c>
      <c r="Y71">
        <v>4.3999999999999999E-5</v>
      </c>
      <c r="Z71">
        <v>4.3999999999999999E-5</v>
      </c>
      <c r="AA71">
        <v>4.3999999999999999E-5</v>
      </c>
      <c r="AB71">
        <v>4.3999999999999999E-5</v>
      </c>
      <c r="AC71">
        <v>4.3999999999999999E-5</v>
      </c>
      <c r="AD71">
        <v>4.3999999999999999E-5</v>
      </c>
      <c r="AE71">
        <v>4.3999999999999999E-5</v>
      </c>
      <c r="AF71">
        <v>4.3999999999999999E-5</v>
      </c>
      <c r="AG71">
        <v>4.3999999999999999E-5</v>
      </c>
      <c r="AH71">
        <v>4.3999999999999999E-5</v>
      </c>
      <c r="AI71">
        <v>4.3999999999999999E-5</v>
      </c>
      <c r="AJ71">
        <v>4.3999999999999999E-5</v>
      </c>
      <c r="AK71">
        <v>4.3999999999999999E-5</v>
      </c>
      <c r="AL71">
        <v>4.3999999999999999E-5</v>
      </c>
      <c r="AM71">
        <v>4.3999999999999999E-5</v>
      </c>
      <c r="AN71">
        <v>4.3999999999999999E-5</v>
      </c>
      <c r="AO71">
        <v>4.3999999999999999E-5</v>
      </c>
      <c r="AP71">
        <v>2.42E-4</v>
      </c>
      <c r="AQ71">
        <v>2.42E-4</v>
      </c>
      <c r="AR71">
        <v>2.42E-4</v>
      </c>
      <c r="AS71">
        <v>2.42E-4</v>
      </c>
      <c r="AT71">
        <v>2.42E-4</v>
      </c>
      <c r="AU71">
        <v>3.7199999999999999E-4</v>
      </c>
      <c r="AV71">
        <v>3.7199999999999999E-4</v>
      </c>
      <c r="AW71">
        <v>3.7199999999999999E-4</v>
      </c>
      <c r="AX71">
        <v>3.7199999999999999E-4</v>
      </c>
      <c r="AY71">
        <v>3.7199999999999999E-4</v>
      </c>
      <c r="AZ71">
        <v>5.4900000000000001E-4</v>
      </c>
      <c r="BA71">
        <v>5.4900000000000001E-4</v>
      </c>
      <c r="BB71">
        <v>5.4900000000000001E-4</v>
      </c>
      <c r="BC71">
        <v>5.4900000000000001E-4</v>
      </c>
      <c r="BD71">
        <v>5.4900000000000001E-4</v>
      </c>
      <c r="BE71">
        <v>7.9100000000000004E-4</v>
      </c>
      <c r="BF71">
        <v>7.9100000000000004E-4</v>
      </c>
      <c r="BG71">
        <v>7.9100000000000004E-4</v>
      </c>
      <c r="BH71">
        <v>7.9100000000000004E-4</v>
      </c>
      <c r="BI71">
        <v>7.9100000000000004E-4</v>
      </c>
      <c r="BJ71">
        <v>1.0939999999999999E-3</v>
      </c>
      <c r="BK71">
        <v>1.0939999999999999E-3</v>
      </c>
      <c r="BL71">
        <v>1.0939999999999999E-3</v>
      </c>
      <c r="BM71">
        <v>1.0939999999999999E-3</v>
      </c>
      <c r="BN71">
        <v>1.0939999999999999E-3</v>
      </c>
      <c r="BO71">
        <v>1.4289999999999999E-3</v>
      </c>
      <c r="BP71">
        <v>1.4289999999999999E-3</v>
      </c>
      <c r="BQ71">
        <v>1.4289999999999999E-3</v>
      </c>
      <c r="BR71">
        <v>1.4289999999999999E-3</v>
      </c>
      <c r="BS71">
        <v>1.4289999999999999E-3</v>
      </c>
      <c r="BT71">
        <v>1.8E-3</v>
      </c>
      <c r="BU71">
        <v>1.8E-3</v>
      </c>
      <c r="BV71">
        <v>1.8E-3</v>
      </c>
      <c r="BW71">
        <v>1.8E-3</v>
      </c>
      <c r="BX71">
        <v>1.8E-3</v>
      </c>
      <c r="BY71">
        <v>2.2230000000000001E-3</v>
      </c>
      <c r="BZ71">
        <v>2.2230000000000001E-3</v>
      </c>
      <c r="CA71">
        <v>2.2230000000000001E-3</v>
      </c>
      <c r="CB71">
        <v>2.2230000000000001E-3</v>
      </c>
      <c r="CC71">
        <v>2.2230000000000001E-3</v>
      </c>
      <c r="CD71">
        <v>2.2230000000000001E-3</v>
      </c>
      <c r="CE71">
        <v>2.2230000000000001E-3</v>
      </c>
      <c r="CF71">
        <v>2.2230000000000001E-3</v>
      </c>
      <c r="CG71">
        <v>2.2230000000000001E-3</v>
      </c>
      <c r="CH71">
        <v>2.2230000000000001E-3</v>
      </c>
      <c r="CI71">
        <v>2.2230000000000001E-3</v>
      </c>
      <c r="CJ71">
        <v>2.2230000000000001E-3</v>
      </c>
      <c r="CK71">
        <v>2.2230000000000001E-3</v>
      </c>
      <c r="CL71">
        <v>2.2230000000000001E-3</v>
      </c>
      <c r="CM71">
        <v>2.2230000000000001E-3</v>
      </c>
      <c r="CN71">
        <v>2.2230000000000001E-3</v>
      </c>
      <c r="CO71">
        <v>2.2230000000000001E-3</v>
      </c>
      <c r="CP71">
        <v>2.2230000000000001E-3</v>
      </c>
      <c r="CQ71">
        <v>2.2230000000000001E-3</v>
      </c>
      <c r="CR71">
        <v>2.2230000000000001E-3</v>
      </c>
      <c r="CS71">
        <v>2.2230000000000001E-3</v>
      </c>
      <c r="CT71">
        <v>2.2230000000000001E-3</v>
      </c>
      <c r="CU71">
        <v>2.2230000000000001E-3</v>
      </c>
      <c r="CV71">
        <v>2.2230000000000001E-3</v>
      </c>
      <c r="CW71">
        <v>2.2230000000000001E-3</v>
      </c>
      <c r="CX71">
        <v>2.2230000000000001E-3</v>
      </c>
    </row>
    <row r="72" spans="1:102" x14ac:dyDescent="0.25">
      <c r="A72" t="s">
        <v>465</v>
      </c>
      <c r="B72" t="e">
        <v>#VALUE!</v>
      </c>
      <c r="C72" t="e">
        <v>#VALUE!</v>
      </c>
      <c r="D72" t="e">
        <v>#VALUE!</v>
      </c>
      <c r="E72" t="e">
        <v>#VALUE!</v>
      </c>
      <c r="F72" t="e">
        <v>#VALUE!</v>
      </c>
      <c r="G72" t="e">
        <v>#VALUE!</v>
      </c>
      <c r="H72" t="e">
        <v>#VALUE!</v>
      </c>
      <c r="I72" t="e">
        <v>#VALUE!</v>
      </c>
      <c r="J72" t="e">
        <v>#VALUE!</v>
      </c>
      <c r="K72" t="e">
        <v>#VALUE!</v>
      </c>
      <c r="L72" t="e">
        <v>#VALUE!</v>
      </c>
      <c r="M72" t="e">
        <v>#VALUE!</v>
      </c>
      <c r="N72" t="e">
        <v>#VALUE!</v>
      </c>
      <c r="O72" t="e">
        <v>#VALUE!</v>
      </c>
      <c r="P72" t="e">
        <v>#VALUE!</v>
      </c>
      <c r="Q72">
        <v>3.6999999999999998E-5</v>
      </c>
      <c r="R72">
        <v>3.6999999999999998E-5</v>
      </c>
      <c r="S72">
        <v>3.6999999999999998E-5</v>
      </c>
      <c r="T72">
        <v>3.6999999999999998E-5</v>
      </c>
      <c r="U72">
        <v>3.6999999999999998E-5</v>
      </c>
      <c r="V72">
        <v>3.6999999999999998E-5</v>
      </c>
      <c r="W72">
        <v>3.6999999999999998E-5</v>
      </c>
      <c r="X72">
        <v>3.6999999999999998E-5</v>
      </c>
      <c r="Y72">
        <v>3.6999999999999998E-5</v>
      </c>
      <c r="Z72">
        <v>3.6999999999999998E-5</v>
      </c>
      <c r="AA72">
        <v>3.6999999999999998E-5</v>
      </c>
      <c r="AB72">
        <v>3.6999999999999998E-5</v>
      </c>
      <c r="AC72">
        <v>3.6999999999999998E-5</v>
      </c>
      <c r="AD72">
        <v>3.6999999999999998E-5</v>
      </c>
      <c r="AE72">
        <v>3.6999999999999998E-5</v>
      </c>
      <c r="AF72">
        <v>3.6999999999999998E-5</v>
      </c>
      <c r="AG72">
        <v>3.6999999999999998E-5</v>
      </c>
      <c r="AH72">
        <v>3.6999999999999998E-5</v>
      </c>
      <c r="AI72">
        <v>3.6999999999999998E-5</v>
      </c>
      <c r="AJ72">
        <v>3.6999999999999998E-5</v>
      </c>
      <c r="AK72">
        <v>3.6999999999999998E-5</v>
      </c>
      <c r="AL72">
        <v>3.6999999999999998E-5</v>
      </c>
      <c r="AM72">
        <v>3.6999999999999998E-5</v>
      </c>
      <c r="AN72">
        <v>3.6999999999999998E-5</v>
      </c>
      <c r="AO72">
        <v>3.6999999999999998E-5</v>
      </c>
      <c r="AP72">
        <v>2.1100000000000001E-4</v>
      </c>
      <c r="AQ72">
        <v>2.1100000000000001E-4</v>
      </c>
      <c r="AR72">
        <v>2.1100000000000001E-4</v>
      </c>
      <c r="AS72">
        <v>2.1100000000000001E-4</v>
      </c>
      <c r="AT72">
        <v>2.1100000000000001E-4</v>
      </c>
      <c r="AU72">
        <v>3.2299999999999999E-4</v>
      </c>
      <c r="AV72">
        <v>3.2299999999999999E-4</v>
      </c>
      <c r="AW72">
        <v>3.2299999999999999E-4</v>
      </c>
      <c r="AX72">
        <v>3.2299999999999999E-4</v>
      </c>
      <c r="AY72">
        <v>3.2299999999999999E-4</v>
      </c>
      <c r="AZ72">
        <v>4.2400000000000001E-4</v>
      </c>
      <c r="BA72">
        <v>4.2400000000000001E-4</v>
      </c>
      <c r="BB72">
        <v>4.2400000000000001E-4</v>
      </c>
      <c r="BC72">
        <v>4.2400000000000001E-4</v>
      </c>
      <c r="BD72">
        <v>4.2400000000000001E-4</v>
      </c>
      <c r="BE72">
        <v>5.5000000000000003E-4</v>
      </c>
      <c r="BF72">
        <v>5.5000000000000003E-4</v>
      </c>
      <c r="BG72">
        <v>5.5000000000000003E-4</v>
      </c>
      <c r="BH72">
        <v>5.5000000000000003E-4</v>
      </c>
      <c r="BI72">
        <v>5.5000000000000003E-4</v>
      </c>
      <c r="BJ72">
        <v>7.7099999999999998E-4</v>
      </c>
      <c r="BK72">
        <v>7.7099999999999998E-4</v>
      </c>
      <c r="BL72">
        <v>7.7099999999999998E-4</v>
      </c>
      <c r="BM72">
        <v>7.7099999999999998E-4</v>
      </c>
      <c r="BN72">
        <v>7.7099999999999998E-4</v>
      </c>
      <c r="BO72">
        <v>9.2199999999999997E-4</v>
      </c>
      <c r="BP72">
        <v>9.2199999999999997E-4</v>
      </c>
      <c r="BQ72">
        <v>9.2199999999999997E-4</v>
      </c>
      <c r="BR72">
        <v>9.2199999999999997E-4</v>
      </c>
      <c r="BS72">
        <v>9.2199999999999997E-4</v>
      </c>
      <c r="BT72">
        <v>1.0759999999999999E-3</v>
      </c>
      <c r="BU72">
        <v>1.0759999999999999E-3</v>
      </c>
      <c r="BV72">
        <v>1.0759999999999999E-3</v>
      </c>
      <c r="BW72">
        <v>1.0759999999999999E-3</v>
      </c>
      <c r="BX72">
        <v>1.0759999999999999E-3</v>
      </c>
      <c r="BY72">
        <v>2.3549999999999999E-3</v>
      </c>
      <c r="BZ72">
        <v>2.3549999999999999E-3</v>
      </c>
      <c r="CA72">
        <v>2.3549999999999999E-3</v>
      </c>
      <c r="CB72">
        <v>2.3549999999999999E-3</v>
      </c>
      <c r="CC72">
        <v>2.3549999999999999E-3</v>
      </c>
      <c r="CD72">
        <v>2.3549999999999999E-3</v>
      </c>
      <c r="CE72">
        <v>2.3549999999999999E-3</v>
      </c>
      <c r="CF72">
        <v>2.3549999999999999E-3</v>
      </c>
      <c r="CG72">
        <v>2.3549999999999999E-3</v>
      </c>
      <c r="CH72">
        <v>2.3549999999999999E-3</v>
      </c>
      <c r="CI72">
        <v>2.3549999999999999E-3</v>
      </c>
      <c r="CJ72">
        <v>2.3549999999999999E-3</v>
      </c>
      <c r="CK72">
        <v>2.3549999999999999E-3</v>
      </c>
      <c r="CL72">
        <v>2.3549999999999999E-3</v>
      </c>
      <c r="CM72">
        <v>2.3549999999999999E-3</v>
      </c>
      <c r="CN72">
        <v>2.3549999999999999E-3</v>
      </c>
      <c r="CO72">
        <v>2.3549999999999999E-3</v>
      </c>
      <c r="CP72">
        <v>2.3549999999999999E-3</v>
      </c>
      <c r="CQ72">
        <v>2.3549999999999999E-3</v>
      </c>
      <c r="CR72">
        <v>2.3549999999999999E-3</v>
      </c>
      <c r="CS72">
        <v>2.3549999999999999E-3</v>
      </c>
      <c r="CT72">
        <v>2.3549999999999999E-3</v>
      </c>
      <c r="CU72">
        <v>2.3549999999999999E-3</v>
      </c>
      <c r="CV72">
        <v>2.3549999999999999E-3</v>
      </c>
      <c r="CW72">
        <v>2.3549999999999999E-3</v>
      </c>
      <c r="CX72">
        <v>2.3549999999999999E-3</v>
      </c>
    </row>
    <row r="73" spans="1:102" x14ac:dyDescent="0.25">
      <c r="A73" t="s">
        <v>211</v>
      </c>
      <c r="B73" t="e">
        <v>#VALUE!</v>
      </c>
      <c r="C73" t="e">
        <v>#VALUE!</v>
      </c>
      <c r="D73" t="e">
        <v>#VALUE!</v>
      </c>
      <c r="E73" t="e">
        <v>#VALUE!</v>
      </c>
      <c r="F73" t="e">
        <v>#VALUE!</v>
      </c>
      <c r="G73" t="e">
        <v>#VALUE!</v>
      </c>
      <c r="H73" t="e">
        <v>#VALUE!</v>
      </c>
      <c r="I73" t="e">
        <v>#VALUE!</v>
      </c>
      <c r="J73" t="e">
        <v>#VALUE!</v>
      </c>
      <c r="K73" t="e">
        <v>#VALUE!</v>
      </c>
      <c r="L73" t="e">
        <v>#VALUE!</v>
      </c>
      <c r="M73" t="e">
        <v>#VALUE!</v>
      </c>
      <c r="N73" t="e">
        <v>#VALUE!</v>
      </c>
      <c r="O73" t="e">
        <v>#VALUE!</v>
      </c>
      <c r="P73" t="e">
        <v>#VALUE!</v>
      </c>
      <c r="Q73">
        <v>3.8999999999999999E-5</v>
      </c>
      <c r="R73">
        <v>3.8999999999999999E-5</v>
      </c>
      <c r="S73">
        <v>3.8999999999999999E-5</v>
      </c>
      <c r="T73">
        <v>3.8999999999999999E-5</v>
      </c>
      <c r="U73">
        <v>3.8999999999999999E-5</v>
      </c>
      <c r="V73">
        <v>3.8999999999999999E-5</v>
      </c>
      <c r="W73">
        <v>3.8999999999999999E-5</v>
      </c>
      <c r="X73">
        <v>3.8999999999999999E-5</v>
      </c>
      <c r="Y73">
        <v>3.8999999999999999E-5</v>
      </c>
      <c r="Z73">
        <v>3.8999999999999999E-5</v>
      </c>
      <c r="AA73">
        <v>3.8999999999999999E-5</v>
      </c>
      <c r="AB73">
        <v>3.8999999999999999E-5</v>
      </c>
      <c r="AC73">
        <v>3.8999999999999999E-5</v>
      </c>
      <c r="AD73">
        <v>3.8999999999999999E-5</v>
      </c>
      <c r="AE73">
        <v>3.8999999999999999E-5</v>
      </c>
      <c r="AF73">
        <v>3.8999999999999999E-5</v>
      </c>
      <c r="AG73">
        <v>3.8999999999999999E-5</v>
      </c>
      <c r="AH73">
        <v>3.8999999999999999E-5</v>
      </c>
      <c r="AI73">
        <v>3.8999999999999999E-5</v>
      </c>
      <c r="AJ73">
        <v>3.8999999999999999E-5</v>
      </c>
      <c r="AK73">
        <v>3.8999999999999999E-5</v>
      </c>
      <c r="AL73">
        <v>3.8999999999999999E-5</v>
      </c>
      <c r="AM73">
        <v>3.8999999999999999E-5</v>
      </c>
      <c r="AN73">
        <v>3.8999999999999999E-5</v>
      </c>
      <c r="AO73">
        <v>3.8999999999999999E-5</v>
      </c>
      <c r="AP73">
        <v>2.43E-4</v>
      </c>
      <c r="AQ73">
        <v>2.43E-4</v>
      </c>
      <c r="AR73">
        <v>2.43E-4</v>
      </c>
      <c r="AS73">
        <v>2.43E-4</v>
      </c>
      <c r="AT73">
        <v>2.43E-4</v>
      </c>
      <c r="AU73">
        <v>2.7500000000000002E-4</v>
      </c>
      <c r="AV73">
        <v>2.7500000000000002E-4</v>
      </c>
      <c r="AW73">
        <v>2.7500000000000002E-4</v>
      </c>
      <c r="AX73">
        <v>2.7500000000000002E-4</v>
      </c>
      <c r="AY73">
        <v>2.7500000000000002E-4</v>
      </c>
      <c r="AZ73">
        <v>5.0900000000000001E-4</v>
      </c>
      <c r="BA73">
        <v>5.0900000000000001E-4</v>
      </c>
      <c r="BB73">
        <v>5.0900000000000001E-4</v>
      </c>
      <c r="BC73">
        <v>5.0900000000000001E-4</v>
      </c>
      <c r="BD73">
        <v>5.0900000000000001E-4</v>
      </c>
      <c r="BE73">
        <v>7.1199999999999996E-4</v>
      </c>
      <c r="BF73">
        <v>7.1199999999999996E-4</v>
      </c>
      <c r="BG73">
        <v>7.1199999999999996E-4</v>
      </c>
      <c r="BH73">
        <v>7.1199999999999996E-4</v>
      </c>
      <c r="BI73">
        <v>7.1199999999999996E-4</v>
      </c>
      <c r="BJ73">
        <v>9.1299999999999997E-4</v>
      </c>
      <c r="BK73">
        <v>9.1299999999999997E-4</v>
      </c>
      <c r="BL73">
        <v>9.1299999999999997E-4</v>
      </c>
      <c r="BM73">
        <v>9.1299999999999997E-4</v>
      </c>
      <c r="BN73">
        <v>9.1299999999999997E-4</v>
      </c>
      <c r="BO73">
        <v>9.6900000000000003E-4</v>
      </c>
      <c r="BP73">
        <v>9.6900000000000003E-4</v>
      </c>
      <c r="BQ73">
        <v>9.6900000000000003E-4</v>
      </c>
      <c r="BR73">
        <v>9.6900000000000003E-4</v>
      </c>
      <c r="BS73">
        <v>9.6900000000000003E-4</v>
      </c>
      <c r="BT73">
        <v>1.2290000000000001E-3</v>
      </c>
      <c r="BU73">
        <v>1.2290000000000001E-3</v>
      </c>
      <c r="BV73">
        <v>1.2290000000000001E-3</v>
      </c>
      <c r="BW73">
        <v>1.2290000000000001E-3</v>
      </c>
      <c r="BX73">
        <v>1.2290000000000001E-3</v>
      </c>
      <c r="BY73">
        <v>1.457E-3</v>
      </c>
      <c r="BZ73">
        <v>1.457E-3</v>
      </c>
      <c r="CA73">
        <v>1.457E-3</v>
      </c>
      <c r="CB73">
        <v>1.457E-3</v>
      </c>
      <c r="CC73">
        <v>1.457E-3</v>
      </c>
      <c r="CD73">
        <v>1.457E-3</v>
      </c>
      <c r="CE73">
        <v>1.457E-3</v>
      </c>
      <c r="CF73">
        <v>1.457E-3</v>
      </c>
      <c r="CG73">
        <v>1.457E-3</v>
      </c>
      <c r="CH73">
        <v>1.457E-3</v>
      </c>
      <c r="CI73">
        <v>1.457E-3</v>
      </c>
      <c r="CJ73">
        <v>1.457E-3</v>
      </c>
      <c r="CK73">
        <v>1.457E-3</v>
      </c>
      <c r="CL73">
        <v>1.457E-3</v>
      </c>
      <c r="CM73">
        <v>1.457E-3</v>
      </c>
      <c r="CN73">
        <v>1.457E-3</v>
      </c>
      <c r="CO73">
        <v>1.457E-3</v>
      </c>
      <c r="CP73">
        <v>1.457E-3</v>
      </c>
      <c r="CQ73">
        <v>1.457E-3</v>
      </c>
      <c r="CR73">
        <v>1.457E-3</v>
      </c>
      <c r="CS73">
        <v>1.457E-3</v>
      </c>
      <c r="CT73">
        <v>1.457E-3</v>
      </c>
      <c r="CU73">
        <v>1.457E-3</v>
      </c>
      <c r="CV73">
        <v>1.457E-3</v>
      </c>
      <c r="CW73">
        <v>1.457E-3</v>
      </c>
      <c r="CX73">
        <v>1.457E-3</v>
      </c>
    </row>
    <row r="74" spans="1:102" x14ac:dyDescent="0.25">
      <c r="A74" t="s">
        <v>213</v>
      </c>
      <c r="B74">
        <v>1.9999999999999999E-6</v>
      </c>
      <c r="C74">
        <v>1.9999999999999999E-6</v>
      </c>
      <c r="D74">
        <v>1.9999999999999999E-6</v>
      </c>
      <c r="E74">
        <v>1.9999999999999999E-6</v>
      </c>
      <c r="F74">
        <v>1.9999999999999999E-6</v>
      </c>
      <c r="G74">
        <v>1.9999999999999999E-6</v>
      </c>
      <c r="H74">
        <v>1.9999999999999999E-6</v>
      </c>
      <c r="I74">
        <v>1.9999999999999999E-6</v>
      </c>
      <c r="J74">
        <v>1.9999999999999999E-6</v>
      </c>
      <c r="K74">
        <v>1.9999999999999999E-6</v>
      </c>
      <c r="L74">
        <v>1.9999999999999999E-6</v>
      </c>
      <c r="M74">
        <v>1.9999999999999999E-6</v>
      </c>
      <c r="N74">
        <v>1.9999999999999999E-6</v>
      </c>
      <c r="O74">
        <v>1.9999999999999999E-6</v>
      </c>
      <c r="P74">
        <v>1.9999999999999999E-6</v>
      </c>
      <c r="Q74">
        <v>2.3E-5</v>
      </c>
      <c r="R74">
        <v>2.3E-5</v>
      </c>
      <c r="S74">
        <v>2.3E-5</v>
      </c>
      <c r="T74">
        <v>2.3E-5</v>
      </c>
      <c r="U74">
        <v>2.3E-5</v>
      </c>
      <c r="V74">
        <v>2.3E-5</v>
      </c>
      <c r="W74">
        <v>2.3E-5</v>
      </c>
      <c r="X74">
        <v>2.3E-5</v>
      </c>
      <c r="Y74">
        <v>2.3E-5</v>
      </c>
      <c r="Z74">
        <v>2.3E-5</v>
      </c>
      <c r="AA74">
        <v>2.3E-5</v>
      </c>
      <c r="AB74">
        <v>2.3E-5</v>
      </c>
      <c r="AC74">
        <v>2.3E-5</v>
      </c>
      <c r="AD74">
        <v>2.3E-5</v>
      </c>
      <c r="AE74">
        <v>2.3E-5</v>
      </c>
      <c r="AF74">
        <v>2.3E-5</v>
      </c>
      <c r="AG74">
        <v>2.3E-5</v>
      </c>
      <c r="AH74">
        <v>2.3E-5</v>
      </c>
      <c r="AI74">
        <v>2.3E-5</v>
      </c>
      <c r="AJ74">
        <v>2.3E-5</v>
      </c>
      <c r="AK74">
        <v>2.3E-5</v>
      </c>
      <c r="AL74">
        <v>2.3E-5</v>
      </c>
      <c r="AM74">
        <v>2.3E-5</v>
      </c>
      <c r="AN74">
        <v>2.3E-5</v>
      </c>
      <c r="AO74">
        <v>2.3E-5</v>
      </c>
      <c r="AP74">
        <v>1.2999999999999999E-4</v>
      </c>
      <c r="AQ74">
        <v>1.2999999999999999E-4</v>
      </c>
      <c r="AR74">
        <v>1.2999999999999999E-4</v>
      </c>
      <c r="AS74">
        <v>1.2999999999999999E-4</v>
      </c>
      <c r="AT74">
        <v>1.2999999999999999E-4</v>
      </c>
      <c r="AU74">
        <v>1.66E-4</v>
      </c>
      <c r="AV74">
        <v>1.66E-4</v>
      </c>
      <c r="AW74">
        <v>1.66E-4</v>
      </c>
      <c r="AX74">
        <v>1.66E-4</v>
      </c>
      <c r="AY74">
        <v>1.66E-4</v>
      </c>
      <c r="AZ74">
        <v>2.12E-4</v>
      </c>
      <c r="BA74">
        <v>2.12E-4</v>
      </c>
      <c r="BB74">
        <v>2.12E-4</v>
      </c>
      <c r="BC74">
        <v>2.12E-4</v>
      </c>
      <c r="BD74">
        <v>2.12E-4</v>
      </c>
      <c r="BE74">
        <v>1.7799999999999999E-4</v>
      </c>
      <c r="BF74">
        <v>1.7799999999999999E-4</v>
      </c>
      <c r="BG74">
        <v>1.7799999999999999E-4</v>
      </c>
      <c r="BH74">
        <v>1.7799999999999999E-4</v>
      </c>
      <c r="BI74">
        <v>1.7799999999999999E-4</v>
      </c>
      <c r="BJ74" t="e">
        <v>#VALUE!</v>
      </c>
      <c r="BK74" t="e">
        <v>#VALUE!</v>
      </c>
      <c r="BL74" t="e">
        <v>#VALUE!</v>
      </c>
      <c r="BM74" t="e">
        <v>#VALUE!</v>
      </c>
      <c r="BN74" t="e">
        <v>#VALUE!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1.4350000000000001E-3</v>
      </c>
      <c r="BU74">
        <v>1.4350000000000001E-3</v>
      </c>
      <c r="BV74">
        <v>1.4350000000000001E-3</v>
      </c>
      <c r="BW74">
        <v>1.4350000000000001E-3</v>
      </c>
      <c r="BX74">
        <v>1.4350000000000001E-3</v>
      </c>
      <c r="BY74">
        <v>2.9390000000000002E-3</v>
      </c>
      <c r="BZ74">
        <v>2.9390000000000002E-3</v>
      </c>
      <c r="CA74">
        <v>2.9390000000000002E-3</v>
      </c>
      <c r="CB74">
        <v>2.9390000000000002E-3</v>
      </c>
      <c r="CC74">
        <v>2.9390000000000002E-3</v>
      </c>
      <c r="CD74">
        <v>2.9390000000000002E-3</v>
      </c>
      <c r="CE74">
        <v>2.9390000000000002E-3</v>
      </c>
      <c r="CF74">
        <v>2.9390000000000002E-3</v>
      </c>
      <c r="CG74">
        <v>2.9390000000000002E-3</v>
      </c>
      <c r="CH74">
        <v>2.9390000000000002E-3</v>
      </c>
      <c r="CI74">
        <v>2.9390000000000002E-3</v>
      </c>
      <c r="CJ74">
        <v>2.9390000000000002E-3</v>
      </c>
      <c r="CK74">
        <v>2.9390000000000002E-3</v>
      </c>
      <c r="CL74">
        <v>2.9390000000000002E-3</v>
      </c>
      <c r="CM74">
        <v>2.9390000000000002E-3</v>
      </c>
      <c r="CN74">
        <v>2.9390000000000002E-3</v>
      </c>
      <c r="CO74">
        <v>2.9390000000000002E-3</v>
      </c>
      <c r="CP74">
        <v>2.9390000000000002E-3</v>
      </c>
      <c r="CQ74">
        <v>2.9390000000000002E-3</v>
      </c>
      <c r="CR74">
        <v>2.9390000000000002E-3</v>
      </c>
      <c r="CS74">
        <v>2.9390000000000002E-3</v>
      </c>
      <c r="CT74">
        <v>2.9390000000000002E-3</v>
      </c>
      <c r="CU74">
        <v>2.9390000000000002E-3</v>
      </c>
      <c r="CV74">
        <v>2.9390000000000002E-3</v>
      </c>
      <c r="CW74">
        <v>2.9390000000000002E-3</v>
      </c>
      <c r="CX74">
        <v>2.9390000000000002E-3</v>
      </c>
    </row>
    <row r="75" spans="1:102" x14ac:dyDescent="0.25">
      <c r="A75" t="s">
        <v>215</v>
      </c>
      <c r="B75" t="e">
        <v>#VALUE!</v>
      </c>
      <c r="C75" t="e">
        <v>#VALUE!</v>
      </c>
      <c r="D75" t="e">
        <v>#VALUE!</v>
      </c>
      <c r="E75" t="e">
        <v>#VALUE!</v>
      </c>
      <c r="F75" t="e">
        <v>#VALUE!</v>
      </c>
      <c r="G75" t="e">
        <v>#VALUE!</v>
      </c>
      <c r="H75" t="e">
        <v>#VALUE!</v>
      </c>
      <c r="I75" t="e">
        <v>#VALUE!</v>
      </c>
      <c r="J75" t="e">
        <v>#VALUE!</v>
      </c>
      <c r="K75" t="e">
        <v>#VALUE!</v>
      </c>
      <c r="L75" t="e">
        <v>#VALUE!</v>
      </c>
      <c r="M75" t="e">
        <v>#VALUE!</v>
      </c>
      <c r="N75" t="e">
        <v>#VALUE!</v>
      </c>
      <c r="O75" t="e">
        <v>#VALUE!</v>
      </c>
      <c r="P75" t="e">
        <v>#VALUE!</v>
      </c>
      <c r="Q75">
        <v>4.8999999999999998E-5</v>
      </c>
      <c r="R75">
        <v>4.8999999999999998E-5</v>
      </c>
      <c r="S75">
        <v>4.8999999999999998E-5</v>
      </c>
      <c r="T75">
        <v>4.8999999999999998E-5</v>
      </c>
      <c r="U75">
        <v>4.8999999999999998E-5</v>
      </c>
      <c r="V75">
        <v>4.8999999999999998E-5</v>
      </c>
      <c r="W75">
        <v>4.8999999999999998E-5</v>
      </c>
      <c r="X75">
        <v>4.8999999999999998E-5</v>
      </c>
      <c r="Y75">
        <v>4.8999999999999998E-5</v>
      </c>
      <c r="Z75">
        <v>4.8999999999999998E-5</v>
      </c>
      <c r="AA75">
        <v>4.8999999999999998E-5</v>
      </c>
      <c r="AB75">
        <v>4.8999999999999998E-5</v>
      </c>
      <c r="AC75">
        <v>4.8999999999999998E-5</v>
      </c>
      <c r="AD75">
        <v>4.8999999999999998E-5</v>
      </c>
      <c r="AE75">
        <v>4.8999999999999998E-5</v>
      </c>
      <c r="AF75">
        <v>4.8999999999999998E-5</v>
      </c>
      <c r="AG75">
        <v>4.8999999999999998E-5</v>
      </c>
      <c r="AH75">
        <v>4.8999999999999998E-5</v>
      </c>
      <c r="AI75">
        <v>4.8999999999999998E-5</v>
      </c>
      <c r="AJ75">
        <v>4.8999999999999998E-5</v>
      </c>
      <c r="AK75">
        <v>4.8999999999999998E-5</v>
      </c>
      <c r="AL75">
        <v>4.8999999999999998E-5</v>
      </c>
      <c r="AM75">
        <v>4.8999999999999998E-5</v>
      </c>
      <c r="AN75">
        <v>4.8999999999999998E-5</v>
      </c>
      <c r="AO75">
        <v>4.8999999999999998E-5</v>
      </c>
      <c r="AP75">
        <v>2.5700000000000001E-4</v>
      </c>
      <c r="AQ75">
        <v>2.5700000000000001E-4</v>
      </c>
      <c r="AR75">
        <v>2.5700000000000001E-4</v>
      </c>
      <c r="AS75">
        <v>2.5700000000000001E-4</v>
      </c>
      <c r="AT75">
        <v>2.5700000000000001E-4</v>
      </c>
      <c r="AU75">
        <v>3.3599999999999998E-4</v>
      </c>
      <c r="AV75">
        <v>3.3599999999999998E-4</v>
      </c>
      <c r="AW75">
        <v>3.3599999999999998E-4</v>
      </c>
      <c r="AX75">
        <v>3.3599999999999998E-4</v>
      </c>
      <c r="AY75">
        <v>3.3599999999999998E-4</v>
      </c>
      <c r="AZ75">
        <v>3.7300000000000001E-4</v>
      </c>
      <c r="BA75">
        <v>3.7300000000000001E-4</v>
      </c>
      <c r="BB75">
        <v>3.7300000000000001E-4</v>
      </c>
      <c r="BC75">
        <v>3.7300000000000001E-4</v>
      </c>
      <c r="BD75">
        <v>3.7300000000000001E-4</v>
      </c>
      <c r="BE75">
        <v>3.8400000000000001E-4</v>
      </c>
      <c r="BF75">
        <v>3.8400000000000001E-4</v>
      </c>
      <c r="BG75">
        <v>3.8400000000000001E-4</v>
      </c>
      <c r="BH75">
        <v>3.8400000000000001E-4</v>
      </c>
      <c r="BI75">
        <v>3.8400000000000001E-4</v>
      </c>
      <c r="BJ75">
        <v>3.9399999999999998E-4</v>
      </c>
      <c r="BK75">
        <v>3.9399999999999998E-4</v>
      </c>
      <c r="BL75">
        <v>3.9399999999999998E-4</v>
      </c>
      <c r="BM75">
        <v>3.9399999999999998E-4</v>
      </c>
      <c r="BN75">
        <v>3.9399999999999998E-4</v>
      </c>
      <c r="BO75">
        <v>4.4999999999999999E-4</v>
      </c>
      <c r="BP75">
        <v>4.4999999999999999E-4</v>
      </c>
      <c r="BQ75">
        <v>4.4999999999999999E-4</v>
      </c>
      <c r="BR75">
        <v>4.4999999999999999E-4</v>
      </c>
      <c r="BS75">
        <v>4.4999999999999999E-4</v>
      </c>
      <c r="BT75">
        <v>5.3399999999999997E-4</v>
      </c>
      <c r="BU75">
        <v>5.3399999999999997E-4</v>
      </c>
      <c r="BV75">
        <v>5.3399999999999997E-4</v>
      </c>
      <c r="BW75">
        <v>5.3399999999999997E-4</v>
      </c>
      <c r="BX75">
        <v>5.3399999999999997E-4</v>
      </c>
      <c r="BY75">
        <v>6.9099999999999999E-4</v>
      </c>
      <c r="BZ75">
        <v>6.9099999999999999E-4</v>
      </c>
      <c r="CA75">
        <v>6.9099999999999999E-4</v>
      </c>
      <c r="CB75">
        <v>6.9099999999999999E-4</v>
      </c>
      <c r="CC75">
        <v>6.9099999999999999E-4</v>
      </c>
      <c r="CD75">
        <v>6.9099999999999999E-4</v>
      </c>
      <c r="CE75">
        <v>6.9099999999999999E-4</v>
      </c>
      <c r="CF75">
        <v>6.9099999999999999E-4</v>
      </c>
      <c r="CG75">
        <v>6.9099999999999999E-4</v>
      </c>
      <c r="CH75">
        <v>6.9099999999999999E-4</v>
      </c>
      <c r="CI75">
        <v>6.9099999999999999E-4</v>
      </c>
      <c r="CJ75">
        <v>6.9099999999999999E-4</v>
      </c>
      <c r="CK75">
        <v>6.9099999999999999E-4</v>
      </c>
      <c r="CL75">
        <v>6.9099999999999999E-4</v>
      </c>
      <c r="CM75">
        <v>6.9099999999999999E-4</v>
      </c>
      <c r="CN75">
        <v>6.9099999999999999E-4</v>
      </c>
      <c r="CO75">
        <v>6.9099999999999999E-4</v>
      </c>
      <c r="CP75">
        <v>6.9099999999999999E-4</v>
      </c>
      <c r="CQ75">
        <v>6.9099999999999999E-4</v>
      </c>
      <c r="CR75">
        <v>6.9099999999999999E-4</v>
      </c>
      <c r="CS75">
        <v>6.9099999999999999E-4</v>
      </c>
      <c r="CT75">
        <v>6.9099999999999999E-4</v>
      </c>
      <c r="CU75">
        <v>6.9099999999999999E-4</v>
      </c>
      <c r="CV75">
        <v>6.9099999999999999E-4</v>
      </c>
      <c r="CW75">
        <v>6.9099999999999999E-4</v>
      </c>
      <c r="CX75">
        <v>6.9099999999999999E-4</v>
      </c>
    </row>
    <row r="76" spans="1:102" x14ac:dyDescent="0.25">
      <c r="A76" t="s">
        <v>217</v>
      </c>
      <c r="B76" t="e">
        <v>#VALUE!</v>
      </c>
      <c r="C76" t="e">
        <v>#VALUE!</v>
      </c>
      <c r="D76" t="e">
        <v>#VALUE!</v>
      </c>
      <c r="E76" t="e">
        <v>#VALUE!</v>
      </c>
      <c r="F76" t="e">
        <v>#VALUE!</v>
      </c>
      <c r="G76" t="e">
        <v>#VALUE!</v>
      </c>
      <c r="H76" t="e">
        <v>#VALUE!</v>
      </c>
      <c r="I76" t="e">
        <v>#VALUE!</v>
      </c>
      <c r="J76" t="e">
        <v>#VALUE!</v>
      </c>
      <c r="K76" t="e">
        <v>#VALUE!</v>
      </c>
      <c r="L76" t="e">
        <v>#VALUE!</v>
      </c>
      <c r="M76" t="e">
        <v>#VALUE!</v>
      </c>
      <c r="N76" t="e">
        <v>#VALUE!</v>
      </c>
      <c r="O76" t="e">
        <v>#VALUE!</v>
      </c>
      <c r="P76" t="e">
        <v>#VALUE!</v>
      </c>
      <c r="Q76">
        <v>2.1999999999999999E-5</v>
      </c>
      <c r="R76">
        <v>2.1999999999999999E-5</v>
      </c>
      <c r="S76">
        <v>2.1999999999999999E-5</v>
      </c>
      <c r="T76">
        <v>2.1999999999999999E-5</v>
      </c>
      <c r="U76">
        <v>2.1999999999999999E-5</v>
      </c>
      <c r="V76">
        <v>2.1999999999999999E-5</v>
      </c>
      <c r="W76">
        <v>2.1999999999999999E-5</v>
      </c>
      <c r="X76">
        <v>2.1999999999999999E-5</v>
      </c>
      <c r="Y76">
        <v>2.1999999999999999E-5</v>
      </c>
      <c r="Z76">
        <v>2.1999999999999999E-5</v>
      </c>
      <c r="AA76">
        <v>2.1999999999999999E-5</v>
      </c>
      <c r="AB76">
        <v>2.1999999999999999E-5</v>
      </c>
      <c r="AC76">
        <v>2.1999999999999999E-5</v>
      </c>
      <c r="AD76">
        <v>2.1999999999999999E-5</v>
      </c>
      <c r="AE76">
        <v>2.1999999999999999E-5</v>
      </c>
      <c r="AF76">
        <v>2.1999999999999999E-5</v>
      </c>
      <c r="AG76">
        <v>2.1999999999999999E-5</v>
      </c>
      <c r="AH76">
        <v>2.1999999999999999E-5</v>
      </c>
      <c r="AI76">
        <v>2.1999999999999999E-5</v>
      </c>
      <c r="AJ76">
        <v>2.1999999999999999E-5</v>
      </c>
      <c r="AK76">
        <v>2.1999999999999999E-5</v>
      </c>
      <c r="AL76">
        <v>2.1999999999999999E-5</v>
      </c>
      <c r="AM76">
        <v>2.1999999999999999E-5</v>
      </c>
      <c r="AN76">
        <v>2.1999999999999999E-5</v>
      </c>
      <c r="AO76">
        <v>2.1999999999999999E-5</v>
      </c>
      <c r="AP76">
        <v>9.2E-5</v>
      </c>
      <c r="AQ76">
        <v>9.2E-5</v>
      </c>
      <c r="AR76">
        <v>9.2E-5</v>
      </c>
      <c r="AS76">
        <v>9.2E-5</v>
      </c>
      <c r="AT76">
        <v>9.2E-5</v>
      </c>
      <c r="AU76">
        <v>1.2899999999999999E-4</v>
      </c>
      <c r="AV76">
        <v>1.2899999999999999E-4</v>
      </c>
      <c r="AW76">
        <v>1.2899999999999999E-4</v>
      </c>
      <c r="AX76">
        <v>1.2899999999999999E-4</v>
      </c>
      <c r="AY76">
        <v>1.2899999999999999E-4</v>
      </c>
      <c r="AZ76">
        <v>1.54E-4</v>
      </c>
      <c r="BA76">
        <v>1.54E-4</v>
      </c>
      <c r="BB76">
        <v>1.54E-4</v>
      </c>
      <c r="BC76">
        <v>1.54E-4</v>
      </c>
      <c r="BD76">
        <v>1.54E-4</v>
      </c>
      <c r="BE76">
        <v>1.6100000000000001E-4</v>
      </c>
      <c r="BF76">
        <v>1.6100000000000001E-4</v>
      </c>
      <c r="BG76">
        <v>1.6100000000000001E-4</v>
      </c>
      <c r="BH76">
        <v>1.6100000000000001E-4</v>
      </c>
      <c r="BI76">
        <v>1.6100000000000001E-4</v>
      </c>
      <c r="BJ76">
        <v>1.5699999999999999E-4</v>
      </c>
      <c r="BK76">
        <v>1.5699999999999999E-4</v>
      </c>
      <c r="BL76">
        <v>1.5699999999999999E-4</v>
      </c>
      <c r="BM76">
        <v>1.5699999999999999E-4</v>
      </c>
      <c r="BN76">
        <v>1.5699999999999999E-4</v>
      </c>
      <c r="BO76">
        <v>1.5200000000000001E-4</v>
      </c>
      <c r="BP76">
        <v>1.5200000000000001E-4</v>
      </c>
      <c r="BQ76">
        <v>1.5200000000000001E-4</v>
      </c>
      <c r="BR76">
        <v>1.5200000000000001E-4</v>
      </c>
      <c r="BS76">
        <v>1.5200000000000001E-4</v>
      </c>
      <c r="BT76">
        <v>1.54E-4</v>
      </c>
      <c r="BU76">
        <v>1.54E-4</v>
      </c>
      <c r="BV76">
        <v>1.54E-4</v>
      </c>
      <c r="BW76">
        <v>1.54E-4</v>
      </c>
      <c r="BX76">
        <v>1.54E-4</v>
      </c>
      <c r="BY76">
        <v>1.8900000000000001E-4</v>
      </c>
      <c r="BZ76">
        <v>1.8900000000000001E-4</v>
      </c>
      <c r="CA76">
        <v>1.8900000000000001E-4</v>
      </c>
      <c r="CB76">
        <v>1.8900000000000001E-4</v>
      </c>
      <c r="CC76">
        <v>1.8900000000000001E-4</v>
      </c>
      <c r="CD76">
        <v>1.8900000000000001E-4</v>
      </c>
      <c r="CE76">
        <v>1.8900000000000001E-4</v>
      </c>
      <c r="CF76">
        <v>1.8900000000000001E-4</v>
      </c>
      <c r="CG76">
        <v>1.8900000000000001E-4</v>
      </c>
      <c r="CH76">
        <v>1.8900000000000001E-4</v>
      </c>
      <c r="CI76">
        <v>1.8900000000000001E-4</v>
      </c>
      <c r="CJ76">
        <v>1.8900000000000001E-4</v>
      </c>
      <c r="CK76">
        <v>1.8900000000000001E-4</v>
      </c>
      <c r="CL76">
        <v>1.8900000000000001E-4</v>
      </c>
      <c r="CM76">
        <v>1.8900000000000001E-4</v>
      </c>
      <c r="CN76">
        <v>1.8900000000000001E-4</v>
      </c>
      <c r="CO76">
        <v>1.8900000000000001E-4</v>
      </c>
      <c r="CP76">
        <v>1.8900000000000001E-4</v>
      </c>
      <c r="CQ76">
        <v>1.8900000000000001E-4</v>
      </c>
      <c r="CR76">
        <v>1.8900000000000001E-4</v>
      </c>
      <c r="CS76">
        <v>1.8900000000000001E-4</v>
      </c>
      <c r="CT76">
        <v>1.8900000000000001E-4</v>
      </c>
      <c r="CU76">
        <v>1.8900000000000001E-4</v>
      </c>
      <c r="CV76">
        <v>1.8900000000000001E-4</v>
      </c>
      <c r="CW76">
        <v>1.8900000000000001E-4</v>
      </c>
      <c r="CX76">
        <v>1.8900000000000001E-4</v>
      </c>
    </row>
    <row r="77" spans="1:102" x14ac:dyDescent="0.25">
      <c r="A77" t="s">
        <v>219</v>
      </c>
      <c r="B77" t="e">
        <v>#VALUE!</v>
      </c>
      <c r="C77" t="e">
        <v>#VALUE!</v>
      </c>
      <c r="D77" t="e">
        <v>#VALUE!</v>
      </c>
      <c r="E77" t="e">
        <v>#VALUE!</v>
      </c>
      <c r="F77" t="e">
        <v>#VALUE!</v>
      </c>
      <c r="G77" t="e">
        <v>#VALUE!</v>
      </c>
      <c r="H77" t="e">
        <v>#VALUE!</v>
      </c>
      <c r="I77" t="e">
        <v>#VALUE!</v>
      </c>
      <c r="J77" t="e">
        <v>#VALUE!</v>
      </c>
      <c r="K77" t="e">
        <v>#VALUE!</v>
      </c>
      <c r="L77" t="e">
        <v>#VALUE!</v>
      </c>
      <c r="M77" t="e">
        <v>#VALUE!</v>
      </c>
      <c r="N77" t="e">
        <v>#VALUE!</v>
      </c>
      <c r="O77" t="e">
        <v>#VALUE!</v>
      </c>
      <c r="P77" t="e">
        <v>#VALUE!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1.85E-4</v>
      </c>
      <c r="BZ77">
        <v>1.85E-4</v>
      </c>
      <c r="CA77">
        <v>1.85E-4</v>
      </c>
      <c r="CB77">
        <v>1.85E-4</v>
      </c>
      <c r="CC77">
        <v>1.85E-4</v>
      </c>
      <c r="CD77">
        <v>1.85E-4</v>
      </c>
      <c r="CE77">
        <v>1.85E-4</v>
      </c>
      <c r="CF77">
        <v>1.85E-4</v>
      </c>
      <c r="CG77">
        <v>1.85E-4</v>
      </c>
      <c r="CH77">
        <v>1.85E-4</v>
      </c>
      <c r="CI77">
        <v>1.85E-4</v>
      </c>
      <c r="CJ77">
        <v>1.85E-4</v>
      </c>
      <c r="CK77">
        <v>1.85E-4</v>
      </c>
      <c r="CL77">
        <v>1.85E-4</v>
      </c>
      <c r="CM77">
        <v>1.85E-4</v>
      </c>
      <c r="CN77">
        <v>1.85E-4</v>
      </c>
      <c r="CO77">
        <v>1.85E-4</v>
      </c>
      <c r="CP77">
        <v>1.85E-4</v>
      </c>
      <c r="CQ77">
        <v>1.85E-4</v>
      </c>
      <c r="CR77">
        <v>1.85E-4</v>
      </c>
      <c r="CS77">
        <v>1.85E-4</v>
      </c>
      <c r="CT77">
        <v>1.85E-4</v>
      </c>
      <c r="CU77">
        <v>1.85E-4</v>
      </c>
      <c r="CV77">
        <v>1.85E-4</v>
      </c>
      <c r="CW77">
        <v>1.85E-4</v>
      </c>
      <c r="CX77">
        <v>1.85E-4</v>
      </c>
    </row>
    <row r="78" spans="1:102" x14ac:dyDescent="0.25">
      <c r="A78" t="s">
        <v>221</v>
      </c>
      <c r="B78" t="e">
        <v>#VALUE!</v>
      </c>
      <c r="C78" t="e">
        <v>#VALUE!</v>
      </c>
      <c r="D78" t="e">
        <v>#VALUE!</v>
      </c>
      <c r="E78" t="e">
        <v>#VALUE!</v>
      </c>
      <c r="F78" t="e">
        <v>#VALUE!</v>
      </c>
      <c r="G78" t="e">
        <v>#VALUE!</v>
      </c>
      <c r="H78" t="e">
        <v>#VALUE!</v>
      </c>
      <c r="I78" t="e">
        <v>#VALUE!</v>
      </c>
      <c r="J78" t="e">
        <v>#VALUE!</v>
      </c>
      <c r="K78" t="e">
        <v>#VALUE!</v>
      </c>
      <c r="L78" t="e">
        <v>#VALUE!</v>
      </c>
      <c r="M78" t="e">
        <v>#VALUE!</v>
      </c>
      <c r="N78" t="e">
        <v>#VALUE!</v>
      </c>
      <c r="O78" t="e">
        <v>#VALUE!</v>
      </c>
      <c r="P78" t="e">
        <v>#VALUE!</v>
      </c>
      <c r="Q78">
        <v>2.5000000000000001E-5</v>
      </c>
      <c r="R78">
        <v>2.5000000000000001E-5</v>
      </c>
      <c r="S78">
        <v>2.5000000000000001E-5</v>
      </c>
      <c r="T78">
        <v>2.5000000000000001E-5</v>
      </c>
      <c r="U78">
        <v>2.5000000000000001E-5</v>
      </c>
      <c r="V78">
        <v>2.5000000000000001E-5</v>
      </c>
      <c r="W78">
        <v>2.5000000000000001E-5</v>
      </c>
      <c r="X78">
        <v>2.5000000000000001E-5</v>
      </c>
      <c r="Y78">
        <v>2.5000000000000001E-5</v>
      </c>
      <c r="Z78">
        <v>2.5000000000000001E-5</v>
      </c>
      <c r="AA78">
        <v>2.5000000000000001E-5</v>
      </c>
      <c r="AB78">
        <v>2.5000000000000001E-5</v>
      </c>
      <c r="AC78">
        <v>2.5000000000000001E-5</v>
      </c>
      <c r="AD78">
        <v>2.5000000000000001E-5</v>
      </c>
      <c r="AE78">
        <v>2.5000000000000001E-5</v>
      </c>
      <c r="AF78">
        <v>2.5000000000000001E-5</v>
      </c>
      <c r="AG78">
        <v>2.5000000000000001E-5</v>
      </c>
      <c r="AH78">
        <v>2.5000000000000001E-5</v>
      </c>
      <c r="AI78">
        <v>2.5000000000000001E-5</v>
      </c>
      <c r="AJ78">
        <v>2.5000000000000001E-5</v>
      </c>
      <c r="AK78">
        <v>2.5000000000000001E-5</v>
      </c>
      <c r="AL78">
        <v>2.5000000000000001E-5</v>
      </c>
      <c r="AM78">
        <v>2.5000000000000001E-5</v>
      </c>
      <c r="AN78">
        <v>2.5000000000000001E-5</v>
      </c>
      <c r="AO78">
        <v>2.5000000000000001E-5</v>
      </c>
      <c r="AP78">
        <v>1.7799999999999999E-4</v>
      </c>
      <c r="AQ78">
        <v>1.7799999999999999E-4</v>
      </c>
      <c r="AR78">
        <v>1.7799999999999999E-4</v>
      </c>
      <c r="AS78">
        <v>1.7799999999999999E-4</v>
      </c>
      <c r="AT78">
        <v>1.7799999999999999E-4</v>
      </c>
      <c r="AU78">
        <v>2.81E-4</v>
      </c>
      <c r="AV78">
        <v>2.81E-4</v>
      </c>
      <c r="AW78">
        <v>2.81E-4</v>
      </c>
      <c r="AX78">
        <v>2.81E-4</v>
      </c>
      <c r="AY78">
        <v>2.81E-4</v>
      </c>
      <c r="AZ78">
        <v>3.6099999999999999E-4</v>
      </c>
      <c r="BA78">
        <v>3.6099999999999999E-4</v>
      </c>
      <c r="BB78">
        <v>3.6099999999999999E-4</v>
      </c>
      <c r="BC78">
        <v>3.6099999999999999E-4</v>
      </c>
      <c r="BD78">
        <v>3.6099999999999999E-4</v>
      </c>
      <c r="BE78">
        <v>4.0700000000000003E-4</v>
      </c>
      <c r="BF78">
        <v>4.0700000000000003E-4</v>
      </c>
      <c r="BG78">
        <v>4.0700000000000003E-4</v>
      </c>
      <c r="BH78">
        <v>4.0700000000000003E-4</v>
      </c>
      <c r="BI78">
        <v>4.0700000000000003E-4</v>
      </c>
      <c r="BJ78">
        <v>4.4999999999999999E-4</v>
      </c>
      <c r="BK78">
        <v>4.4999999999999999E-4</v>
      </c>
      <c r="BL78">
        <v>4.4999999999999999E-4</v>
      </c>
      <c r="BM78">
        <v>4.4999999999999999E-4</v>
      </c>
      <c r="BN78">
        <v>4.4999999999999999E-4</v>
      </c>
      <c r="BO78">
        <v>4.9200000000000003E-4</v>
      </c>
      <c r="BP78">
        <v>4.9200000000000003E-4</v>
      </c>
      <c r="BQ78">
        <v>4.9200000000000003E-4</v>
      </c>
      <c r="BR78">
        <v>4.9200000000000003E-4</v>
      </c>
      <c r="BS78">
        <v>4.9200000000000003E-4</v>
      </c>
      <c r="BT78">
        <v>5.1199999999999998E-4</v>
      </c>
      <c r="BU78">
        <v>5.1199999999999998E-4</v>
      </c>
      <c r="BV78">
        <v>5.1199999999999998E-4</v>
      </c>
      <c r="BW78">
        <v>5.1199999999999998E-4</v>
      </c>
      <c r="BX78">
        <v>5.1199999999999998E-4</v>
      </c>
      <c r="BY78">
        <v>5.13E-4</v>
      </c>
      <c r="BZ78">
        <v>5.13E-4</v>
      </c>
      <c r="CA78">
        <v>5.13E-4</v>
      </c>
      <c r="CB78">
        <v>5.13E-4</v>
      </c>
      <c r="CC78">
        <v>5.13E-4</v>
      </c>
      <c r="CD78">
        <v>5.13E-4</v>
      </c>
      <c r="CE78">
        <v>5.13E-4</v>
      </c>
      <c r="CF78">
        <v>5.13E-4</v>
      </c>
      <c r="CG78">
        <v>5.13E-4</v>
      </c>
      <c r="CH78">
        <v>5.13E-4</v>
      </c>
      <c r="CI78">
        <v>5.13E-4</v>
      </c>
      <c r="CJ78">
        <v>5.13E-4</v>
      </c>
      <c r="CK78">
        <v>5.13E-4</v>
      </c>
      <c r="CL78">
        <v>5.13E-4</v>
      </c>
      <c r="CM78">
        <v>5.13E-4</v>
      </c>
      <c r="CN78">
        <v>5.13E-4</v>
      </c>
      <c r="CO78">
        <v>5.13E-4</v>
      </c>
      <c r="CP78">
        <v>5.13E-4</v>
      </c>
      <c r="CQ78">
        <v>5.13E-4</v>
      </c>
      <c r="CR78">
        <v>5.13E-4</v>
      </c>
      <c r="CS78">
        <v>5.13E-4</v>
      </c>
      <c r="CT78">
        <v>5.13E-4</v>
      </c>
      <c r="CU78">
        <v>5.13E-4</v>
      </c>
      <c r="CV78">
        <v>5.13E-4</v>
      </c>
      <c r="CW78">
        <v>5.13E-4</v>
      </c>
      <c r="CX78">
        <v>5.13E-4</v>
      </c>
    </row>
    <row r="79" spans="1:102" x14ac:dyDescent="0.25">
      <c r="A79" t="s">
        <v>223</v>
      </c>
      <c r="B79" t="e">
        <v>#VALUE!</v>
      </c>
      <c r="C79" t="e">
        <v>#VALUE!</v>
      </c>
      <c r="D79" t="e">
        <v>#VALUE!</v>
      </c>
      <c r="E79" t="e">
        <v>#VALUE!</v>
      </c>
      <c r="F79" t="e">
        <v>#VALUE!</v>
      </c>
      <c r="G79" t="e">
        <v>#VALUE!</v>
      </c>
      <c r="H79" t="e">
        <v>#VALUE!</v>
      </c>
      <c r="I79" t="e">
        <v>#VALUE!</v>
      </c>
      <c r="J79" t="e">
        <v>#VALUE!</v>
      </c>
      <c r="K79" t="e">
        <v>#VALUE!</v>
      </c>
      <c r="L79" t="e">
        <v>#VALUE!</v>
      </c>
      <c r="M79" t="e">
        <v>#VALUE!</v>
      </c>
      <c r="N79" t="e">
        <v>#VALUE!</v>
      </c>
      <c r="O79" t="e">
        <v>#VALUE!</v>
      </c>
      <c r="P79" t="e">
        <v>#VALUE!</v>
      </c>
      <c r="Q79">
        <v>9.0000000000000002E-6</v>
      </c>
      <c r="R79">
        <v>9.0000000000000002E-6</v>
      </c>
      <c r="S79">
        <v>9.0000000000000002E-6</v>
      </c>
      <c r="T79">
        <v>9.0000000000000002E-6</v>
      </c>
      <c r="U79">
        <v>9.0000000000000002E-6</v>
      </c>
      <c r="V79">
        <v>9.0000000000000002E-6</v>
      </c>
      <c r="W79">
        <v>9.0000000000000002E-6</v>
      </c>
      <c r="X79">
        <v>9.0000000000000002E-6</v>
      </c>
      <c r="Y79">
        <v>9.0000000000000002E-6</v>
      </c>
      <c r="Z79">
        <v>9.0000000000000002E-6</v>
      </c>
      <c r="AA79">
        <v>9.0000000000000002E-6</v>
      </c>
      <c r="AB79">
        <v>9.0000000000000002E-6</v>
      </c>
      <c r="AC79">
        <v>9.0000000000000002E-6</v>
      </c>
      <c r="AD79">
        <v>9.0000000000000002E-6</v>
      </c>
      <c r="AE79">
        <v>9.0000000000000002E-6</v>
      </c>
      <c r="AF79">
        <v>9.0000000000000002E-6</v>
      </c>
      <c r="AG79">
        <v>9.0000000000000002E-6</v>
      </c>
      <c r="AH79">
        <v>9.0000000000000002E-6</v>
      </c>
      <c r="AI79">
        <v>9.0000000000000002E-6</v>
      </c>
      <c r="AJ79">
        <v>9.0000000000000002E-6</v>
      </c>
      <c r="AK79">
        <v>9.0000000000000002E-6</v>
      </c>
      <c r="AL79">
        <v>9.0000000000000002E-6</v>
      </c>
      <c r="AM79">
        <v>9.0000000000000002E-6</v>
      </c>
      <c r="AN79">
        <v>9.0000000000000002E-6</v>
      </c>
      <c r="AO79">
        <v>9.0000000000000002E-6</v>
      </c>
      <c r="AP79">
        <v>8.0000000000000007E-5</v>
      </c>
      <c r="AQ79">
        <v>8.0000000000000007E-5</v>
      </c>
      <c r="AR79">
        <v>8.0000000000000007E-5</v>
      </c>
      <c r="AS79">
        <v>8.0000000000000007E-5</v>
      </c>
      <c r="AT79">
        <v>8.0000000000000007E-5</v>
      </c>
      <c r="AU79">
        <v>1.4300000000000001E-4</v>
      </c>
      <c r="AV79">
        <v>1.4300000000000001E-4</v>
      </c>
      <c r="AW79">
        <v>1.4300000000000001E-4</v>
      </c>
      <c r="AX79">
        <v>1.4300000000000001E-4</v>
      </c>
      <c r="AY79">
        <v>1.4300000000000001E-4</v>
      </c>
      <c r="AZ79">
        <v>2.0900000000000001E-4</v>
      </c>
      <c r="BA79">
        <v>2.0900000000000001E-4</v>
      </c>
      <c r="BB79">
        <v>2.0900000000000001E-4</v>
      </c>
      <c r="BC79">
        <v>2.0900000000000001E-4</v>
      </c>
      <c r="BD79">
        <v>2.0900000000000001E-4</v>
      </c>
      <c r="BE79">
        <v>2.72E-4</v>
      </c>
      <c r="BF79">
        <v>2.72E-4</v>
      </c>
      <c r="BG79">
        <v>2.72E-4</v>
      </c>
      <c r="BH79">
        <v>2.72E-4</v>
      </c>
      <c r="BI79">
        <v>2.72E-4</v>
      </c>
      <c r="BJ79">
        <v>3.3799999999999998E-4</v>
      </c>
      <c r="BK79">
        <v>3.3799999999999998E-4</v>
      </c>
      <c r="BL79">
        <v>3.3799999999999998E-4</v>
      </c>
      <c r="BM79">
        <v>3.3799999999999998E-4</v>
      </c>
      <c r="BN79">
        <v>3.3799999999999998E-4</v>
      </c>
      <c r="BO79">
        <v>3.97E-4</v>
      </c>
      <c r="BP79">
        <v>3.97E-4</v>
      </c>
      <c r="BQ79">
        <v>3.97E-4</v>
      </c>
      <c r="BR79">
        <v>3.97E-4</v>
      </c>
      <c r="BS79">
        <v>3.97E-4</v>
      </c>
      <c r="BT79">
        <v>4.37E-4</v>
      </c>
      <c r="BU79">
        <v>4.37E-4</v>
      </c>
      <c r="BV79">
        <v>4.37E-4</v>
      </c>
      <c r="BW79">
        <v>4.37E-4</v>
      </c>
      <c r="BX79">
        <v>4.37E-4</v>
      </c>
      <c r="BY79">
        <v>4.5899999999999999E-4</v>
      </c>
      <c r="BZ79">
        <v>4.5899999999999999E-4</v>
      </c>
      <c r="CA79">
        <v>4.5899999999999999E-4</v>
      </c>
      <c r="CB79">
        <v>4.5899999999999999E-4</v>
      </c>
      <c r="CC79">
        <v>4.5899999999999999E-4</v>
      </c>
      <c r="CD79">
        <v>4.5899999999999999E-4</v>
      </c>
      <c r="CE79">
        <v>4.5899999999999999E-4</v>
      </c>
      <c r="CF79">
        <v>4.5899999999999999E-4</v>
      </c>
      <c r="CG79">
        <v>4.5899999999999999E-4</v>
      </c>
      <c r="CH79">
        <v>4.5899999999999999E-4</v>
      </c>
      <c r="CI79">
        <v>4.5899999999999999E-4</v>
      </c>
      <c r="CJ79">
        <v>4.5899999999999999E-4</v>
      </c>
      <c r="CK79">
        <v>4.5899999999999999E-4</v>
      </c>
      <c r="CL79">
        <v>4.5899999999999999E-4</v>
      </c>
      <c r="CM79">
        <v>4.5899999999999999E-4</v>
      </c>
      <c r="CN79">
        <v>4.5899999999999999E-4</v>
      </c>
      <c r="CO79">
        <v>4.5899999999999999E-4</v>
      </c>
      <c r="CP79">
        <v>4.5899999999999999E-4</v>
      </c>
      <c r="CQ79">
        <v>4.5899999999999999E-4</v>
      </c>
      <c r="CR79">
        <v>4.5899999999999999E-4</v>
      </c>
      <c r="CS79">
        <v>4.5899999999999999E-4</v>
      </c>
      <c r="CT79">
        <v>4.5899999999999999E-4</v>
      </c>
      <c r="CU79">
        <v>4.5899999999999999E-4</v>
      </c>
      <c r="CV79">
        <v>4.5899999999999999E-4</v>
      </c>
      <c r="CW79">
        <v>4.5899999999999999E-4</v>
      </c>
      <c r="CX79">
        <v>4.5899999999999999E-4</v>
      </c>
    </row>
    <row r="80" spans="1:102" x14ac:dyDescent="0.25">
      <c r="A80" t="s">
        <v>225</v>
      </c>
      <c r="B80" t="e">
        <v>#VALUE!</v>
      </c>
      <c r="C80" t="e">
        <v>#VALUE!</v>
      </c>
      <c r="D80" t="e">
        <v>#VALUE!</v>
      </c>
      <c r="E80" t="e">
        <v>#VALUE!</v>
      </c>
      <c r="F80" t="e">
        <v>#VALUE!</v>
      </c>
      <c r="G80" t="e">
        <v>#VALUE!</v>
      </c>
      <c r="H80" t="e">
        <v>#VALUE!</v>
      </c>
      <c r="I80" t="e">
        <v>#VALUE!</v>
      </c>
      <c r="J80" t="e">
        <v>#VALUE!</v>
      </c>
      <c r="K80" t="e">
        <v>#VALUE!</v>
      </c>
      <c r="L80" t="e">
        <v>#VALUE!</v>
      </c>
      <c r="M80" t="e">
        <v>#VALUE!</v>
      </c>
      <c r="N80" t="e">
        <v>#VALUE!</v>
      </c>
      <c r="O80" t="e">
        <v>#VALUE!</v>
      </c>
      <c r="P80" t="e">
        <v>#VALUE!</v>
      </c>
      <c r="Q80">
        <v>9.9999999999999995E-7</v>
      </c>
      <c r="R80">
        <v>9.9999999999999995E-7</v>
      </c>
      <c r="S80">
        <v>9.9999999999999995E-7</v>
      </c>
      <c r="T80">
        <v>9.9999999999999995E-7</v>
      </c>
      <c r="U80">
        <v>9.9999999999999995E-7</v>
      </c>
      <c r="V80">
        <v>9.9999999999999995E-7</v>
      </c>
      <c r="W80">
        <v>9.9999999999999995E-7</v>
      </c>
      <c r="X80">
        <v>9.9999999999999995E-7</v>
      </c>
      <c r="Y80">
        <v>9.9999999999999995E-7</v>
      </c>
      <c r="Z80">
        <v>9.9999999999999995E-7</v>
      </c>
      <c r="AA80">
        <v>9.9999999999999995E-7</v>
      </c>
      <c r="AB80">
        <v>9.9999999999999995E-7</v>
      </c>
      <c r="AC80">
        <v>9.9999999999999995E-7</v>
      </c>
      <c r="AD80">
        <v>9.9999999999999995E-7</v>
      </c>
      <c r="AE80">
        <v>9.9999999999999995E-7</v>
      </c>
      <c r="AF80">
        <v>9.9999999999999995E-7</v>
      </c>
      <c r="AG80">
        <v>9.9999999999999995E-7</v>
      </c>
      <c r="AH80">
        <v>9.9999999999999995E-7</v>
      </c>
      <c r="AI80">
        <v>9.9999999999999995E-7</v>
      </c>
      <c r="AJ80">
        <v>9.9999999999999995E-7</v>
      </c>
      <c r="AK80">
        <v>9.9999999999999995E-7</v>
      </c>
      <c r="AL80">
        <v>9.9999999999999995E-7</v>
      </c>
      <c r="AM80">
        <v>9.9999999999999995E-7</v>
      </c>
      <c r="AN80">
        <v>9.9999999999999995E-7</v>
      </c>
      <c r="AO80">
        <v>9.9999999999999995E-7</v>
      </c>
      <c r="AP80">
        <v>9.0000000000000002E-6</v>
      </c>
      <c r="AQ80">
        <v>9.0000000000000002E-6</v>
      </c>
      <c r="AR80">
        <v>9.0000000000000002E-6</v>
      </c>
      <c r="AS80">
        <v>9.0000000000000002E-6</v>
      </c>
      <c r="AT80">
        <v>9.0000000000000002E-6</v>
      </c>
      <c r="AU80">
        <v>2.0000000000000002E-5</v>
      </c>
      <c r="AV80">
        <v>2.0000000000000002E-5</v>
      </c>
      <c r="AW80">
        <v>2.0000000000000002E-5</v>
      </c>
      <c r="AX80">
        <v>2.0000000000000002E-5</v>
      </c>
      <c r="AY80">
        <v>2.0000000000000002E-5</v>
      </c>
      <c r="AZ80">
        <v>2.9E-5</v>
      </c>
      <c r="BA80">
        <v>2.9E-5</v>
      </c>
      <c r="BB80">
        <v>2.9E-5</v>
      </c>
      <c r="BC80">
        <v>2.9E-5</v>
      </c>
      <c r="BD80">
        <v>2.9E-5</v>
      </c>
      <c r="BE80">
        <v>3.3000000000000003E-5</v>
      </c>
      <c r="BF80">
        <v>3.3000000000000003E-5</v>
      </c>
      <c r="BG80">
        <v>3.3000000000000003E-5</v>
      </c>
      <c r="BH80">
        <v>3.3000000000000003E-5</v>
      </c>
      <c r="BI80">
        <v>3.3000000000000003E-5</v>
      </c>
      <c r="BJ80">
        <v>4.1E-5</v>
      </c>
      <c r="BK80">
        <v>4.1E-5</v>
      </c>
      <c r="BL80">
        <v>4.1E-5</v>
      </c>
      <c r="BM80">
        <v>4.1E-5</v>
      </c>
      <c r="BN80">
        <v>4.1E-5</v>
      </c>
      <c r="BO80">
        <v>6.0000000000000002E-5</v>
      </c>
      <c r="BP80">
        <v>6.0000000000000002E-5</v>
      </c>
      <c r="BQ80">
        <v>6.0000000000000002E-5</v>
      </c>
      <c r="BR80">
        <v>6.0000000000000002E-5</v>
      </c>
      <c r="BS80">
        <v>6.0000000000000002E-5</v>
      </c>
      <c r="BT80">
        <v>7.7999999999999999E-5</v>
      </c>
      <c r="BU80">
        <v>7.7999999999999999E-5</v>
      </c>
      <c r="BV80">
        <v>7.7999999999999999E-5</v>
      </c>
      <c r="BW80">
        <v>7.7999999999999999E-5</v>
      </c>
      <c r="BX80">
        <v>7.7999999999999999E-5</v>
      </c>
      <c r="BY80">
        <v>9.1000000000000003E-5</v>
      </c>
      <c r="BZ80">
        <v>9.1000000000000003E-5</v>
      </c>
      <c r="CA80">
        <v>9.1000000000000003E-5</v>
      </c>
      <c r="CB80">
        <v>9.1000000000000003E-5</v>
      </c>
      <c r="CC80">
        <v>9.1000000000000003E-5</v>
      </c>
      <c r="CD80">
        <v>9.1000000000000003E-5</v>
      </c>
      <c r="CE80">
        <v>9.1000000000000003E-5</v>
      </c>
      <c r="CF80">
        <v>9.1000000000000003E-5</v>
      </c>
      <c r="CG80">
        <v>9.1000000000000003E-5</v>
      </c>
      <c r="CH80">
        <v>9.1000000000000003E-5</v>
      </c>
      <c r="CI80">
        <v>9.1000000000000003E-5</v>
      </c>
      <c r="CJ80">
        <v>9.1000000000000003E-5</v>
      </c>
      <c r="CK80">
        <v>9.1000000000000003E-5</v>
      </c>
      <c r="CL80">
        <v>9.1000000000000003E-5</v>
      </c>
      <c r="CM80">
        <v>9.1000000000000003E-5</v>
      </c>
      <c r="CN80">
        <v>9.1000000000000003E-5</v>
      </c>
      <c r="CO80">
        <v>9.1000000000000003E-5</v>
      </c>
      <c r="CP80">
        <v>9.1000000000000003E-5</v>
      </c>
      <c r="CQ80">
        <v>9.1000000000000003E-5</v>
      </c>
      <c r="CR80">
        <v>9.1000000000000003E-5</v>
      </c>
      <c r="CS80">
        <v>9.1000000000000003E-5</v>
      </c>
      <c r="CT80">
        <v>9.1000000000000003E-5</v>
      </c>
      <c r="CU80">
        <v>9.1000000000000003E-5</v>
      </c>
      <c r="CV80">
        <v>9.1000000000000003E-5</v>
      </c>
      <c r="CW80">
        <v>9.1000000000000003E-5</v>
      </c>
      <c r="CX80">
        <v>9.1000000000000003E-5</v>
      </c>
    </row>
    <row r="81" spans="1:102" x14ac:dyDescent="0.25">
      <c r="A81" t="s">
        <v>227</v>
      </c>
      <c r="B81" t="e">
        <v>#VALUE!</v>
      </c>
      <c r="C81" t="e">
        <v>#VALUE!</v>
      </c>
      <c r="D81" t="e">
        <v>#VALUE!</v>
      </c>
      <c r="E81" t="e">
        <v>#VALUE!</v>
      </c>
      <c r="F81" t="e">
        <v>#VALUE!</v>
      </c>
      <c r="G81" t="e">
        <v>#VALUE!</v>
      </c>
      <c r="H81" t="e">
        <v>#VALUE!</v>
      </c>
      <c r="I81" t="e">
        <v>#VALUE!</v>
      </c>
      <c r="J81" t="e">
        <v>#VALUE!</v>
      </c>
      <c r="K81" t="e">
        <v>#VALUE!</v>
      </c>
      <c r="L81" t="e">
        <v>#VALUE!</v>
      </c>
      <c r="M81" t="e">
        <v>#VALUE!</v>
      </c>
      <c r="N81" t="e">
        <v>#VALUE!</v>
      </c>
      <c r="O81" t="e">
        <v>#VALUE!</v>
      </c>
      <c r="P81" t="e">
        <v>#VALUE!</v>
      </c>
      <c r="Q81">
        <v>9.9999999999999995E-7</v>
      </c>
      <c r="R81">
        <v>9.9999999999999995E-7</v>
      </c>
      <c r="S81">
        <v>9.9999999999999995E-7</v>
      </c>
      <c r="T81">
        <v>9.9999999999999995E-7</v>
      </c>
      <c r="U81">
        <v>9.9999999999999995E-7</v>
      </c>
      <c r="V81">
        <v>9.9999999999999995E-7</v>
      </c>
      <c r="W81">
        <v>9.9999999999999995E-7</v>
      </c>
      <c r="X81">
        <v>9.9999999999999995E-7</v>
      </c>
      <c r="Y81">
        <v>9.9999999999999995E-7</v>
      </c>
      <c r="Z81">
        <v>9.9999999999999995E-7</v>
      </c>
      <c r="AA81">
        <v>9.9999999999999995E-7</v>
      </c>
      <c r="AB81">
        <v>9.9999999999999995E-7</v>
      </c>
      <c r="AC81">
        <v>9.9999999999999995E-7</v>
      </c>
      <c r="AD81">
        <v>9.9999999999999995E-7</v>
      </c>
      <c r="AE81">
        <v>9.9999999999999995E-7</v>
      </c>
      <c r="AF81">
        <v>9.9999999999999995E-7</v>
      </c>
      <c r="AG81">
        <v>9.9999999999999995E-7</v>
      </c>
      <c r="AH81">
        <v>9.9999999999999995E-7</v>
      </c>
      <c r="AI81">
        <v>9.9999999999999995E-7</v>
      </c>
      <c r="AJ81">
        <v>9.9999999999999995E-7</v>
      </c>
      <c r="AK81">
        <v>9.9999999999999995E-7</v>
      </c>
      <c r="AL81">
        <v>9.9999999999999995E-7</v>
      </c>
      <c r="AM81">
        <v>9.9999999999999995E-7</v>
      </c>
      <c r="AN81">
        <v>9.9999999999999995E-7</v>
      </c>
      <c r="AO81">
        <v>9.9999999999999995E-7</v>
      </c>
      <c r="AP81">
        <v>1.2999999999999999E-5</v>
      </c>
      <c r="AQ81">
        <v>1.2999999999999999E-5</v>
      </c>
      <c r="AR81">
        <v>1.2999999999999999E-5</v>
      </c>
      <c r="AS81">
        <v>1.2999999999999999E-5</v>
      </c>
      <c r="AT81">
        <v>1.2999999999999999E-5</v>
      </c>
      <c r="AU81">
        <v>2.5000000000000001E-5</v>
      </c>
      <c r="AV81">
        <v>2.5000000000000001E-5</v>
      </c>
      <c r="AW81">
        <v>2.5000000000000001E-5</v>
      </c>
      <c r="AX81">
        <v>2.5000000000000001E-5</v>
      </c>
      <c r="AY81">
        <v>2.5000000000000001E-5</v>
      </c>
      <c r="AZ81">
        <v>3.6999999999999998E-5</v>
      </c>
      <c r="BA81">
        <v>3.6999999999999998E-5</v>
      </c>
      <c r="BB81">
        <v>3.6999999999999998E-5</v>
      </c>
      <c r="BC81">
        <v>3.6999999999999998E-5</v>
      </c>
      <c r="BD81">
        <v>3.6999999999999998E-5</v>
      </c>
      <c r="BE81">
        <v>4.6999999999999997E-5</v>
      </c>
      <c r="BF81">
        <v>4.6999999999999997E-5</v>
      </c>
      <c r="BG81">
        <v>4.6999999999999997E-5</v>
      </c>
      <c r="BH81">
        <v>4.6999999999999997E-5</v>
      </c>
      <c r="BI81">
        <v>4.6999999999999997E-5</v>
      </c>
      <c r="BJ81">
        <v>5.8999999999999998E-5</v>
      </c>
      <c r="BK81">
        <v>5.8999999999999998E-5</v>
      </c>
      <c r="BL81">
        <v>5.8999999999999998E-5</v>
      </c>
      <c r="BM81">
        <v>5.8999999999999998E-5</v>
      </c>
      <c r="BN81">
        <v>5.8999999999999998E-5</v>
      </c>
      <c r="BO81">
        <v>7.4999999999999993E-5</v>
      </c>
      <c r="BP81">
        <v>7.4999999999999993E-5</v>
      </c>
      <c r="BQ81">
        <v>7.4999999999999993E-5</v>
      </c>
      <c r="BR81">
        <v>7.4999999999999993E-5</v>
      </c>
      <c r="BS81">
        <v>7.4999999999999993E-5</v>
      </c>
      <c r="BT81">
        <v>8.6000000000000003E-5</v>
      </c>
      <c r="BU81">
        <v>8.6000000000000003E-5</v>
      </c>
      <c r="BV81">
        <v>8.6000000000000003E-5</v>
      </c>
      <c r="BW81">
        <v>8.6000000000000003E-5</v>
      </c>
      <c r="BX81">
        <v>8.6000000000000003E-5</v>
      </c>
      <c r="BY81">
        <v>9.3999999999999994E-5</v>
      </c>
      <c r="BZ81">
        <v>9.3999999999999994E-5</v>
      </c>
      <c r="CA81">
        <v>9.3999999999999994E-5</v>
      </c>
      <c r="CB81">
        <v>9.3999999999999994E-5</v>
      </c>
      <c r="CC81">
        <v>9.3999999999999994E-5</v>
      </c>
      <c r="CD81">
        <v>9.3999999999999994E-5</v>
      </c>
      <c r="CE81">
        <v>9.3999999999999994E-5</v>
      </c>
      <c r="CF81">
        <v>9.3999999999999994E-5</v>
      </c>
      <c r="CG81">
        <v>9.3999999999999994E-5</v>
      </c>
      <c r="CH81">
        <v>9.3999999999999994E-5</v>
      </c>
      <c r="CI81">
        <v>9.3999999999999994E-5</v>
      </c>
      <c r="CJ81">
        <v>9.3999999999999994E-5</v>
      </c>
      <c r="CK81">
        <v>9.3999999999999994E-5</v>
      </c>
      <c r="CL81">
        <v>9.3999999999999994E-5</v>
      </c>
      <c r="CM81">
        <v>9.3999999999999994E-5</v>
      </c>
      <c r="CN81">
        <v>9.3999999999999994E-5</v>
      </c>
      <c r="CO81">
        <v>9.3999999999999994E-5</v>
      </c>
      <c r="CP81">
        <v>9.3999999999999994E-5</v>
      </c>
      <c r="CQ81">
        <v>9.3999999999999994E-5</v>
      </c>
      <c r="CR81">
        <v>9.3999999999999994E-5</v>
      </c>
      <c r="CS81">
        <v>9.3999999999999994E-5</v>
      </c>
      <c r="CT81">
        <v>9.3999999999999994E-5</v>
      </c>
      <c r="CU81">
        <v>9.3999999999999994E-5</v>
      </c>
      <c r="CV81">
        <v>9.3999999999999994E-5</v>
      </c>
      <c r="CW81">
        <v>9.3999999999999994E-5</v>
      </c>
      <c r="CX81">
        <v>9.3999999999999994E-5</v>
      </c>
    </row>
    <row r="82" spans="1:102" x14ac:dyDescent="0.25">
      <c r="A82" t="s">
        <v>229</v>
      </c>
      <c r="B82" t="e">
        <v>#VALUE!</v>
      </c>
      <c r="C82" t="e">
        <v>#VALUE!</v>
      </c>
      <c r="D82" t="e">
        <v>#VALUE!</v>
      </c>
      <c r="E82" t="e">
        <v>#VALUE!</v>
      </c>
      <c r="F82" t="e">
        <v>#VALUE!</v>
      </c>
      <c r="G82" t="e">
        <v>#VALUE!</v>
      </c>
      <c r="H82" t="e">
        <v>#VALUE!</v>
      </c>
      <c r="I82" t="e">
        <v>#VALUE!</v>
      </c>
      <c r="J82" t="e">
        <v>#VALUE!</v>
      </c>
      <c r="K82" t="e">
        <v>#VALUE!</v>
      </c>
      <c r="L82" t="e">
        <v>#VALUE!</v>
      </c>
      <c r="M82" t="e">
        <v>#VALUE!</v>
      </c>
      <c r="N82" t="e">
        <v>#VALUE!</v>
      </c>
      <c r="O82" t="e">
        <v>#VALUE!</v>
      </c>
      <c r="P82" t="e">
        <v>#VALUE!</v>
      </c>
      <c r="Q82">
        <v>1.5E-5</v>
      </c>
      <c r="R82">
        <v>1.5E-5</v>
      </c>
      <c r="S82">
        <v>1.5E-5</v>
      </c>
      <c r="T82">
        <v>1.5E-5</v>
      </c>
      <c r="U82">
        <v>1.5E-5</v>
      </c>
      <c r="V82">
        <v>1.5E-5</v>
      </c>
      <c r="W82">
        <v>1.5E-5</v>
      </c>
      <c r="X82">
        <v>1.5E-5</v>
      </c>
      <c r="Y82">
        <v>1.5E-5</v>
      </c>
      <c r="Z82">
        <v>1.5E-5</v>
      </c>
      <c r="AA82">
        <v>1.5E-5</v>
      </c>
      <c r="AB82">
        <v>1.5E-5</v>
      </c>
      <c r="AC82">
        <v>1.5E-5</v>
      </c>
      <c r="AD82">
        <v>1.5E-5</v>
      </c>
      <c r="AE82">
        <v>1.5E-5</v>
      </c>
      <c r="AF82">
        <v>1.5E-5</v>
      </c>
      <c r="AG82">
        <v>1.5E-5</v>
      </c>
      <c r="AH82">
        <v>1.5E-5</v>
      </c>
      <c r="AI82">
        <v>1.5E-5</v>
      </c>
      <c r="AJ82">
        <v>1.5E-5</v>
      </c>
      <c r="AK82">
        <v>1.5E-5</v>
      </c>
      <c r="AL82">
        <v>1.5E-5</v>
      </c>
      <c r="AM82">
        <v>1.5E-5</v>
      </c>
      <c r="AN82">
        <v>1.5E-5</v>
      </c>
      <c r="AO82">
        <v>1.5E-5</v>
      </c>
      <c r="AP82">
        <v>4.8999999999999998E-5</v>
      </c>
      <c r="AQ82">
        <v>4.8999999999999998E-5</v>
      </c>
      <c r="AR82">
        <v>4.8999999999999998E-5</v>
      </c>
      <c r="AS82">
        <v>4.8999999999999998E-5</v>
      </c>
      <c r="AT82">
        <v>4.8999999999999998E-5</v>
      </c>
      <c r="AU82">
        <v>6.6000000000000005E-5</v>
      </c>
      <c r="AV82">
        <v>6.6000000000000005E-5</v>
      </c>
      <c r="AW82">
        <v>6.6000000000000005E-5</v>
      </c>
      <c r="AX82">
        <v>6.6000000000000005E-5</v>
      </c>
      <c r="AY82">
        <v>6.6000000000000005E-5</v>
      </c>
      <c r="AZ82">
        <v>8.6000000000000003E-5</v>
      </c>
      <c r="BA82">
        <v>8.6000000000000003E-5</v>
      </c>
      <c r="BB82">
        <v>8.6000000000000003E-5</v>
      </c>
      <c r="BC82">
        <v>8.6000000000000003E-5</v>
      </c>
      <c r="BD82">
        <v>8.6000000000000003E-5</v>
      </c>
      <c r="BE82">
        <v>9.7E-5</v>
      </c>
      <c r="BF82">
        <v>9.7E-5</v>
      </c>
      <c r="BG82">
        <v>9.7E-5</v>
      </c>
      <c r="BH82">
        <v>9.7E-5</v>
      </c>
      <c r="BI82">
        <v>9.7E-5</v>
      </c>
      <c r="BJ82">
        <v>1.07E-4</v>
      </c>
      <c r="BK82">
        <v>1.07E-4</v>
      </c>
      <c r="BL82">
        <v>1.07E-4</v>
      </c>
      <c r="BM82">
        <v>1.07E-4</v>
      </c>
      <c r="BN82">
        <v>1.07E-4</v>
      </c>
      <c r="BO82">
        <v>1.0900000000000001E-4</v>
      </c>
      <c r="BP82">
        <v>1.0900000000000001E-4</v>
      </c>
      <c r="BQ82">
        <v>1.0900000000000001E-4</v>
      </c>
      <c r="BR82">
        <v>1.0900000000000001E-4</v>
      </c>
      <c r="BS82">
        <v>1.0900000000000001E-4</v>
      </c>
      <c r="BT82">
        <v>1.13E-4</v>
      </c>
      <c r="BU82">
        <v>1.13E-4</v>
      </c>
      <c r="BV82">
        <v>1.13E-4</v>
      </c>
      <c r="BW82">
        <v>1.13E-4</v>
      </c>
      <c r="BX82">
        <v>1.13E-4</v>
      </c>
      <c r="BY82">
        <v>1.21E-4</v>
      </c>
      <c r="BZ82">
        <v>1.21E-4</v>
      </c>
      <c r="CA82">
        <v>1.21E-4</v>
      </c>
      <c r="CB82">
        <v>1.21E-4</v>
      </c>
      <c r="CC82">
        <v>1.21E-4</v>
      </c>
      <c r="CD82">
        <v>1.21E-4</v>
      </c>
      <c r="CE82">
        <v>1.21E-4</v>
      </c>
      <c r="CF82">
        <v>1.21E-4</v>
      </c>
      <c r="CG82">
        <v>1.21E-4</v>
      </c>
      <c r="CH82">
        <v>1.21E-4</v>
      </c>
      <c r="CI82">
        <v>1.21E-4</v>
      </c>
      <c r="CJ82">
        <v>1.21E-4</v>
      </c>
      <c r="CK82">
        <v>1.21E-4</v>
      </c>
      <c r="CL82">
        <v>1.21E-4</v>
      </c>
      <c r="CM82">
        <v>1.21E-4</v>
      </c>
      <c r="CN82">
        <v>1.21E-4</v>
      </c>
      <c r="CO82">
        <v>1.21E-4</v>
      </c>
      <c r="CP82">
        <v>1.21E-4</v>
      </c>
      <c r="CQ82">
        <v>1.21E-4</v>
      </c>
      <c r="CR82">
        <v>1.21E-4</v>
      </c>
      <c r="CS82">
        <v>1.21E-4</v>
      </c>
      <c r="CT82">
        <v>1.21E-4</v>
      </c>
      <c r="CU82">
        <v>1.21E-4</v>
      </c>
      <c r="CV82">
        <v>1.21E-4</v>
      </c>
      <c r="CW82">
        <v>1.21E-4</v>
      </c>
      <c r="CX82">
        <v>1.21E-4</v>
      </c>
    </row>
    <row r="83" spans="1:102" x14ac:dyDescent="0.25">
      <c r="A83" t="s">
        <v>231</v>
      </c>
      <c r="B83" t="e">
        <v>#VALUE!</v>
      </c>
      <c r="C83" t="e">
        <v>#VALUE!</v>
      </c>
      <c r="D83" t="e">
        <v>#VALUE!</v>
      </c>
      <c r="E83" t="e">
        <v>#VALUE!</v>
      </c>
      <c r="F83" t="e">
        <v>#VALUE!</v>
      </c>
      <c r="G83" t="e">
        <v>#VALUE!</v>
      </c>
      <c r="H83" t="e">
        <v>#VALUE!</v>
      </c>
      <c r="I83" t="e">
        <v>#VALUE!</v>
      </c>
      <c r="J83" t="e">
        <v>#VALUE!</v>
      </c>
      <c r="K83" t="e">
        <v>#VALUE!</v>
      </c>
      <c r="L83" t="e">
        <v>#VALUE!</v>
      </c>
      <c r="M83" t="e">
        <v>#VALUE!</v>
      </c>
      <c r="N83" t="e">
        <v>#VALUE!</v>
      </c>
      <c r="O83" t="e">
        <v>#VALUE!</v>
      </c>
      <c r="P83" t="e">
        <v>#VALUE!</v>
      </c>
      <c r="Q83">
        <v>6.9999999999999999E-6</v>
      </c>
      <c r="R83">
        <v>6.9999999999999999E-6</v>
      </c>
      <c r="S83">
        <v>6.9999999999999999E-6</v>
      </c>
      <c r="T83">
        <v>6.9999999999999999E-6</v>
      </c>
      <c r="U83">
        <v>6.9999999999999999E-6</v>
      </c>
      <c r="V83">
        <v>6.9999999999999999E-6</v>
      </c>
      <c r="W83">
        <v>6.9999999999999999E-6</v>
      </c>
      <c r="X83">
        <v>6.9999999999999999E-6</v>
      </c>
      <c r="Y83">
        <v>6.9999999999999999E-6</v>
      </c>
      <c r="Z83">
        <v>6.9999999999999999E-6</v>
      </c>
      <c r="AA83">
        <v>6.9999999999999999E-6</v>
      </c>
      <c r="AB83">
        <v>6.9999999999999999E-6</v>
      </c>
      <c r="AC83">
        <v>6.9999999999999999E-6</v>
      </c>
      <c r="AD83">
        <v>6.9999999999999999E-6</v>
      </c>
      <c r="AE83">
        <v>6.9999999999999999E-6</v>
      </c>
      <c r="AF83">
        <v>6.9999999999999999E-6</v>
      </c>
      <c r="AG83">
        <v>6.9999999999999999E-6</v>
      </c>
      <c r="AH83">
        <v>6.9999999999999999E-6</v>
      </c>
      <c r="AI83">
        <v>6.9999999999999999E-6</v>
      </c>
      <c r="AJ83">
        <v>6.9999999999999999E-6</v>
      </c>
      <c r="AK83">
        <v>6.9999999999999999E-6</v>
      </c>
      <c r="AL83">
        <v>6.9999999999999999E-6</v>
      </c>
      <c r="AM83">
        <v>6.9999999999999999E-6</v>
      </c>
      <c r="AN83">
        <v>6.9999999999999999E-6</v>
      </c>
      <c r="AO83">
        <v>6.9999999999999999E-6</v>
      </c>
      <c r="AP83">
        <v>3.4999999999999997E-5</v>
      </c>
      <c r="AQ83">
        <v>3.4999999999999997E-5</v>
      </c>
      <c r="AR83">
        <v>3.4999999999999997E-5</v>
      </c>
      <c r="AS83">
        <v>3.4999999999999997E-5</v>
      </c>
      <c r="AT83">
        <v>3.4999999999999997E-5</v>
      </c>
      <c r="AU83">
        <v>4.3999999999999999E-5</v>
      </c>
      <c r="AV83">
        <v>4.3999999999999999E-5</v>
      </c>
      <c r="AW83">
        <v>4.3999999999999999E-5</v>
      </c>
      <c r="AX83">
        <v>4.3999999999999999E-5</v>
      </c>
      <c r="AY83">
        <v>4.3999999999999999E-5</v>
      </c>
      <c r="AZ83">
        <v>5.1999999999999997E-5</v>
      </c>
      <c r="BA83">
        <v>5.1999999999999997E-5</v>
      </c>
      <c r="BB83">
        <v>5.1999999999999997E-5</v>
      </c>
      <c r="BC83">
        <v>5.1999999999999997E-5</v>
      </c>
      <c r="BD83">
        <v>5.1999999999999997E-5</v>
      </c>
      <c r="BE83">
        <v>6.0000000000000002E-5</v>
      </c>
      <c r="BF83">
        <v>6.0000000000000002E-5</v>
      </c>
      <c r="BG83">
        <v>6.0000000000000002E-5</v>
      </c>
      <c r="BH83">
        <v>6.0000000000000002E-5</v>
      </c>
      <c r="BI83">
        <v>6.0000000000000002E-5</v>
      </c>
      <c r="BJ83">
        <v>6.8999999999999997E-5</v>
      </c>
      <c r="BK83">
        <v>6.8999999999999997E-5</v>
      </c>
      <c r="BL83">
        <v>6.8999999999999997E-5</v>
      </c>
      <c r="BM83">
        <v>6.8999999999999997E-5</v>
      </c>
      <c r="BN83">
        <v>6.8999999999999997E-5</v>
      </c>
      <c r="BO83">
        <v>9.0000000000000006E-5</v>
      </c>
      <c r="BP83">
        <v>9.0000000000000006E-5</v>
      </c>
      <c r="BQ83">
        <v>9.0000000000000006E-5</v>
      </c>
      <c r="BR83">
        <v>9.0000000000000006E-5</v>
      </c>
      <c r="BS83">
        <v>9.0000000000000006E-5</v>
      </c>
      <c r="BT83">
        <v>1.18E-4</v>
      </c>
      <c r="BU83">
        <v>1.18E-4</v>
      </c>
      <c r="BV83">
        <v>1.18E-4</v>
      </c>
      <c r="BW83">
        <v>1.18E-4</v>
      </c>
      <c r="BX83">
        <v>1.18E-4</v>
      </c>
      <c r="BY83">
        <v>1.5100000000000001E-4</v>
      </c>
      <c r="BZ83">
        <v>1.5100000000000001E-4</v>
      </c>
      <c r="CA83">
        <v>1.5100000000000001E-4</v>
      </c>
      <c r="CB83">
        <v>1.5100000000000001E-4</v>
      </c>
      <c r="CC83">
        <v>1.5100000000000001E-4</v>
      </c>
      <c r="CD83">
        <v>1.5100000000000001E-4</v>
      </c>
      <c r="CE83">
        <v>1.5100000000000001E-4</v>
      </c>
      <c r="CF83">
        <v>1.5100000000000001E-4</v>
      </c>
      <c r="CG83">
        <v>1.5100000000000001E-4</v>
      </c>
      <c r="CH83">
        <v>1.5100000000000001E-4</v>
      </c>
      <c r="CI83">
        <v>1.5100000000000001E-4</v>
      </c>
      <c r="CJ83">
        <v>1.5100000000000001E-4</v>
      </c>
      <c r="CK83">
        <v>1.5100000000000001E-4</v>
      </c>
      <c r="CL83">
        <v>1.5100000000000001E-4</v>
      </c>
      <c r="CM83">
        <v>1.5100000000000001E-4</v>
      </c>
      <c r="CN83">
        <v>1.5100000000000001E-4</v>
      </c>
      <c r="CO83">
        <v>1.5100000000000001E-4</v>
      </c>
      <c r="CP83">
        <v>1.5100000000000001E-4</v>
      </c>
      <c r="CQ83">
        <v>1.5100000000000001E-4</v>
      </c>
      <c r="CR83">
        <v>1.5100000000000001E-4</v>
      </c>
      <c r="CS83">
        <v>1.5100000000000001E-4</v>
      </c>
      <c r="CT83">
        <v>1.5100000000000001E-4</v>
      </c>
      <c r="CU83">
        <v>1.5100000000000001E-4</v>
      </c>
      <c r="CV83">
        <v>1.5100000000000001E-4</v>
      </c>
      <c r="CW83">
        <v>1.5100000000000001E-4</v>
      </c>
      <c r="CX83">
        <v>1.5100000000000001E-4</v>
      </c>
    </row>
    <row r="84" spans="1:102" x14ac:dyDescent="0.25">
      <c r="A84" t="s">
        <v>233</v>
      </c>
      <c r="B84" t="e">
        <v>#VALUE!</v>
      </c>
      <c r="C84" t="e">
        <v>#VALUE!</v>
      </c>
      <c r="D84" t="e">
        <v>#VALUE!</v>
      </c>
      <c r="E84" t="e">
        <v>#VALUE!</v>
      </c>
      <c r="F84" t="e">
        <v>#VALUE!</v>
      </c>
      <c r="G84" t="e">
        <v>#VALUE!</v>
      </c>
      <c r="H84" t="e">
        <v>#VALUE!</v>
      </c>
      <c r="I84" t="e">
        <v>#VALUE!</v>
      </c>
      <c r="J84" t="e">
        <v>#VALUE!</v>
      </c>
      <c r="K84" t="e">
        <v>#VALUE!</v>
      </c>
      <c r="L84" t="e">
        <v>#VALUE!</v>
      </c>
      <c r="M84" t="e">
        <v>#VALUE!</v>
      </c>
      <c r="N84" t="e">
        <v>#VALUE!</v>
      </c>
      <c r="O84" t="e">
        <v>#VALUE!</v>
      </c>
      <c r="P84" t="e">
        <v>#VALUE!</v>
      </c>
      <c r="Q84">
        <v>5.0000000000000004E-6</v>
      </c>
      <c r="R84">
        <v>5.0000000000000004E-6</v>
      </c>
      <c r="S84">
        <v>5.0000000000000004E-6</v>
      </c>
      <c r="T84">
        <v>5.0000000000000004E-6</v>
      </c>
      <c r="U84">
        <v>5.0000000000000004E-6</v>
      </c>
      <c r="V84">
        <v>5.0000000000000004E-6</v>
      </c>
      <c r="W84">
        <v>5.0000000000000004E-6</v>
      </c>
      <c r="X84">
        <v>5.0000000000000004E-6</v>
      </c>
      <c r="Y84">
        <v>5.0000000000000004E-6</v>
      </c>
      <c r="Z84">
        <v>5.0000000000000004E-6</v>
      </c>
      <c r="AA84">
        <v>5.0000000000000004E-6</v>
      </c>
      <c r="AB84">
        <v>5.0000000000000004E-6</v>
      </c>
      <c r="AC84">
        <v>5.0000000000000004E-6</v>
      </c>
      <c r="AD84">
        <v>5.0000000000000004E-6</v>
      </c>
      <c r="AE84">
        <v>5.0000000000000004E-6</v>
      </c>
      <c r="AF84">
        <v>5.0000000000000004E-6</v>
      </c>
      <c r="AG84">
        <v>5.0000000000000004E-6</v>
      </c>
      <c r="AH84">
        <v>5.0000000000000004E-6</v>
      </c>
      <c r="AI84">
        <v>5.0000000000000004E-6</v>
      </c>
      <c r="AJ84">
        <v>5.0000000000000004E-6</v>
      </c>
      <c r="AK84">
        <v>5.0000000000000004E-6</v>
      </c>
      <c r="AL84">
        <v>5.0000000000000004E-6</v>
      </c>
      <c r="AM84">
        <v>5.0000000000000004E-6</v>
      </c>
      <c r="AN84">
        <v>5.0000000000000004E-6</v>
      </c>
      <c r="AO84">
        <v>5.0000000000000004E-6</v>
      </c>
      <c r="AP84">
        <v>2.4000000000000001E-5</v>
      </c>
      <c r="AQ84">
        <v>2.4000000000000001E-5</v>
      </c>
      <c r="AR84">
        <v>2.4000000000000001E-5</v>
      </c>
      <c r="AS84">
        <v>2.4000000000000001E-5</v>
      </c>
      <c r="AT84">
        <v>2.4000000000000001E-5</v>
      </c>
      <c r="AU84">
        <v>3.1999999999999999E-5</v>
      </c>
      <c r="AV84">
        <v>3.1999999999999999E-5</v>
      </c>
      <c r="AW84">
        <v>3.1999999999999999E-5</v>
      </c>
      <c r="AX84">
        <v>3.1999999999999999E-5</v>
      </c>
      <c r="AY84">
        <v>3.1999999999999999E-5</v>
      </c>
      <c r="AZ84">
        <v>3.8999999999999999E-5</v>
      </c>
      <c r="BA84">
        <v>3.8999999999999999E-5</v>
      </c>
      <c r="BB84">
        <v>3.8999999999999999E-5</v>
      </c>
      <c r="BC84">
        <v>3.8999999999999999E-5</v>
      </c>
      <c r="BD84">
        <v>3.8999999999999999E-5</v>
      </c>
      <c r="BE84">
        <v>4.1E-5</v>
      </c>
      <c r="BF84">
        <v>4.1E-5</v>
      </c>
      <c r="BG84">
        <v>4.1E-5</v>
      </c>
      <c r="BH84">
        <v>4.1E-5</v>
      </c>
      <c r="BI84">
        <v>4.1E-5</v>
      </c>
      <c r="BJ84">
        <v>4.1999999999999998E-5</v>
      </c>
      <c r="BK84">
        <v>4.1999999999999998E-5</v>
      </c>
      <c r="BL84">
        <v>4.1999999999999998E-5</v>
      </c>
      <c r="BM84">
        <v>4.1999999999999998E-5</v>
      </c>
      <c r="BN84">
        <v>4.1999999999999998E-5</v>
      </c>
      <c r="BO84">
        <v>4.6999999999999997E-5</v>
      </c>
      <c r="BP84">
        <v>4.6999999999999997E-5</v>
      </c>
      <c r="BQ84">
        <v>4.6999999999999997E-5</v>
      </c>
      <c r="BR84">
        <v>4.6999999999999997E-5</v>
      </c>
      <c r="BS84">
        <v>4.6999999999999997E-5</v>
      </c>
      <c r="BT84">
        <v>6.0000000000000002E-5</v>
      </c>
      <c r="BU84">
        <v>6.0000000000000002E-5</v>
      </c>
      <c r="BV84">
        <v>6.0000000000000002E-5</v>
      </c>
      <c r="BW84">
        <v>6.0000000000000002E-5</v>
      </c>
      <c r="BX84">
        <v>6.0000000000000002E-5</v>
      </c>
      <c r="BY84">
        <v>1.0399999999999999E-4</v>
      </c>
      <c r="BZ84">
        <v>1.0399999999999999E-4</v>
      </c>
      <c r="CA84">
        <v>1.0399999999999999E-4</v>
      </c>
      <c r="CB84">
        <v>1.0399999999999999E-4</v>
      </c>
      <c r="CC84">
        <v>1.0399999999999999E-4</v>
      </c>
      <c r="CD84">
        <v>1.0399999999999999E-4</v>
      </c>
      <c r="CE84">
        <v>1.0399999999999999E-4</v>
      </c>
      <c r="CF84">
        <v>1.0399999999999999E-4</v>
      </c>
      <c r="CG84">
        <v>1.0399999999999999E-4</v>
      </c>
      <c r="CH84">
        <v>1.0399999999999999E-4</v>
      </c>
      <c r="CI84">
        <v>1.0399999999999999E-4</v>
      </c>
      <c r="CJ84">
        <v>1.0399999999999999E-4</v>
      </c>
      <c r="CK84">
        <v>1.0399999999999999E-4</v>
      </c>
      <c r="CL84">
        <v>1.0399999999999999E-4</v>
      </c>
      <c r="CM84">
        <v>1.0399999999999999E-4</v>
      </c>
      <c r="CN84">
        <v>1.0399999999999999E-4</v>
      </c>
      <c r="CO84">
        <v>1.0399999999999999E-4</v>
      </c>
      <c r="CP84">
        <v>1.0399999999999999E-4</v>
      </c>
      <c r="CQ84">
        <v>1.0399999999999999E-4</v>
      </c>
      <c r="CR84">
        <v>1.0399999999999999E-4</v>
      </c>
      <c r="CS84">
        <v>1.0399999999999999E-4</v>
      </c>
      <c r="CT84">
        <v>1.0399999999999999E-4</v>
      </c>
      <c r="CU84">
        <v>1.0399999999999999E-4</v>
      </c>
      <c r="CV84">
        <v>1.0399999999999999E-4</v>
      </c>
      <c r="CW84">
        <v>1.0399999999999999E-4</v>
      </c>
      <c r="CX84">
        <v>1.0399999999999999E-4</v>
      </c>
    </row>
    <row r="85" spans="1:102" x14ac:dyDescent="0.25">
      <c r="A85" t="s">
        <v>235</v>
      </c>
      <c r="B85" t="e">
        <v>#VALUE!</v>
      </c>
      <c r="C85" t="e">
        <v>#VALUE!</v>
      </c>
      <c r="D85" t="e">
        <v>#VALUE!</v>
      </c>
      <c r="E85" t="e">
        <v>#VALUE!</v>
      </c>
      <c r="F85" t="e">
        <v>#VALUE!</v>
      </c>
      <c r="G85" t="e">
        <v>#VALUE!</v>
      </c>
      <c r="H85" t="e">
        <v>#VALUE!</v>
      </c>
      <c r="I85" t="e">
        <v>#VALUE!</v>
      </c>
      <c r="J85" t="e">
        <v>#VALUE!</v>
      </c>
      <c r="K85" t="e">
        <v>#VALUE!</v>
      </c>
      <c r="L85" t="e">
        <v>#VALUE!</v>
      </c>
      <c r="M85" t="e">
        <v>#VALUE!</v>
      </c>
      <c r="N85" t="e">
        <v>#VALUE!</v>
      </c>
      <c r="O85" t="e">
        <v>#VALUE!</v>
      </c>
      <c r="P85" t="e">
        <v>#VALUE!</v>
      </c>
      <c r="Q85">
        <v>3.6999999999999998E-5</v>
      </c>
      <c r="R85">
        <v>3.6999999999999998E-5</v>
      </c>
      <c r="S85">
        <v>3.6999999999999998E-5</v>
      </c>
      <c r="T85">
        <v>3.6999999999999998E-5</v>
      </c>
      <c r="U85">
        <v>3.6999999999999998E-5</v>
      </c>
      <c r="V85">
        <v>3.6999999999999998E-5</v>
      </c>
      <c r="W85">
        <v>3.6999999999999998E-5</v>
      </c>
      <c r="X85">
        <v>3.6999999999999998E-5</v>
      </c>
      <c r="Y85">
        <v>3.6999999999999998E-5</v>
      </c>
      <c r="Z85">
        <v>3.6999999999999998E-5</v>
      </c>
      <c r="AA85">
        <v>3.6999999999999998E-5</v>
      </c>
      <c r="AB85">
        <v>3.6999999999999998E-5</v>
      </c>
      <c r="AC85">
        <v>3.6999999999999998E-5</v>
      </c>
      <c r="AD85">
        <v>3.6999999999999998E-5</v>
      </c>
      <c r="AE85">
        <v>3.6999999999999998E-5</v>
      </c>
      <c r="AF85">
        <v>3.6999999999999998E-5</v>
      </c>
      <c r="AG85">
        <v>3.6999999999999998E-5</v>
      </c>
      <c r="AH85">
        <v>3.6999999999999998E-5</v>
      </c>
      <c r="AI85">
        <v>3.6999999999999998E-5</v>
      </c>
      <c r="AJ85">
        <v>3.6999999999999998E-5</v>
      </c>
      <c r="AK85">
        <v>3.6999999999999998E-5</v>
      </c>
      <c r="AL85">
        <v>3.6999999999999998E-5</v>
      </c>
      <c r="AM85">
        <v>3.6999999999999998E-5</v>
      </c>
      <c r="AN85">
        <v>3.6999999999999998E-5</v>
      </c>
      <c r="AO85">
        <v>3.6999999999999998E-5</v>
      </c>
      <c r="AP85">
        <v>1.84E-4</v>
      </c>
      <c r="AQ85">
        <v>1.84E-4</v>
      </c>
      <c r="AR85">
        <v>1.84E-4</v>
      </c>
      <c r="AS85">
        <v>1.84E-4</v>
      </c>
      <c r="AT85">
        <v>1.84E-4</v>
      </c>
      <c r="AU85">
        <v>2.52E-4</v>
      </c>
      <c r="AV85">
        <v>2.52E-4</v>
      </c>
      <c r="AW85">
        <v>2.52E-4</v>
      </c>
      <c r="AX85">
        <v>2.52E-4</v>
      </c>
      <c r="AY85">
        <v>2.52E-4</v>
      </c>
      <c r="AZ85">
        <v>3.0200000000000002E-4</v>
      </c>
      <c r="BA85">
        <v>3.0200000000000002E-4</v>
      </c>
      <c r="BB85">
        <v>3.0200000000000002E-4</v>
      </c>
      <c r="BC85">
        <v>3.0200000000000002E-4</v>
      </c>
      <c r="BD85">
        <v>3.0200000000000002E-4</v>
      </c>
      <c r="BE85">
        <v>3.2499999999999999E-4</v>
      </c>
      <c r="BF85">
        <v>3.2499999999999999E-4</v>
      </c>
      <c r="BG85">
        <v>3.2499999999999999E-4</v>
      </c>
      <c r="BH85">
        <v>3.2499999999999999E-4</v>
      </c>
      <c r="BI85">
        <v>3.2499999999999999E-4</v>
      </c>
      <c r="BJ85">
        <v>3.59E-4</v>
      </c>
      <c r="BK85">
        <v>3.59E-4</v>
      </c>
      <c r="BL85">
        <v>3.59E-4</v>
      </c>
      <c r="BM85">
        <v>3.59E-4</v>
      </c>
      <c r="BN85">
        <v>3.59E-4</v>
      </c>
      <c r="BO85">
        <v>4.3100000000000001E-4</v>
      </c>
      <c r="BP85">
        <v>4.3100000000000001E-4</v>
      </c>
      <c r="BQ85">
        <v>4.3100000000000001E-4</v>
      </c>
      <c r="BR85">
        <v>4.3100000000000001E-4</v>
      </c>
      <c r="BS85">
        <v>4.3100000000000001E-4</v>
      </c>
      <c r="BT85">
        <v>5.2899999999999996E-4</v>
      </c>
      <c r="BU85">
        <v>5.2899999999999996E-4</v>
      </c>
      <c r="BV85">
        <v>5.2899999999999996E-4</v>
      </c>
      <c r="BW85">
        <v>5.2899999999999996E-4</v>
      </c>
      <c r="BX85">
        <v>5.2899999999999996E-4</v>
      </c>
      <c r="BY85">
        <v>6.6600000000000003E-4</v>
      </c>
      <c r="BZ85">
        <v>6.6600000000000003E-4</v>
      </c>
      <c r="CA85">
        <v>6.6600000000000003E-4</v>
      </c>
      <c r="CB85">
        <v>6.6600000000000003E-4</v>
      </c>
      <c r="CC85">
        <v>6.6600000000000003E-4</v>
      </c>
      <c r="CD85">
        <v>6.6600000000000003E-4</v>
      </c>
      <c r="CE85">
        <v>6.6600000000000003E-4</v>
      </c>
      <c r="CF85">
        <v>6.6600000000000003E-4</v>
      </c>
      <c r="CG85">
        <v>6.6600000000000003E-4</v>
      </c>
      <c r="CH85">
        <v>6.6600000000000003E-4</v>
      </c>
      <c r="CI85">
        <v>6.6600000000000003E-4</v>
      </c>
      <c r="CJ85">
        <v>6.6600000000000003E-4</v>
      </c>
      <c r="CK85">
        <v>6.6600000000000003E-4</v>
      </c>
      <c r="CL85">
        <v>6.6600000000000003E-4</v>
      </c>
      <c r="CM85">
        <v>6.6600000000000003E-4</v>
      </c>
      <c r="CN85">
        <v>6.6600000000000003E-4</v>
      </c>
      <c r="CO85">
        <v>6.6600000000000003E-4</v>
      </c>
      <c r="CP85">
        <v>6.6600000000000003E-4</v>
      </c>
      <c r="CQ85">
        <v>6.6600000000000003E-4</v>
      </c>
      <c r="CR85">
        <v>6.6600000000000003E-4</v>
      </c>
      <c r="CS85">
        <v>6.6600000000000003E-4</v>
      </c>
      <c r="CT85">
        <v>6.6600000000000003E-4</v>
      </c>
      <c r="CU85">
        <v>6.6600000000000003E-4</v>
      </c>
      <c r="CV85">
        <v>6.6600000000000003E-4</v>
      </c>
      <c r="CW85">
        <v>6.6600000000000003E-4</v>
      </c>
      <c r="CX85">
        <v>6.6600000000000003E-4</v>
      </c>
    </row>
    <row r="86" spans="1:102" x14ac:dyDescent="0.25">
      <c r="A86" t="s">
        <v>237</v>
      </c>
      <c r="B86" t="e">
        <v>#VALUE!</v>
      </c>
      <c r="C86" t="e">
        <v>#VALUE!</v>
      </c>
      <c r="D86" t="e">
        <v>#VALUE!</v>
      </c>
      <c r="E86" t="e">
        <v>#VALUE!</v>
      </c>
      <c r="F86" t="e">
        <v>#VALUE!</v>
      </c>
      <c r="G86" t="e">
        <v>#VALUE!</v>
      </c>
      <c r="H86" t="e">
        <v>#VALUE!</v>
      </c>
      <c r="I86" t="e">
        <v>#VALUE!</v>
      </c>
      <c r="J86" t="e">
        <v>#VALUE!</v>
      </c>
      <c r="K86" t="e">
        <v>#VALUE!</v>
      </c>
      <c r="L86" t="e">
        <v>#VALUE!</v>
      </c>
      <c r="M86" t="e">
        <v>#VALUE!</v>
      </c>
      <c r="N86" t="e">
        <v>#VALUE!</v>
      </c>
      <c r="O86" t="e">
        <v>#VALUE!</v>
      </c>
      <c r="P86" t="e">
        <v>#VALUE!</v>
      </c>
      <c r="Q86">
        <v>1.5E-5</v>
      </c>
      <c r="R86">
        <v>1.5E-5</v>
      </c>
      <c r="S86">
        <v>1.5E-5</v>
      </c>
      <c r="T86">
        <v>1.5E-5</v>
      </c>
      <c r="U86">
        <v>1.5E-5</v>
      </c>
      <c r="V86">
        <v>1.5E-5</v>
      </c>
      <c r="W86">
        <v>1.5E-5</v>
      </c>
      <c r="X86">
        <v>1.5E-5</v>
      </c>
      <c r="Y86">
        <v>1.5E-5</v>
      </c>
      <c r="Z86">
        <v>1.5E-5</v>
      </c>
      <c r="AA86">
        <v>1.5E-5</v>
      </c>
      <c r="AB86">
        <v>1.5E-5</v>
      </c>
      <c r="AC86">
        <v>1.5E-5</v>
      </c>
      <c r="AD86">
        <v>1.5E-5</v>
      </c>
      <c r="AE86">
        <v>1.5E-5</v>
      </c>
      <c r="AF86">
        <v>1.5E-5</v>
      </c>
      <c r="AG86">
        <v>1.5E-5</v>
      </c>
      <c r="AH86">
        <v>1.5E-5</v>
      </c>
      <c r="AI86">
        <v>1.5E-5</v>
      </c>
      <c r="AJ86">
        <v>1.5E-5</v>
      </c>
      <c r="AK86">
        <v>1.5E-5</v>
      </c>
      <c r="AL86">
        <v>1.5E-5</v>
      </c>
      <c r="AM86">
        <v>1.5E-5</v>
      </c>
      <c r="AN86">
        <v>1.5E-5</v>
      </c>
      <c r="AO86">
        <v>1.5E-5</v>
      </c>
      <c r="AP86">
        <v>4.8999999999999998E-5</v>
      </c>
      <c r="AQ86">
        <v>4.8999999999999998E-5</v>
      </c>
      <c r="AR86">
        <v>4.8999999999999998E-5</v>
      </c>
      <c r="AS86">
        <v>4.8999999999999998E-5</v>
      </c>
      <c r="AT86">
        <v>4.8999999999999998E-5</v>
      </c>
      <c r="AU86">
        <v>6.2000000000000003E-5</v>
      </c>
      <c r="AV86">
        <v>6.2000000000000003E-5</v>
      </c>
      <c r="AW86">
        <v>6.2000000000000003E-5</v>
      </c>
      <c r="AX86">
        <v>6.2000000000000003E-5</v>
      </c>
      <c r="AY86">
        <v>6.2000000000000003E-5</v>
      </c>
      <c r="AZ86">
        <v>7.1000000000000005E-5</v>
      </c>
      <c r="BA86">
        <v>7.1000000000000005E-5</v>
      </c>
      <c r="BB86">
        <v>7.1000000000000005E-5</v>
      </c>
      <c r="BC86">
        <v>7.1000000000000005E-5</v>
      </c>
      <c r="BD86">
        <v>7.1000000000000005E-5</v>
      </c>
      <c r="BE86">
        <v>7.2999999999999999E-5</v>
      </c>
      <c r="BF86">
        <v>7.2999999999999999E-5</v>
      </c>
      <c r="BG86">
        <v>7.2999999999999999E-5</v>
      </c>
      <c r="BH86">
        <v>7.2999999999999999E-5</v>
      </c>
      <c r="BI86">
        <v>7.2999999999999999E-5</v>
      </c>
      <c r="BJ86">
        <v>6.9999999999999994E-5</v>
      </c>
      <c r="BK86">
        <v>6.9999999999999994E-5</v>
      </c>
      <c r="BL86">
        <v>6.9999999999999994E-5</v>
      </c>
      <c r="BM86">
        <v>6.9999999999999994E-5</v>
      </c>
      <c r="BN86">
        <v>6.9999999999999994E-5</v>
      </c>
      <c r="BO86">
        <v>6.8999999999999997E-5</v>
      </c>
      <c r="BP86">
        <v>6.8999999999999997E-5</v>
      </c>
      <c r="BQ86">
        <v>6.8999999999999997E-5</v>
      </c>
      <c r="BR86">
        <v>6.8999999999999997E-5</v>
      </c>
      <c r="BS86">
        <v>6.8999999999999997E-5</v>
      </c>
      <c r="BT86">
        <v>7.8999999999999996E-5</v>
      </c>
      <c r="BU86">
        <v>7.8999999999999996E-5</v>
      </c>
      <c r="BV86">
        <v>7.8999999999999996E-5</v>
      </c>
      <c r="BW86">
        <v>7.8999999999999996E-5</v>
      </c>
      <c r="BX86">
        <v>7.8999999999999996E-5</v>
      </c>
      <c r="BY86">
        <v>1.5200000000000001E-4</v>
      </c>
      <c r="BZ86">
        <v>1.5200000000000001E-4</v>
      </c>
      <c r="CA86">
        <v>1.5200000000000001E-4</v>
      </c>
      <c r="CB86">
        <v>1.5200000000000001E-4</v>
      </c>
      <c r="CC86">
        <v>1.5200000000000001E-4</v>
      </c>
      <c r="CD86">
        <v>1.5200000000000001E-4</v>
      </c>
      <c r="CE86">
        <v>1.5200000000000001E-4</v>
      </c>
      <c r="CF86">
        <v>1.5200000000000001E-4</v>
      </c>
      <c r="CG86">
        <v>1.5200000000000001E-4</v>
      </c>
      <c r="CH86">
        <v>1.5200000000000001E-4</v>
      </c>
      <c r="CI86">
        <v>1.5200000000000001E-4</v>
      </c>
      <c r="CJ86">
        <v>1.5200000000000001E-4</v>
      </c>
      <c r="CK86">
        <v>1.5200000000000001E-4</v>
      </c>
      <c r="CL86">
        <v>1.5200000000000001E-4</v>
      </c>
      <c r="CM86">
        <v>1.5200000000000001E-4</v>
      </c>
      <c r="CN86">
        <v>1.5200000000000001E-4</v>
      </c>
      <c r="CO86">
        <v>1.5200000000000001E-4</v>
      </c>
      <c r="CP86">
        <v>1.5200000000000001E-4</v>
      </c>
      <c r="CQ86">
        <v>1.5200000000000001E-4</v>
      </c>
      <c r="CR86">
        <v>1.5200000000000001E-4</v>
      </c>
      <c r="CS86">
        <v>1.5200000000000001E-4</v>
      </c>
      <c r="CT86">
        <v>1.5200000000000001E-4</v>
      </c>
      <c r="CU86">
        <v>1.5200000000000001E-4</v>
      </c>
      <c r="CV86">
        <v>1.5200000000000001E-4</v>
      </c>
      <c r="CW86">
        <v>1.5200000000000001E-4</v>
      </c>
      <c r="CX86">
        <v>1.5200000000000001E-4</v>
      </c>
    </row>
    <row r="87" spans="1:102" x14ac:dyDescent="0.25">
      <c r="A87" t="s">
        <v>239</v>
      </c>
      <c r="B87" t="e">
        <v>#VALUE!</v>
      </c>
      <c r="C87" t="e">
        <v>#VALUE!</v>
      </c>
      <c r="D87" t="e">
        <v>#VALUE!</v>
      </c>
      <c r="E87" t="e">
        <v>#VALUE!</v>
      </c>
      <c r="F87" t="e">
        <v>#VALUE!</v>
      </c>
      <c r="G87" t="e">
        <v>#VALUE!</v>
      </c>
      <c r="H87" t="e">
        <v>#VALUE!</v>
      </c>
      <c r="I87" t="e">
        <v>#VALUE!</v>
      </c>
      <c r="J87" t="e">
        <v>#VALUE!</v>
      </c>
      <c r="K87" t="e">
        <v>#VALUE!</v>
      </c>
      <c r="L87" t="e">
        <v>#VALUE!</v>
      </c>
      <c r="M87" t="e">
        <v>#VALUE!</v>
      </c>
      <c r="N87" t="e">
        <v>#VALUE!</v>
      </c>
      <c r="O87" t="e">
        <v>#VALUE!</v>
      </c>
      <c r="P87" t="e">
        <v>#VALUE!</v>
      </c>
      <c r="Q87">
        <v>9.9999999999999995E-7</v>
      </c>
      <c r="R87">
        <v>9.9999999999999995E-7</v>
      </c>
      <c r="S87">
        <v>9.9999999999999995E-7</v>
      </c>
      <c r="T87">
        <v>9.9999999999999995E-7</v>
      </c>
      <c r="U87">
        <v>9.9999999999999995E-7</v>
      </c>
      <c r="V87">
        <v>9.9999999999999995E-7</v>
      </c>
      <c r="W87">
        <v>9.9999999999999995E-7</v>
      </c>
      <c r="X87">
        <v>9.9999999999999995E-7</v>
      </c>
      <c r="Y87">
        <v>9.9999999999999995E-7</v>
      </c>
      <c r="Z87">
        <v>9.9999999999999995E-7</v>
      </c>
      <c r="AA87">
        <v>9.9999999999999995E-7</v>
      </c>
      <c r="AB87">
        <v>9.9999999999999995E-7</v>
      </c>
      <c r="AC87">
        <v>9.9999999999999995E-7</v>
      </c>
      <c r="AD87">
        <v>9.9999999999999995E-7</v>
      </c>
      <c r="AE87">
        <v>9.9999999999999995E-7</v>
      </c>
      <c r="AF87">
        <v>9.9999999999999995E-7</v>
      </c>
      <c r="AG87">
        <v>9.9999999999999995E-7</v>
      </c>
      <c r="AH87">
        <v>9.9999999999999995E-7</v>
      </c>
      <c r="AI87">
        <v>9.9999999999999995E-7</v>
      </c>
      <c r="AJ87">
        <v>9.9999999999999995E-7</v>
      </c>
      <c r="AK87">
        <v>9.9999999999999995E-7</v>
      </c>
      <c r="AL87">
        <v>9.9999999999999995E-7</v>
      </c>
      <c r="AM87">
        <v>9.9999999999999995E-7</v>
      </c>
      <c r="AN87">
        <v>9.9999999999999995E-7</v>
      </c>
      <c r="AO87">
        <v>9.9999999999999995E-7</v>
      </c>
      <c r="AP87">
        <v>1.2999999999999999E-5</v>
      </c>
      <c r="AQ87">
        <v>1.2999999999999999E-5</v>
      </c>
      <c r="AR87">
        <v>1.2999999999999999E-5</v>
      </c>
      <c r="AS87">
        <v>1.2999999999999999E-5</v>
      </c>
      <c r="AT87">
        <v>1.2999999999999999E-5</v>
      </c>
      <c r="AU87">
        <v>2.5999999999999998E-5</v>
      </c>
      <c r="AV87">
        <v>2.5999999999999998E-5</v>
      </c>
      <c r="AW87">
        <v>2.5999999999999998E-5</v>
      </c>
      <c r="AX87">
        <v>2.5999999999999998E-5</v>
      </c>
      <c r="AY87">
        <v>2.5999999999999998E-5</v>
      </c>
      <c r="AZ87">
        <v>2.3E-5</v>
      </c>
      <c r="BA87">
        <v>2.3E-5</v>
      </c>
      <c r="BB87">
        <v>2.3E-5</v>
      </c>
      <c r="BC87">
        <v>2.3E-5</v>
      </c>
      <c r="BD87">
        <v>2.3E-5</v>
      </c>
      <c r="BE87">
        <v>4.1999999999999998E-5</v>
      </c>
      <c r="BF87">
        <v>4.1999999999999998E-5</v>
      </c>
      <c r="BG87">
        <v>4.1999999999999998E-5</v>
      </c>
      <c r="BH87">
        <v>4.1999999999999998E-5</v>
      </c>
      <c r="BI87">
        <v>4.1999999999999998E-5</v>
      </c>
      <c r="BJ87">
        <v>3.4E-5</v>
      </c>
      <c r="BK87">
        <v>3.4E-5</v>
      </c>
      <c r="BL87">
        <v>3.4E-5</v>
      </c>
      <c r="BM87">
        <v>3.4E-5</v>
      </c>
      <c r="BN87">
        <v>3.4E-5</v>
      </c>
      <c r="BO87">
        <v>4.0000000000000003E-5</v>
      </c>
      <c r="BP87">
        <v>4.0000000000000003E-5</v>
      </c>
      <c r="BQ87">
        <v>4.0000000000000003E-5</v>
      </c>
      <c r="BR87">
        <v>4.0000000000000003E-5</v>
      </c>
      <c r="BS87">
        <v>4.0000000000000003E-5</v>
      </c>
      <c r="BT87">
        <v>2.6999999999999999E-5</v>
      </c>
      <c r="BU87">
        <v>2.6999999999999999E-5</v>
      </c>
      <c r="BV87">
        <v>2.6999999999999999E-5</v>
      </c>
      <c r="BW87">
        <v>2.6999999999999999E-5</v>
      </c>
      <c r="BX87">
        <v>2.6999999999999999E-5</v>
      </c>
      <c r="BY87">
        <v>7.4999999999999993E-5</v>
      </c>
      <c r="BZ87">
        <v>7.4999999999999993E-5</v>
      </c>
      <c r="CA87">
        <v>7.4999999999999993E-5</v>
      </c>
      <c r="CB87">
        <v>7.4999999999999993E-5</v>
      </c>
      <c r="CC87">
        <v>7.4999999999999993E-5</v>
      </c>
      <c r="CD87">
        <v>7.4999999999999993E-5</v>
      </c>
      <c r="CE87">
        <v>7.4999999999999993E-5</v>
      </c>
      <c r="CF87">
        <v>7.4999999999999993E-5</v>
      </c>
      <c r="CG87">
        <v>7.4999999999999993E-5</v>
      </c>
      <c r="CH87">
        <v>7.4999999999999993E-5</v>
      </c>
      <c r="CI87">
        <v>7.4999999999999993E-5</v>
      </c>
      <c r="CJ87">
        <v>7.4999999999999993E-5</v>
      </c>
      <c r="CK87">
        <v>7.4999999999999993E-5</v>
      </c>
      <c r="CL87">
        <v>7.4999999999999993E-5</v>
      </c>
      <c r="CM87">
        <v>7.4999999999999993E-5</v>
      </c>
      <c r="CN87">
        <v>7.4999999999999993E-5</v>
      </c>
      <c r="CO87">
        <v>7.4999999999999993E-5</v>
      </c>
      <c r="CP87">
        <v>7.4999999999999993E-5</v>
      </c>
      <c r="CQ87">
        <v>7.4999999999999993E-5</v>
      </c>
      <c r="CR87">
        <v>7.4999999999999993E-5</v>
      </c>
      <c r="CS87">
        <v>7.4999999999999993E-5</v>
      </c>
      <c r="CT87">
        <v>7.4999999999999993E-5</v>
      </c>
      <c r="CU87">
        <v>7.4999999999999993E-5</v>
      </c>
      <c r="CV87">
        <v>7.4999999999999993E-5</v>
      </c>
      <c r="CW87">
        <v>7.4999999999999993E-5</v>
      </c>
      <c r="CX87">
        <v>7.4999999999999993E-5</v>
      </c>
    </row>
    <row r="88" spans="1:102" x14ac:dyDescent="0.25">
      <c r="A88" t="s">
        <v>241</v>
      </c>
      <c r="B88" t="e">
        <v>#VALUE!</v>
      </c>
      <c r="C88" t="e">
        <v>#VALUE!</v>
      </c>
      <c r="D88" t="e">
        <v>#VALUE!</v>
      </c>
      <c r="E88" t="e">
        <v>#VALUE!</v>
      </c>
      <c r="F88" t="e">
        <v>#VALUE!</v>
      </c>
      <c r="G88" t="e">
        <v>#VALUE!</v>
      </c>
      <c r="H88" t="e">
        <v>#VALUE!</v>
      </c>
      <c r="I88" t="e">
        <v>#VALUE!</v>
      </c>
      <c r="J88" t="e">
        <v>#VALUE!</v>
      </c>
      <c r="K88" t="e">
        <v>#VALUE!</v>
      </c>
      <c r="L88" t="e">
        <v>#VALUE!</v>
      </c>
      <c r="M88" t="e">
        <v>#VALUE!</v>
      </c>
      <c r="N88" t="e">
        <v>#VALUE!</v>
      </c>
      <c r="O88" t="e">
        <v>#VALUE!</v>
      </c>
      <c r="P88" t="e">
        <v>#VALUE!</v>
      </c>
      <c r="Q88">
        <v>4.1999999999999998E-5</v>
      </c>
      <c r="R88">
        <v>4.1999999999999998E-5</v>
      </c>
      <c r="S88">
        <v>4.1999999999999998E-5</v>
      </c>
      <c r="T88">
        <v>4.1999999999999998E-5</v>
      </c>
      <c r="U88">
        <v>4.1999999999999998E-5</v>
      </c>
      <c r="V88">
        <v>4.1999999999999998E-5</v>
      </c>
      <c r="W88">
        <v>4.1999999999999998E-5</v>
      </c>
      <c r="X88">
        <v>4.1999999999999998E-5</v>
      </c>
      <c r="Y88">
        <v>4.1999999999999998E-5</v>
      </c>
      <c r="Z88">
        <v>4.1999999999999998E-5</v>
      </c>
      <c r="AA88">
        <v>4.1999999999999998E-5</v>
      </c>
      <c r="AB88">
        <v>4.1999999999999998E-5</v>
      </c>
      <c r="AC88">
        <v>4.1999999999999998E-5</v>
      </c>
      <c r="AD88">
        <v>4.1999999999999998E-5</v>
      </c>
      <c r="AE88">
        <v>4.1999999999999998E-5</v>
      </c>
      <c r="AF88">
        <v>4.1999999999999998E-5</v>
      </c>
      <c r="AG88">
        <v>4.1999999999999998E-5</v>
      </c>
      <c r="AH88">
        <v>4.1999999999999998E-5</v>
      </c>
      <c r="AI88">
        <v>4.1999999999999998E-5</v>
      </c>
      <c r="AJ88">
        <v>4.1999999999999998E-5</v>
      </c>
      <c r="AK88">
        <v>4.1999999999999998E-5</v>
      </c>
      <c r="AL88">
        <v>4.1999999999999998E-5</v>
      </c>
      <c r="AM88">
        <v>4.1999999999999998E-5</v>
      </c>
      <c r="AN88">
        <v>4.1999999999999998E-5</v>
      </c>
      <c r="AO88">
        <v>4.1999999999999998E-5</v>
      </c>
      <c r="AP88">
        <v>1.5699999999999999E-4</v>
      </c>
      <c r="AQ88">
        <v>1.5699999999999999E-4</v>
      </c>
      <c r="AR88">
        <v>1.5699999999999999E-4</v>
      </c>
      <c r="AS88">
        <v>1.5699999999999999E-4</v>
      </c>
      <c r="AT88">
        <v>1.5699999999999999E-4</v>
      </c>
      <c r="AU88">
        <v>1.9599999999999999E-4</v>
      </c>
      <c r="AV88">
        <v>1.9599999999999999E-4</v>
      </c>
      <c r="AW88">
        <v>1.9599999999999999E-4</v>
      </c>
      <c r="AX88">
        <v>1.9599999999999999E-4</v>
      </c>
      <c r="AY88">
        <v>1.9599999999999999E-4</v>
      </c>
      <c r="AZ88">
        <v>2.1800000000000001E-4</v>
      </c>
      <c r="BA88">
        <v>2.1800000000000001E-4</v>
      </c>
      <c r="BB88">
        <v>2.1800000000000001E-4</v>
      </c>
      <c r="BC88">
        <v>2.1800000000000001E-4</v>
      </c>
      <c r="BD88">
        <v>2.1800000000000001E-4</v>
      </c>
      <c r="BE88">
        <v>2.4600000000000002E-4</v>
      </c>
      <c r="BF88">
        <v>2.4600000000000002E-4</v>
      </c>
      <c r="BG88">
        <v>2.4600000000000002E-4</v>
      </c>
      <c r="BH88">
        <v>2.4600000000000002E-4</v>
      </c>
      <c r="BI88">
        <v>2.4600000000000002E-4</v>
      </c>
      <c r="BJ88">
        <v>3.0200000000000002E-4</v>
      </c>
      <c r="BK88">
        <v>3.0200000000000002E-4</v>
      </c>
      <c r="BL88">
        <v>3.0200000000000002E-4</v>
      </c>
      <c r="BM88">
        <v>3.0200000000000002E-4</v>
      </c>
      <c r="BN88">
        <v>3.0200000000000002E-4</v>
      </c>
      <c r="BO88">
        <v>3.5100000000000002E-4</v>
      </c>
      <c r="BP88">
        <v>3.5100000000000002E-4</v>
      </c>
      <c r="BQ88">
        <v>3.5100000000000002E-4</v>
      </c>
      <c r="BR88">
        <v>3.5100000000000002E-4</v>
      </c>
      <c r="BS88">
        <v>3.5100000000000002E-4</v>
      </c>
      <c r="BT88">
        <v>4.1100000000000002E-4</v>
      </c>
      <c r="BU88">
        <v>4.1100000000000002E-4</v>
      </c>
      <c r="BV88">
        <v>4.1100000000000002E-4</v>
      </c>
      <c r="BW88">
        <v>4.1100000000000002E-4</v>
      </c>
      <c r="BX88">
        <v>4.1100000000000002E-4</v>
      </c>
      <c r="BY88">
        <v>4.7600000000000002E-4</v>
      </c>
      <c r="BZ88">
        <v>4.7600000000000002E-4</v>
      </c>
      <c r="CA88">
        <v>4.7600000000000002E-4</v>
      </c>
      <c r="CB88">
        <v>4.7600000000000002E-4</v>
      </c>
      <c r="CC88">
        <v>4.7600000000000002E-4</v>
      </c>
      <c r="CD88">
        <v>4.7600000000000002E-4</v>
      </c>
      <c r="CE88">
        <v>4.7600000000000002E-4</v>
      </c>
      <c r="CF88">
        <v>4.7600000000000002E-4</v>
      </c>
      <c r="CG88">
        <v>4.7600000000000002E-4</v>
      </c>
      <c r="CH88">
        <v>4.7600000000000002E-4</v>
      </c>
      <c r="CI88">
        <v>4.7600000000000002E-4</v>
      </c>
      <c r="CJ88">
        <v>4.7600000000000002E-4</v>
      </c>
      <c r="CK88">
        <v>4.7600000000000002E-4</v>
      </c>
      <c r="CL88">
        <v>4.7600000000000002E-4</v>
      </c>
      <c r="CM88">
        <v>4.7600000000000002E-4</v>
      </c>
      <c r="CN88">
        <v>4.7600000000000002E-4</v>
      </c>
      <c r="CO88">
        <v>4.7600000000000002E-4</v>
      </c>
      <c r="CP88">
        <v>4.7600000000000002E-4</v>
      </c>
      <c r="CQ88">
        <v>4.7600000000000002E-4</v>
      </c>
      <c r="CR88">
        <v>4.7600000000000002E-4</v>
      </c>
      <c r="CS88">
        <v>4.7600000000000002E-4</v>
      </c>
      <c r="CT88">
        <v>4.7600000000000002E-4</v>
      </c>
      <c r="CU88">
        <v>4.7600000000000002E-4</v>
      </c>
      <c r="CV88">
        <v>4.7600000000000002E-4</v>
      </c>
      <c r="CW88">
        <v>4.7600000000000002E-4</v>
      </c>
      <c r="CX88">
        <v>4.7600000000000002E-4</v>
      </c>
    </row>
    <row r="89" spans="1:102" x14ac:dyDescent="0.25">
      <c r="A89" t="s">
        <v>243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4.0000000000000003E-5</v>
      </c>
      <c r="R89">
        <v>4.0000000000000003E-5</v>
      </c>
      <c r="S89">
        <v>4.0000000000000003E-5</v>
      </c>
      <c r="T89">
        <v>4.0000000000000003E-5</v>
      </c>
      <c r="U89">
        <v>4.0000000000000003E-5</v>
      </c>
      <c r="V89">
        <v>4.0000000000000003E-5</v>
      </c>
      <c r="W89">
        <v>4.0000000000000003E-5</v>
      </c>
      <c r="X89">
        <v>4.0000000000000003E-5</v>
      </c>
      <c r="Y89">
        <v>4.0000000000000003E-5</v>
      </c>
      <c r="Z89">
        <v>4.0000000000000003E-5</v>
      </c>
      <c r="AA89">
        <v>4.0000000000000003E-5</v>
      </c>
      <c r="AB89">
        <v>4.0000000000000003E-5</v>
      </c>
      <c r="AC89">
        <v>4.0000000000000003E-5</v>
      </c>
      <c r="AD89">
        <v>4.0000000000000003E-5</v>
      </c>
      <c r="AE89">
        <v>4.0000000000000003E-5</v>
      </c>
      <c r="AF89">
        <v>4.0000000000000003E-5</v>
      </c>
      <c r="AG89">
        <v>4.0000000000000003E-5</v>
      </c>
      <c r="AH89">
        <v>4.0000000000000003E-5</v>
      </c>
      <c r="AI89">
        <v>4.0000000000000003E-5</v>
      </c>
      <c r="AJ89">
        <v>4.0000000000000003E-5</v>
      </c>
      <c r="AK89">
        <v>4.0000000000000003E-5</v>
      </c>
      <c r="AL89">
        <v>4.0000000000000003E-5</v>
      </c>
      <c r="AM89">
        <v>4.0000000000000003E-5</v>
      </c>
      <c r="AN89">
        <v>4.0000000000000003E-5</v>
      </c>
      <c r="AO89">
        <v>4.0000000000000003E-5</v>
      </c>
      <c r="AP89">
        <v>2.3499999999999999E-4</v>
      </c>
      <c r="AQ89">
        <v>2.3499999999999999E-4</v>
      </c>
      <c r="AR89">
        <v>2.3499999999999999E-4</v>
      </c>
      <c r="AS89">
        <v>2.3499999999999999E-4</v>
      </c>
      <c r="AT89">
        <v>2.3499999999999999E-4</v>
      </c>
      <c r="AU89">
        <v>3.57E-4</v>
      </c>
      <c r="AV89">
        <v>3.57E-4</v>
      </c>
      <c r="AW89">
        <v>3.57E-4</v>
      </c>
      <c r="AX89">
        <v>3.57E-4</v>
      </c>
      <c r="AY89">
        <v>3.57E-4</v>
      </c>
      <c r="AZ89">
        <v>5.1599999999999997E-4</v>
      </c>
      <c r="BA89">
        <v>5.1599999999999997E-4</v>
      </c>
      <c r="BB89">
        <v>5.1599999999999997E-4</v>
      </c>
      <c r="BC89">
        <v>5.1599999999999997E-4</v>
      </c>
      <c r="BD89">
        <v>5.1599999999999997E-4</v>
      </c>
      <c r="BE89">
        <v>7.0600000000000003E-4</v>
      </c>
      <c r="BF89">
        <v>7.0600000000000003E-4</v>
      </c>
      <c r="BG89">
        <v>7.0600000000000003E-4</v>
      </c>
      <c r="BH89">
        <v>7.0600000000000003E-4</v>
      </c>
      <c r="BI89">
        <v>7.0600000000000003E-4</v>
      </c>
      <c r="BJ89">
        <v>8.9499999999999996E-4</v>
      </c>
      <c r="BK89">
        <v>8.9499999999999996E-4</v>
      </c>
      <c r="BL89">
        <v>8.9499999999999996E-4</v>
      </c>
      <c r="BM89">
        <v>8.9499999999999996E-4</v>
      </c>
      <c r="BN89">
        <v>8.9499999999999996E-4</v>
      </c>
      <c r="BO89">
        <v>1.0319999999999999E-3</v>
      </c>
      <c r="BP89">
        <v>1.0319999999999999E-3</v>
      </c>
      <c r="BQ89">
        <v>1.0319999999999999E-3</v>
      </c>
      <c r="BR89">
        <v>1.0319999999999999E-3</v>
      </c>
      <c r="BS89">
        <v>1.0319999999999999E-3</v>
      </c>
      <c r="BT89">
        <v>1.1329999999999999E-3</v>
      </c>
      <c r="BU89">
        <v>1.1329999999999999E-3</v>
      </c>
      <c r="BV89">
        <v>1.1329999999999999E-3</v>
      </c>
      <c r="BW89">
        <v>1.1329999999999999E-3</v>
      </c>
      <c r="BX89">
        <v>1.1329999999999999E-3</v>
      </c>
      <c r="BY89">
        <v>1.1850000000000001E-3</v>
      </c>
      <c r="BZ89">
        <v>1.1850000000000001E-3</v>
      </c>
      <c r="CA89">
        <v>1.1850000000000001E-3</v>
      </c>
      <c r="CB89">
        <v>1.1850000000000001E-3</v>
      </c>
      <c r="CC89">
        <v>1.1850000000000001E-3</v>
      </c>
      <c r="CD89">
        <v>1.1850000000000001E-3</v>
      </c>
      <c r="CE89">
        <v>1.1850000000000001E-3</v>
      </c>
      <c r="CF89">
        <v>1.1850000000000001E-3</v>
      </c>
      <c r="CG89">
        <v>1.1850000000000001E-3</v>
      </c>
      <c r="CH89">
        <v>1.1850000000000001E-3</v>
      </c>
      <c r="CI89">
        <v>1.1850000000000001E-3</v>
      </c>
      <c r="CJ89">
        <v>1.1850000000000001E-3</v>
      </c>
      <c r="CK89">
        <v>1.1850000000000001E-3</v>
      </c>
      <c r="CL89">
        <v>1.1850000000000001E-3</v>
      </c>
      <c r="CM89">
        <v>1.1850000000000001E-3</v>
      </c>
      <c r="CN89">
        <v>1.1850000000000001E-3</v>
      </c>
      <c r="CO89">
        <v>1.1850000000000001E-3</v>
      </c>
      <c r="CP89">
        <v>1.1850000000000001E-3</v>
      </c>
      <c r="CQ89">
        <v>1.1850000000000001E-3</v>
      </c>
      <c r="CR89">
        <v>1.1850000000000001E-3</v>
      </c>
      <c r="CS89">
        <v>1.1850000000000001E-3</v>
      </c>
      <c r="CT89">
        <v>1.1850000000000001E-3</v>
      </c>
      <c r="CU89">
        <v>1.1850000000000001E-3</v>
      </c>
      <c r="CV89">
        <v>1.1850000000000001E-3</v>
      </c>
      <c r="CW89">
        <v>1.1850000000000001E-3</v>
      </c>
      <c r="CX89">
        <v>1.1850000000000001E-3</v>
      </c>
    </row>
    <row r="90" spans="1:102" x14ac:dyDescent="0.25">
      <c r="A90" t="s">
        <v>245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1.2999999999999999E-5</v>
      </c>
      <c r="R90">
        <v>1.2999999999999999E-5</v>
      </c>
      <c r="S90">
        <v>1.2999999999999999E-5</v>
      </c>
      <c r="T90">
        <v>1.2999999999999999E-5</v>
      </c>
      <c r="U90">
        <v>1.2999999999999999E-5</v>
      </c>
      <c r="V90">
        <v>1.2999999999999999E-5</v>
      </c>
      <c r="W90">
        <v>1.2999999999999999E-5</v>
      </c>
      <c r="X90">
        <v>1.2999999999999999E-5</v>
      </c>
      <c r="Y90">
        <v>1.2999999999999999E-5</v>
      </c>
      <c r="Z90">
        <v>1.2999999999999999E-5</v>
      </c>
      <c r="AA90">
        <v>1.2999999999999999E-5</v>
      </c>
      <c r="AB90">
        <v>1.2999999999999999E-5</v>
      </c>
      <c r="AC90">
        <v>1.2999999999999999E-5</v>
      </c>
      <c r="AD90">
        <v>1.2999999999999999E-5</v>
      </c>
      <c r="AE90">
        <v>1.2999999999999999E-5</v>
      </c>
      <c r="AF90">
        <v>1.2999999999999999E-5</v>
      </c>
      <c r="AG90">
        <v>1.2999999999999999E-5</v>
      </c>
      <c r="AH90">
        <v>1.2999999999999999E-5</v>
      </c>
      <c r="AI90">
        <v>1.2999999999999999E-5</v>
      </c>
      <c r="AJ90">
        <v>1.2999999999999999E-5</v>
      </c>
      <c r="AK90">
        <v>1.2999999999999999E-5</v>
      </c>
      <c r="AL90">
        <v>1.2999999999999999E-5</v>
      </c>
      <c r="AM90">
        <v>1.2999999999999999E-5</v>
      </c>
      <c r="AN90">
        <v>1.2999999999999999E-5</v>
      </c>
      <c r="AO90">
        <v>1.2999999999999999E-5</v>
      </c>
      <c r="AP90">
        <v>5.1E-5</v>
      </c>
      <c r="AQ90">
        <v>5.1E-5</v>
      </c>
      <c r="AR90">
        <v>5.1E-5</v>
      </c>
      <c r="AS90">
        <v>5.1E-5</v>
      </c>
      <c r="AT90">
        <v>5.1E-5</v>
      </c>
      <c r="AU90">
        <v>6.9999999999999994E-5</v>
      </c>
      <c r="AV90">
        <v>6.9999999999999994E-5</v>
      </c>
      <c r="AW90">
        <v>6.9999999999999994E-5</v>
      </c>
      <c r="AX90">
        <v>6.9999999999999994E-5</v>
      </c>
      <c r="AY90">
        <v>6.9999999999999994E-5</v>
      </c>
      <c r="AZ90">
        <v>8.7999999999999998E-5</v>
      </c>
      <c r="BA90">
        <v>8.7999999999999998E-5</v>
      </c>
      <c r="BB90">
        <v>8.7999999999999998E-5</v>
      </c>
      <c r="BC90">
        <v>8.7999999999999998E-5</v>
      </c>
      <c r="BD90">
        <v>8.7999999999999998E-5</v>
      </c>
      <c r="BE90">
        <v>9.7E-5</v>
      </c>
      <c r="BF90">
        <v>9.7E-5</v>
      </c>
      <c r="BG90">
        <v>9.7E-5</v>
      </c>
      <c r="BH90">
        <v>9.7E-5</v>
      </c>
      <c r="BI90">
        <v>9.7E-5</v>
      </c>
      <c r="BJ90">
        <v>1.06E-4</v>
      </c>
      <c r="BK90">
        <v>1.06E-4</v>
      </c>
      <c r="BL90">
        <v>1.06E-4</v>
      </c>
      <c r="BM90">
        <v>1.06E-4</v>
      </c>
      <c r="BN90">
        <v>1.06E-4</v>
      </c>
      <c r="BO90">
        <v>1.2E-4</v>
      </c>
      <c r="BP90">
        <v>1.2E-4</v>
      </c>
      <c r="BQ90">
        <v>1.2E-4</v>
      </c>
      <c r="BR90">
        <v>1.2E-4</v>
      </c>
      <c r="BS90">
        <v>1.2E-4</v>
      </c>
      <c r="BT90">
        <v>1.4300000000000001E-4</v>
      </c>
      <c r="BU90">
        <v>1.4300000000000001E-4</v>
      </c>
      <c r="BV90">
        <v>1.4300000000000001E-4</v>
      </c>
      <c r="BW90">
        <v>1.4300000000000001E-4</v>
      </c>
      <c r="BX90">
        <v>1.4300000000000001E-4</v>
      </c>
      <c r="BY90">
        <v>2.2100000000000001E-4</v>
      </c>
      <c r="BZ90">
        <v>2.2100000000000001E-4</v>
      </c>
      <c r="CA90">
        <v>2.2100000000000001E-4</v>
      </c>
      <c r="CB90">
        <v>2.2100000000000001E-4</v>
      </c>
      <c r="CC90">
        <v>2.2100000000000001E-4</v>
      </c>
      <c r="CD90">
        <v>2.2100000000000001E-4</v>
      </c>
      <c r="CE90">
        <v>2.2100000000000001E-4</v>
      </c>
      <c r="CF90">
        <v>2.2100000000000001E-4</v>
      </c>
      <c r="CG90">
        <v>2.2100000000000001E-4</v>
      </c>
      <c r="CH90">
        <v>2.2100000000000001E-4</v>
      </c>
      <c r="CI90">
        <v>2.2100000000000001E-4</v>
      </c>
      <c r="CJ90">
        <v>2.2100000000000001E-4</v>
      </c>
      <c r="CK90">
        <v>2.2100000000000001E-4</v>
      </c>
      <c r="CL90">
        <v>2.2100000000000001E-4</v>
      </c>
      <c r="CM90">
        <v>2.2100000000000001E-4</v>
      </c>
      <c r="CN90">
        <v>2.2100000000000001E-4</v>
      </c>
      <c r="CO90">
        <v>2.2100000000000001E-4</v>
      </c>
      <c r="CP90">
        <v>2.2100000000000001E-4</v>
      </c>
      <c r="CQ90">
        <v>2.2100000000000001E-4</v>
      </c>
      <c r="CR90">
        <v>2.2100000000000001E-4</v>
      </c>
      <c r="CS90">
        <v>2.2100000000000001E-4</v>
      </c>
      <c r="CT90">
        <v>2.2100000000000001E-4</v>
      </c>
      <c r="CU90">
        <v>2.2100000000000001E-4</v>
      </c>
      <c r="CV90">
        <v>2.2100000000000001E-4</v>
      </c>
      <c r="CW90">
        <v>2.2100000000000001E-4</v>
      </c>
      <c r="CX90">
        <v>2.2100000000000001E-4</v>
      </c>
    </row>
    <row r="91" spans="1:102" x14ac:dyDescent="0.25">
      <c r="A91" t="s">
        <v>247</v>
      </c>
      <c r="B91" t="e">
        <v>#VALUE!</v>
      </c>
      <c r="C91" t="e">
        <v>#VALUE!</v>
      </c>
      <c r="D91" t="e">
        <v>#VALUE!</v>
      </c>
      <c r="E91" t="e">
        <v>#VALUE!</v>
      </c>
      <c r="F91" t="e">
        <v>#VALUE!</v>
      </c>
      <c r="G91" t="e">
        <v>#VALUE!</v>
      </c>
      <c r="H91" t="e">
        <v>#VALUE!</v>
      </c>
      <c r="I91" t="e">
        <v>#VALUE!</v>
      </c>
      <c r="J91" t="e">
        <v>#VALUE!</v>
      </c>
      <c r="K91" t="e">
        <v>#VALUE!</v>
      </c>
      <c r="L91" t="e">
        <v>#VALUE!</v>
      </c>
      <c r="M91" t="e">
        <v>#VALUE!</v>
      </c>
      <c r="N91" t="e">
        <v>#VALUE!</v>
      </c>
      <c r="O91" t="e">
        <v>#VALUE!</v>
      </c>
      <c r="P91" t="e">
        <v>#VALUE!</v>
      </c>
      <c r="Q91">
        <v>3.6000000000000001E-5</v>
      </c>
      <c r="R91">
        <v>3.6000000000000001E-5</v>
      </c>
      <c r="S91">
        <v>3.6000000000000001E-5</v>
      </c>
      <c r="T91">
        <v>3.6000000000000001E-5</v>
      </c>
      <c r="U91">
        <v>3.6000000000000001E-5</v>
      </c>
      <c r="V91">
        <v>3.6000000000000001E-5</v>
      </c>
      <c r="W91">
        <v>3.6000000000000001E-5</v>
      </c>
      <c r="X91">
        <v>3.6000000000000001E-5</v>
      </c>
      <c r="Y91">
        <v>3.6000000000000001E-5</v>
      </c>
      <c r="Z91">
        <v>3.6000000000000001E-5</v>
      </c>
      <c r="AA91">
        <v>3.6000000000000001E-5</v>
      </c>
      <c r="AB91">
        <v>3.6000000000000001E-5</v>
      </c>
      <c r="AC91">
        <v>3.6000000000000001E-5</v>
      </c>
      <c r="AD91">
        <v>3.6000000000000001E-5</v>
      </c>
      <c r="AE91">
        <v>3.6000000000000001E-5</v>
      </c>
      <c r="AF91">
        <v>3.6000000000000001E-5</v>
      </c>
      <c r="AG91">
        <v>3.6000000000000001E-5</v>
      </c>
      <c r="AH91">
        <v>3.6000000000000001E-5</v>
      </c>
      <c r="AI91">
        <v>3.6000000000000001E-5</v>
      </c>
      <c r="AJ91">
        <v>3.6000000000000001E-5</v>
      </c>
      <c r="AK91">
        <v>3.6000000000000001E-5</v>
      </c>
      <c r="AL91">
        <v>3.6000000000000001E-5</v>
      </c>
      <c r="AM91">
        <v>3.6000000000000001E-5</v>
      </c>
      <c r="AN91">
        <v>3.6000000000000001E-5</v>
      </c>
      <c r="AO91">
        <v>3.6000000000000001E-5</v>
      </c>
      <c r="AP91">
        <v>1.73E-4</v>
      </c>
      <c r="AQ91">
        <v>1.73E-4</v>
      </c>
      <c r="AR91">
        <v>1.73E-4</v>
      </c>
      <c r="AS91">
        <v>1.73E-4</v>
      </c>
      <c r="AT91">
        <v>1.73E-4</v>
      </c>
      <c r="AU91">
        <v>2.0799999999999999E-4</v>
      </c>
      <c r="AV91">
        <v>2.0799999999999999E-4</v>
      </c>
      <c r="AW91">
        <v>2.0799999999999999E-4</v>
      </c>
      <c r="AX91">
        <v>2.0799999999999999E-4</v>
      </c>
      <c r="AY91">
        <v>2.0799999999999999E-4</v>
      </c>
      <c r="AZ91">
        <v>2.13E-4</v>
      </c>
      <c r="BA91">
        <v>2.13E-4</v>
      </c>
      <c r="BB91">
        <v>2.13E-4</v>
      </c>
      <c r="BC91">
        <v>2.13E-4</v>
      </c>
      <c r="BD91">
        <v>2.13E-4</v>
      </c>
      <c r="BE91">
        <v>1.85E-4</v>
      </c>
      <c r="BF91">
        <v>1.85E-4</v>
      </c>
      <c r="BG91">
        <v>1.85E-4</v>
      </c>
      <c r="BH91">
        <v>1.85E-4</v>
      </c>
      <c r="BI91">
        <v>1.85E-4</v>
      </c>
      <c r="BJ91">
        <v>1.5899999999999999E-4</v>
      </c>
      <c r="BK91">
        <v>1.5899999999999999E-4</v>
      </c>
      <c r="BL91">
        <v>1.5899999999999999E-4</v>
      </c>
      <c r="BM91">
        <v>1.5899999999999999E-4</v>
      </c>
      <c r="BN91">
        <v>1.5899999999999999E-4</v>
      </c>
      <c r="BO91">
        <v>1.5799999999999999E-4</v>
      </c>
      <c r="BP91">
        <v>1.5799999999999999E-4</v>
      </c>
      <c r="BQ91">
        <v>1.5799999999999999E-4</v>
      </c>
      <c r="BR91">
        <v>1.5799999999999999E-4</v>
      </c>
      <c r="BS91">
        <v>1.5799999999999999E-4</v>
      </c>
      <c r="BT91">
        <v>1.7799999999999999E-4</v>
      </c>
      <c r="BU91">
        <v>1.7799999999999999E-4</v>
      </c>
      <c r="BV91">
        <v>1.7799999999999999E-4</v>
      </c>
      <c r="BW91">
        <v>1.7799999999999999E-4</v>
      </c>
      <c r="BX91">
        <v>1.7799999999999999E-4</v>
      </c>
      <c r="BY91">
        <v>1.27E-4</v>
      </c>
      <c r="BZ91">
        <v>1.27E-4</v>
      </c>
      <c r="CA91">
        <v>1.27E-4</v>
      </c>
      <c r="CB91">
        <v>1.27E-4</v>
      </c>
      <c r="CC91">
        <v>1.27E-4</v>
      </c>
      <c r="CD91">
        <v>1.27E-4</v>
      </c>
      <c r="CE91">
        <v>1.27E-4</v>
      </c>
      <c r="CF91">
        <v>1.27E-4</v>
      </c>
      <c r="CG91">
        <v>1.27E-4</v>
      </c>
      <c r="CH91">
        <v>1.27E-4</v>
      </c>
      <c r="CI91">
        <v>1.27E-4</v>
      </c>
      <c r="CJ91">
        <v>1.27E-4</v>
      </c>
      <c r="CK91">
        <v>1.27E-4</v>
      </c>
      <c r="CL91">
        <v>1.27E-4</v>
      </c>
      <c r="CM91">
        <v>1.27E-4</v>
      </c>
      <c r="CN91">
        <v>1.27E-4</v>
      </c>
      <c r="CO91">
        <v>1.27E-4</v>
      </c>
      <c r="CP91">
        <v>1.27E-4</v>
      </c>
      <c r="CQ91">
        <v>1.27E-4</v>
      </c>
      <c r="CR91">
        <v>1.27E-4</v>
      </c>
      <c r="CS91">
        <v>1.27E-4</v>
      </c>
      <c r="CT91">
        <v>1.27E-4</v>
      </c>
      <c r="CU91">
        <v>1.27E-4</v>
      </c>
      <c r="CV91">
        <v>1.27E-4</v>
      </c>
      <c r="CW91">
        <v>1.27E-4</v>
      </c>
      <c r="CX91">
        <v>1.27E-4</v>
      </c>
    </row>
    <row r="92" spans="1:102" x14ac:dyDescent="0.25">
      <c r="A92" t="s">
        <v>249</v>
      </c>
      <c r="B92" t="e">
        <v>#VALUE!</v>
      </c>
      <c r="C92" t="e">
        <v>#VALUE!</v>
      </c>
      <c r="D92" t="e">
        <v>#VALUE!</v>
      </c>
      <c r="E92" t="e">
        <v>#VALUE!</v>
      </c>
      <c r="F92" t="e">
        <v>#VALUE!</v>
      </c>
      <c r="G92" t="e">
        <v>#VALUE!</v>
      </c>
      <c r="H92" t="e">
        <v>#VALUE!</v>
      </c>
      <c r="I92" t="e">
        <v>#VALUE!</v>
      </c>
      <c r="J92" t="e">
        <v>#VALUE!</v>
      </c>
      <c r="K92" t="e">
        <v>#VALUE!</v>
      </c>
      <c r="L92" t="e">
        <v>#VALUE!</v>
      </c>
      <c r="M92" t="e">
        <v>#VALUE!</v>
      </c>
      <c r="N92" t="e">
        <v>#VALUE!</v>
      </c>
      <c r="O92" t="e">
        <v>#VALUE!</v>
      </c>
      <c r="P92" t="e">
        <v>#VALUE!</v>
      </c>
      <c r="Q92">
        <v>9.0000000000000002E-6</v>
      </c>
      <c r="R92">
        <v>9.0000000000000002E-6</v>
      </c>
      <c r="S92">
        <v>9.0000000000000002E-6</v>
      </c>
      <c r="T92">
        <v>9.0000000000000002E-6</v>
      </c>
      <c r="U92">
        <v>9.0000000000000002E-6</v>
      </c>
      <c r="V92">
        <v>9.0000000000000002E-6</v>
      </c>
      <c r="W92">
        <v>9.0000000000000002E-6</v>
      </c>
      <c r="X92">
        <v>9.0000000000000002E-6</v>
      </c>
      <c r="Y92">
        <v>9.0000000000000002E-6</v>
      </c>
      <c r="Z92">
        <v>9.0000000000000002E-6</v>
      </c>
      <c r="AA92">
        <v>9.0000000000000002E-6</v>
      </c>
      <c r="AB92">
        <v>9.0000000000000002E-6</v>
      </c>
      <c r="AC92">
        <v>9.0000000000000002E-6</v>
      </c>
      <c r="AD92">
        <v>9.0000000000000002E-6</v>
      </c>
      <c r="AE92">
        <v>9.0000000000000002E-6</v>
      </c>
      <c r="AF92">
        <v>9.0000000000000002E-6</v>
      </c>
      <c r="AG92">
        <v>9.0000000000000002E-6</v>
      </c>
      <c r="AH92">
        <v>9.0000000000000002E-6</v>
      </c>
      <c r="AI92">
        <v>9.0000000000000002E-6</v>
      </c>
      <c r="AJ92">
        <v>9.0000000000000002E-6</v>
      </c>
      <c r="AK92">
        <v>9.0000000000000002E-6</v>
      </c>
      <c r="AL92">
        <v>9.0000000000000002E-6</v>
      </c>
      <c r="AM92">
        <v>9.0000000000000002E-6</v>
      </c>
      <c r="AN92">
        <v>9.0000000000000002E-6</v>
      </c>
      <c r="AO92">
        <v>9.0000000000000002E-6</v>
      </c>
      <c r="AP92">
        <v>3.1999999999999999E-5</v>
      </c>
      <c r="AQ92">
        <v>3.1999999999999999E-5</v>
      </c>
      <c r="AR92">
        <v>3.1999999999999999E-5</v>
      </c>
      <c r="AS92">
        <v>3.1999999999999999E-5</v>
      </c>
      <c r="AT92">
        <v>3.1999999999999999E-5</v>
      </c>
      <c r="AU92">
        <v>4.3999999999999999E-5</v>
      </c>
      <c r="AV92">
        <v>4.3999999999999999E-5</v>
      </c>
      <c r="AW92">
        <v>4.3999999999999999E-5</v>
      </c>
      <c r="AX92">
        <v>4.3999999999999999E-5</v>
      </c>
      <c r="AY92">
        <v>4.3999999999999999E-5</v>
      </c>
      <c r="AZ92">
        <v>5.1999999999999997E-5</v>
      </c>
      <c r="BA92">
        <v>5.1999999999999997E-5</v>
      </c>
      <c r="BB92">
        <v>5.1999999999999997E-5</v>
      </c>
      <c r="BC92">
        <v>5.1999999999999997E-5</v>
      </c>
      <c r="BD92">
        <v>5.1999999999999997E-5</v>
      </c>
      <c r="BE92">
        <v>5.3999999999999998E-5</v>
      </c>
      <c r="BF92">
        <v>5.3999999999999998E-5</v>
      </c>
      <c r="BG92">
        <v>5.3999999999999998E-5</v>
      </c>
      <c r="BH92">
        <v>5.3999999999999998E-5</v>
      </c>
      <c r="BI92">
        <v>5.3999999999999998E-5</v>
      </c>
      <c r="BJ92">
        <v>5.8999999999999998E-5</v>
      </c>
      <c r="BK92">
        <v>5.8999999999999998E-5</v>
      </c>
      <c r="BL92">
        <v>5.8999999999999998E-5</v>
      </c>
      <c r="BM92">
        <v>5.8999999999999998E-5</v>
      </c>
      <c r="BN92">
        <v>5.8999999999999998E-5</v>
      </c>
      <c r="BO92">
        <v>7.8999999999999996E-5</v>
      </c>
      <c r="BP92">
        <v>7.8999999999999996E-5</v>
      </c>
      <c r="BQ92">
        <v>7.8999999999999996E-5</v>
      </c>
      <c r="BR92">
        <v>7.8999999999999996E-5</v>
      </c>
      <c r="BS92">
        <v>7.8999999999999996E-5</v>
      </c>
      <c r="BT92">
        <v>1.22E-4</v>
      </c>
      <c r="BU92">
        <v>1.22E-4</v>
      </c>
      <c r="BV92">
        <v>1.22E-4</v>
      </c>
      <c r="BW92">
        <v>1.22E-4</v>
      </c>
      <c r="BX92">
        <v>1.22E-4</v>
      </c>
      <c r="BY92">
        <v>2.8699999999999998E-4</v>
      </c>
      <c r="BZ92">
        <v>2.8699999999999998E-4</v>
      </c>
      <c r="CA92">
        <v>2.8699999999999998E-4</v>
      </c>
      <c r="CB92">
        <v>2.8699999999999998E-4</v>
      </c>
      <c r="CC92">
        <v>2.8699999999999998E-4</v>
      </c>
      <c r="CD92">
        <v>2.8699999999999998E-4</v>
      </c>
      <c r="CE92">
        <v>2.8699999999999998E-4</v>
      </c>
      <c r="CF92">
        <v>2.8699999999999998E-4</v>
      </c>
      <c r="CG92">
        <v>2.8699999999999998E-4</v>
      </c>
      <c r="CH92">
        <v>2.8699999999999998E-4</v>
      </c>
      <c r="CI92">
        <v>2.8699999999999998E-4</v>
      </c>
      <c r="CJ92">
        <v>2.8699999999999998E-4</v>
      </c>
      <c r="CK92">
        <v>2.8699999999999998E-4</v>
      </c>
      <c r="CL92">
        <v>2.8699999999999998E-4</v>
      </c>
      <c r="CM92">
        <v>2.8699999999999998E-4</v>
      </c>
      <c r="CN92">
        <v>2.8699999999999998E-4</v>
      </c>
      <c r="CO92">
        <v>2.8699999999999998E-4</v>
      </c>
      <c r="CP92">
        <v>2.8699999999999998E-4</v>
      </c>
      <c r="CQ92">
        <v>2.8699999999999998E-4</v>
      </c>
      <c r="CR92">
        <v>2.8699999999999998E-4</v>
      </c>
      <c r="CS92">
        <v>2.8699999999999998E-4</v>
      </c>
      <c r="CT92">
        <v>2.8699999999999998E-4</v>
      </c>
      <c r="CU92">
        <v>2.8699999999999998E-4</v>
      </c>
      <c r="CV92">
        <v>2.8699999999999998E-4</v>
      </c>
      <c r="CW92">
        <v>2.8699999999999998E-4</v>
      </c>
      <c r="CX92">
        <v>2.8699999999999998E-4</v>
      </c>
    </row>
    <row r="93" spans="1:102" x14ac:dyDescent="0.25">
      <c r="A93" t="s">
        <v>251</v>
      </c>
      <c r="B93" t="e">
        <v>#VALUE!</v>
      </c>
      <c r="C93" t="e">
        <v>#VALUE!</v>
      </c>
      <c r="D93" t="e">
        <v>#VALUE!</v>
      </c>
      <c r="E93" t="e">
        <v>#VALUE!</v>
      </c>
      <c r="F93" t="e">
        <v>#VALUE!</v>
      </c>
      <c r="G93" t="e">
        <v>#VALUE!</v>
      </c>
      <c r="H93" t="e">
        <v>#VALUE!</v>
      </c>
      <c r="I93" t="e">
        <v>#VALUE!</v>
      </c>
      <c r="J93" t="e">
        <v>#VALUE!</v>
      </c>
      <c r="K93" t="e">
        <v>#VALUE!</v>
      </c>
      <c r="L93" t="e">
        <v>#VALUE!</v>
      </c>
      <c r="M93" t="e">
        <v>#VALUE!</v>
      </c>
      <c r="N93" t="e">
        <v>#VALUE!</v>
      </c>
      <c r="O93" t="e">
        <v>#VALUE!</v>
      </c>
      <c r="P93" t="e">
        <v>#VALUE!</v>
      </c>
      <c r="Q93">
        <v>6.0000000000000002E-6</v>
      </c>
      <c r="R93">
        <v>6.0000000000000002E-6</v>
      </c>
      <c r="S93">
        <v>6.0000000000000002E-6</v>
      </c>
      <c r="T93">
        <v>6.0000000000000002E-6</v>
      </c>
      <c r="U93">
        <v>6.0000000000000002E-6</v>
      </c>
      <c r="V93">
        <v>6.0000000000000002E-6</v>
      </c>
      <c r="W93">
        <v>6.0000000000000002E-6</v>
      </c>
      <c r="X93">
        <v>6.0000000000000002E-6</v>
      </c>
      <c r="Y93">
        <v>6.0000000000000002E-6</v>
      </c>
      <c r="Z93">
        <v>6.0000000000000002E-6</v>
      </c>
      <c r="AA93">
        <v>6.0000000000000002E-6</v>
      </c>
      <c r="AB93">
        <v>6.0000000000000002E-6</v>
      </c>
      <c r="AC93">
        <v>6.0000000000000002E-6</v>
      </c>
      <c r="AD93">
        <v>6.0000000000000002E-6</v>
      </c>
      <c r="AE93">
        <v>6.0000000000000002E-6</v>
      </c>
      <c r="AF93">
        <v>6.0000000000000002E-6</v>
      </c>
      <c r="AG93">
        <v>6.0000000000000002E-6</v>
      </c>
      <c r="AH93">
        <v>6.0000000000000002E-6</v>
      </c>
      <c r="AI93">
        <v>6.0000000000000002E-6</v>
      </c>
      <c r="AJ93">
        <v>6.0000000000000002E-6</v>
      </c>
      <c r="AK93">
        <v>6.0000000000000002E-6</v>
      </c>
      <c r="AL93">
        <v>6.0000000000000002E-6</v>
      </c>
      <c r="AM93">
        <v>6.0000000000000002E-6</v>
      </c>
      <c r="AN93">
        <v>6.0000000000000002E-6</v>
      </c>
      <c r="AO93">
        <v>6.0000000000000002E-6</v>
      </c>
      <c r="AP93">
        <v>1.2E-5</v>
      </c>
      <c r="AQ93">
        <v>1.2E-5</v>
      </c>
      <c r="AR93">
        <v>1.2E-5</v>
      </c>
      <c r="AS93">
        <v>1.2E-5</v>
      </c>
      <c r="AT93">
        <v>1.2E-5</v>
      </c>
      <c r="AU93" t="e">
        <v>#VALUE!</v>
      </c>
      <c r="AV93" t="e">
        <v>#VALUE!</v>
      </c>
      <c r="AW93" t="e">
        <v>#VALUE!</v>
      </c>
      <c r="AX93" t="e">
        <v>#VALUE!</v>
      </c>
      <c r="AY93" t="e">
        <v>#VALUE!</v>
      </c>
      <c r="AZ93">
        <v>5.0000000000000002E-5</v>
      </c>
      <c r="BA93">
        <v>5.0000000000000002E-5</v>
      </c>
      <c r="BB93">
        <v>5.0000000000000002E-5</v>
      </c>
      <c r="BC93">
        <v>5.0000000000000002E-5</v>
      </c>
      <c r="BD93">
        <v>5.0000000000000002E-5</v>
      </c>
      <c r="BE93">
        <v>8.0000000000000007E-5</v>
      </c>
      <c r="BF93">
        <v>8.0000000000000007E-5</v>
      </c>
      <c r="BG93">
        <v>8.0000000000000007E-5</v>
      </c>
      <c r="BH93">
        <v>8.0000000000000007E-5</v>
      </c>
      <c r="BI93">
        <v>8.0000000000000007E-5</v>
      </c>
      <c r="BJ93" t="e">
        <v>#VALUE!</v>
      </c>
      <c r="BK93" t="e">
        <v>#VALUE!</v>
      </c>
      <c r="BL93" t="e">
        <v>#VALUE!</v>
      </c>
      <c r="BM93" t="e">
        <v>#VALUE!</v>
      </c>
      <c r="BN93" t="e">
        <v>#VALUE!</v>
      </c>
      <c r="BO93">
        <v>3.1799999999999998E-4</v>
      </c>
      <c r="BP93">
        <v>3.1799999999999998E-4</v>
      </c>
      <c r="BQ93">
        <v>3.1799999999999998E-4</v>
      </c>
      <c r="BR93">
        <v>3.1799999999999998E-4</v>
      </c>
      <c r="BS93">
        <v>3.1799999999999998E-4</v>
      </c>
      <c r="BT93">
        <v>1.2799999999999999E-4</v>
      </c>
      <c r="BU93">
        <v>1.2799999999999999E-4</v>
      </c>
      <c r="BV93">
        <v>1.2799999999999999E-4</v>
      </c>
      <c r="BW93">
        <v>1.2799999999999999E-4</v>
      </c>
      <c r="BX93">
        <v>1.2799999999999999E-4</v>
      </c>
      <c r="BY93" t="e">
        <v>#VALUE!</v>
      </c>
      <c r="BZ93" t="e">
        <v>#VALUE!</v>
      </c>
      <c r="CA93" t="e">
        <v>#VALUE!</v>
      </c>
      <c r="CB93" t="e">
        <v>#VALUE!</v>
      </c>
      <c r="CC93" t="e">
        <v>#VALUE!</v>
      </c>
      <c r="CD93" t="e">
        <v>#VALUE!</v>
      </c>
      <c r="CE93" t="e">
        <v>#VALUE!</v>
      </c>
      <c r="CF93" t="e">
        <v>#VALUE!</v>
      </c>
      <c r="CG93" t="e">
        <v>#VALUE!</v>
      </c>
      <c r="CH93" t="e">
        <v>#VALUE!</v>
      </c>
      <c r="CI93" t="e">
        <v>#VALUE!</v>
      </c>
      <c r="CJ93" t="e">
        <v>#VALUE!</v>
      </c>
      <c r="CK93" t="e">
        <v>#VALUE!</v>
      </c>
      <c r="CL93" t="e">
        <v>#VALUE!</v>
      </c>
      <c r="CM93" t="e">
        <v>#VALUE!</v>
      </c>
      <c r="CN93" t="e">
        <v>#VALUE!</v>
      </c>
      <c r="CO93" t="e">
        <v>#VALUE!</v>
      </c>
      <c r="CP93" t="e">
        <v>#VALUE!</v>
      </c>
      <c r="CQ93" t="e">
        <v>#VALUE!</v>
      </c>
      <c r="CR93" t="e">
        <v>#VALUE!</v>
      </c>
      <c r="CS93" t="e">
        <v>#VALUE!</v>
      </c>
      <c r="CT93" t="e">
        <v>#VALUE!</v>
      </c>
      <c r="CU93" t="e">
        <v>#VALUE!</v>
      </c>
      <c r="CV93" t="e">
        <v>#VALUE!</v>
      </c>
      <c r="CW93" t="e">
        <v>#VALUE!</v>
      </c>
      <c r="CX93" t="e">
        <v>#VALUE!</v>
      </c>
    </row>
    <row r="94" spans="1:102" x14ac:dyDescent="0.25">
      <c r="A94" t="s">
        <v>253</v>
      </c>
      <c r="B94" t="e">
        <v>#VALUE!</v>
      </c>
      <c r="C94" t="e">
        <v>#VALUE!</v>
      </c>
      <c r="D94" t="e">
        <v>#VALUE!</v>
      </c>
      <c r="E94" t="e">
        <v>#VALUE!</v>
      </c>
      <c r="F94" t="e">
        <v>#VALUE!</v>
      </c>
      <c r="G94" t="e">
        <v>#VALUE!</v>
      </c>
      <c r="H94" t="e">
        <v>#VALUE!</v>
      </c>
      <c r="I94" t="e">
        <v>#VALUE!</v>
      </c>
      <c r="J94" t="e">
        <v>#VALUE!</v>
      </c>
      <c r="K94" t="e">
        <v>#VALUE!</v>
      </c>
      <c r="L94" t="e">
        <v>#VALUE!</v>
      </c>
      <c r="M94" t="e">
        <v>#VALUE!</v>
      </c>
      <c r="N94" t="e">
        <v>#VALUE!</v>
      </c>
      <c r="O94" t="e">
        <v>#VALUE!</v>
      </c>
      <c r="P94" t="e">
        <v>#VALUE!</v>
      </c>
      <c r="Q94">
        <v>3.8000000000000002E-5</v>
      </c>
      <c r="R94">
        <v>3.8000000000000002E-5</v>
      </c>
      <c r="S94">
        <v>3.8000000000000002E-5</v>
      </c>
      <c r="T94">
        <v>3.8000000000000002E-5</v>
      </c>
      <c r="U94">
        <v>3.8000000000000002E-5</v>
      </c>
      <c r="V94">
        <v>3.8000000000000002E-5</v>
      </c>
      <c r="W94">
        <v>3.8000000000000002E-5</v>
      </c>
      <c r="X94">
        <v>3.8000000000000002E-5</v>
      </c>
      <c r="Y94">
        <v>3.8000000000000002E-5</v>
      </c>
      <c r="Z94">
        <v>3.8000000000000002E-5</v>
      </c>
      <c r="AA94">
        <v>3.8000000000000002E-5</v>
      </c>
      <c r="AB94">
        <v>3.8000000000000002E-5</v>
      </c>
      <c r="AC94">
        <v>3.8000000000000002E-5</v>
      </c>
      <c r="AD94">
        <v>3.8000000000000002E-5</v>
      </c>
      <c r="AE94">
        <v>3.8000000000000002E-5</v>
      </c>
      <c r="AF94">
        <v>3.8000000000000002E-5</v>
      </c>
      <c r="AG94">
        <v>3.8000000000000002E-5</v>
      </c>
      <c r="AH94">
        <v>3.8000000000000002E-5</v>
      </c>
      <c r="AI94">
        <v>3.8000000000000002E-5</v>
      </c>
      <c r="AJ94">
        <v>3.8000000000000002E-5</v>
      </c>
      <c r="AK94">
        <v>3.8000000000000002E-5</v>
      </c>
      <c r="AL94">
        <v>3.8000000000000002E-5</v>
      </c>
      <c r="AM94">
        <v>3.8000000000000002E-5</v>
      </c>
      <c r="AN94">
        <v>3.8000000000000002E-5</v>
      </c>
      <c r="AO94">
        <v>3.8000000000000002E-5</v>
      </c>
      <c r="AP94">
        <v>1.92E-4</v>
      </c>
      <c r="AQ94">
        <v>1.92E-4</v>
      </c>
      <c r="AR94">
        <v>1.92E-4</v>
      </c>
      <c r="AS94">
        <v>1.92E-4</v>
      </c>
      <c r="AT94">
        <v>1.92E-4</v>
      </c>
      <c r="AU94">
        <v>2.52E-4</v>
      </c>
      <c r="AV94">
        <v>2.52E-4</v>
      </c>
      <c r="AW94">
        <v>2.52E-4</v>
      </c>
      <c r="AX94">
        <v>2.52E-4</v>
      </c>
      <c r="AY94">
        <v>2.52E-4</v>
      </c>
      <c r="AZ94">
        <v>2.8699999999999998E-4</v>
      </c>
      <c r="BA94">
        <v>2.8699999999999998E-4</v>
      </c>
      <c r="BB94">
        <v>2.8699999999999998E-4</v>
      </c>
      <c r="BC94">
        <v>2.8699999999999998E-4</v>
      </c>
      <c r="BD94">
        <v>2.8699999999999998E-4</v>
      </c>
      <c r="BE94">
        <v>3.21E-4</v>
      </c>
      <c r="BF94">
        <v>3.21E-4</v>
      </c>
      <c r="BG94">
        <v>3.21E-4</v>
      </c>
      <c r="BH94">
        <v>3.21E-4</v>
      </c>
      <c r="BI94">
        <v>3.21E-4</v>
      </c>
      <c r="BJ94">
        <v>3.6000000000000002E-4</v>
      </c>
      <c r="BK94">
        <v>3.6000000000000002E-4</v>
      </c>
      <c r="BL94">
        <v>3.6000000000000002E-4</v>
      </c>
      <c r="BM94">
        <v>3.6000000000000002E-4</v>
      </c>
      <c r="BN94">
        <v>3.6000000000000002E-4</v>
      </c>
      <c r="BO94">
        <v>3.88E-4</v>
      </c>
      <c r="BP94">
        <v>3.88E-4</v>
      </c>
      <c r="BQ94">
        <v>3.88E-4</v>
      </c>
      <c r="BR94">
        <v>3.88E-4</v>
      </c>
      <c r="BS94">
        <v>3.88E-4</v>
      </c>
      <c r="BT94">
        <v>4.28E-4</v>
      </c>
      <c r="BU94">
        <v>4.28E-4</v>
      </c>
      <c r="BV94">
        <v>4.28E-4</v>
      </c>
      <c r="BW94">
        <v>4.28E-4</v>
      </c>
      <c r="BX94">
        <v>4.28E-4</v>
      </c>
      <c r="BY94">
        <v>4.8700000000000002E-4</v>
      </c>
      <c r="BZ94">
        <v>4.8700000000000002E-4</v>
      </c>
      <c r="CA94">
        <v>4.8700000000000002E-4</v>
      </c>
      <c r="CB94">
        <v>4.8700000000000002E-4</v>
      </c>
      <c r="CC94">
        <v>4.8700000000000002E-4</v>
      </c>
      <c r="CD94">
        <v>4.8700000000000002E-4</v>
      </c>
      <c r="CE94">
        <v>4.8700000000000002E-4</v>
      </c>
      <c r="CF94">
        <v>4.8700000000000002E-4</v>
      </c>
      <c r="CG94">
        <v>4.8700000000000002E-4</v>
      </c>
      <c r="CH94">
        <v>4.8700000000000002E-4</v>
      </c>
      <c r="CI94">
        <v>4.8700000000000002E-4</v>
      </c>
      <c r="CJ94">
        <v>4.8700000000000002E-4</v>
      </c>
      <c r="CK94">
        <v>4.8700000000000002E-4</v>
      </c>
      <c r="CL94">
        <v>4.8700000000000002E-4</v>
      </c>
      <c r="CM94">
        <v>4.8700000000000002E-4</v>
      </c>
      <c r="CN94">
        <v>4.8700000000000002E-4</v>
      </c>
      <c r="CO94">
        <v>4.8700000000000002E-4</v>
      </c>
      <c r="CP94">
        <v>4.8700000000000002E-4</v>
      </c>
      <c r="CQ94">
        <v>4.8700000000000002E-4</v>
      </c>
      <c r="CR94">
        <v>4.8700000000000002E-4</v>
      </c>
      <c r="CS94">
        <v>4.8700000000000002E-4</v>
      </c>
      <c r="CT94">
        <v>4.8700000000000002E-4</v>
      </c>
      <c r="CU94">
        <v>4.8700000000000002E-4</v>
      </c>
      <c r="CV94">
        <v>4.8700000000000002E-4</v>
      </c>
      <c r="CW94">
        <v>4.8700000000000002E-4</v>
      </c>
      <c r="CX94">
        <v>4.8700000000000002E-4</v>
      </c>
    </row>
    <row r="95" spans="1:102" x14ac:dyDescent="0.25">
      <c r="A95" t="s">
        <v>255</v>
      </c>
      <c r="B95" t="e">
        <v>#VALUE!</v>
      </c>
      <c r="C95" t="e">
        <v>#VALUE!</v>
      </c>
      <c r="D95" t="e">
        <v>#VALUE!</v>
      </c>
      <c r="E95" t="e">
        <v>#VALUE!</v>
      </c>
      <c r="F95" t="e">
        <v>#VALUE!</v>
      </c>
      <c r="G95" t="e">
        <v>#VALUE!</v>
      </c>
      <c r="H95" t="e">
        <v>#VALUE!</v>
      </c>
      <c r="I95" t="e">
        <v>#VALUE!</v>
      </c>
      <c r="J95" t="e">
        <v>#VALUE!</v>
      </c>
      <c r="K95" t="e">
        <v>#VALUE!</v>
      </c>
      <c r="L95" t="e">
        <v>#VALUE!</v>
      </c>
      <c r="M95" t="e">
        <v>#VALUE!</v>
      </c>
      <c r="N95" t="e">
        <v>#VALUE!</v>
      </c>
      <c r="O95" t="e">
        <v>#VALUE!</v>
      </c>
      <c r="P95" t="e">
        <v>#VALUE!</v>
      </c>
      <c r="Q95">
        <v>1.2E-5</v>
      </c>
      <c r="R95">
        <v>1.2E-5</v>
      </c>
      <c r="S95">
        <v>1.2E-5</v>
      </c>
      <c r="T95">
        <v>1.2E-5</v>
      </c>
      <c r="U95">
        <v>1.2E-5</v>
      </c>
      <c r="V95">
        <v>1.2E-5</v>
      </c>
      <c r="W95">
        <v>1.2E-5</v>
      </c>
      <c r="X95">
        <v>1.2E-5</v>
      </c>
      <c r="Y95">
        <v>1.2E-5</v>
      </c>
      <c r="Z95">
        <v>1.2E-5</v>
      </c>
      <c r="AA95">
        <v>1.2E-5</v>
      </c>
      <c r="AB95">
        <v>1.2E-5</v>
      </c>
      <c r="AC95">
        <v>1.2E-5</v>
      </c>
      <c r="AD95">
        <v>1.2E-5</v>
      </c>
      <c r="AE95">
        <v>1.2E-5</v>
      </c>
      <c r="AF95">
        <v>1.2E-5</v>
      </c>
      <c r="AG95">
        <v>1.2E-5</v>
      </c>
      <c r="AH95">
        <v>1.2E-5</v>
      </c>
      <c r="AI95">
        <v>1.2E-5</v>
      </c>
      <c r="AJ95">
        <v>1.2E-5</v>
      </c>
      <c r="AK95">
        <v>1.2E-5</v>
      </c>
      <c r="AL95">
        <v>1.2E-5</v>
      </c>
      <c r="AM95">
        <v>1.2E-5</v>
      </c>
      <c r="AN95">
        <v>1.2E-5</v>
      </c>
      <c r="AO95">
        <v>1.2E-5</v>
      </c>
      <c r="AP95">
        <v>9.6000000000000002E-5</v>
      </c>
      <c r="AQ95">
        <v>9.6000000000000002E-5</v>
      </c>
      <c r="AR95">
        <v>9.6000000000000002E-5</v>
      </c>
      <c r="AS95">
        <v>9.6000000000000002E-5</v>
      </c>
      <c r="AT95">
        <v>9.6000000000000002E-5</v>
      </c>
      <c r="AU95">
        <v>1.4200000000000001E-4</v>
      </c>
      <c r="AV95">
        <v>1.4200000000000001E-4</v>
      </c>
      <c r="AW95">
        <v>1.4200000000000001E-4</v>
      </c>
      <c r="AX95">
        <v>1.4200000000000001E-4</v>
      </c>
      <c r="AY95">
        <v>1.4200000000000001E-4</v>
      </c>
      <c r="AZ95">
        <v>1.9799999999999999E-4</v>
      </c>
      <c r="BA95">
        <v>1.9799999999999999E-4</v>
      </c>
      <c r="BB95">
        <v>1.9799999999999999E-4</v>
      </c>
      <c r="BC95">
        <v>1.9799999999999999E-4</v>
      </c>
      <c r="BD95">
        <v>1.9799999999999999E-4</v>
      </c>
      <c r="BE95">
        <v>2.3900000000000001E-4</v>
      </c>
      <c r="BF95">
        <v>2.3900000000000001E-4</v>
      </c>
      <c r="BG95">
        <v>2.3900000000000001E-4</v>
      </c>
      <c r="BH95">
        <v>2.3900000000000001E-4</v>
      </c>
      <c r="BI95">
        <v>2.3900000000000001E-4</v>
      </c>
      <c r="BJ95">
        <v>2.7900000000000001E-4</v>
      </c>
      <c r="BK95">
        <v>2.7900000000000001E-4</v>
      </c>
      <c r="BL95">
        <v>2.7900000000000001E-4</v>
      </c>
      <c r="BM95">
        <v>2.7900000000000001E-4</v>
      </c>
      <c r="BN95">
        <v>2.7900000000000001E-4</v>
      </c>
      <c r="BO95">
        <v>3.1799999999999998E-4</v>
      </c>
      <c r="BP95">
        <v>3.1799999999999998E-4</v>
      </c>
      <c r="BQ95">
        <v>3.1799999999999998E-4</v>
      </c>
      <c r="BR95">
        <v>3.1799999999999998E-4</v>
      </c>
      <c r="BS95">
        <v>3.1799999999999998E-4</v>
      </c>
      <c r="BT95">
        <v>3.5599999999999998E-4</v>
      </c>
      <c r="BU95">
        <v>3.5599999999999998E-4</v>
      </c>
      <c r="BV95">
        <v>3.5599999999999998E-4</v>
      </c>
      <c r="BW95">
        <v>3.5599999999999998E-4</v>
      </c>
      <c r="BX95">
        <v>3.5599999999999998E-4</v>
      </c>
      <c r="BY95">
        <v>3.9399999999999998E-4</v>
      </c>
      <c r="BZ95">
        <v>3.9399999999999998E-4</v>
      </c>
      <c r="CA95">
        <v>3.9399999999999998E-4</v>
      </c>
      <c r="CB95">
        <v>3.9399999999999998E-4</v>
      </c>
      <c r="CC95">
        <v>3.9399999999999998E-4</v>
      </c>
      <c r="CD95">
        <v>3.9399999999999998E-4</v>
      </c>
      <c r="CE95">
        <v>3.9399999999999998E-4</v>
      </c>
      <c r="CF95">
        <v>3.9399999999999998E-4</v>
      </c>
      <c r="CG95">
        <v>3.9399999999999998E-4</v>
      </c>
      <c r="CH95">
        <v>3.9399999999999998E-4</v>
      </c>
      <c r="CI95">
        <v>3.9399999999999998E-4</v>
      </c>
      <c r="CJ95">
        <v>3.9399999999999998E-4</v>
      </c>
      <c r="CK95">
        <v>3.9399999999999998E-4</v>
      </c>
      <c r="CL95">
        <v>3.9399999999999998E-4</v>
      </c>
      <c r="CM95">
        <v>3.9399999999999998E-4</v>
      </c>
      <c r="CN95">
        <v>3.9399999999999998E-4</v>
      </c>
      <c r="CO95">
        <v>3.9399999999999998E-4</v>
      </c>
      <c r="CP95">
        <v>3.9399999999999998E-4</v>
      </c>
      <c r="CQ95">
        <v>3.9399999999999998E-4</v>
      </c>
      <c r="CR95">
        <v>3.9399999999999998E-4</v>
      </c>
      <c r="CS95">
        <v>3.9399999999999998E-4</v>
      </c>
      <c r="CT95">
        <v>3.9399999999999998E-4</v>
      </c>
      <c r="CU95">
        <v>3.9399999999999998E-4</v>
      </c>
      <c r="CV95">
        <v>3.9399999999999998E-4</v>
      </c>
      <c r="CW95">
        <v>3.9399999999999998E-4</v>
      </c>
      <c r="CX95">
        <v>3.9399999999999998E-4</v>
      </c>
    </row>
    <row r="96" spans="1:102" x14ac:dyDescent="0.25">
      <c r="A96" t="s">
        <v>257</v>
      </c>
      <c r="B96" t="e">
        <v>#VALUE!</v>
      </c>
      <c r="C96" t="e">
        <v>#VALUE!</v>
      </c>
      <c r="D96" t="e">
        <v>#VALUE!</v>
      </c>
      <c r="E96" t="e">
        <v>#VALUE!</v>
      </c>
      <c r="F96" t="e">
        <v>#VALUE!</v>
      </c>
      <c r="G96" t="e">
        <v>#VALUE!</v>
      </c>
      <c r="H96" t="e">
        <v>#VALUE!</v>
      </c>
      <c r="I96" t="e">
        <v>#VALUE!</v>
      </c>
      <c r="J96" t="e">
        <v>#VALUE!</v>
      </c>
      <c r="K96" t="e">
        <v>#VALUE!</v>
      </c>
      <c r="L96" t="e">
        <v>#VALUE!</v>
      </c>
      <c r="M96" t="e">
        <v>#VALUE!</v>
      </c>
      <c r="N96" t="e">
        <v>#VALUE!</v>
      </c>
      <c r="O96" t="e">
        <v>#VALUE!</v>
      </c>
      <c r="P96" t="e">
        <v>#VALUE!</v>
      </c>
      <c r="Q96">
        <v>3.1000000000000001E-5</v>
      </c>
      <c r="R96">
        <v>3.1000000000000001E-5</v>
      </c>
      <c r="S96">
        <v>3.1000000000000001E-5</v>
      </c>
      <c r="T96">
        <v>3.1000000000000001E-5</v>
      </c>
      <c r="U96">
        <v>3.1000000000000001E-5</v>
      </c>
      <c r="V96">
        <v>3.1000000000000001E-5</v>
      </c>
      <c r="W96">
        <v>3.1000000000000001E-5</v>
      </c>
      <c r="X96">
        <v>3.1000000000000001E-5</v>
      </c>
      <c r="Y96">
        <v>3.1000000000000001E-5</v>
      </c>
      <c r="Z96">
        <v>3.1000000000000001E-5</v>
      </c>
      <c r="AA96">
        <v>3.1000000000000001E-5</v>
      </c>
      <c r="AB96">
        <v>3.1000000000000001E-5</v>
      </c>
      <c r="AC96">
        <v>3.1000000000000001E-5</v>
      </c>
      <c r="AD96">
        <v>3.1000000000000001E-5</v>
      </c>
      <c r="AE96">
        <v>3.1000000000000001E-5</v>
      </c>
      <c r="AF96">
        <v>3.1000000000000001E-5</v>
      </c>
      <c r="AG96">
        <v>3.1000000000000001E-5</v>
      </c>
      <c r="AH96">
        <v>3.1000000000000001E-5</v>
      </c>
      <c r="AI96">
        <v>3.1000000000000001E-5</v>
      </c>
      <c r="AJ96">
        <v>3.1000000000000001E-5</v>
      </c>
      <c r="AK96">
        <v>3.1000000000000001E-5</v>
      </c>
      <c r="AL96">
        <v>3.1000000000000001E-5</v>
      </c>
      <c r="AM96">
        <v>3.1000000000000001E-5</v>
      </c>
      <c r="AN96">
        <v>3.1000000000000001E-5</v>
      </c>
      <c r="AO96">
        <v>3.1000000000000001E-5</v>
      </c>
      <c r="AP96">
        <v>1.05E-4</v>
      </c>
      <c r="AQ96">
        <v>1.05E-4</v>
      </c>
      <c r="AR96">
        <v>1.05E-4</v>
      </c>
      <c r="AS96">
        <v>1.05E-4</v>
      </c>
      <c r="AT96">
        <v>1.05E-4</v>
      </c>
      <c r="AU96">
        <v>1.3300000000000001E-4</v>
      </c>
      <c r="AV96">
        <v>1.3300000000000001E-4</v>
      </c>
      <c r="AW96">
        <v>1.3300000000000001E-4</v>
      </c>
      <c r="AX96">
        <v>1.3300000000000001E-4</v>
      </c>
      <c r="AY96">
        <v>1.3300000000000001E-4</v>
      </c>
      <c r="AZ96">
        <v>1.5200000000000001E-4</v>
      </c>
      <c r="BA96">
        <v>1.5200000000000001E-4</v>
      </c>
      <c r="BB96">
        <v>1.5200000000000001E-4</v>
      </c>
      <c r="BC96">
        <v>1.5200000000000001E-4</v>
      </c>
      <c r="BD96">
        <v>1.5200000000000001E-4</v>
      </c>
      <c r="BE96">
        <v>1.6000000000000001E-4</v>
      </c>
      <c r="BF96">
        <v>1.6000000000000001E-4</v>
      </c>
      <c r="BG96">
        <v>1.6000000000000001E-4</v>
      </c>
      <c r="BH96">
        <v>1.6000000000000001E-4</v>
      </c>
      <c r="BI96">
        <v>1.6000000000000001E-4</v>
      </c>
      <c r="BJ96">
        <v>1.74E-4</v>
      </c>
      <c r="BK96">
        <v>1.74E-4</v>
      </c>
      <c r="BL96">
        <v>1.74E-4</v>
      </c>
      <c r="BM96">
        <v>1.74E-4</v>
      </c>
      <c r="BN96">
        <v>1.74E-4</v>
      </c>
      <c r="BO96">
        <v>1.93E-4</v>
      </c>
      <c r="BP96">
        <v>1.93E-4</v>
      </c>
      <c r="BQ96">
        <v>1.93E-4</v>
      </c>
      <c r="BR96">
        <v>1.93E-4</v>
      </c>
      <c r="BS96">
        <v>1.93E-4</v>
      </c>
      <c r="BT96">
        <v>2.1900000000000001E-4</v>
      </c>
      <c r="BU96">
        <v>2.1900000000000001E-4</v>
      </c>
      <c r="BV96">
        <v>2.1900000000000001E-4</v>
      </c>
      <c r="BW96">
        <v>2.1900000000000001E-4</v>
      </c>
      <c r="BX96">
        <v>2.1900000000000001E-4</v>
      </c>
      <c r="BY96">
        <v>2.8699999999999998E-4</v>
      </c>
      <c r="BZ96">
        <v>2.8699999999999998E-4</v>
      </c>
      <c r="CA96">
        <v>2.8699999999999998E-4</v>
      </c>
      <c r="CB96">
        <v>2.8699999999999998E-4</v>
      </c>
      <c r="CC96">
        <v>2.8699999999999998E-4</v>
      </c>
      <c r="CD96">
        <v>2.8699999999999998E-4</v>
      </c>
      <c r="CE96">
        <v>2.8699999999999998E-4</v>
      </c>
      <c r="CF96">
        <v>2.8699999999999998E-4</v>
      </c>
      <c r="CG96">
        <v>2.8699999999999998E-4</v>
      </c>
      <c r="CH96">
        <v>2.8699999999999998E-4</v>
      </c>
      <c r="CI96">
        <v>2.8699999999999998E-4</v>
      </c>
      <c r="CJ96">
        <v>2.8699999999999998E-4</v>
      </c>
      <c r="CK96">
        <v>2.8699999999999998E-4</v>
      </c>
      <c r="CL96">
        <v>2.8699999999999998E-4</v>
      </c>
      <c r="CM96">
        <v>2.8699999999999998E-4</v>
      </c>
      <c r="CN96">
        <v>2.8699999999999998E-4</v>
      </c>
      <c r="CO96">
        <v>2.8699999999999998E-4</v>
      </c>
      <c r="CP96">
        <v>2.8699999999999998E-4</v>
      </c>
      <c r="CQ96">
        <v>2.8699999999999998E-4</v>
      </c>
      <c r="CR96">
        <v>2.8699999999999998E-4</v>
      </c>
      <c r="CS96">
        <v>2.8699999999999998E-4</v>
      </c>
      <c r="CT96">
        <v>2.8699999999999998E-4</v>
      </c>
      <c r="CU96">
        <v>2.8699999999999998E-4</v>
      </c>
      <c r="CV96">
        <v>2.8699999999999998E-4</v>
      </c>
      <c r="CW96">
        <v>2.8699999999999998E-4</v>
      </c>
      <c r="CX96">
        <v>2.8699999999999998E-4</v>
      </c>
    </row>
    <row r="97" spans="1:102" x14ac:dyDescent="0.25">
      <c r="A97" t="s">
        <v>259</v>
      </c>
      <c r="B97" t="e">
        <v>#VALUE!</v>
      </c>
      <c r="C97" t="e">
        <v>#VALUE!</v>
      </c>
      <c r="D97" t="e">
        <v>#VALUE!</v>
      </c>
      <c r="E97" t="e">
        <v>#VALUE!</v>
      </c>
      <c r="F97" t="e">
        <v>#VALUE!</v>
      </c>
      <c r="G97" t="e">
        <v>#VALUE!</v>
      </c>
      <c r="H97" t="e">
        <v>#VALUE!</v>
      </c>
      <c r="I97" t="e">
        <v>#VALUE!</v>
      </c>
      <c r="J97" t="e">
        <v>#VALUE!</v>
      </c>
      <c r="K97" t="e">
        <v>#VALUE!</v>
      </c>
      <c r="L97" t="e">
        <v>#VALUE!</v>
      </c>
      <c r="M97" t="e">
        <v>#VALUE!</v>
      </c>
      <c r="N97" t="e">
        <v>#VALUE!</v>
      </c>
      <c r="O97" t="e">
        <v>#VALUE!</v>
      </c>
      <c r="P97" t="e">
        <v>#VALUE!</v>
      </c>
      <c r="Q97">
        <v>1.9999999999999999E-6</v>
      </c>
      <c r="R97">
        <v>1.9999999999999999E-6</v>
      </c>
      <c r="S97">
        <v>1.9999999999999999E-6</v>
      </c>
      <c r="T97">
        <v>1.9999999999999999E-6</v>
      </c>
      <c r="U97">
        <v>1.9999999999999999E-6</v>
      </c>
      <c r="V97">
        <v>1.9999999999999999E-6</v>
      </c>
      <c r="W97">
        <v>1.9999999999999999E-6</v>
      </c>
      <c r="X97">
        <v>1.9999999999999999E-6</v>
      </c>
      <c r="Y97">
        <v>1.9999999999999999E-6</v>
      </c>
      <c r="Z97">
        <v>1.9999999999999999E-6</v>
      </c>
      <c r="AA97">
        <v>1.9999999999999999E-6</v>
      </c>
      <c r="AB97">
        <v>1.9999999999999999E-6</v>
      </c>
      <c r="AC97">
        <v>1.9999999999999999E-6</v>
      </c>
      <c r="AD97">
        <v>1.9999999999999999E-6</v>
      </c>
      <c r="AE97">
        <v>1.9999999999999999E-6</v>
      </c>
      <c r="AF97">
        <v>1.9999999999999999E-6</v>
      </c>
      <c r="AG97">
        <v>1.9999999999999999E-6</v>
      </c>
      <c r="AH97">
        <v>1.9999999999999999E-6</v>
      </c>
      <c r="AI97">
        <v>1.9999999999999999E-6</v>
      </c>
      <c r="AJ97">
        <v>1.9999999999999999E-6</v>
      </c>
      <c r="AK97">
        <v>1.9999999999999999E-6</v>
      </c>
      <c r="AL97">
        <v>1.9999999999999999E-6</v>
      </c>
      <c r="AM97">
        <v>1.9999999999999999E-6</v>
      </c>
      <c r="AN97">
        <v>1.9999999999999999E-6</v>
      </c>
      <c r="AO97">
        <v>1.9999999999999999E-6</v>
      </c>
      <c r="AP97">
        <v>1.2999999999999999E-5</v>
      </c>
      <c r="AQ97">
        <v>1.2999999999999999E-5</v>
      </c>
      <c r="AR97">
        <v>1.2999999999999999E-5</v>
      </c>
      <c r="AS97">
        <v>1.2999999999999999E-5</v>
      </c>
      <c r="AT97">
        <v>1.2999999999999999E-5</v>
      </c>
      <c r="AU97">
        <v>2.8E-5</v>
      </c>
      <c r="AV97">
        <v>2.8E-5</v>
      </c>
      <c r="AW97">
        <v>2.8E-5</v>
      </c>
      <c r="AX97">
        <v>2.8E-5</v>
      </c>
      <c r="AY97">
        <v>2.8E-5</v>
      </c>
      <c r="AZ97">
        <v>4.0000000000000003E-5</v>
      </c>
      <c r="BA97">
        <v>4.0000000000000003E-5</v>
      </c>
      <c r="BB97">
        <v>4.0000000000000003E-5</v>
      </c>
      <c r="BC97">
        <v>4.0000000000000003E-5</v>
      </c>
      <c r="BD97">
        <v>4.0000000000000003E-5</v>
      </c>
      <c r="BE97">
        <v>5.5999999999999999E-5</v>
      </c>
      <c r="BF97">
        <v>5.5999999999999999E-5</v>
      </c>
      <c r="BG97">
        <v>5.5999999999999999E-5</v>
      </c>
      <c r="BH97">
        <v>5.5999999999999999E-5</v>
      </c>
      <c r="BI97">
        <v>5.5999999999999999E-5</v>
      </c>
      <c r="BJ97">
        <v>6.3E-5</v>
      </c>
      <c r="BK97">
        <v>6.3E-5</v>
      </c>
      <c r="BL97">
        <v>6.3E-5</v>
      </c>
      <c r="BM97">
        <v>6.3E-5</v>
      </c>
      <c r="BN97">
        <v>6.3E-5</v>
      </c>
      <c r="BO97">
        <v>6.8999999999999997E-5</v>
      </c>
      <c r="BP97">
        <v>6.8999999999999997E-5</v>
      </c>
      <c r="BQ97">
        <v>6.8999999999999997E-5</v>
      </c>
      <c r="BR97">
        <v>6.8999999999999997E-5</v>
      </c>
      <c r="BS97">
        <v>6.8999999999999997E-5</v>
      </c>
      <c r="BT97">
        <v>1.03E-4</v>
      </c>
      <c r="BU97">
        <v>1.03E-4</v>
      </c>
      <c r="BV97">
        <v>1.03E-4</v>
      </c>
      <c r="BW97">
        <v>1.03E-4</v>
      </c>
      <c r="BX97">
        <v>1.03E-4</v>
      </c>
      <c r="BY97">
        <v>1.37E-4</v>
      </c>
      <c r="BZ97">
        <v>1.37E-4</v>
      </c>
      <c r="CA97">
        <v>1.37E-4</v>
      </c>
      <c r="CB97">
        <v>1.37E-4</v>
      </c>
      <c r="CC97">
        <v>1.37E-4</v>
      </c>
      <c r="CD97">
        <v>1.37E-4</v>
      </c>
      <c r="CE97">
        <v>1.37E-4</v>
      </c>
      <c r="CF97">
        <v>1.37E-4</v>
      </c>
      <c r="CG97">
        <v>1.37E-4</v>
      </c>
      <c r="CH97">
        <v>1.37E-4</v>
      </c>
      <c r="CI97">
        <v>1.37E-4</v>
      </c>
      <c r="CJ97">
        <v>1.37E-4</v>
      </c>
      <c r="CK97">
        <v>1.37E-4</v>
      </c>
      <c r="CL97">
        <v>1.37E-4</v>
      </c>
      <c r="CM97">
        <v>1.37E-4</v>
      </c>
      <c r="CN97">
        <v>1.37E-4</v>
      </c>
      <c r="CO97">
        <v>1.37E-4</v>
      </c>
      <c r="CP97">
        <v>1.37E-4</v>
      </c>
      <c r="CQ97">
        <v>1.37E-4</v>
      </c>
      <c r="CR97">
        <v>1.37E-4</v>
      </c>
      <c r="CS97">
        <v>1.37E-4</v>
      </c>
      <c r="CT97">
        <v>1.37E-4</v>
      </c>
      <c r="CU97">
        <v>1.37E-4</v>
      </c>
      <c r="CV97">
        <v>1.37E-4</v>
      </c>
      <c r="CW97">
        <v>1.37E-4</v>
      </c>
      <c r="CX97">
        <v>1.37E-4</v>
      </c>
    </row>
    <row r="98" spans="1:102" x14ac:dyDescent="0.25">
      <c r="A98" t="s">
        <v>261</v>
      </c>
      <c r="B98" t="e">
        <v>#VALUE!</v>
      </c>
      <c r="C98" t="e">
        <v>#VALUE!</v>
      </c>
      <c r="D98" t="e">
        <v>#VALUE!</v>
      </c>
      <c r="E98" t="e">
        <v>#VALUE!</v>
      </c>
      <c r="F98" t="e">
        <v>#VALUE!</v>
      </c>
      <c r="G98" t="e">
        <v>#VALUE!</v>
      </c>
      <c r="H98" t="e">
        <v>#VALUE!</v>
      </c>
      <c r="I98" t="e">
        <v>#VALUE!</v>
      </c>
      <c r="J98" t="e">
        <v>#VALUE!</v>
      </c>
      <c r="K98" t="e">
        <v>#VALUE!</v>
      </c>
      <c r="L98" t="e">
        <v>#VALUE!</v>
      </c>
      <c r="M98" t="e">
        <v>#VALUE!</v>
      </c>
      <c r="N98" t="e">
        <v>#VALUE!</v>
      </c>
      <c r="O98" t="e">
        <v>#VALUE!</v>
      </c>
      <c r="P98" t="e">
        <v>#VALUE!</v>
      </c>
      <c r="Q98">
        <v>2.4000000000000001E-5</v>
      </c>
      <c r="R98">
        <v>2.4000000000000001E-5</v>
      </c>
      <c r="S98">
        <v>2.4000000000000001E-5</v>
      </c>
      <c r="T98">
        <v>2.4000000000000001E-5</v>
      </c>
      <c r="U98">
        <v>2.4000000000000001E-5</v>
      </c>
      <c r="V98">
        <v>2.4000000000000001E-5</v>
      </c>
      <c r="W98">
        <v>2.4000000000000001E-5</v>
      </c>
      <c r="X98">
        <v>2.4000000000000001E-5</v>
      </c>
      <c r="Y98">
        <v>2.4000000000000001E-5</v>
      </c>
      <c r="Z98">
        <v>2.4000000000000001E-5</v>
      </c>
      <c r="AA98">
        <v>2.4000000000000001E-5</v>
      </c>
      <c r="AB98">
        <v>2.4000000000000001E-5</v>
      </c>
      <c r="AC98">
        <v>2.4000000000000001E-5</v>
      </c>
      <c r="AD98">
        <v>2.4000000000000001E-5</v>
      </c>
      <c r="AE98">
        <v>2.4000000000000001E-5</v>
      </c>
      <c r="AF98">
        <v>2.4000000000000001E-5</v>
      </c>
      <c r="AG98">
        <v>2.4000000000000001E-5</v>
      </c>
      <c r="AH98">
        <v>2.4000000000000001E-5</v>
      </c>
      <c r="AI98">
        <v>2.4000000000000001E-5</v>
      </c>
      <c r="AJ98">
        <v>2.4000000000000001E-5</v>
      </c>
      <c r="AK98">
        <v>2.4000000000000001E-5</v>
      </c>
      <c r="AL98">
        <v>2.4000000000000001E-5</v>
      </c>
      <c r="AM98">
        <v>2.4000000000000001E-5</v>
      </c>
      <c r="AN98">
        <v>2.4000000000000001E-5</v>
      </c>
      <c r="AO98">
        <v>2.4000000000000001E-5</v>
      </c>
      <c r="AP98">
        <v>2.0599999999999999E-4</v>
      </c>
      <c r="AQ98">
        <v>2.0599999999999999E-4</v>
      </c>
      <c r="AR98">
        <v>2.0599999999999999E-4</v>
      </c>
      <c r="AS98">
        <v>2.0599999999999999E-4</v>
      </c>
      <c r="AT98">
        <v>2.0599999999999999E-4</v>
      </c>
      <c r="AU98">
        <v>3.9300000000000001E-4</v>
      </c>
      <c r="AV98">
        <v>3.9300000000000001E-4</v>
      </c>
      <c r="AW98">
        <v>3.9300000000000001E-4</v>
      </c>
      <c r="AX98">
        <v>3.9300000000000001E-4</v>
      </c>
      <c r="AY98">
        <v>3.9300000000000001E-4</v>
      </c>
      <c r="AZ98">
        <v>4.3800000000000002E-4</v>
      </c>
      <c r="BA98">
        <v>4.3800000000000002E-4</v>
      </c>
      <c r="BB98">
        <v>4.3800000000000002E-4</v>
      </c>
      <c r="BC98">
        <v>4.3800000000000002E-4</v>
      </c>
      <c r="BD98">
        <v>4.3800000000000002E-4</v>
      </c>
      <c r="BE98">
        <v>6.2600000000000004E-4</v>
      </c>
      <c r="BF98">
        <v>6.2600000000000004E-4</v>
      </c>
      <c r="BG98">
        <v>6.2600000000000004E-4</v>
      </c>
      <c r="BH98">
        <v>6.2600000000000004E-4</v>
      </c>
      <c r="BI98">
        <v>6.2600000000000004E-4</v>
      </c>
      <c r="BJ98">
        <v>9.8499999999999998E-4</v>
      </c>
      <c r="BK98">
        <v>9.8499999999999998E-4</v>
      </c>
      <c r="BL98">
        <v>9.8499999999999998E-4</v>
      </c>
      <c r="BM98">
        <v>9.8499999999999998E-4</v>
      </c>
      <c r="BN98">
        <v>9.8499999999999998E-4</v>
      </c>
      <c r="BO98">
        <v>9.2299999999999999E-4</v>
      </c>
      <c r="BP98">
        <v>9.2299999999999999E-4</v>
      </c>
      <c r="BQ98">
        <v>9.2299999999999999E-4</v>
      </c>
      <c r="BR98">
        <v>9.2299999999999999E-4</v>
      </c>
      <c r="BS98">
        <v>9.2299999999999999E-4</v>
      </c>
      <c r="BT98">
        <v>1.0399999999999999E-3</v>
      </c>
      <c r="BU98">
        <v>1.0399999999999999E-3</v>
      </c>
      <c r="BV98">
        <v>1.0399999999999999E-3</v>
      </c>
      <c r="BW98">
        <v>1.0399999999999999E-3</v>
      </c>
      <c r="BX98">
        <v>1.0399999999999999E-3</v>
      </c>
      <c r="BY98">
        <v>2.6120000000000002E-3</v>
      </c>
      <c r="BZ98">
        <v>2.6120000000000002E-3</v>
      </c>
      <c r="CA98">
        <v>2.6120000000000002E-3</v>
      </c>
      <c r="CB98">
        <v>2.6120000000000002E-3</v>
      </c>
      <c r="CC98">
        <v>2.6120000000000002E-3</v>
      </c>
      <c r="CD98">
        <v>2.6120000000000002E-3</v>
      </c>
      <c r="CE98">
        <v>2.6120000000000002E-3</v>
      </c>
      <c r="CF98">
        <v>2.6120000000000002E-3</v>
      </c>
      <c r="CG98">
        <v>2.6120000000000002E-3</v>
      </c>
      <c r="CH98">
        <v>2.6120000000000002E-3</v>
      </c>
      <c r="CI98">
        <v>2.6120000000000002E-3</v>
      </c>
      <c r="CJ98">
        <v>2.6120000000000002E-3</v>
      </c>
      <c r="CK98">
        <v>2.6120000000000002E-3</v>
      </c>
      <c r="CL98">
        <v>2.6120000000000002E-3</v>
      </c>
      <c r="CM98">
        <v>2.6120000000000002E-3</v>
      </c>
      <c r="CN98">
        <v>2.6120000000000002E-3</v>
      </c>
      <c r="CO98">
        <v>2.6120000000000002E-3</v>
      </c>
      <c r="CP98">
        <v>2.6120000000000002E-3</v>
      </c>
      <c r="CQ98">
        <v>2.6120000000000002E-3</v>
      </c>
      <c r="CR98">
        <v>2.6120000000000002E-3</v>
      </c>
      <c r="CS98">
        <v>2.6120000000000002E-3</v>
      </c>
      <c r="CT98">
        <v>2.6120000000000002E-3</v>
      </c>
      <c r="CU98">
        <v>2.6120000000000002E-3</v>
      </c>
      <c r="CV98">
        <v>2.6120000000000002E-3</v>
      </c>
      <c r="CW98">
        <v>2.6120000000000002E-3</v>
      </c>
      <c r="CX98">
        <v>2.6120000000000002E-3</v>
      </c>
    </row>
    <row r="99" spans="1:102" x14ac:dyDescent="0.25">
      <c r="A99" t="s">
        <v>263</v>
      </c>
      <c r="B99" t="e">
        <v>#VALUE!</v>
      </c>
      <c r="C99" t="e">
        <v>#VALUE!</v>
      </c>
      <c r="D99" t="e">
        <v>#VALUE!</v>
      </c>
      <c r="E99" t="e">
        <v>#VALUE!</v>
      </c>
      <c r="F99" t="e">
        <v>#VALUE!</v>
      </c>
      <c r="G99" t="e">
        <v>#VALUE!</v>
      </c>
      <c r="H99" t="e">
        <v>#VALUE!</v>
      </c>
      <c r="I99" t="e">
        <v>#VALUE!</v>
      </c>
      <c r="J99" t="e">
        <v>#VALUE!</v>
      </c>
      <c r="K99" t="e">
        <v>#VALUE!</v>
      </c>
      <c r="L99" t="e">
        <v>#VALUE!</v>
      </c>
      <c r="M99" t="e">
        <v>#VALUE!</v>
      </c>
      <c r="N99" t="e">
        <v>#VALUE!</v>
      </c>
      <c r="O99" t="e">
        <v>#VALUE!</v>
      </c>
      <c r="P99" t="e">
        <v>#VALUE!</v>
      </c>
      <c r="Q99">
        <v>4.1999999999999998E-5</v>
      </c>
      <c r="R99">
        <v>4.1999999999999998E-5</v>
      </c>
      <c r="S99">
        <v>4.1999999999999998E-5</v>
      </c>
      <c r="T99">
        <v>4.1999999999999998E-5</v>
      </c>
      <c r="U99">
        <v>4.1999999999999998E-5</v>
      </c>
      <c r="V99">
        <v>4.1999999999999998E-5</v>
      </c>
      <c r="W99">
        <v>4.1999999999999998E-5</v>
      </c>
      <c r="X99">
        <v>4.1999999999999998E-5</v>
      </c>
      <c r="Y99">
        <v>4.1999999999999998E-5</v>
      </c>
      <c r="Z99">
        <v>4.1999999999999998E-5</v>
      </c>
      <c r="AA99">
        <v>4.1999999999999998E-5</v>
      </c>
      <c r="AB99">
        <v>4.1999999999999998E-5</v>
      </c>
      <c r="AC99">
        <v>4.1999999999999998E-5</v>
      </c>
      <c r="AD99">
        <v>4.1999999999999998E-5</v>
      </c>
      <c r="AE99">
        <v>4.1999999999999998E-5</v>
      </c>
      <c r="AF99">
        <v>4.1999999999999998E-5</v>
      </c>
      <c r="AG99">
        <v>4.1999999999999998E-5</v>
      </c>
      <c r="AH99">
        <v>4.1999999999999998E-5</v>
      </c>
      <c r="AI99">
        <v>4.1999999999999998E-5</v>
      </c>
      <c r="AJ99">
        <v>4.1999999999999998E-5</v>
      </c>
      <c r="AK99">
        <v>4.1999999999999998E-5</v>
      </c>
      <c r="AL99">
        <v>4.1999999999999998E-5</v>
      </c>
      <c r="AM99">
        <v>4.1999999999999998E-5</v>
      </c>
      <c r="AN99">
        <v>4.1999999999999998E-5</v>
      </c>
      <c r="AO99">
        <v>4.1999999999999998E-5</v>
      </c>
      <c r="AP99">
        <v>2.22E-4</v>
      </c>
      <c r="AQ99">
        <v>2.22E-4</v>
      </c>
      <c r="AR99">
        <v>2.22E-4</v>
      </c>
      <c r="AS99">
        <v>2.22E-4</v>
      </c>
      <c r="AT99">
        <v>2.22E-4</v>
      </c>
      <c r="AU99">
        <v>3.2400000000000001E-4</v>
      </c>
      <c r="AV99">
        <v>3.2400000000000001E-4</v>
      </c>
      <c r="AW99">
        <v>3.2400000000000001E-4</v>
      </c>
      <c r="AX99">
        <v>3.2400000000000001E-4</v>
      </c>
      <c r="AY99">
        <v>3.2400000000000001E-4</v>
      </c>
      <c r="AZ99">
        <v>5.0299999999999997E-4</v>
      </c>
      <c r="BA99">
        <v>5.0299999999999997E-4</v>
      </c>
      <c r="BB99">
        <v>5.0299999999999997E-4</v>
      </c>
      <c r="BC99">
        <v>5.0299999999999997E-4</v>
      </c>
      <c r="BD99">
        <v>5.0299999999999997E-4</v>
      </c>
      <c r="BE99">
        <v>6.6799999999999997E-4</v>
      </c>
      <c r="BF99">
        <v>6.6799999999999997E-4</v>
      </c>
      <c r="BG99">
        <v>6.6799999999999997E-4</v>
      </c>
      <c r="BH99">
        <v>6.6799999999999997E-4</v>
      </c>
      <c r="BI99">
        <v>6.6799999999999997E-4</v>
      </c>
      <c r="BJ99">
        <v>8.8199999999999997E-4</v>
      </c>
      <c r="BK99">
        <v>8.8199999999999997E-4</v>
      </c>
      <c r="BL99">
        <v>8.8199999999999997E-4</v>
      </c>
      <c r="BM99">
        <v>8.8199999999999997E-4</v>
      </c>
      <c r="BN99">
        <v>8.8199999999999997E-4</v>
      </c>
      <c r="BO99">
        <v>1.1620000000000001E-3</v>
      </c>
      <c r="BP99">
        <v>1.1620000000000001E-3</v>
      </c>
      <c r="BQ99">
        <v>1.1620000000000001E-3</v>
      </c>
      <c r="BR99">
        <v>1.1620000000000001E-3</v>
      </c>
      <c r="BS99">
        <v>1.1620000000000001E-3</v>
      </c>
      <c r="BT99">
        <v>1.4289999999999999E-3</v>
      </c>
      <c r="BU99">
        <v>1.4289999999999999E-3</v>
      </c>
      <c r="BV99">
        <v>1.4289999999999999E-3</v>
      </c>
      <c r="BW99">
        <v>1.4289999999999999E-3</v>
      </c>
      <c r="BX99">
        <v>1.4289999999999999E-3</v>
      </c>
      <c r="BY99">
        <v>1.8259999999999999E-3</v>
      </c>
      <c r="BZ99">
        <v>1.8259999999999999E-3</v>
      </c>
      <c r="CA99">
        <v>1.8259999999999999E-3</v>
      </c>
      <c r="CB99">
        <v>1.8259999999999999E-3</v>
      </c>
      <c r="CC99">
        <v>1.8259999999999999E-3</v>
      </c>
      <c r="CD99">
        <v>1.8259999999999999E-3</v>
      </c>
      <c r="CE99">
        <v>1.8259999999999999E-3</v>
      </c>
      <c r="CF99">
        <v>1.8259999999999999E-3</v>
      </c>
      <c r="CG99">
        <v>1.8259999999999999E-3</v>
      </c>
      <c r="CH99">
        <v>1.8259999999999999E-3</v>
      </c>
      <c r="CI99">
        <v>1.8259999999999999E-3</v>
      </c>
      <c r="CJ99">
        <v>1.8259999999999999E-3</v>
      </c>
      <c r="CK99">
        <v>1.8259999999999999E-3</v>
      </c>
      <c r="CL99">
        <v>1.8259999999999999E-3</v>
      </c>
      <c r="CM99">
        <v>1.8259999999999999E-3</v>
      </c>
      <c r="CN99">
        <v>1.8259999999999999E-3</v>
      </c>
      <c r="CO99">
        <v>1.8259999999999999E-3</v>
      </c>
      <c r="CP99">
        <v>1.8259999999999999E-3</v>
      </c>
      <c r="CQ99">
        <v>1.8259999999999999E-3</v>
      </c>
      <c r="CR99">
        <v>1.8259999999999999E-3</v>
      </c>
      <c r="CS99">
        <v>1.8259999999999999E-3</v>
      </c>
      <c r="CT99">
        <v>1.8259999999999999E-3</v>
      </c>
      <c r="CU99">
        <v>1.8259999999999999E-3</v>
      </c>
      <c r="CV99">
        <v>1.8259999999999999E-3</v>
      </c>
      <c r="CW99">
        <v>1.8259999999999999E-3</v>
      </c>
      <c r="CX99">
        <v>1.8259999999999999E-3</v>
      </c>
    </row>
    <row r="100" spans="1:102" x14ac:dyDescent="0.25">
      <c r="A100" t="s">
        <v>265</v>
      </c>
      <c r="B100" t="e">
        <v>#VALUE!</v>
      </c>
      <c r="C100" t="e">
        <v>#VALUE!</v>
      </c>
      <c r="D100" t="e">
        <v>#VALUE!</v>
      </c>
      <c r="E100" t="e">
        <v>#VALUE!</v>
      </c>
      <c r="F100" t="e">
        <v>#VALUE!</v>
      </c>
      <c r="G100" t="e">
        <v>#VALUE!</v>
      </c>
      <c r="H100" t="e">
        <v>#VALUE!</v>
      </c>
      <c r="I100" t="e">
        <v>#VALUE!</v>
      </c>
      <c r="J100" t="e">
        <v>#VALUE!</v>
      </c>
      <c r="K100" t="e">
        <v>#VALUE!</v>
      </c>
      <c r="L100" t="e">
        <v>#VALUE!</v>
      </c>
      <c r="M100" t="e">
        <v>#VALUE!</v>
      </c>
      <c r="N100" t="e">
        <v>#VALUE!</v>
      </c>
      <c r="O100" t="e">
        <v>#VALUE!</v>
      </c>
      <c r="P100" t="e">
        <v>#VALUE!</v>
      </c>
      <c r="Q100">
        <v>9.9999999999999995E-7</v>
      </c>
      <c r="R100">
        <v>9.9999999999999995E-7</v>
      </c>
      <c r="S100">
        <v>9.9999999999999995E-7</v>
      </c>
      <c r="T100">
        <v>9.9999999999999995E-7</v>
      </c>
      <c r="U100">
        <v>9.9999999999999995E-7</v>
      </c>
      <c r="V100">
        <v>9.9999999999999995E-7</v>
      </c>
      <c r="W100">
        <v>9.9999999999999995E-7</v>
      </c>
      <c r="X100">
        <v>9.9999999999999995E-7</v>
      </c>
      <c r="Y100">
        <v>9.9999999999999995E-7</v>
      </c>
      <c r="Z100">
        <v>9.9999999999999995E-7</v>
      </c>
      <c r="AA100">
        <v>9.9999999999999995E-7</v>
      </c>
      <c r="AB100">
        <v>9.9999999999999995E-7</v>
      </c>
      <c r="AC100">
        <v>9.9999999999999995E-7</v>
      </c>
      <c r="AD100">
        <v>9.9999999999999995E-7</v>
      </c>
      <c r="AE100">
        <v>9.9999999999999995E-7</v>
      </c>
      <c r="AF100">
        <v>9.9999999999999995E-7</v>
      </c>
      <c r="AG100">
        <v>9.9999999999999995E-7</v>
      </c>
      <c r="AH100">
        <v>9.9999999999999995E-7</v>
      </c>
      <c r="AI100">
        <v>9.9999999999999995E-7</v>
      </c>
      <c r="AJ100">
        <v>9.9999999999999995E-7</v>
      </c>
      <c r="AK100">
        <v>9.9999999999999995E-7</v>
      </c>
      <c r="AL100">
        <v>9.9999999999999995E-7</v>
      </c>
      <c r="AM100">
        <v>9.9999999999999995E-7</v>
      </c>
      <c r="AN100">
        <v>9.9999999999999995E-7</v>
      </c>
      <c r="AO100">
        <v>9.9999999999999995E-7</v>
      </c>
      <c r="AP100">
        <v>2.8E-5</v>
      </c>
      <c r="AQ100">
        <v>2.8E-5</v>
      </c>
      <c r="AR100">
        <v>2.8E-5</v>
      </c>
      <c r="AS100">
        <v>2.8E-5</v>
      </c>
      <c r="AT100">
        <v>2.8E-5</v>
      </c>
      <c r="AU100">
        <v>6.0000000000000002E-5</v>
      </c>
      <c r="AV100">
        <v>6.0000000000000002E-5</v>
      </c>
      <c r="AW100">
        <v>6.0000000000000002E-5</v>
      </c>
      <c r="AX100">
        <v>6.0000000000000002E-5</v>
      </c>
      <c r="AY100">
        <v>6.0000000000000002E-5</v>
      </c>
      <c r="AZ100">
        <v>9.7E-5</v>
      </c>
      <c r="BA100">
        <v>9.7E-5</v>
      </c>
      <c r="BB100">
        <v>9.7E-5</v>
      </c>
      <c r="BC100">
        <v>9.7E-5</v>
      </c>
      <c r="BD100">
        <v>9.7E-5</v>
      </c>
      <c r="BE100">
        <v>1.15E-4</v>
      </c>
      <c r="BF100">
        <v>1.15E-4</v>
      </c>
      <c r="BG100">
        <v>1.15E-4</v>
      </c>
      <c r="BH100">
        <v>1.15E-4</v>
      </c>
      <c r="BI100">
        <v>1.15E-4</v>
      </c>
      <c r="BJ100">
        <v>1.37E-4</v>
      </c>
      <c r="BK100">
        <v>1.37E-4</v>
      </c>
      <c r="BL100">
        <v>1.37E-4</v>
      </c>
      <c r="BM100">
        <v>1.37E-4</v>
      </c>
      <c r="BN100">
        <v>1.37E-4</v>
      </c>
      <c r="BO100">
        <v>1.94E-4</v>
      </c>
      <c r="BP100">
        <v>1.94E-4</v>
      </c>
      <c r="BQ100">
        <v>1.94E-4</v>
      </c>
      <c r="BR100">
        <v>1.94E-4</v>
      </c>
      <c r="BS100">
        <v>1.94E-4</v>
      </c>
      <c r="BT100">
        <v>2.7900000000000001E-4</v>
      </c>
      <c r="BU100">
        <v>2.7900000000000001E-4</v>
      </c>
      <c r="BV100">
        <v>2.7900000000000001E-4</v>
      </c>
      <c r="BW100">
        <v>2.7900000000000001E-4</v>
      </c>
      <c r="BX100">
        <v>2.7900000000000001E-4</v>
      </c>
      <c r="BY100">
        <v>4.1199999999999999E-4</v>
      </c>
      <c r="BZ100">
        <v>4.1199999999999999E-4</v>
      </c>
      <c r="CA100">
        <v>4.1199999999999999E-4</v>
      </c>
      <c r="CB100">
        <v>4.1199999999999999E-4</v>
      </c>
      <c r="CC100">
        <v>4.1199999999999999E-4</v>
      </c>
      <c r="CD100">
        <v>4.1199999999999999E-4</v>
      </c>
      <c r="CE100">
        <v>4.1199999999999999E-4</v>
      </c>
      <c r="CF100">
        <v>4.1199999999999999E-4</v>
      </c>
      <c r="CG100">
        <v>4.1199999999999999E-4</v>
      </c>
      <c r="CH100">
        <v>4.1199999999999999E-4</v>
      </c>
      <c r="CI100">
        <v>4.1199999999999999E-4</v>
      </c>
      <c r="CJ100">
        <v>4.1199999999999999E-4</v>
      </c>
      <c r="CK100">
        <v>4.1199999999999999E-4</v>
      </c>
      <c r="CL100">
        <v>4.1199999999999999E-4</v>
      </c>
      <c r="CM100">
        <v>4.1199999999999999E-4</v>
      </c>
      <c r="CN100">
        <v>4.1199999999999999E-4</v>
      </c>
      <c r="CO100">
        <v>4.1199999999999999E-4</v>
      </c>
      <c r="CP100">
        <v>4.1199999999999999E-4</v>
      </c>
      <c r="CQ100">
        <v>4.1199999999999999E-4</v>
      </c>
      <c r="CR100">
        <v>4.1199999999999999E-4</v>
      </c>
      <c r="CS100">
        <v>4.1199999999999999E-4</v>
      </c>
      <c r="CT100">
        <v>4.1199999999999999E-4</v>
      </c>
      <c r="CU100">
        <v>4.1199999999999999E-4</v>
      </c>
      <c r="CV100">
        <v>4.1199999999999999E-4</v>
      </c>
      <c r="CW100">
        <v>4.1199999999999999E-4</v>
      </c>
      <c r="CX100">
        <v>4.1199999999999999E-4</v>
      </c>
    </row>
    <row r="101" spans="1:102" x14ac:dyDescent="0.25">
      <c r="A101" t="s">
        <v>267</v>
      </c>
      <c r="B101" t="e">
        <v>#VALUE!</v>
      </c>
      <c r="C101" t="e">
        <v>#VALUE!</v>
      </c>
      <c r="D101" t="e">
        <v>#VALUE!</v>
      </c>
      <c r="E101" t="e">
        <v>#VALUE!</v>
      </c>
      <c r="F101" t="e">
        <v>#VALUE!</v>
      </c>
      <c r="G101" t="e">
        <v>#VALUE!</v>
      </c>
      <c r="H101" t="e">
        <v>#VALUE!</v>
      </c>
      <c r="I101" t="e">
        <v>#VALUE!</v>
      </c>
      <c r="J101" t="e">
        <v>#VALUE!</v>
      </c>
      <c r="K101" t="e">
        <v>#VALUE!</v>
      </c>
      <c r="L101" t="e">
        <v>#VALUE!</v>
      </c>
      <c r="M101" t="e">
        <v>#VALUE!</v>
      </c>
      <c r="N101" t="e">
        <v>#VALUE!</v>
      </c>
      <c r="O101" t="e">
        <v>#VALUE!</v>
      </c>
      <c r="P101" t="e">
        <v>#VALUE!</v>
      </c>
      <c r="Q101">
        <v>3.6000000000000001E-5</v>
      </c>
      <c r="R101">
        <v>3.6000000000000001E-5</v>
      </c>
      <c r="S101">
        <v>3.6000000000000001E-5</v>
      </c>
      <c r="T101">
        <v>3.6000000000000001E-5</v>
      </c>
      <c r="U101">
        <v>3.6000000000000001E-5</v>
      </c>
      <c r="V101">
        <v>3.6000000000000001E-5</v>
      </c>
      <c r="W101">
        <v>3.6000000000000001E-5</v>
      </c>
      <c r="X101">
        <v>3.6000000000000001E-5</v>
      </c>
      <c r="Y101">
        <v>3.6000000000000001E-5</v>
      </c>
      <c r="Z101">
        <v>3.6000000000000001E-5</v>
      </c>
      <c r="AA101">
        <v>3.6000000000000001E-5</v>
      </c>
      <c r="AB101">
        <v>3.6000000000000001E-5</v>
      </c>
      <c r="AC101">
        <v>3.6000000000000001E-5</v>
      </c>
      <c r="AD101">
        <v>3.6000000000000001E-5</v>
      </c>
      <c r="AE101">
        <v>3.6000000000000001E-5</v>
      </c>
      <c r="AF101">
        <v>3.6000000000000001E-5</v>
      </c>
      <c r="AG101">
        <v>3.6000000000000001E-5</v>
      </c>
      <c r="AH101">
        <v>3.6000000000000001E-5</v>
      </c>
      <c r="AI101">
        <v>3.6000000000000001E-5</v>
      </c>
      <c r="AJ101">
        <v>3.6000000000000001E-5</v>
      </c>
      <c r="AK101">
        <v>3.6000000000000001E-5</v>
      </c>
      <c r="AL101">
        <v>3.6000000000000001E-5</v>
      </c>
      <c r="AM101">
        <v>3.6000000000000001E-5</v>
      </c>
      <c r="AN101">
        <v>3.6000000000000001E-5</v>
      </c>
      <c r="AO101">
        <v>3.6000000000000001E-5</v>
      </c>
      <c r="AP101">
        <v>1.35E-4</v>
      </c>
      <c r="AQ101">
        <v>1.35E-4</v>
      </c>
      <c r="AR101">
        <v>1.35E-4</v>
      </c>
      <c r="AS101">
        <v>1.35E-4</v>
      </c>
      <c r="AT101">
        <v>1.35E-4</v>
      </c>
      <c r="AU101">
        <v>1.76E-4</v>
      </c>
      <c r="AV101">
        <v>1.76E-4</v>
      </c>
      <c r="AW101">
        <v>1.76E-4</v>
      </c>
      <c r="AX101">
        <v>1.76E-4</v>
      </c>
      <c r="AY101">
        <v>1.76E-4</v>
      </c>
      <c r="AZ101">
        <v>1.95E-4</v>
      </c>
      <c r="BA101">
        <v>1.95E-4</v>
      </c>
      <c r="BB101">
        <v>1.95E-4</v>
      </c>
      <c r="BC101">
        <v>1.95E-4</v>
      </c>
      <c r="BD101">
        <v>1.95E-4</v>
      </c>
      <c r="BE101">
        <v>2.02E-4</v>
      </c>
      <c r="BF101">
        <v>2.02E-4</v>
      </c>
      <c r="BG101">
        <v>2.02E-4</v>
      </c>
      <c r="BH101">
        <v>2.02E-4</v>
      </c>
      <c r="BI101">
        <v>2.02E-4</v>
      </c>
      <c r="BJ101">
        <v>1.9699999999999999E-4</v>
      </c>
      <c r="BK101">
        <v>1.9699999999999999E-4</v>
      </c>
      <c r="BL101">
        <v>1.9699999999999999E-4</v>
      </c>
      <c r="BM101">
        <v>1.9699999999999999E-4</v>
      </c>
      <c r="BN101">
        <v>1.9699999999999999E-4</v>
      </c>
      <c r="BO101">
        <v>2.0900000000000001E-4</v>
      </c>
      <c r="BP101">
        <v>2.0900000000000001E-4</v>
      </c>
      <c r="BQ101">
        <v>2.0900000000000001E-4</v>
      </c>
      <c r="BR101">
        <v>2.0900000000000001E-4</v>
      </c>
      <c r="BS101">
        <v>2.0900000000000001E-4</v>
      </c>
      <c r="BT101">
        <v>2.2499999999999999E-4</v>
      </c>
      <c r="BU101">
        <v>2.2499999999999999E-4</v>
      </c>
      <c r="BV101">
        <v>2.2499999999999999E-4</v>
      </c>
      <c r="BW101">
        <v>2.2499999999999999E-4</v>
      </c>
      <c r="BX101">
        <v>2.2499999999999999E-4</v>
      </c>
      <c r="BY101">
        <v>3.0800000000000001E-4</v>
      </c>
      <c r="BZ101">
        <v>3.0800000000000001E-4</v>
      </c>
      <c r="CA101">
        <v>3.0800000000000001E-4</v>
      </c>
      <c r="CB101">
        <v>3.0800000000000001E-4</v>
      </c>
      <c r="CC101">
        <v>3.0800000000000001E-4</v>
      </c>
      <c r="CD101">
        <v>3.0800000000000001E-4</v>
      </c>
      <c r="CE101">
        <v>3.0800000000000001E-4</v>
      </c>
      <c r="CF101">
        <v>3.0800000000000001E-4</v>
      </c>
      <c r="CG101">
        <v>3.0800000000000001E-4</v>
      </c>
      <c r="CH101">
        <v>3.0800000000000001E-4</v>
      </c>
      <c r="CI101">
        <v>3.0800000000000001E-4</v>
      </c>
      <c r="CJ101">
        <v>3.0800000000000001E-4</v>
      </c>
      <c r="CK101">
        <v>3.0800000000000001E-4</v>
      </c>
      <c r="CL101">
        <v>3.0800000000000001E-4</v>
      </c>
      <c r="CM101">
        <v>3.0800000000000001E-4</v>
      </c>
      <c r="CN101">
        <v>3.0800000000000001E-4</v>
      </c>
      <c r="CO101">
        <v>3.0800000000000001E-4</v>
      </c>
      <c r="CP101">
        <v>3.0800000000000001E-4</v>
      </c>
      <c r="CQ101">
        <v>3.0800000000000001E-4</v>
      </c>
      <c r="CR101">
        <v>3.0800000000000001E-4</v>
      </c>
      <c r="CS101">
        <v>3.0800000000000001E-4</v>
      </c>
      <c r="CT101">
        <v>3.0800000000000001E-4</v>
      </c>
      <c r="CU101">
        <v>3.0800000000000001E-4</v>
      </c>
      <c r="CV101">
        <v>3.0800000000000001E-4</v>
      </c>
      <c r="CW101">
        <v>3.0800000000000001E-4</v>
      </c>
      <c r="CX101">
        <v>3.0800000000000001E-4</v>
      </c>
    </row>
    <row r="102" spans="1:102" x14ac:dyDescent="0.25">
      <c r="A102" t="s">
        <v>269</v>
      </c>
      <c r="B102" t="e">
        <v>#VALUE!</v>
      </c>
      <c r="C102" t="e">
        <v>#VALUE!</v>
      </c>
      <c r="D102" t="e">
        <v>#VALUE!</v>
      </c>
      <c r="E102" t="e">
        <v>#VALUE!</v>
      </c>
      <c r="F102" t="e">
        <v>#VALUE!</v>
      </c>
      <c r="G102" t="e">
        <v>#VALUE!</v>
      </c>
      <c r="H102" t="e">
        <v>#VALUE!</v>
      </c>
      <c r="I102" t="e">
        <v>#VALUE!</v>
      </c>
      <c r="J102" t="e">
        <v>#VALUE!</v>
      </c>
      <c r="K102" t="e">
        <v>#VALUE!</v>
      </c>
      <c r="L102" t="e">
        <v>#VALUE!</v>
      </c>
      <c r="M102" t="e">
        <v>#VALUE!</v>
      </c>
      <c r="N102" t="e">
        <v>#VALUE!</v>
      </c>
      <c r="O102" t="e">
        <v>#VALUE!</v>
      </c>
      <c r="P102" t="e">
        <v>#VALUE!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 t="e">
        <v>#VALUE!</v>
      </c>
      <c r="AQ102" t="e">
        <v>#VALUE!</v>
      </c>
      <c r="AR102" t="e">
        <v>#VALUE!</v>
      </c>
      <c r="AS102" t="e">
        <v>#VALUE!</v>
      </c>
      <c r="AT102" t="e">
        <v>#VALUE!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5.5000000000000002E-5</v>
      </c>
      <c r="BA102">
        <v>5.5000000000000002E-5</v>
      </c>
      <c r="BB102">
        <v>5.5000000000000002E-5</v>
      </c>
      <c r="BC102">
        <v>5.5000000000000002E-5</v>
      </c>
      <c r="BD102">
        <v>5.5000000000000002E-5</v>
      </c>
      <c r="BE102">
        <v>6.3999999999999997E-5</v>
      </c>
      <c r="BF102">
        <v>6.3999999999999997E-5</v>
      </c>
      <c r="BG102">
        <v>6.3999999999999997E-5</v>
      </c>
      <c r="BH102">
        <v>6.3999999999999997E-5</v>
      </c>
      <c r="BI102">
        <v>6.3999999999999997E-5</v>
      </c>
      <c r="BJ102">
        <v>1.5200000000000001E-4</v>
      </c>
      <c r="BK102">
        <v>1.5200000000000001E-4</v>
      </c>
      <c r="BL102">
        <v>1.5200000000000001E-4</v>
      </c>
      <c r="BM102">
        <v>1.5200000000000001E-4</v>
      </c>
      <c r="BN102">
        <v>1.5200000000000001E-4</v>
      </c>
      <c r="BO102">
        <v>9.5000000000000005E-5</v>
      </c>
      <c r="BP102">
        <v>9.5000000000000005E-5</v>
      </c>
      <c r="BQ102">
        <v>9.5000000000000005E-5</v>
      </c>
      <c r="BR102">
        <v>9.5000000000000005E-5</v>
      </c>
      <c r="BS102">
        <v>9.5000000000000005E-5</v>
      </c>
      <c r="BT102">
        <v>2.1499999999999999E-4</v>
      </c>
      <c r="BU102">
        <v>2.1499999999999999E-4</v>
      </c>
      <c r="BV102">
        <v>2.1499999999999999E-4</v>
      </c>
      <c r="BW102">
        <v>2.1499999999999999E-4</v>
      </c>
      <c r="BX102">
        <v>2.1499999999999999E-4</v>
      </c>
      <c r="BY102">
        <v>2.7599999999999999E-4</v>
      </c>
      <c r="BZ102">
        <v>2.7599999999999999E-4</v>
      </c>
      <c r="CA102">
        <v>2.7599999999999999E-4</v>
      </c>
      <c r="CB102">
        <v>2.7599999999999999E-4</v>
      </c>
      <c r="CC102">
        <v>2.7599999999999999E-4</v>
      </c>
      <c r="CD102">
        <v>2.7599999999999999E-4</v>
      </c>
      <c r="CE102">
        <v>2.7599999999999999E-4</v>
      </c>
      <c r="CF102">
        <v>2.7599999999999999E-4</v>
      </c>
      <c r="CG102">
        <v>2.7599999999999999E-4</v>
      </c>
      <c r="CH102">
        <v>2.7599999999999999E-4</v>
      </c>
      <c r="CI102">
        <v>2.7599999999999999E-4</v>
      </c>
      <c r="CJ102">
        <v>2.7599999999999999E-4</v>
      </c>
      <c r="CK102">
        <v>2.7599999999999999E-4</v>
      </c>
      <c r="CL102">
        <v>2.7599999999999999E-4</v>
      </c>
      <c r="CM102">
        <v>2.7599999999999999E-4</v>
      </c>
      <c r="CN102">
        <v>2.7599999999999999E-4</v>
      </c>
      <c r="CO102">
        <v>2.7599999999999999E-4</v>
      </c>
      <c r="CP102">
        <v>2.7599999999999999E-4</v>
      </c>
      <c r="CQ102">
        <v>2.7599999999999999E-4</v>
      </c>
      <c r="CR102">
        <v>2.7599999999999999E-4</v>
      </c>
      <c r="CS102">
        <v>2.7599999999999999E-4</v>
      </c>
      <c r="CT102">
        <v>2.7599999999999999E-4</v>
      </c>
      <c r="CU102">
        <v>2.7599999999999999E-4</v>
      </c>
      <c r="CV102">
        <v>2.7599999999999999E-4</v>
      </c>
      <c r="CW102">
        <v>2.7599999999999999E-4</v>
      </c>
      <c r="CX102">
        <v>2.7599999999999999E-4</v>
      </c>
    </row>
    <row r="103" spans="1:102" x14ac:dyDescent="0.25">
      <c r="A103" t="s">
        <v>271</v>
      </c>
      <c r="B103" t="e">
        <v>#VALUE!</v>
      </c>
      <c r="C103" t="e">
        <v>#VALUE!</v>
      </c>
      <c r="D103" t="e">
        <v>#VALUE!</v>
      </c>
      <c r="E103" t="e">
        <v>#VALUE!</v>
      </c>
      <c r="F103" t="e">
        <v>#VALUE!</v>
      </c>
      <c r="G103" t="e">
        <v>#VALUE!</v>
      </c>
      <c r="H103" t="e">
        <v>#VALUE!</v>
      </c>
      <c r="I103" t="e">
        <v>#VALUE!</v>
      </c>
      <c r="J103" t="e">
        <v>#VALUE!</v>
      </c>
      <c r="K103" t="e">
        <v>#VALUE!</v>
      </c>
      <c r="L103" t="e">
        <v>#VALUE!</v>
      </c>
      <c r="M103" t="e">
        <v>#VALUE!</v>
      </c>
      <c r="N103" t="e">
        <v>#VALUE!</v>
      </c>
      <c r="O103" t="e">
        <v>#VALUE!</v>
      </c>
      <c r="P103" t="e">
        <v>#VALUE!</v>
      </c>
      <c r="Q103">
        <v>1.0000000000000001E-5</v>
      </c>
      <c r="R103">
        <v>1.0000000000000001E-5</v>
      </c>
      <c r="S103">
        <v>1.0000000000000001E-5</v>
      </c>
      <c r="T103">
        <v>1.0000000000000001E-5</v>
      </c>
      <c r="U103">
        <v>1.0000000000000001E-5</v>
      </c>
      <c r="V103">
        <v>1.0000000000000001E-5</v>
      </c>
      <c r="W103">
        <v>1.0000000000000001E-5</v>
      </c>
      <c r="X103">
        <v>1.0000000000000001E-5</v>
      </c>
      <c r="Y103">
        <v>1.0000000000000001E-5</v>
      </c>
      <c r="Z103">
        <v>1.0000000000000001E-5</v>
      </c>
      <c r="AA103">
        <v>1.0000000000000001E-5</v>
      </c>
      <c r="AB103">
        <v>1.0000000000000001E-5</v>
      </c>
      <c r="AC103">
        <v>1.0000000000000001E-5</v>
      </c>
      <c r="AD103">
        <v>1.0000000000000001E-5</v>
      </c>
      <c r="AE103">
        <v>1.0000000000000001E-5</v>
      </c>
      <c r="AF103">
        <v>1.0000000000000001E-5</v>
      </c>
      <c r="AG103">
        <v>1.0000000000000001E-5</v>
      </c>
      <c r="AH103">
        <v>1.0000000000000001E-5</v>
      </c>
      <c r="AI103">
        <v>1.0000000000000001E-5</v>
      </c>
      <c r="AJ103">
        <v>1.0000000000000001E-5</v>
      </c>
      <c r="AK103">
        <v>1.0000000000000001E-5</v>
      </c>
      <c r="AL103">
        <v>1.0000000000000001E-5</v>
      </c>
      <c r="AM103">
        <v>1.0000000000000001E-5</v>
      </c>
      <c r="AN103">
        <v>1.0000000000000001E-5</v>
      </c>
      <c r="AO103">
        <v>1.0000000000000001E-5</v>
      </c>
      <c r="AP103">
        <v>6.8999999999999997E-5</v>
      </c>
      <c r="AQ103">
        <v>6.8999999999999997E-5</v>
      </c>
      <c r="AR103">
        <v>6.8999999999999997E-5</v>
      </c>
      <c r="AS103">
        <v>6.8999999999999997E-5</v>
      </c>
      <c r="AT103">
        <v>6.8999999999999997E-5</v>
      </c>
      <c r="AU103">
        <v>1.12E-4</v>
      </c>
      <c r="AV103">
        <v>1.12E-4</v>
      </c>
      <c r="AW103">
        <v>1.12E-4</v>
      </c>
      <c r="AX103">
        <v>1.12E-4</v>
      </c>
      <c r="AY103">
        <v>1.12E-4</v>
      </c>
      <c r="AZ103">
        <v>1.44E-4</v>
      </c>
      <c r="BA103">
        <v>1.44E-4</v>
      </c>
      <c r="BB103">
        <v>1.44E-4</v>
      </c>
      <c r="BC103">
        <v>1.44E-4</v>
      </c>
      <c r="BD103">
        <v>1.44E-4</v>
      </c>
      <c r="BE103">
        <v>1.64E-4</v>
      </c>
      <c r="BF103">
        <v>1.64E-4</v>
      </c>
      <c r="BG103">
        <v>1.64E-4</v>
      </c>
      <c r="BH103">
        <v>1.64E-4</v>
      </c>
      <c r="BI103">
        <v>1.64E-4</v>
      </c>
      <c r="BJ103">
        <v>1.76E-4</v>
      </c>
      <c r="BK103">
        <v>1.76E-4</v>
      </c>
      <c r="BL103">
        <v>1.76E-4</v>
      </c>
      <c r="BM103">
        <v>1.76E-4</v>
      </c>
      <c r="BN103">
        <v>1.76E-4</v>
      </c>
      <c r="BO103">
        <v>2.0000000000000001E-4</v>
      </c>
      <c r="BP103">
        <v>2.0000000000000001E-4</v>
      </c>
      <c r="BQ103">
        <v>2.0000000000000001E-4</v>
      </c>
      <c r="BR103">
        <v>2.0000000000000001E-4</v>
      </c>
      <c r="BS103">
        <v>2.0000000000000001E-4</v>
      </c>
      <c r="BT103">
        <v>2.13E-4</v>
      </c>
      <c r="BU103">
        <v>2.13E-4</v>
      </c>
      <c r="BV103">
        <v>2.13E-4</v>
      </c>
      <c r="BW103">
        <v>2.13E-4</v>
      </c>
      <c r="BX103">
        <v>2.13E-4</v>
      </c>
      <c r="BY103">
        <v>2.63E-4</v>
      </c>
      <c r="BZ103">
        <v>2.63E-4</v>
      </c>
      <c r="CA103">
        <v>2.63E-4</v>
      </c>
      <c r="CB103">
        <v>2.63E-4</v>
      </c>
      <c r="CC103">
        <v>2.63E-4</v>
      </c>
      <c r="CD103">
        <v>2.63E-4</v>
      </c>
      <c r="CE103">
        <v>2.63E-4</v>
      </c>
      <c r="CF103">
        <v>2.63E-4</v>
      </c>
      <c r="CG103">
        <v>2.63E-4</v>
      </c>
      <c r="CH103">
        <v>2.63E-4</v>
      </c>
      <c r="CI103">
        <v>2.63E-4</v>
      </c>
      <c r="CJ103">
        <v>2.63E-4</v>
      </c>
      <c r="CK103">
        <v>2.63E-4</v>
      </c>
      <c r="CL103">
        <v>2.63E-4</v>
      </c>
      <c r="CM103">
        <v>2.63E-4</v>
      </c>
      <c r="CN103">
        <v>2.63E-4</v>
      </c>
      <c r="CO103">
        <v>2.63E-4</v>
      </c>
      <c r="CP103">
        <v>2.63E-4</v>
      </c>
      <c r="CQ103">
        <v>2.63E-4</v>
      </c>
      <c r="CR103">
        <v>2.63E-4</v>
      </c>
      <c r="CS103">
        <v>2.63E-4</v>
      </c>
      <c r="CT103">
        <v>2.63E-4</v>
      </c>
      <c r="CU103">
        <v>2.63E-4</v>
      </c>
      <c r="CV103">
        <v>2.63E-4</v>
      </c>
      <c r="CW103">
        <v>2.63E-4</v>
      </c>
      <c r="CX103">
        <v>2.63E-4</v>
      </c>
    </row>
    <row r="104" spans="1:102" x14ac:dyDescent="0.25">
      <c r="A104" t="s">
        <v>273</v>
      </c>
      <c r="B104">
        <v>9.9999999999999995E-7</v>
      </c>
      <c r="C104">
        <v>9.9999999999999995E-7</v>
      </c>
      <c r="D104">
        <v>9.9999999999999995E-7</v>
      </c>
      <c r="E104">
        <v>9.9999999999999995E-7</v>
      </c>
      <c r="F104">
        <v>9.9999999999999995E-7</v>
      </c>
      <c r="G104">
        <v>9.9999999999999995E-7</v>
      </c>
      <c r="H104">
        <v>9.9999999999999995E-7</v>
      </c>
      <c r="I104">
        <v>9.9999999999999995E-7</v>
      </c>
      <c r="J104">
        <v>9.9999999999999995E-7</v>
      </c>
      <c r="K104">
        <v>9.9999999999999995E-7</v>
      </c>
      <c r="L104">
        <v>9.9999999999999995E-7</v>
      </c>
      <c r="M104">
        <v>9.9999999999999995E-7</v>
      </c>
      <c r="N104">
        <v>9.9999999999999995E-7</v>
      </c>
      <c r="O104">
        <v>9.9999999999999995E-7</v>
      </c>
      <c r="P104">
        <v>9.9999999999999995E-7</v>
      </c>
      <c r="Q104">
        <v>9.7E-5</v>
      </c>
      <c r="R104">
        <v>9.7E-5</v>
      </c>
      <c r="S104">
        <v>9.7E-5</v>
      </c>
      <c r="T104">
        <v>9.7E-5</v>
      </c>
      <c r="U104">
        <v>9.7E-5</v>
      </c>
      <c r="V104">
        <v>9.7E-5</v>
      </c>
      <c r="W104">
        <v>9.7E-5</v>
      </c>
      <c r="X104">
        <v>9.7E-5</v>
      </c>
      <c r="Y104">
        <v>9.7E-5</v>
      </c>
      <c r="Z104">
        <v>9.7E-5</v>
      </c>
      <c r="AA104">
        <v>9.7E-5</v>
      </c>
      <c r="AB104">
        <v>9.7E-5</v>
      </c>
      <c r="AC104">
        <v>9.7E-5</v>
      </c>
      <c r="AD104">
        <v>9.7E-5</v>
      </c>
      <c r="AE104">
        <v>9.7E-5</v>
      </c>
      <c r="AF104">
        <v>9.7E-5</v>
      </c>
      <c r="AG104">
        <v>9.7E-5</v>
      </c>
      <c r="AH104">
        <v>9.7E-5</v>
      </c>
      <c r="AI104">
        <v>9.7E-5</v>
      </c>
      <c r="AJ104">
        <v>9.7E-5</v>
      </c>
      <c r="AK104">
        <v>9.7E-5</v>
      </c>
      <c r="AL104">
        <v>9.7E-5</v>
      </c>
      <c r="AM104">
        <v>9.7E-5</v>
      </c>
      <c r="AN104">
        <v>9.7E-5</v>
      </c>
      <c r="AO104">
        <v>9.7E-5</v>
      </c>
      <c r="AP104">
        <v>3.0600000000000001E-4</v>
      </c>
      <c r="AQ104">
        <v>3.0600000000000001E-4</v>
      </c>
      <c r="AR104">
        <v>3.0600000000000001E-4</v>
      </c>
      <c r="AS104">
        <v>3.0600000000000001E-4</v>
      </c>
      <c r="AT104">
        <v>3.0600000000000001E-4</v>
      </c>
      <c r="AU104">
        <v>4.3300000000000001E-4</v>
      </c>
      <c r="AV104">
        <v>4.3300000000000001E-4</v>
      </c>
      <c r="AW104">
        <v>4.3300000000000001E-4</v>
      </c>
      <c r="AX104">
        <v>4.3300000000000001E-4</v>
      </c>
      <c r="AY104">
        <v>4.3300000000000001E-4</v>
      </c>
      <c r="AZ104">
        <v>6.1600000000000001E-4</v>
      </c>
      <c r="BA104">
        <v>6.1600000000000001E-4</v>
      </c>
      <c r="BB104">
        <v>6.1600000000000001E-4</v>
      </c>
      <c r="BC104">
        <v>6.1600000000000001E-4</v>
      </c>
      <c r="BD104">
        <v>6.1600000000000001E-4</v>
      </c>
      <c r="BE104">
        <v>7.9299999999999998E-4</v>
      </c>
      <c r="BF104">
        <v>7.9299999999999998E-4</v>
      </c>
      <c r="BG104">
        <v>7.9299999999999998E-4</v>
      </c>
      <c r="BH104">
        <v>7.9299999999999998E-4</v>
      </c>
      <c r="BI104">
        <v>7.9299999999999998E-4</v>
      </c>
      <c r="BJ104">
        <v>9.4899999999999997E-4</v>
      </c>
      <c r="BK104">
        <v>9.4899999999999997E-4</v>
      </c>
      <c r="BL104">
        <v>9.4899999999999997E-4</v>
      </c>
      <c r="BM104">
        <v>9.4899999999999997E-4</v>
      </c>
      <c r="BN104">
        <v>9.4899999999999997E-4</v>
      </c>
      <c r="BO104">
        <v>1.1969999999999999E-3</v>
      </c>
      <c r="BP104">
        <v>1.1969999999999999E-3</v>
      </c>
      <c r="BQ104">
        <v>1.1969999999999999E-3</v>
      </c>
      <c r="BR104">
        <v>1.1969999999999999E-3</v>
      </c>
      <c r="BS104">
        <v>1.1969999999999999E-3</v>
      </c>
      <c r="BT104">
        <v>1.2390000000000001E-3</v>
      </c>
      <c r="BU104">
        <v>1.2390000000000001E-3</v>
      </c>
      <c r="BV104">
        <v>1.2390000000000001E-3</v>
      </c>
      <c r="BW104">
        <v>1.2390000000000001E-3</v>
      </c>
      <c r="BX104">
        <v>1.2390000000000001E-3</v>
      </c>
      <c r="BY104">
        <v>1.3029999999999999E-3</v>
      </c>
      <c r="BZ104">
        <v>1.3029999999999999E-3</v>
      </c>
      <c r="CA104">
        <v>1.3029999999999999E-3</v>
      </c>
      <c r="CB104">
        <v>1.3029999999999999E-3</v>
      </c>
      <c r="CC104">
        <v>1.3029999999999999E-3</v>
      </c>
      <c r="CD104">
        <v>1.3029999999999999E-3</v>
      </c>
      <c r="CE104">
        <v>1.3029999999999999E-3</v>
      </c>
      <c r="CF104">
        <v>1.3029999999999999E-3</v>
      </c>
      <c r="CG104">
        <v>1.3029999999999999E-3</v>
      </c>
      <c r="CH104">
        <v>1.3029999999999999E-3</v>
      </c>
      <c r="CI104">
        <v>1.3029999999999999E-3</v>
      </c>
      <c r="CJ104">
        <v>1.3029999999999999E-3</v>
      </c>
      <c r="CK104">
        <v>1.3029999999999999E-3</v>
      </c>
      <c r="CL104">
        <v>1.3029999999999999E-3</v>
      </c>
      <c r="CM104">
        <v>1.3029999999999999E-3</v>
      </c>
      <c r="CN104">
        <v>1.3029999999999999E-3</v>
      </c>
      <c r="CO104">
        <v>1.3029999999999999E-3</v>
      </c>
      <c r="CP104">
        <v>1.3029999999999999E-3</v>
      </c>
      <c r="CQ104">
        <v>1.3029999999999999E-3</v>
      </c>
      <c r="CR104">
        <v>1.3029999999999999E-3</v>
      </c>
      <c r="CS104">
        <v>1.3029999999999999E-3</v>
      </c>
      <c r="CT104">
        <v>1.3029999999999999E-3</v>
      </c>
      <c r="CU104">
        <v>1.3029999999999999E-3</v>
      </c>
      <c r="CV104">
        <v>1.3029999999999999E-3</v>
      </c>
      <c r="CW104">
        <v>1.3029999999999999E-3</v>
      </c>
      <c r="CX104">
        <v>1.3029999999999999E-3</v>
      </c>
    </row>
    <row r="105" spans="1:102" x14ac:dyDescent="0.25">
      <c r="A105" t="s">
        <v>275</v>
      </c>
      <c r="B105" t="e">
        <v>#VALUE!</v>
      </c>
      <c r="C105" t="e">
        <v>#VALUE!</v>
      </c>
      <c r="D105" t="e">
        <v>#VALUE!</v>
      </c>
      <c r="E105" t="e">
        <v>#VALUE!</v>
      </c>
      <c r="F105" t="e">
        <v>#VALUE!</v>
      </c>
      <c r="G105" t="e">
        <v>#VALUE!</v>
      </c>
      <c r="H105" t="e">
        <v>#VALUE!</v>
      </c>
      <c r="I105" t="e">
        <v>#VALUE!</v>
      </c>
      <c r="J105" t="e">
        <v>#VALUE!</v>
      </c>
      <c r="K105" t="e">
        <v>#VALUE!</v>
      </c>
      <c r="L105" t="e">
        <v>#VALUE!</v>
      </c>
      <c r="M105" t="e">
        <v>#VALUE!</v>
      </c>
      <c r="N105" t="e">
        <v>#VALUE!</v>
      </c>
      <c r="O105" t="e">
        <v>#VALUE!</v>
      </c>
      <c r="P105" t="e">
        <v>#VALUE!</v>
      </c>
      <c r="Q105">
        <v>2.1499999999999999E-4</v>
      </c>
      <c r="R105">
        <v>2.1499999999999999E-4</v>
      </c>
      <c r="S105">
        <v>2.1499999999999999E-4</v>
      </c>
      <c r="T105">
        <v>2.1499999999999999E-4</v>
      </c>
      <c r="U105">
        <v>2.1499999999999999E-4</v>
      </c>
      <c r="V105">
        <v>2.1499999999999999E-4</v>
      </c>
      <c r="W105">
        <v>2.1499999999999999E-4</v>
      </c>
      <c r="X105">
        <v>2.1499999999999999E-4</v>
      </c>
      <c r="Y105">
        <v>2.1499999999999999E-4</v>
      </c>
      <c r="Z105">
        <v>2.1499999999999999E-4</v>
      </c>
      <c r="AA105">
        <v>2.1499999999999999E-4</v>
      </c>
      <c r="AB105">
        <v>2.1499999999999999E-4</v>
      </c>
      <c r="AC105">
        <v>2.1499999999999999E-4</v>
      </c>
      <c r="AD105">
        <v>2.1499999999999999E-4</v>
      </c>
      <c r="AE105">
        <v>2.1499999999999999E-4</v>
      </c>
      <c r="AF105">
        <v>2.1499999999999999E-4</v>
      </c>
      <c r="AG105">
        <v>2.1499999999999999E-4</v>
      </c>
      <c r="AH105">
        <v>2.1499999999999999E-4</v>
      </c>
      <c r="AI105">
        <v>2.1499999999999999E-4</v>
      </c>
      <c r="AJ105">
        <v>2.1499999999999999E-4</v>
      </c>
      <c r="AK105">
        <v>2.1499999999999999E-4</v>
      </c>
      <c r="AL105">
        <v>2.1499999999999999E-4</v>
      </c>
      <c r="AM105">
        <v>2.1499999999999999E-4</v>
      </c>
      <c r="AN105">
        <v>2.1499999999999999E-4</v>
      </c>
      <c r="AO105">
        <v>2.1499999999999999E-4</v>
      </c>
      <c r="AP105">
        <v>8.1800000000000004E-4</v>
      </c>
      <c r="AQ105">
        <v>8.1800000000000004E-4</v>
      </c>
      <c r="AR105">
        <v>8.1800000000000004E-4</v>
      </c>
      <c r="AS105">
        <v>8.1800000000000004E-4</v>
      </c>
      <c r="AT105">
        <v>8.1800000000000004E-4</v>
      </c>
      <c r="AU105">
        <v>1.0529999999999999E-3</v>
      </c>
      <c r="AV105">
        <v>1.0529999999999999E-3</v>
      </c>
      <c r="AW105">
        <v>1.0529999999999999E-3</v>
      </c>
      <c r="AX105">
        <v>1.0529999999999999E-3</v>
      </c>
      <c r="AY105">
        <v>1.0529999999999999E-3</v>
      </c>
      <c r="AZ105">
        <v>1.2570000000000001E-3</v>
      </c>
      <c r="BA105">
        <v>1.2570000000000001E-3</v>
      </c>
      <c r="BB105">
        <v>1.2570000000000001E-3</v>
      </c>
      <c r="BC105">
        <v>1.2570000000000001E-3</v>
      </c>
      <c r="BD105">
        <v>1.2570000000000001E-3</v>
      </c>
      <c r="BE105">
        <v>1.4239999999999999E-3</v>
      </c>
      <c r="BF105">
        <v>1.4239999999999999E-3</v>
      </c>
      <c r="BG105">
        <v>1.4239999999999999E-3</v>
      </c>
      <c r="BH105">
        <v>1.4239999999999999E-3</v>
      </c>
      <c r="BI105">
        <v>1.4239999999999999E-3</v>
      </c>
      <c r="BJ105">
        <v>1.5659999999999999E-3</v>
      </c>
      <c r="BK105">
        <v>1.5659999999999999E-3</v>
      </c>
      <c r="BL105">
        <v>1.5659999999999999E-3</v>
      </c>
      <c r="BM105">
        <v>1.5659999999999999E-3</v>
      </c>
      <c r="BN105">
        <v>1.5659999999999999E-3</v>
      </c>
      <c r="BO105">
        <v>1.691E-3</v>
      </c>
      <c r="BP105">
        <v>1.691E-3</v>
      </c>
      <c r="BQ105">
        <v>1.691E-3</v>
      </c>
      <c r="BR105">
        <v>1.691E-3</v>
      </c>
      <c r="BS105">
        <v>1.691E-3</v>
      </c>
      <c r="BT105">
        <v>1.789E-3</v>
      </c>
      <c r="BU105">
        <v>1.789E-3</v>
      </c>
      <c r="BV105">
        <v>1.789E-3</v>
      </c>
      <c r="BW105">
        <v>1.789E-3</v>
      </c>
      <c r="BX105">
        <v>1.789E-3</v>
      </c>
      <c r="BY105">
        <v>1.8760000000000001E-3</v>
      </c>
      <c r="BZ105">
        <v>1.8760000000000001E-3</v>
      </c>
      <c r="CA105">
        <v>1.8760000000000001E-3</v>
      </c>
      <c r="CB105">
        <v>1.8760000000000001E-3</v>
      </c>
      <c r="CC105">
        <v>1.8760000000000001E-3</v>
      </c>
      <c r="CD105">
        <v>1.8760000000000001E-3</v>
      </c>
      <c r="CE105">
        <v>1.8760000000000001E-3</v>
      </c>
      <c r="CF105">
        <v>1.8760000000000001E-3</v>
      </c>
      <c r="CG105">
        <v>1.8760000000000001E-3</v>
      </c>
      <c r="CH105">
        <v>1.8760000000000001E-3</v>
      </c>
      <c r="CI105">
        <v>1.8760000000000001E-3</v>
      </c>
      <c r="CJ105">
        <v>1.8760000000000001E-3</v>
      </c>
      <c r="CK105">
        <v>1.8760000000000001E-3</v>
      </c>
      <c r="CL105">
        <v>1.8760000000000001E-3</v>
      </c>
      <c r="CM105">
        <v>1.8760000000000001E-3</v>
      </c>
      <c r="CN105">
        <v>1.8760000000000001E-3</v>
      </c>
      <c r="CO105">
        <v>1.8760000000000001E-3</v>
      </c>
      <c r="CP105">
        <v>1.8760000000000001E-3</v>
      </c>
      <c r="CQ105">
        <v>1.8760000000000001E-3</v>
      </c>
      <c r="CR105">
        <v>1.8760000000000001E-3</v>
      </c>
      <c r="CS105">
        <v>1.8760000000000001E-3</v>
      </c>
      <c r="CT105">
        <v>1.8760000000000001E-3</v>
      </c>
      <c r="CU105">
        <v>1.8760000000000001E-3</v>
      </c>
      <c r="CV105">
        <v>1.8760000000000001E-3</v>
      </c>
      <c r="CW105">
        <v>1.8760000000000001E-3</v>
      </c>
      <c r="CX105">
        <v>1.8760000000000001E-3</v>
      </c>
    </row>
    <row r="106" spans="1:102" x14ac:dyDescent="0.25">
      <c r="A106" t="s">
        <v>277</v>
      </c>
      <c r="B106" t="e">
        <v>#VALUE!</v>
      </c>
      <c r="C106" t="e">
        <v>#VALUE!</v>
      </c>
      <c r="D106" t="e">
        <v>#VALUE!</v>
      </c>
      <c r="E106" t="e">
        <v>#VALUE!</v>
      </c>
      <c r="F106" t="e">
        <v>#VALUE!</v>
      </c>
      <c r="G106" t="e">
        <v>#VALUE!</v>
      </c>
      <c r="H106" t="e">
        <v>#VALUE!</v>
      </c>
      <c r="I106" t="e">
        <v>#VALUE!</v>
      </c>
      <c r="J106" t="e">
        <v>#VALUE!</v>
      </c>
      <c r="K106" t="e">
        <v>#VALUE!</v>
      </c>
      <c r="L106" t="e">
        <v>#VALUE!</v>
      </c>
      <c r="M106" t="e">
        <v>#VALUE!</v>
      </c>
      <c r="N106" t="e">
        <v>#VALUE!</v>
      </c>
      <c r="O106" t="e">
        <v>#VALUE!</v>
      </c>
      <c r="P106" t="e">
        <v>#VALUE!</v>
      </c>
      <c r="Q106">
        <v>7.9999999999999996E-6</v>
      </c>
      <c r="R106">
        <v>7.9999999999999996E-6</v>
      </c>
      <c r="S106">
        <v>7.9999999999999996E-6</v>
      </c>
      <c r="T106">
        <v>7.9999999999999996E-6</v>
      </c>
      <c r="U106">
        <v>7.9999999999999996E-6</v>
      </c>
      <c r="V106">
        <v>7.9999999999999996E-6</v>
      </c>
      <c r="W106">
        <v>7.9999999999999996E-6</v>
      </c>
      <c r="X106">
        <v>7.9999999999999996E-6</v>
      </c>
      <c r="Y106">
        <v>7.9999999999999996E-6</v>
      </c>
      <c r="Z106">
        <v>7.9999999999999996E-6</v>
      </c>
      <c r="AA106">
        <v>7.9999999999999996E-6</v>
      </c>
      <c r="AB106">
        <v>7.9999999999999996E-6</v>
      </c>
      <c r="AC106">
        <v>7.9999999999999996E-6</v>
      </c>
      <c r="AD106">
        <v>7.9999999999999996E-6</v>
      </c>
      <c r="AE106">
        <v>7.9999999999999996E-6</v>
      </c>
      <c r="AF106">
        <v>7.9999999999999996E-6</v>
      </c>
      <c r="AG106">
        <v>7.9999999999999996E-6</v>
      </c>
      <c r="AH106">
        <v>7.9999999999999996E-6</v>
      </c>
      <c r="AI106">
        <v>7.9999999999999996E-6</v>
      </c>
      <c r="AJ106">
        <v>7.9999999999999996E-6</v>
      </c>
      <c r="AK106">
        <v>7.9999999999999996E-6</v>
      </c>
      <c r="AL106">
        <v>7.9999999999999996E-6</v>
      </c>
      <c r="AM106">
        <v>7.9999999999999996E-6</v>
      </c>
      <c r="AN106">
        <v>7.9999999999999996E-6</v>
      </c>
      <c r="AO106">
        <v>7.9999999999999996E-6</v>
      </c>
      <c r="AP106">
        <v>5.5000000000000002E-5</v>
      </c>
      <c r="AQ106">
        <v>5.5000000000000002E-5</v>
      </c>
      <c r="AR106">
        <v>5.5000000000000002E-5</v>
      </c>
      <c r="AS106">
        <v>5.5000000000000002E-5</v>
      </c>
      <c r="AT106">
        <v>5.5000000000000002E-5</v>
      </c>
      <c r="AU106">
        <v>8.7999999999999998E-5</v>
      </c>
      <c r="AV106">
        <v>8.7999999999999998E-5</v>
      </c>
      <c r="AW106">
        <v>8.7999999999999998E-5</v>
      </c>
      <c r="AX106">
        <v>8.7999999999999998E-5</v>
      </c>
      <c r="AY106">
        <v>8.7999999999999998E-5</v>
      </c>
      <c r="AZ106">
        <v>1.1900000000000001E-4</v>
      </c>
      <c r="BA106">
        <v>1.1900000000000001E-4</v>
      </c>
      <c r="BB106">
        <v>1.1900000000000001E-4</v>
      </c>
      <c r="BC106">
        <v>1.1900000000000001E-4</v>
      </c>
      <c r="BD106">
        <v>1.1900000000000001E-4</v>
      </c>
      <c r="BE106">
        <v>1.44E-4</v>
      </c>
      <c r="BF106">
        <v>1.44E-4</v>
      </c>
      <c r="BG106">
        <v>1.44E-4</v>
      </c>
      <c r="BH106">
        <v>1.44E-4</v>
      </c>
      <c r="BI106">
        <v>1.44E-4</v>
      </c>
      <c r="BJ106">
        <v>1.7100000000000001E-4</v>
      </c>
      <c r="BK106">
        <v>1.7100000000000001E-4</v>
      </c>
      <c r="BL106">
        <v>1.7100000000000001E-4</v>
      </c>
      <c r="BM106">
        <v>1.7100000000000001E-4</v>
      </c>
      <c r="BN106">
        <v>1.7100000000000001E-4</v>
      </c>
      <c r="BO106">
        <v>2.03E-4</v>
      </c>
      <c r="BP106">
        <v>2.03E-4</v>
      </c>
      <c r="BQ106">
        <v>2.03E-4</v>
      </c>
      <c r="BR106">
        <v>2.03E-4</v>
      </c>
      <c r="BS106">
        <v>2.03E-4</v>
      </c>
      <c r="BT106">
        <v>2.43E-4</v>
      </c>
      <c r="BU106">
        <v>2.43E-4</v>
      </c>
      <c r="BV106">
        <v>2.43E-4</v>
      </c>
      <c r="BW106">
        <v>2.43E-4</v>
      </c>
      <c r="BX106">
        <v>2.43E-4</v>
      </c>
      <c r="BY106">
        <v>2.8899999999999998E-4</v>
      </c>
      <c r="BZ106">
        <v>2.8899999999999998E-4</v>
      </c>
      <c r="CA106">
        <v>2.8899999999999998E-4</v>
      </c>
      <c r="CB106">
        <v>2.8899999999999998E-4</v>
      </c>
      <c r="CC106">
        <v>2.8899999999999998E-4</v>
      </c>
      <c r="CD106">
        <v>2.8899999999999998E-4</v>
      </c>
      <c r="CE106">
        <v>2.8899999999999998E-4</v>
      </c>
      <c r="CF106">
        <v>2.8899999999999998E-4</v>
      </c>
      <c r="CG106">
        <v>2.8899999999999998E-4</v>
      </c>
      <c r="CH106">
        <v>2.8899999999999998E-4</v>
      </c>
      <c r="CI106">
        <v>2.8899999999999998E-4</v>
      </c>
      <c r="CJ106">
        <v>2.8899999999999998E-4</v>
      </c>
      <c r="CK106">
        <v>2.8899999999999998E-4</v>
      </c>
      <c r="CL106">
        <v>2.8899999999999998E-4</v>
      </c>
      <c r="CM106">
        <v>2.8899999999999998E-4</v>
      </c>
      <c r="CN106">
        <v>2.8899999999999998E-4</v>
      </c>
      <c r="CO106">
        <v>2.8899999999999998E-4</v>
      </c>
      <c r="CP106">
        <v>2.8899999999999998E-4</v>
      </c>
      <c r="CQ106">
        <v>2.8899999999999998E-4</v>
      </c>
      <c r="CR106">
        <v>2.8899999999999998E-4</v>
      </c>
      <c r="CS106">
        <v>2.8899999999999998E-4</v>
      </c>
      <c r="CT106">
        <v>2.8899999999999998E-4</v>
      </c>
      <c r="CU106">
        <v>2.8899999999999998E-4</v>
      </c>
      <c r="CV106">
        <v>2.8899999999999998E-4</v>
      </c>
      <c r="CW106">
        <v>2.8899999999999998E-4</v>
      </c>
      <c r="CX106">
        <v>2.8899999999999998E-4</v>
      </c>
    </row>
    <row r="107" spans="1:102" x14ac:dyDescent="0.25">
      <c r="A107" t="s">
        <v>279</v>
      </c>
      <c r="B107" t="e">
        <v>#VALUE!</v>
      </c>
      <c r="C107" t="e">
        <v>#VALUE!</v>
      </c>
      <c r="D107" t="e">
        <v>#VALUE!</v>
      </c>
      <c r="E107" t="e">
        <v>#VALUE!</v>
      </c>
      <c r="F107" t="e">
        <v>#VALUE!</v>
      </c>
      <c r="G107" t="e">
        <v>#VALUE!</v>
      </c>
      <c r="H107" t="e">
        <v>#VALUE!</v>
      </c>
      <c r="I107" t="e">
        <v>#VALUE!</v>
      </c>
      <c r="J107" t="e">
        <v>#VALUE!</v>
      </c>
      <c r="K107" t="e">
        <v>#VALUE!</v>
      </c>
      <c r="L107" t="e">
        <v>#VALUE!</v>
      </c>
      <c r="M107" t="e">
        <v>#VALUE!</v>
      </c>
      <c r="N107" t="e">
        <v>#VALUE!</v>
      </c>
      <c r="O107" t="e">
        <v>#VALUE!</v>
      </c>
      <c r="P107" t="e">
        <v>#VALUE!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1.18E-4</v>
      </c>
      <c r="AV107">
        <v>1.18E-4</v>
      </c>
      <c r="AW107">
        <v>1.18E-4</v>
      </c>
      <c r="AX107">
        <v>1.18E-4</v>
      </c>
      <c r="AY107">
        <v>1.18E-4</v>
      </c>
      <c r="AZ107">
        <v>1.44E-4</v>
      </c>
      <c r="BA107">
        <v>1.44E-4</v>
      </c>
      <c r="BB107">
        <v>1.44E-4</v>
      </c>
      <c r="BC107">
        <v>1.44E-4</v>
      </c>
      <c r="BD107">
        <v>1.44E-4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3.6000000000000002E-4</v>
      </c>
      <c r="BK107">
        <v>3.6000000000000002E-4</v>
      </c>
      <c r="BL107">
        <v>3.6000000000000002E-4</v>
      </c>
      <c r="BM107">
        <v>3.6000000000000002E-4</v>
      </c>
      <c r="BN107">
        <v>3.6000000000000002E-4</v>
      </c>
      <c r="BO107">
        <v>3.7199999999999999E-4</v>
      </c>
      <c r="BP107">
        <v>3.7199999999999999E-4</v>
      </c>
      <c r="BQ107">
        <v>3.7199999999999999E-4</v>
      </c>
      <c r="BR107">
        <v>3.7199999999999999E-4</v>
      </c>
      <c r="BS107">
        <v>3.7199999999999999E-4</v>
      </c>
      <c r="BT107">
        <v>3.7800000000000003E-4</v>
      </c>
      <c r="BU107">
        <v>3.7800000000000003E-4</v>
      </c>
      <c r="BV107">
        <v>3.7800000000000003E-4</v>
      </c>
      <c r="BW107">
        <v>3.7800000000000003E-4</v>
      </c>
      <c r="BX107">
        <v>3.7800000000000003E-4</v>
      </c>
      <c r="BY107">
        <v>3.7199999999999999E-4</v>
      </c>
      <c r="BZ107">
        <v>3.7199999999999999E-4</v>
      </c>
      <c r="CA107">
        <v>3.7199999999999999E-4</v>
      </c>
      <c r="CB107">
        <v>3.7199999999999999E-4</v>
      </c>
      <c r="CC107">
        <v>3.7199999999999999E-4</v>
      </c>
      <c r="CD107">
        <v>3.7199999999999999E-4</v>
      </c>
      <c r="CE107">
        <v>3.7199999999999999E-4</v>
      </c>
      <c r="CF107">
        <v>3.7199999999999999E-4</v>
      </c>
      <c r="CG107">
        <v>3.7199999999999999E-4</v>
      </c>
      <c r="CH107">
        <v>3.7199999999999999E-4</v>
      </c>
      <c r="CI107">
        <v>3.7199999999999999E-4</v>
      </c>
      <c r="CJ107">
        <v>3.7199999999999999E-4</v>
      </c>
      <c r="CK107">
        <v>3.7199999999999999E-4</v>
      </c>
      <c r="CL107">
        <v>3.7199999999999999E-4</v>
      </c>
      <c r="CM107">
        <v>3.7199999999999999E-4</v>
      </c>
      <c r="CN107">
        <v>3.7199999999999999E-4</v>
      </c>
      <c r="CO107">
        <v>3.7199999999999999E-4</v>
      </c>
      <c r="CP107">
        <v>3.7199999999999999E-4</v>
      </c>
      <c r="CQ107">
        <v>3.7199999999999999E-4</v>
      </c>
      <c r="CR107">
        <v>3.7199999999999999E-4</v>
      </c>
      <c r="CS107">
        <v>3.7199999999999999E-4</v>
      </c>
      <c r="CT107">
        <v>3.7199999999999999E-4</v>
      </c>
      <c r="CU107">
        <v>3.7199999999999999E-4</v>
      </c>
      <c r="CV107">
        <v>3.7199999999999999E-4</v>
      </c>
      <c r="CW107">
        <v>3.7199999999999999E-4</v>
      </c>
      <c r="CX107">
        <v>3.7199999999999999E-4</v>
      </c>
    </row>
    <row r="108" spans="1:102" x14ac:dyDescent="0.25">
      <c r="A108" t="s">
        <v>281</v>
      </c>
      <c r="B108" t="e">
        <v>#VALUE!</v>
      </c>
      <c r="C108" t="e">
        <v>#VALUE!</v>
      </c>
      <c r="D108" t="e">
        <v>#VALUE!</v>
      </c>
      <c r="E108" t="e">
        <v>#VALUE!</v>
      </c>
      <c r="F108" t="e">
        <v>#VALUE!</v>
      </c>
      <c r="G108" t="e">
        <v>#VALUE!</v>
      </c>
      <c r="H108" t="e">
        <v>#VALUE!</v>
      </c>
      <c r="I108" t="e">
        <v>#VALUE!</v>
      </c>
      <c r="J108" t="e">
        <v>#VALUE!</v>
      </c>
      <c r="K108" t="e">
        <v>#VALUE!</v>
      </c>
      <c r="L108" t="e">
        <v>#VALUE!</v>
      </c>
      <c r="M108" t="e">
        <v>#VALUE!</v>
      </c>
      <c r="N108" t="e">
        <v>#VALUE!</v>
      </c>
      <c r="O108" t="e">
        <v>#VALUE!</v>
      </c>
      <c r="P108" t="e">
        <v>#VALUE!</v>
      </c>
      <c r="Q108">
        <v>5.1E-5</v>
      </c>
      <c r="R108">
        <v>5.1E-5</v>
      </c>
      <c r="S108">
        <v>5.1E-5</v>
      </c>
      <c r="T108">
        <v>5.1E-5</v>
      </c>
      <c r="U108">
        <v>5.1E-5</v>
      </c>
      <c r="V108">
        <v>5.1E-5</v>
      </c>
      <c r="W108">
        <v>5.1E-5</v>
      </c>
      <c r="X108">
        <v>5.1E-5</v>
      </c>
      <c r="Y108">
        <v>5.1E-5</v>
      </c>
      <c r="Z108">
        <v>5.1E-5</v>
      </c>
      <c r="AA108">
        <v>5.1E-5</v>
      </c>
      <c r="AB108">
        <v>5.1E-5</v>
      </c>
      <c r="AC108">
        <v>5.1E-5</v>
      </c>
      <c r="AD108">
        <v>5.1E-5</v>
      </c>
      <c r="AE108">
        <v>5.1E-5</v>
      </c>
      <c r="AF108">
        <v>5.1E-5</v>
      </c>
      <c r="AG108">
        <v>5.1E-5</v>
      </c>
      <c r="AH108">
        <v>5.1E-5</v>
      </c>
      <c r="AI108">
        <v>5.1E-5</v>
      </c>
      <c r="AJ108">
        <v>5.1E-5</v>
      </c>
      <c r="AK108">
        <v>5.1E-5</v>
      </c>
      <c r="AL108">
        <v>5.1E-5</v>
      </c>
      <c r="AM108">
        <v>5.1E-5</v>
      </c>
      <c r="AN108">
        <v>5.1E-5</v>
      </c>
      <c r="AO108">
        <v>5.1E-5</v>
      </c>
      <c r="AP108">
        <v>3.8099999999999999E-4</v>
      </c>
      <c r="AQ108">
        <v>3.8099999999999999E-4</v>
      </c>
      <c r="AR108">
        <v>3.8099999999999999E-4</v>
      </c>
      <c r="AS108">
        <v>3.8099999999999999E-4</v>
      </c>
      <c r="AT108">
        <v>3.8099999999999999E-4</v>
      </c>
      <c r="AU108">
        <v>6.2600000000000004E-4</v>
      </c>
      <c r="AV108">
        <v>6.2600000000000004E-4</v>
      </c>
      <c r="AW108">
        <v>6.2600000000000004E-4</v>
      </c>
      <c r="AX108">
        <v>6.2600000000000004E-4</v>
      </c>
      <c r="AY108">
        <v>6.2600000000000004E-4</v>
      </c>
      <c r="AZ108">
        <v>8.9099999999999997E-4</v>
      </c>
      <c r="BA108">
        <v>8.9099999999999997E-4</v>
      </c>
      <c r="BB108">
        <v>8.9099999999999997E-4</v>
      </c>
      <c r="BC108">
        <v>8.9099999999999997E-4</v>
      </c>
      <c r="BD108">
        <v>8.9099999999999997E-4</v>
      </c>
      <c r="BE108">
        <v>1.142E-3</v>
      </c>
      <c r="BF108">
        <v>1.142E-3</v>
      </c>
      <c r="BG108">
        <v>1.142E-3</v>
      </c>
      <c r="BH108">
        <v>1.142E-3</v>
      </c>
      <c r="BI108">
        <v>1.142E-3</v>
      </c>
      <c r="BJ108">
        <v>1.3359999999999999E-3</v>
      </c>
      <c r="BK108">
        <v>1.3359999999999999E-3</v>
      </c>
      <c r="BL108">
        <v>1.3359999999999999E-3</v>
      </c>
      <c r="BM108">
        <v>1.3359999999999999E-3</v>
      </c>
      <c r="BN108">
        <v>1.3359999999999999E-3</v>
      </c>
      <c r="BO108">
        <v>1.4239999999999999E-3</v>
      </c>
      <c r="BP108">
        <v>1.4239999999999999E-3</v>
      </c>
      <c r="BQ108">
        <v>1.4239999999999999E-3</v>
      </c>
      <c r="BR108">
        <v>1.4239999999999999E-3</v>
      </c>
      <c r="BS108">
        <v>1.4239999999999999E-3</v>
      </c>
      <c r="BT108">
        <v>1.4220000000000001E-3</v>
      </c>
      <c r="BU108">
        <v>1.4220000000000001E-3</v>
      </c>
      <c r="BV108">
        <v>1.4220000000000001E-3</v>
      </c>
      <c r="BW108">
        <v>1.4220000000000001E-3</v>
      </c>
      <c r="BX108">
        <v>1.4220000000000001E-3</v>
      </c>
      <c r="BY108">
        <v>1.325E-3</v>
      </c>
      <c r="BZ108">
        <v>1.325E-3</v>
      </c>
      <c r="CA108">
        <v>1.325E-3</v>
      </c>
      <c r="CB108">
        <v>1.325E-3</v>
      </c>
      <c r="CC108">
        <v>1.325E-3</v>
      </c>
      <c r="CD108">
        <v>1.325E-3</v>
      </c>
      <c r="CE108">
        <v>1.325E-3</v>
      </c>
      <c r="CF108">
        <v>1.325E-3</v>
      </c>
      <c r="CG108">
        <v>1.325E-3</v>
      </c>
      <c r="CH108">
        <v>1.325E-3</v>
      </c>
      <c r="CI108">
        <v>1.325E-3</v>
      </c>
      <c r="CJ108">
        <v>1.325E-3</v>
      </c>
      <c r="CK108">
        <v>1.325E-3</v>
      </c>
      <c r="CL108">
        <v>1.325E-3</v>
      </c>
      <c r="CM108">
        <v>1.325E-3</v>
      </c>
      <c r="CN108">
        <v>1.325E-3</v>
      </c>
      <c r="CO108">
        <v>1.325E-3</v>
      </c>
      <c r="CP108">
        <v>1.325E-3</v>
      </c>
      <c r="CQ108">
        <v>1.325E-3</v>
      </c>
      <c r="CR108">
        <v>1.325E-3</v>
      </c>
      <c r="CS108">
        <v>1.325E-3</v>
      </c>
      <c r="CT108">
        <v>1.325E-3</v>
      </c>
      <c r="CU108">
        <v>1.325E-3</v>
      </c>
      <c r="CV108">
        <v>1.325E-3</v>
      </c>
      <c r="CW108">
        <v>1.325E-3</v>
      </c>
      <c r="CX108">
        <v>1.325E-3</v>
      </c>
    </row>
    <row r="109" spans="1:102" x14ac:dyDescent="0.25">
      <c r="A109" t="s">
        <v>283</v>
      </c>
      <c r="B109" t="e">
        <v>#VALUE!</v>
      </c>
      <c r="C109" t="e">
        <v>#VALUE!</v>
      </c>
      <c r="D109" t="e">
        <v>#VALUE!</v>
      </c>
      <c r="E109" t="e">
        <v>#VALUE!</v>
      </c>
      <c r="F109" t="e">
        <v>#VALUE!</v>
      </c>
      <c r="G109" t="e">
        <v>#VALUE!</v>
      </c>
      <c r="H109" t="e">
        <v>#VALUE!</v>
      </c>
      <c r="I109" t="e">
        <v>#VALUE!</v>
      </c>
      <c r="J109" t="e">
        <v>#VALUE!</v>
      </c>
      <c r="K109" t="e">
        <v>#VALUE!</v>
      </c>
      <c r="L109" t="e">
        <v>#VALUE!</v>
      </c>
      <c r="M109" t="e">
        <v>#VALUE!</v>
      </c>
      <c r="N109" t="e">
        <v>#VALUE!</v>
      </c>
      <c r="O109" t="e">
        <v>#VALUE!</v>
      </c>
      <c r="P109" t="e">
        <v>#VALUE!</v>
      </c>
      <c r="Q109" t="e">
        <v>#VALUE!</v>
      </c>
      <c r="R109" t="e">
        <v>#VALUE!</v>
      </c>
      <c r="S109" t="e">
        <v>#VALUE!</v>
      </c>
      <c r="T109" t="e">
        <v>#VALUE!</v>
      </c>
      <c r="U109" t="e">
        <v>#VALUE!</v>
      </c>
      <c r="V109" t="e">
        <v>#VALUE!</v>
      </c>
      <c r="W109" t="e">
        <v>#VALUE!</v>
      </c>
      <c r="X109" t="e">
        <v>#VALUE!</v>
      </c>
      <c r="Y109" t="e">
        <v>#VALUE!</v>
      </c>
      <c r="Z109" t="e">
        <v>#VALUE!</v>
      </c>
      <c r="AA109" t="e">
        <v>#VALUE!</v>
      </c>
      <c r="AB109" t="e">
        <v>#VALUE!</v>
      </c>
      <c r="AC109" t="e">
        <v>#VALUE!</v>
      </c>
      <c r="AD109" t="e">
        <v>#VALUE!</v>
      </c>
      <c r="AE109" t="e">
        <v>#VALUE!</v>
      </c>
      <c r="AF109" t="e">
        <v>#VALUE!</v>
      </c>
      <c r="AG109" t="e">
        <v>#VALUE!</v>
      </c>
      <c r="AH109" t="e">
        <v>#VALUE!</v>
      </c>
      <c r="AI109" t="e">
        <v>#VALUE!</v>
      </c>
      <c r="AJ109" t="e">
        <v>#VALUE!</v>
      </c>
      <c r="AK109" t="e">
        <v>#VALUE!</v>
      </c>
      <c r="AL109" t="e">
        <v>#VALUE!</v>
      </c>
      <c r="AM109" t="e">
        <v>#VALUE!</v>
      </c>
      <c r="AN109" t="e">
        <v>#VALUE!</v>
      </c>
      <c r="AO109" t="e">
        <v>#VALUE!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6.4999999999999994E-5</v>
      </c>
      <c r="BF109">
        <v>6.4999999999999994E-5</v>
      </c>
      <c r="BG109">
        <v>6.4999999999999994E-5</v>
      </c>
      <c r="BH109">
        <v>6.4999999999999994E-5</v>
      </c>
      <c r="BI109">
        <v>6.4999999999999994E-5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6.0999999999999999E-5</v>
      </c>
      <c r="BZ109">
        <v>6.0999999999999999E-5</v>
      </c>
      <c r="CA109">
        <v>6.0999999999999999E-5</v>
      </c>
      <c r="CB109">
        <v>6.0999999999999999E-5</v>
      </c>
      <c r="CC109">
        <v>6.0999999999999999E-5</v>
      </c>
      <c r="CD109">
        <v>6.0999999999999999E-5</v>
      </c>
      <c r="CE109">
        <v>6.0999999999999999E-5</v>
      </c>
      <c r="CF109">
        <v>6.0999999999999999E-5</v>
      </c>
      <c r="CG109">
        <v>6.0999999999999999E-5</v>
      </c>
      <c r="CH109">
        <v>6.0999999999999999E-5</v>
      </c>
      <c r="CI109">
        <v>6.0999999999999999E-5</v>
      </c>
      <c r="CJ109">
        <v>6.0999999999999999E-5</v>
      </c>
      <c r="CK109">
        <v>6.0999999999999999E-5</v>
      </c>
      <c r="CL109">
        <v>6.0999999999999999E-5</v>
      </c>
      <c r="CM109">
        <v>6.0999999999999999E-5</v>
      </c>
      <c r="CN109">
        <v>6.0999999999999999E-5</v>
      </c>
      <c r="CO109">
        <v>6.0999999999999999E-5</v>
      </c>
      <c r="CP109">
        <v>6.0999999999999999E-5</v>
      </c>
      <c r="CQ109">
        <v>6.0999999999999999E-5</v>
      </c>
      <c r="CR109">
        <v>6.0999999999999999E-5</v>
      </c>
      <c r="CS109">
        <v>6.0999999999999999E-5</v>
      </c>
      <c r="CT109">
        <v>6.0999999999999999E-5</v>
      </c>
      <c r="CU109">
        <v>6.0999999999999999E-5</v>
      </c>
      <c r="CV109">
        <v>6.0999999999999999E-5</v>
      </c>
      <c r="CW109">
        <v>6.0999999999999999E-5</v>
      </c>
      <c r="CX109">
        <v>6.0999999999999999E-5</v>
      </c>
    </row>
    <row r="110" spans="1:102" x14ac:dyDescent="0.25">
      <c r="A110" t="s">
        <v>285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1.2999999999999999E-5</v>
      </c>
      <c r="R110">
        <v>1.2999999999999999E-5</v>
      </c>
      <c r="S110">
        <v>1.2999999999999999E-5</v>
      </c>
      <c r="T110">
        <v>1.2999999999999999E-5</v>
      </c>
      <c r="U110">
        <v>1.2999999999999999E-5</v>
      </c>
      <c r="V110">
        <v>1.2999999999999999E-5</v>
      </c>
      <c r="W110">
        <v>1.2999999999999999E-5</v>
      </c>
      <c r="X110">
        <v>1.2999999999999999E-5</v>
      </c>
      <c r="Y110">
        <v>1.2999999999999999E-5</v>
      </c>
      <c r="Z110">
        <v>1.2999999999999999E-5</v>
      </c>
      <c r="AA110">
        <v>1.2999999999999999E-5</v>
      </c>
      <c r="AB110">
        <v>1.2999999999999999E-5</v>
      </c>
      <c r="AC110">
        <v>1.2999999999999999E-5</v>
      </c>
      <c r="AD110">
        <v>1.2999999999999999E-5</v>
      </c>
      <c r="AE110">
        <v>1.2999999999999999E-5</v>
      </c>
      <c r="AF110">
        <v>1.2999999999999999E-5</v>
      </c>
      <c r="AG110">
        <v>1.2999999999999999E-5</v>
      </c>
      <c r="AH110">
        <v>1.2999999999999999E-5</v>
      </c>
      <c r="AI110">
        <v>1.2999999999999999E-5</v>
      </c>
      <c r="AJ110">
        <v>1.2999999999999999E-5</v>
      </c>
      <c r="AK110">
        <v>1.2999999999999999E-5</v>
      </c>
      <c r="AL110">
        <v>1.2999999999999999E-5</v>
      </c>
      <c r="AM110">
        <v>1.2999999999999999E-5</v>
      </c>
      <c r="AN110">
        <v>1.2999999999999999E-5</v>
      </c>
      <c r="AO110">
        <v>1.2999999999999999E-5</v>
      </c>
      <c r="AP110">
        <v>5.1E-5</v>
      </c>
      <c r="AQ110">
        <v>5.1E-5</v>
      </c>
      <c r="AR110">
        <v>5.1E-5</v>
      </c>
      <c r="AS110">
        <v>5.1E-5</v>
      </c>
      <c r="AT110">
        <v>5.1E-5</v>
      </c>
      <c r="AU110">
        <v>6.9999999999999994E-5</v>
      </c>
      <c r="AV110">
        <v>6.9999999999999994E-5</v>
      </c>
      <c r="AW110">
        <v>6.9999999999999994E-5</v>
      </c>
      <c r="AX110">
        <v>6.9999999999999994E-5</v>
      </c>
      <c r="AY110">
        <v>6.9999999999999994E-5</v>
      </c>
      <c r="AZ110">
        <v>8.7999999999999998E-5</v>
      </c>
      <c r="BA110">
        <v>8.7999999999999998E-5</v>
      </c>
      <c r="BB110">
        <v>8.7999999999999998E-5</v>
      </c>
      <c r="BC110">
        <v>8.7999999999999998E-5</v>
      </c>
      <c r="BD110">
        <v>8.7999999999999998E-5</v>
      </c>
      <c r="BE110">
        <v>9.7E-5</v>
      </c>
      <c r="BF110">
        <v>9.7E-5</v>
      </c>
      <c r="BG110">
        <v>9.7E-5</v>
      </c>
      <c r="BH110">
        <v>9.7E-5</v>
      </c>
      <c r="BI110">
        <v>9.7E-5</v>
      </c>
      <c r="BJ110">
        <v>1.06E-4</v>
      </c>
      <c r="BK110">
        <v>1.06E-4</v>
      </c>
      <c r="BL110">
        <v>1.06E-4</v>
      </c>
      <c r="BM110">
        <v>1.06E-4</v>
      </c>
      <c r="BN110">
        <v>1.06E-4</v>
      </c>
      <c r="BO110">
        <v>1.2E-4</v>
      </c>
      <c r="BP110">
        <v>1.2E-4</v>
      </c>
      <c r="BQ110">
        <v>1.2E-4</v>
      </c>
      <c r="BR110">
        <v>1.2E-4</v>
      </c>
      <c r="BS110">
        <v>1.2E-4</v>
      </c>
      <c r="BT110">
        <v>1.4300000000000001E-4</v>
      </c>
      <c r="BU110">
        <v>1.4300000000000001E-4</v>
      </c>
      <c r="BV110">
        <v>1.4300000000000001E-4</v>
      </c>
      <c r="BW110">
        <v>1.4300000000000001E-4</v>
      </c>
      <c r="BX110">
        <v>1.4300000000000001E-4</v>
      </c>
      <c r="BY110">
        <v>2.2100000000000001E-4</v>
      </c>
      <c r="BZ110">
        <v>2.2100000000000001E-4</v>
      </c>
      <c r="CA110">
        <v>2.2100000000000001E-4</v>
      </c>
      <c r="CB110">
        <v>2.2100000000000001E-4</v>
      </c>
      <c r="CC110">
        <v>2.2100000000000001E-4</v>
      </c>
      <c r="CD110">
        <v>2.2100000000000001E-4</v>
      </c>
      <c r="CE110">
        <v>2.2100000000000001E-4</v>
      </c>
      <c r="CF110">
        <v>2.2100000000000001E-4</v>
      </c>
      <c r="CG110">
        <v>2.2100000000000001E-4</v>
      </c>
      <c r="CH110">
        <v>2.2100000000000001E-4</v>
      </c>
      <c r="CI110">
        <v>2.2100000000000001E-4</v>
      </c>
      <c r="CJ110">
        <v>2.2100000000000001E-4</v>
      </c>
      <c r="CK110">
        <v>2.2100000000000001E-4</v>
      </c>
      <c r="CL110">
        <v>2.2100000000000001E-4</v>
      </c>
      <c r="CM110">
        <v>2.2100000000000001E-4</v>
      </c>
      <c r="CN110">
        <v>2.2100000000000001E-4</v>
      </c>
      <c r="CO110">
        <v>2.2100000000000001E-4</v>
      </c>
      <c r="CP110">
        <v>2.2100000000000001E-4</v>
      </c>
      <c r="CQ110">
        <v>2.2100000000000001E-4</v>
      </c>
      <c r="CR110">
        <v>2.2100000000000001E-4</v>
      </c>
      <c r="CS110">
        <v>2.2100000000000001E-4</v>
      </c>
      <c r="CT110">
        <v>2.2100000000000001E-4</v>
      </c>
      <c r="CU110">
        <v>2.2100000000000001E-4</v>
      </c>
      <c r="CV110">
        <v>2.2100000000000001E-4</v>
      </c>
      <c r="CW110">
        <v>2.2100000000000001E-4</v>
      </c>
      <c r="CX110">
        <v>2.2100000000000001E-4</v>
      </c>
    </row>
    <row r="111" spans="1:102" x14ac:dyDescent="0.25">
      <c r="A111" t="s">
        <v>287</v>
      </c>
      <c r="B111" t="e">
        <v>#VALUE!</v>
      </c>
      <c r="C111" t="e">
        <v>#VALUE!</v>
      </c>
      <c r="D111" t="e">
        <v>#VALUE!</v>
      </c>
      <c r="E111" t="e">
        <v>#VALUE!</v>
      </c>
      <c r="F111" t="e">
        <v>#VALUE!</v>
      </c>
      <c r="G111" t="e">
        <v>#VALUE!</v>
      </c>
      <c r="H111" t="e">
        <v>#VALUE!</v>
      </c>
      <c r="I111" t="e">
        <v>#VALUE!</v>
      </c>
      <c r="J111" t="e">
        <v>#VALUE!</v>
      </c>
      <c r="K111" t="e">
        <v>#VALUE!</v>
      </c>
      <c r="L111" t="e">
        <v>#VALUE!</v>
      </c>
      <c r="M111" t="e">
        <v>#VALUE!</v>
      </c>
      <c r="N111" t="e">
        <v>#VALUE!</v>
      </c>
      <c r="O111" t="e">
        <v>#VALUE!</v>
      </c>
      <c r="P111" t="e">
        <v>#VALUE!</v>
      </c>
      <c r="Q111">
        <v>3.1000000000000001E-5</v>
      </c>
      <c r="R111">
        <v>3.1000000000000001E-5</v>
      </c>
      <c r="S111">
        <v>3.1000000000000001E-5</v>
      </c>
      <c r="T111">
        <v>3.1000000000000001E-5</v>
      </c>
      <c r="U111">
        <v>3.1000000000000001E-5</v>
      </c>
      <c r="V111">
        <v>3.1000000000000001E-5</v>
      </c>
      <c r="W111">
        <v>3.1000000000000001E-5</v>
      </c>
      <c r="X111">
        <v>3.1000000000000001E-5</v>
      </c>
      <c r="Y111">
        <v>3.1000000000000001E-5</v>
      </c>
      <c r="Z111">
        <v>3.1000000000000001E-5</v>
      </c>
      <c r="AA111">
        <v>3.1000000000000001E-5</v>
      </c>
      <c r="AB111">
        <v>3.1000000000000001E-5</v>
      </c>
      <c r="AC111">
        <v>3.1000000000000001E-5</v>
      </c>
      <c r="AD111">
        <v>3.1000000000000001E-5</v>
      </c>
      <c r="AE111">
        <v>3.1000000000000001E-5</v>
      </c>
      <c r="AF111">
        <v>3.1000000000000001E-5</v>
      </c>
      <c r="AG111">
        <v>3.1000000000000001E-5</v>
      </c>
      <c r="AH111">
        <v>3.1000000000000001E-5</v>
      </c>
      <c r="AI111">
        <v>3.1000000000000001E-5</v>
      </c>
      <c r="AJ111">
        <v>3.1000000000000001E-5</v>
      </c>
      <c r="AK111">
        <v>3.1000000000000001E-5</v>
      </c>
      <c r="AL111">
        <v>3.1000000000000001E-5</v>
      </c>
      <c r="AM111">
        <v>3.1000000000000001E-5</v>
      </c>
      <c r="AN111">
        <v>3.1000000000000001E-5</v>
      </c>
      <c r="AO111">
        <v>3.1000000000000001E-5</v>
      </c>
      <c r="AP111">
        <v>1.7699999999999999E-4</v>
      </c>
      <c r="AQ111">
        <v>1.7699999999999999E-4</v>
      </c>
      <c r="AR111">
        <v>1.7699999999999999E-4</v>
      </c>
      <c r="AS111">
        <v>1.7699999999999999E-4</v>
      </c>
      <c r="AT111">
        <v>1.7699999999999999E-4</v>
      </c>
      <c r="AU111">
        <v>2.7300000000000002E-4</v>
      </c>
      <c r="AV111">
        <v>2.7300000000000002E-4</v>
      </c>
      <c r="AW111">
        <v>2.7300000000000002E-4</v>
      </c>
      <c r="AX111">
        <v>2.7300000000000002E-4</v>
      </c>
      <c r="AY111">
        <v>2.7300000000000002E-4</v>
      </c>
      <c r="AZ111">
        <v>3.8900000000000002E-4</v>
      </c>
      <c r="BA111">
        <v>3.8900000000000002E-4</v>
      </c>
      <c r="BB111">
        <v>3.8900000000000002E-4</v>
      </c>
      <c r="BC111">
        <v>3.8900000000000002E-4</v>
      </c>
      <c r="BD111">
        <v>3.8900000000000002E-4</v>
      </c>
      <c r="BE111">
        <v>5.0699999999999996E-4</v>
      </c>
      <c r="BF111">
        <v>5.0699999999999996E-4</v>
      </c>
      <c r="BG111">
        <v>5.0699999999999996E-4</v>
      </c>
      <c r="BH111">
        <v>5.0699999999999996E-4</v>
      </c>
      <c r="BI111">
        <v>5.0699999999999996E-4</v>
      </c>
      <c r="BJ111">
        <v>6.5799999999999995E-4</v>
      </c>
      <c r="BK111">
        <v>6.5799999999999995E-4</v>
      </c>
      <c r="BL111">
        <v>6.5799999999999995E-4</v>
      </c>
      <c r="BM111">
        <v>6.5799999999999995E-4</v>
      </c>
      <c r="BN111">
        <v>6.5799999999999995E-4</v>
      </c>
      <c r="BO111">
        <v>7.9199999999999995E-4</v>
      </c>
      <c r="BP111">
        <v>7.9199999999999995E-4</v>
      </c>
      <c r="BQ111">
        <v>7.9199999999999995E-4</v>
      </c>
      <c r="BR111">
        <v>7.9199999999999995E-4</v>
      </c>
      <c r="BS111">
        <v>7.9199999999999995E-4</v>
      </c>
      <c r="BT111">
        <v>8.5800000000000004E-4</v>
      </c>
      <c r="BU111">
        <v>8.5800000000000004E-4</v>
      </c>
      <c r="BV111">
        <v>8.5800000000000004E-4</v>
      </c>
      <c r="BW111">
        <v>8.5800000000000004E-4</v>
      </c>
      <c r="BX111">
        <v>8.5800000000000004E-4</v>
      </c>
      <c r="BY111">
        <v>2.1410000000000001E-3</v>
      </c>
      <c r="BZ111">
        <v>2.1410000000000001E-3</v>
      </c>
      <c r="CA111">
        <v>2.1410000000000001E-3</v>
      </c>
      <c r="CB111">
        <v>2.1410000000000001E-3</v>
      </c>
      <c r="CC111">
        <v>2.1410000000000001E-3</v>
      </c>
      <c r="CD111">
        <v>2.1410000000000001E-3</v>
      </c>
      <c r="CE111">
        <v>2.1410000000000001E-3</v>
      </c>
      <c r="CF111">
        <v>2.1410000000000001E-3</v>
      </c>
      <c r="CG111">
        <v>2.1410000000000001E-3</v>
      </c>
      <c r="CH111">
        <v>2.1410000000000001E-3</v>
      </c>
      <c r="CI111">
        <v>2.1410000000000001E-3</v>
      </c>
      <c r="CJ111">
        <v>2.1410000000000001E-3</v>
      </c>
      <c r="CK111">
        <v>2.1410000000000001E-3</v>
      </c>
      <c r="CL111">
        <v>2.1410000000000001E-3</v>
      </c>
      <c r="CM111">
        <v>2.1410000000000001E-3</v>
      </c>
      <c r="CN111">
        <v>2.1410000000000001E-3</v>
      </c>
      <c r="CO111">
        <v>2.1410000000000001E-3</v>
      </c>
      <c r="CP111">
        <v>2.1410000000000001E-3</v>
      </c>
      <c r="CQ111">
        <v>2.1410000000000001E-3</v>
      </c>
      <c r="CR111">
        <v>2.1410000000000001E-3</v>
      </c>
      <c r="CS111">
        <v>2.1410000000000001E-3</v>
      </c>
      <c r="CT111">
        <v>2.1410000000000001E-3</v>
      </c>
      <c r="CU111">
        <v>2.1410000000000001E-3</v>
      </c>
      <c r="CV111">
        <v>2.1410000000000001E-3</v>
      </c>
      <c r="CW111">
        <v>2.1410000000000001E-3</v>
      </c>
      <c r="CX111">
        <v>2.1410000000000001E-3</v>
      </c>
    </row>
    <row r="112" spans="1:102" x14ac:dyDescent="0.25">
      <c r="A112" t="s">
        <v>289</v>
      </c>
      <c r="B112" t="e">
        <v>#VALUE!</v>
      </c>
      <c r="C112" t="e">
        <v>#VALUE!</v>
      </c>
      <c r="D112" t="e">
        <v>#VALUE!</v>
      </c>
      <c r="E112" t="e">
        <v>#VALUE!</v>
      </c>
      <c r="F112" t="e">
        <v>#VALUE!</v>
      </c>
      <c r="G112" t="e">
        <v>#VALUE!</v>
      </c>
      <c r="H112" t="e">
        <v>#VALUE!</v>
      </c>
      <c r="I112" t="e">
        <v>#VALUE!</v>
      </c>
      <c r="J112" t="e">
        <v>#VALUE!</v>
      </c>
      <c r="K112" t="e">
        <v>#VALUE!</v>
      </c>
      <c r="L112" t="e">
        <v>#VALUE!</v>
      </c>
      <c r="M112" t="e">
        <v>#VALUE!</v>
      </c>
      <c r="N112" t="e">
        <v>#VALUE!</v>
      </c>
      <c r="O112" t="e">
        <v>#VALUE!</v>
      </c>
      <c r="P112" t="e">
        <v>#VALUE!</v>
      </c>
      <c r="Q112">
        <v>1.2E-5</v>
      </c>
      <c r="R112">
        <v>1.2E-5</v>
      </c>
      <c r="S112">
        <v>1.2E-5</v>
      </c>
      <c r="T112">
        <v>1.2E-5</v>
      </c>
      <c r="U112">
        <v>1.2E-5</v>
      </c>
      <c r="V112">
        <v>1.2E-5</v>
      </c>
      <c r="W112">
        <v>1.2E-5</v>
      </c>
      <c r="X112">
        <v>1.2E-5</v>
      </c>
      <c r="Y112">
        <v>1.2E-5</v>
      </c>
      <c r="Z112">
        <v>1.2E-5</v>
      </c>
      <c r="AA112">
        <v>1.2E-5</v>
      </c>
      <c r="AB112">
        <v>1.2E-5</v>
      </c>
      <c r="AC112">
        <v>1.2E-5</v>
      </c>
      <c r="AD112">
        <v>1.2E-5</v>
      </c>
      <c r="AE112">
        <v>1.2E-5</v>
      </c>
      <c r="AF112">
        <v>1.2E-5</v>
      </c>
      <c r="AG112">
        <v>1.2E-5</v>
      </c>
      <c r="AH112">
        <v>1.2E-5</v>
      </c>
      <c r="AI112">
        <v>1.2E-5</v>
      </c>
      <c r="AJ112">
        <v>1.2E-5</v>
      </c>
      <c r="AK112">
        <v>1.2E-5</v>
      </c>
      <c r="AL112">
        <v>1.2E-5</v>
      </c>
      <c r="AM112">
        <v>1.2E-5</v>
      </c>
      <c r="AN112">
        <v>1.2E-5</v>
      </c>
      <c r="AO112">
        <v>1.2E-5</v>
      </c>
      <c r="AP112">
        <v>6.2000000000000003E-5</v>
      </c>
      <c r="AQ112">
        <v>6.2000000000000003E-5</v>
      </c>
      <c r="AR112">
        <v>6.2000000000000003E-5</v>
      </c>
      <c r="AS112">
        <v>6.2000000000000003E-5</v>
      </c>
      <c r="AT112">
        <v>6.2000000000000003E-5</v>
      </c>
      <c r="AU112">
        <v>9.2999999999999997E-5</v>
      </c>
      <c r="AV112">
        <v>9.2999999999999997E-5</v>
      </c>
      <c r="AW112">
        <v>9.2999999999999997E-5</v>
      </c>
      <c r="AX112">
        <v>9.2999999999999997E-5</v>
      </c>
      <c r="AY112">
        <v>9.2999999999999997E-5</v>
      </c>
      <c r="AZ112">
        <v>6.7000000000000002E-5</v>
      </c>
      <c r="BA112">
        <v>6.7000000000000002E-5</v>
      </c>
      <c r="BB112">
        <v>6.7000000000000002E-5</v>
      </c>
      <c r="BC112">
        <v>6.7000000000000002E-5</v>
      </c>
      <c r="BD112">
        <v>6.7000000000000002E-5</v>
      </c>
      <c r="BE112">
        <v>2.2599999999999999E-4</v>
      </c>
      <c r="BF112">
        <v>2.2599999999999999E-4</v>
      </c>
      <c r="BG112">
        <v>2.2599999999999999E-4</v>
      </c>
      <c r="BH112">
        <v>2.2599999999999999E-4</v>
      </c>
      <c r="BI112">
        <v>2.2599999999999999E-4</v>
      </c>
      <c r="BJ112">
        <v>2.32E-4</v>
      </c>
      <c r="BK112">
        <v>2.32E-4</v>
      </c>
      <c r="BL112">
        <v>2.32E-4</v>
      </c>
      <c r="BM112">
        <v>2.32E-4</v>
      </c>
      <c r="BN112">
        <v>2.32E-4</v>
      </c>
      <c r="BO112">
        <v>5.1400000000000003E-4</v>
      </c>
      <c r="BP112">
        <v>5.1400000000000003E-4</v>
      </c>
      <c r="BQ112">
        <v>5.1400000000000003E-4</v>
      </c>
      <c r="BR112">
        <v>5.1400000000000003E-4</v>
      </c>
      <c r="BS112">
        <v>5.1400000000000003E-4</v>
      </c>
      <c r="BT112">
        <v>7.1199999999999996E-4</v>
      </c>
      <c r="BU112">
        <v>7.1199999999999996E-4</v>
      </c>
      <c r="BV112">
        <v>7.1199999999999996E-4</v>
      </c>
      <c r="BW112">
        <v>7.1199999999999996E-4</v>
      </c>
      <c r="BX112">
        <v>7.1199999999999996E-4</v>
      </c>
      <c r="BY112">
        <v>8.5800000000000004E-4</v>
      </c>
      <c r="BZ112">
        <v>8.5800000000000004E-4</v>
      </c>
      <c r="CA112">
        <v>8.5800000000000004E-4</v>
      </c>
      <c r="CB112">
        <v>8.5800000000000004E-4</v>
      </c>
      <c r="CC112">
        <v>8.5800000000000004E-4</v>
      </c>
      <c r="CD112">
        <v>8.5800000000000004E-4</v>
      </c>
      <c r="CE112">
        <v>8.5800000000000004E-4</v>
      </c>
      <c r="CF112">
        <v>8.5800000000000004E-4</v>
      </c>
      <c r="CG112">
        <v>8.5800000000000004E-4</v>
      </c>
      <c r="CH112">
        <v>8.5800000000000004E-4</v>
      </c>
      <c r="CI112">
        <v>8.5800000000000004E-4</v>
      </c>
      <c r="CJ112">
        <v>8.5800000000000004E-4</v>
      </c>
      <c r="CK112">
        <v>8.5800000000000004E-4</v>
      </c>
      <c r="CL112">
        <v>8.5800000000000004E-4</v>
      </c>
      <c r="CM112">
        <v>8.5800000000000004E-4</v>
      </c>
      <c r="CN112">
        <v>8.5800000000000004E-4</v>
      </c>
      <c r="CO112">
        <v>8.5800000000000004E-4</v>
      </c>
      <c r="CP112">
        <v>8.5800000000000004E-4</v>
      </c>
      <c r="CQ112">
        <v>8.5800000000000004E-4</v>
      </c>
      <c r="CR112">
        <v>8.5800000000000004E-4</v>
      </c>
      <c r="CS112">
        <v>8.5800000000000004E-4</v>
      </c>
      <c r="CT112">
        <v>8.5800000000000004E-4</v>
      </c>
      <c r="CU112">
        <v>8.5800000000000004E-4</v>
      </c>
      <c r="CV112">
        <v>8.5800000000000004E-4</v>
      </c>
      <c r="CW112">
        <v>8.5800000000000004E-4</v>
      </c>
      <c r="CX112">
        <v>8.5800000000000004E-4</v>
      </c>
    </row>
    <row r="113" spans="1:102" x14ac:dyDescent="0.25">
      <c r="A113" t="s">
        <v>291</v>
      </c>
      <c r="B113" t="e">
        <v>#VALUE!</v>
      </c>
      <c r="C113" t="e">
        <v>#VALUE!</v>
      </c>
      <c r="D113" t="e">
        <v>#VALUE!</v>
      </c>
      <c r="E113" t="e">
        <v>#VALUE!</v>
      </c>
      <c r="F113" t="e">
        <v>#VALUE!</v>
      </c>
      <c r="G113" t="e">
        <v>#VALUE!</v>
      </c>
      <c r="H113" t="e">
        <v>#VALUE!</v>
      </c>
      <c r="I113" t="e">
        <v>#VALUE!</v>
      </c>
      <c r="J113" t="e">
        <v>#VALUE!</v>
      </c>
      <c r="K113" t="e">
        <v>#VALUE!</v>
      </c>
      <c r="L113" t="e">
        <v>#VALUE!</v>
      </c>
      <c r="M113" t="e">
        <v>#VALUE!</v>
      </c>
      <c r="N113" t="e">
        <v>#VALUE!</v>
      </c>
      <c r="O113" t="e">
        <v>#VALUE!</v>
      </c>
      <c r="P113" t="e">
        <v>#VALUE!</v>
      </c>
      <c r="Q113">
        <v>2.0000000000000002E-5</v>
      </c>
      <c r="R113">
        <v>2.0000000000000002E-5</v>
      </c>
      <c r="S113">
        <v>2.0000000000000002E-5</v>
      </c>
      <c r="T113">
        <v>2.0000000000000002E-5</v>
      </c>
      <c r="U113">
        <v>2.0000000000000002E-5</v>
      </c>
      <c r="V113">
        <v>2.0000000000000002E-5</v>
      </c>
      <c r="W113">
        <v>2.0000000000000002E-5</v>
      </c>
      <c r="X113">
        <v>2.0000000000000002E-5</v>
      </c>
      <c r="Y113">
        <v>2.0000000000000002E-5</v>
      </c>
      <c r="Z113">
        <v>2.0000000000000002E-5</v>
      </c>
      <c r="AA113">
        <v>2.0000000000000002E-5</v>
      </c>
      <c r="AB113">
        <v>2.0000000000000002E-5</v>
      </c>
      <c r="AC113">
        <v>2.0000000000000002E-5</v>
      </c>
      <c r="AD113">
        <v>2.0000000000000002E-5</v>
      </c>
      <c r="AE113">
        <v>2.0000000000000002E-5</v>
      </c>
      <c r="AF113">
        <v>2.0000000000000002E-5</v>
      </c>
      <c r="AG113">
        <v>2.0000000000000002E-5</v>
      </c>
      <c r="AH113">
        <v>2.0000000000000002E-5</v>
      </c>
      <c r="AI113">
        <v>2.0000000000000002E-5</v>
      </c>
      <c r="AJ113">
        <v>2.0000000000000002E-5</v>
      </c>
      <c r="AK113">
        <v>2.0000000000000002E-5</v>
      </c>
      <c r="AL113">
        <v>2.0000000000000002E-5</v>
      </c>
      <c r="AM113">
        <v>2.0000000000000002E-5</v>
      </c>
      <c r="AN113">
        <v>2.0000000000000002E-5</v>
      </c>
      <c r="AO113">
        <v>2.0000000000000002E-5</v>
      </c>
      <c r="AP113">
        <v>1E-4</v>
      </c>
      <c r="AQ113">
        <v>1E-4</v>
      </c>
      <c r="AR113">
        <v>1E-4</v>
      </c>
      <c r="AS113">
        <v>1E-4</v>
      </c>
      <c r="AT113">
        <v>1E-4</v>
      </c>
      <c r="AU113">
        <v>1.4300000000000001E-4</v>
      </c>
      <c r="AV113">
        <v>1.4300000000000001E-4</v>
      </c>
      <c r="AW113">
        <v>1.4300000000000001E-4</v>
      </c>
      <c r="AX113">
        <v>1.4300000000000001E-4</v>
      </c>
      <c r="AY113">
        <v>1.4300000000000001E-4</v>
      </c>
      <c r="AZ113">
        <v>1.84E-4</v>
      </c>
      <c r="BA113">
        <v>1.84E-4</v>
      </c>
      <c r="BB113">
        <v>1.84E-4</v>
      </c>
      <c r="BC113">
        <v>1.84E-4</v>
      </c>
      <c r="BD113">
        <v>1.84E-4</v>
      </c>
      <c r="BE113">
        <v>2.2499999999999999E-4</v>
      </c>
      <c r="BF113">
        <v>2.2499999999999999E-4</v>
      </c>
      <c r="BG113">
        <v>2.2499999999999999E-4</v>
      </c>
      <c r="BH113">
        <v>2.2499999999999999E-4</v>
      </c>
      <c r="BI113">
        <v>2.2499999999999999E-4</v>
      </c>
      <c r="BJ113">
        <v>2.72E-4</v>
      </c>
      <c r="BK113">
        <v>2.72E-4</v>
      </c>
      <c r="BL113">
        <v>2.72E-4</v>
      </c>
      <c r="BM113">
        <v>2.72E-4</v>
      </c>
      <c r="BN113">
        <v>2.72E-4</v>
      </c>
      <c r="BO113">
        <v>3.4000000000000002E-4</v>
      </c>
      <c r="BP113">
        <v>3.4000000000000002E-4</v>
      </c>
      <c r="BQ113">
        <v>3.4000000000000002E-4</v>
      </c>
      <c r="BR113">
        <v>3.4000000000000002E-4</v>
      </c>
      <c r="BS113">
        <v>3.4000000000000002E-4</v>
      </c>
      <c r="BT113">
        <v>4.2700000000000002E-4</v>
      </c>
      <c r="BU113">
        <v>4.2700000000000002E-4</v>
      </c>
      <c r="BV113">
        <v>4.2700000000000002E-4</v>
      </c>
      <c r="BW113">
        <v>4.2700000000000002E-4</v>
      </c>
      <c r="BX113">
        <v>4.2700000000000002E-4</v>
      </c>
      <c r="BY113">
        <v>5.3300000000000005E-4</v>
      </c>
      <c r="BZ113">
        <v>5.3300000000000005E-4</v>
      </c>
      <c r="CA113">
        <v>5.3300000000000005E-4</v>
      </c>
      <c r="CB113">
        <v>5.3300000000000005E-4</v>
      </c>
      <c r="CC113">
        <v>5.3300000000000005E-4</v>
      </c>
      <c r="CD113">
        <v>5.3300000000000005E-4</v>
      </c>
      <c r="CE113">
        <v>5.3300000000000005E-4</v>
      </c>
      <c r="CF113">
        <v>5.3300000000000005E-4</v>
      </c>
      <c r="CG113">
        <v>5.3300000000000005E-4</v>
      </c>
      <c r="CH113">
        <v>5.3300000000000005E-4</v>
      </c>
      <c r="CI113">
        <v>5.3300000000000005E-4</v>
      </c>
      <c r="CJ113">
        <v>5.3300000000000005E-4</v>
      </c>
      <c r="CK113">
        <v>5.3300000000000005E-4</v>
      </c>
      <c r="CL113">
        <v>5.3300000000000005E-4</v>
      </c>
      <c r="CM113">
        <v>5.3300000000000005E-4</v>
      </c>
      <c r="CN113">
        <v>5.3300000000000005E-4</v>
      </c>
      <c r="CO113">
        <v>5.3300000000000005E-4</v>
      </c>
      <c r="CP113">
        <v>5.3300000000000005E-4</v>
      </c>
      <c r="CQ113">
        <v>5.3300000000000005E-4</v>
      </c>
      <c r="CR113">
        <v>5.3300000000000005E-4</v>
      </c>
      <c r="CS113">
        <v>5.3300000000000005E-4</v>
      </c>
      <c r="CT113">
        <v>5.3300000000000005E-4</v>
      </c>
      <c r="CU113">
        <v>5.3300000000000005E-4</v>
      </c>
      <c r="CV113">
        <v>5.3300000000000005E-4</v>
      </c>
      <c r="CW113">
        <v>5.3300000000000005E-4</v>
      </c>
      <c r="CX113">
        <v>5.3300000000000005E-4</v>
      </c>
    </row>
    <row r="114" spans="1:102" x14ac:dyDescent="0.25">
      <c r="A114" t="s">
        <v>293</v>
      </c>
      <c r="B114" t="e">
        <v>#VALUE!</v>
      </c>
      <c r="C114" t="e">
        <v>#VALUE!</v>
      </c>
      <c r="D114" t="e">
        <v>#VALUE!</v>
      </c>
      <c r="E114" t="e">
        <v>#VALUE!</v>
      </c>
      <c r="F114" t="e">
        <v>#VALUE!</v>
      </c>
      <c r="G114" t="e">
        <v>#VALUE!</v>
      </c>
      <c r="H114" t="e">
        <v>#VALUE!</v>
      </c>
      <c r="I114" t="e">
        <v>#VALUE!</v>
      </c>
      <c r="J114" t="e">
        <v>#VALUE!</v>
      </c>
      <c r="K114" t="e">
        <v>#VALUE!</v>
      </c>
      <c r="L114" t="e">
        <v>#VALUE!</v>
      </c>
      <c r="M114" t="e">
        <v>#VALUE!</v>
      </c>
      <c r="N114" t="e">
        <v>#VALUE!</v>
      </c>
      <c r="O114" t="e">
        <v>#VALUE!</v>
      </c>
      <c r="P114" t="e">
        <v>#VALUE!</v>
      </c>
      <c r="Q114" t="e">
        <v>#VALUE!</v>
      </c>
      <c r="R114" t="e">
        <v>#VALUE!</v>
      </c>
      <c r="S114" t="e">
        <v>#VALUE!</v>
      </c>
      <c r="T114" t="e">
        <v>#VALUE!</v>
      </c>
      <c r="U114" t="e">
        <v>#VALUE!</v>
      </c>
      <c r="V114" t="e">
        <v>#VALUE!</v>
      </c>
      <c r="W114" t="e">
        <v>#VALUE!</v>
      </c>
      <c r="X114" t="e">
        <v>#VALUE!</v>
      </c>
      <c r="Y114" t="e">
        <v>#VALUE!</v>
      </c>
      <c r="Z114" t="e">
        <v>#VALUE!</v>
      </c>
      <c r="AA114" t="e">
        <v>#VALUE!</v>
      </c>
      <c r="AB114" t="e">
        <v>#VALUE!</v>
      </c>
      <c r="AC114" t="e">
        <v>#VALUE!</v>
      </c>
      <c r="AD114" t="e">
        <v>#VALUE!</v>
      </c>
      <c r="AE114" t="e">
        <v>#VALUE!</v>
      </c>
      <c r="AF114" t="e">
        <v>#VALUE!</v>
      </c>
      <c r="AG114" t="e">
        <v>#VALUE!</v>
      </c>
      <c r="AH114" t="e">
        <v>#VALUE!</v>
      </c>
      <c r="AI114" t="e">
        <v>#VALUE!</v>
      </c>
      <c r="AJ114" t="e">
        <v>#VALUE!</v>
      </c>
      <c r="AK114" t="e">
        <v>#VALUE!</v>
      </c>
      <c r="AL114" t="e">
        <v>#VALUE!</v>
      </c>
      <c r="AM114" t="e">
        <v>#VALUE!</v>
      </c>
      <c r="AN114" t="e">
        <v>#VALUE!</v>
      </c>
      <c r="AO114" t="e">
        <v>#VALUE!</v>
      </c>
      <c r="AP114">
        <v>0</v>
      </c>
      <c r="AQ114">
        <v>0</v>
      </c>
      <c r="AR114">
        <v>0</v>
      </c>
      <c r="AS114">
        <v>0</v>
      </c>
      <c r="AT114">
        <v>0</v>
      </c>
      <c r="AU114" t="e">
        <v>#VALUE!</v>
      </c>
      <c r="AV114" t="e">
        <v>#VALUE!</v>
      </c>
      <c r="AW114" t="e">
        <v>#VALUE!</v>
      </c>
      <c r="AX114" t="e">
        <v>#VALUE!</v>
      </c>
      <c r="AY114" t="e">
        <v>#VALUE!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3.3300000000000002E-4</v>
      </c>
      <c r="BP114">
        <v>3.3300000000000002E-4</v>
      </c>
      <c r="BQ114">
        <v>3.3300000000000002E-4</v>
      </c>
      <c r="BR114">
        <v>3.3300000000000002E-4</v>
      </c>
      <c r="BS114">
        <v>3.3300000000000002E-4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</row>
    <row r="115" spans="1:102" x14ac:dyDescent="0.25">
      <c r="A115" t="s">
        <v>295</v>
      </c>
      <c r="B115" t="e">
        <v>#VALUE!</v>
      </c>
      <c r="C115" t="e">
        <v>#VALUE!</v>
      </c>
      <c r="D115" t="e">
        <v>#VALUE!</v>
      </c>
      <c r="E115" t="e">
        <v>#VALUE!</v>
      </c>
      <c r="F115" t="e">
        <v>#VALUE!</v>
      </c>
      <c r="G115" t="e">
        <v>#VALUE!</v>
      </c>
      <c r="H115" t="e">
        <v>#VALUE!</v>
      </c>
      <c r="I115" t="e">
        <v>#VALUE!</v>
      </c>
      <c r="J115" t="e">
        <v>#VALUE!</v>
      </c>
      <c r="K115" t="e">
        <v>#VALUE!</v>
      </c>
      <c r="L115" t="e">
        <v>#VALUE!</v>
      </c>
      <c r="M115" t="e">
        <v>#VALUE!</v>
      </c>
      <c r="N115" t="e">
        <v>#VALUE!</v>
      </c>
      <c r="O115" t="e">
        <v>#VALUE!</v>
      </c>
      <c r="P115" t="e">
        <v>#VALUE!</v>
      </c>
      <c r="Q115">
        <v>4.1999999999999998E-5</v>
      </c>
      <c r="R115">
        <v>4.1999999999999998E-5</v>
      </c>
      <c r="S115">
        <v>4.1999999999999998E-5</v>
      </c>
      <c r="T115">
        <v>4.1999999999999998E-5</v>
      </c>
      <c r="U115">
        <v>4.1999999999999998E-5</v>
      </c>
      <c r="V115">
        <v>4.1999999999999998E-5</v>
      </c>
      <c r="W115">
        <v>4.1999999999999998E-5</v>
      </c>
      <c r="X115">
        <v>4.1999999999999998E-5</v>
      </c>
      <c r="Y115">
        <v>4.1999999999999998E-5</v>
      </c>
      <c r="Z115">
        <v>4.1999999999999998E-5</v>
      </c>
      <c r="AA115">
        <v>4.1999999999999998E-5</v>
      </c>
      <c r="AB115">
        <v>4.1999999999999998E-5</v>
      </c>
      <c r="AC115">
        <v>4.1999999999999998E-5</v>
      </c>
      <c r="AD115">
        <v>4.1999999999999998E-5</v>
      </c>
      <c r="AE115">
        <v>4.1999999999999998E-5</v>
      </c>
      <c r="AF115">
        <v>4.1999999999999998E-5</v>
      </c>
      <c r="AG115">
        <v>4.1999999999999998E-5</v>
      </c>
      <c r="AH115">
        <v>4.1999999999999998E-5</v>
      </c>
      <c r="AI115">
        <v>4.1999999999999998E-5</v>
      </c>
      <c r="AJ115">
        <v>4.1999999999999998E-5</v>
      </c>
      <c r="AK115">
        <v>4.1999999999999998E-5</v>
      </c>
      <c r="AL115">
        <v>4.1999999999999998E-5</v>
      </c>
      <c r="AM115">
        <v>4.1999999999999998E-5</v>
      </c>
      <c r="AN115">
        <v>4.1999999999999998E-5</v>
      </c>
      <c r="AO115">
        <v>4.1999999999999998E-5</v>
      </c>
      <c r="AP115">
        <v>1.3999999999999999E-4</v>
      </c>
      <c r="AQ115">
        <v>1.3999999999999999E-4</v>
      </c>
      <c r="AR115">
        <v>1.3999999999999999E-4</v>
      </c>
      <c r="AS115">
        <v>1.3999999999999999E-4</v>
      </c>
      <c r="AT115">
        <v>1.3999999999999999E-4</v>
      </c>
      <c r="AU115">
        <v>1.6699999999999999E-4</v>
      </c>
      <c r="AV115">
        <v>1.6699999999999999E-4</v>
      </c>
      <c r="AW115">
        <v>1.6699999999999999E-4</v>
      </c>
      <c r="AX115">
        <v>1.6699999999999999E-4</v>
      </c>
      <c r="AY115">
        <v>1.6699999999999999E-4</v>
      </c>
      <c r="AZ115">
        <v>1.8100000000000001E-4</v>
      </c>
      <c r="BA115">
        <v>1.8100000000000001E-4</v>
      </c>
      <c r="BB115">
        <v>1.8100000000000001E-4</v>
      </c>
      <c r="BC115">
        <v>1.8100000000000001E-4</v>
      </c>
      <c r="BD115">
        <v>1.8100000000000001E-4</v>
      </c>
      <c r="BE115">
        <v>2.03E-4</v>
      </c>
      <c r="BF115">
        <v>2.03E-4</v>
      </c>
      <c r="BG115">
        <v>2.03E-4</v>
      </c>
      <c r="BH115">
        <v>2.03E-4</v>
      </c>
      <c r="BI115">
        <v>2.03E-4</v>
      </c>
      <c r="BJ115">
        <v>2.31E-4</v>
      </c>
      <c r="BK115">
        <v>2.31E-4</v>
      </c>
      <c r="BL115">
        <v>2.31E-4</v>
      </c>
      <c r="BM115">
        <v>2.31E-4</v>
      </c>
      <c r="BN115">
        <v>2.31E-4</v>
      </c>
      <c r="BO115">
        <v>2.5599999999999999E-4</v>
      </c>
      <c r="BP115">
        <v>2.5599999999999999E-4</v>
      </c>
      <c r="BQ115">
        <v>2.5599999999999999E-4</v>
      </c>
      <c r="BR115">
        <v>2.5599999999999999E-4</v>
      </c>
      <c r="BS115">
        <v>2.5599999999999999E-4</v>
      </c>
      <c r="BT115">
        <v>2.7999999999999998E-4</v>
      </c>
      <c r="BU115">
        <v>2.7999999999999998E-4</v>
      </c>
      <c r="BV115">
        <v>2.7999999999999998E-4</v>
      </c>
      <c r="BW115">
        <v>2.7999999999999998E-4</v>
      </c>
      <c r="BX115">
        <v>2.7999999999999998E-4</v>
      </c>
      <c r="BY115">
        <v>2.6600000000000001E-4</v>
      </c>
      <c r="BZ115">
        <v>2.6600000000000001E-4</v>
      </c>
      <c r="CA115">
        <v>2.6600000000000001E-4</v>
      </c>
      <c r="CB115">
        <v>2.6600000000000001E-4</v>
      </c>
      <c r="CC115">
        <v>2.6600000000000001E-4</v>
      </c>
      <c r="CD115">
        <v>2.6600000000000001E-4</v>
      </c>
      <c r="CE115">
        <v>2.6600000000000001E-4</v>
      </c>
      <c r="CF115">
        <v>2.6600000000000001E-4</v>
      </c>
      <c r="CG115">
        <v>2.6600000000000001E-4</v>
      </c>
      <c r="CH115">
        <v>2.6600000000000001E-4</v>
      </c>
      <c r="CI115">
        <v>2.6600000000000001E-4</v>
      </c>
      <c r="CJ115">
        <v>2.6600000000000001E-4</v>
      </c>
      <c r="CK115">
        <v>2.6600000000000001E-4</v>
      </c>
      <c r="CL115">
        <v>2.6600000000000001E-4</v>
      </c>
      <c r="CM115">
        <v>2.6600000000000001E-4</v>
      </c>
      <c r="CN115">
        <v>2.6600000000000001E-4</v>
      </c>
      <c r="CO115">
        <v>2.6600000000000001E-4</v>
      </c>
      <c r="CP115">
        <v>2.6600000000000001E-4</v>
      </c>
      <c r="CQ115">
        <v>2.6600000000000001E-4</v>
      </c>
      <c r="CR115">
        <v>2.6600000000000001E-4</v>
      </c>
      <c r="CS115">
        <v>2.6600000000000001E-4</v>
      </c>
      <c r="CT115">
        <v>2.6600000000000001E-4</v>
      </c>
      <c r="CU115">
        <v>2.6600000000000001E-4</v>
      </c>
      <c r="CV115">
        <v>2.6600000000000001E-4</v>
      </c>
      <c r="CW115">
        <v>2.6600000000000001E-4</v>
      </c>
      <c r="CX115">
        <v>2.6600000000000001E-4</v>
      </c>
    </row>
    <row r="116" spans="1:102" x14ac:dyDescent="0.25">
      <c r="A116" t="s">
        <v>297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1.7E-5</v>
      </c>
      <c r="R116">
        <v>1.7E-5</v>
      </c>
      <c r="S116">
        <v>1.7E-5</v>
      </c>
      <c r="T116">
        <v>1.7E-5</v>
      </c>
      <c r="U116">
        <v>1.7E-5</v>
      </c>
      <c r="V116">
        <v>1.7E-5</v>
      </c>
      <c r="W116">
        <v>1.7E-5</v>
      </c>
      <c r="X116">
        <v>1.7E-5</v>
      </c>
      <c r="Y116">
        <v>1.7E-5</v>
      </c>
      <c r="Z116">
        <v>1.7E-5</v>
      </c>
      <c r="AA116">
        <v>1.7E-5</v>
      </c>
      <c r="AB116">
        <v>1.7E-5</v>
      </c>
      <c r="AC116">
        <v>1.7E-5</v>
      </c>
      <c r="AD116">
        <v>1.7E-5</v>
      </c>
      <c r="AE116">
        <v>1.7E-5</v>
      </c>
      <c r="AF116">
        <v>1.7E-5</v>
      </c>
      <c r="AG116">
        <v>1.7E-5</v>
      </c>
      <c r="AH116">
        <v>1.7E-5</v>
      </c>
      <c r="AI116">
        <v>1.7E-5</v>
      </c>
      <c r="AJ116">
        <v>1.7E-5</v>
      </c>
      <c r="AK116">
        <v>1.7E-5</v>
      </c>
      <c r="AL116">
        <v>1.7E-5</v>
      </c>
      <c r="AM116">
        <v>1.7E-5</v>
      </c>
      <c r="AN116">
        <v>1.7E-5</v>
      </c>
      <c r="AO116">
        <v>1.7E-5</v>
      </c>
      <c r="AP116">
        <v>6.0000000000000002E-5</v>
      </c>
      <c r="AQ116">
        <v>6.0000000000000002E-5</v>
      </c>
      <c r="AR116">
        <v>6.0000000000000002E-5</v>
      </c>
      <c r="AS116">
        <v>6.0000000000000002E-5</v>
      </c>
      <c r="AT116">
        <v>6.0000000000000002E-5</v>
      </c>
      <c r="AU116">
        <v>7.7999999999999999E-5</v>
      </c>
      <c r="AV116">
        <v>7.7999999999999999E-5</v>
      </c>
      <c r="AW116">
        <v>7.7999999999999999E-5</v>
      </c>
      <c r="AX116">
        <v>7.7999999999999999E-5</v>
      </c>
      <c r="AY116">
        <v>7.7999999999999999E-5</v>
      </c>
      <c r="AZ116">
        <v>9.7999999999999997E-5</v>
      </c>
      <c r="BA116">
        <v>9.7999999999999997E-5</v>
      </c>
      <c r="BB116">
        <v>9.7999999999999997E-5</v>
      </c>
      <c r="BC116">
        <v>9.7999999999999997E-5</v>
      </c>
      <c r="BD116">
        <v>9.7999999999999997E-5</v>
      </c>
      <c r="BE116">
        <v>1.11E-4</v>
      </c>
      <c r="BF116">
        <v>1.11E-4</v>
      </c>
      <c r="BG116">
        <v>1.11E-4</v>
      </c>
      <c r="BH116">
        <v>1.11E-4</v>
      </c>
      <c r="BI116">
        <v>1.11E-4</v>
      </c>
      <c r="BJ116">
        <v>1.1400000000000001E-4</v>
      </c>
      <c r="BK116">
        <v>1.1400000000000001E-4</v>
      </c>
      <c r="BL116">
        <v>1.1400000000000001E-4</v>
      </c>
      <c r="BM116">
        <v>1.1400000000000001E-4</v>
      </c>
      <c r="BN116">
        <v>1.1400000000000001E-4</v>
      </c>
      <c r="BO116">
        <v>1.15E-4</v>
      </c>
      <c r="BP116">
        <v>1.15E-4</v>
      </c>
      <c r="BQ116">
        <v>1.15E-4</v>
      </c>
      <c r="BR116">
        <v>1.15E-4</v>
      </c>
      <c r="BS116">
        <v>1.15E-4</v>
      </c>
      <c r="BT116">
        <v>1.35E-4</v>
      </c>
      <c r="BU116">
        <v>1.35E-4</v>
      </c>
      <c r="BV116">
        <v>1.35E-4</v>
      </c>
      <c r="BW116">
        <v>1.35E-4</v>
      </c>
      <c r="BX116">
        <v>1.35E-4</v>
      </c>
      <c r="BY116">
        <v>1.63E-4</v>
      </c>
      <c r="BZ116">
        <v>1.63E-4</v>
      </c>
      <c r="CA116">
        <v>1.63E-4</v>
      </c>
      <c r="CB116">
        <v>1.63E-4</v>
      </c>
      <c r="CC116">
        <v>1.63E-4</v>
      </c>
      <c r="CD116">
        <v>1.63E-4</v>
      </c>
      <c r="CE116">
        <v>1.63E-4</v>
      </c>
      <c r="CF116">
        <v>1.63E-4</v>
      </c>
      <c r="CG116">
        <v>1.63E-4</v>
      </c>
      <c r="CH116">
        <v>1.63E-4</v>
      </c>
      <c r="CI116">
        <v>1.63E-4</v>
      </c>
      <c r="CJ116">
        <v>1.63E-4</v>
      </c>
      <c r="CK116">
        <v>1.63E-4</v>
      </c>
      <c r="CL116">
        <v>1.63E-4</v>
      </c>
      <c r="CM116">
        <v>1.63E-4</v>
      </c>
      <c r="CN116">
        <v>1.63E-4</v>
      </c>
      <c r="CO116">
        <v>1.63E-4</v>
      </c>
      <c r="CP116">
        <v>1.63E-4</v>
      </c>
      <c r="CQ116">
        <v>1.63E-4</v>
      </c>
      <c r="CR116">
        <v>1.63E-4</v>
      </c>
      <c r="CS116">
        <v>1.63E-4</v>
      </c>
      <c r="CT116">
        <v>1.63E-4</v>
      </c>
      <c r="CU116">
        <v>1.63E-4</v>
      </c>
      <c r="CV116">
        <v>1.63E-4</v>
      </c>
      <c r="CW116">
        <v>1.63E-4</v>
      </c>
      <c r="CX116">
        <v>1.63E-4</v>
      </c>
    </row>
    <row r="117" spans="1:102" x14ac:dyDescent="0.25">
      <c r="A117" t="s">
        <v>299</v>
      </c>
      <c r="B117" t="e">
        <v>#VALUE!</v>
      </c>
      <c r="C117" t="e">
        <v>#VALUE!</v>
      </c>
      <c r="D117" t="e">
        <v>#VALUE!</v>
      </c>
      <c r="E117" t="e">
        <v>#VALUE!</v>
      </c>
      <c r="F117" t="e">
        <v>#VALUE!</v>
      </c>
      <c r="G117" t="e">
        <v>#VALUE!</v>
      </c>
      <c r="H117" t="e">
        <v>#VALUE!</v>
      </c>
      <c r="I117" t="e">
        <v>#VALUE!</v>
      </c>
      <c r="J117" t="e">
        <v>#VALUE!</v>
      </c>
      <c r="K117" t="e">
        <v>#VALUE!</v>
      </c>
      <c r="L117" t="e">
        <v>#VALUE!</v>
      </c>
      <c r="M117" t="e">
        <v>#VALUE!</v>
      </c>
      <c r="N117" t="e">
        <v>#VALUE!</v>
      </c>
      <c r="O117" t="e">
        <v>#VALUE!</v>
      </c>
      <c r="P117" t="e">
        <v>#VALUE!</v>
      </c>
      <c r="Q117">
        <v>1.2E-5</v>
      </c>
      <c r="R117">
        <v>1.2E-5</v>
      </c>
      <c r="S117">
        <v>1.2E-5</v>
      </c>
      <c r="T117">
        <v>1.2E-5</v>
      </c>
      <c r="U117">
        <v>1.2E-5</v>
      </c>
      <c r="V117">
        <v>1.2E-5</v>
      </c>
      <c r="W117">
        <v>1.2E-5</v>
      </c>
      <c r="X117">
        <v>1.2E-5</v>
      </c>
      <c r="Y117">
        <v>1.2E-5</v>
      </c>
      <c r="Z117">
        <v>1.2E-5</v>
      </c>
      <c r="AA117">
        <v>1.2E-5</v>
      </c>
      <c r="AB117">
        <v>1.2E-5</v>
      </c>
      <c r="AC117">
        <v>1.2E-5</v>
      </c>
      <c r="AD117">
        <v>1.2E-5</v>
      </c>
      <c r="AE117">
        <v>1.2E-5</v>
      </c>
      <c r="AF117">
        <v>1.2E-5</v>
      </c>
      <c r="AG117">
        <v>1.2E-5</v>
      </c>
      <c r="AH117">
        <v>1.2E-5</v>
      </c>
      <c r="AI117">
        <v>1.2E-5</v>
      </c>
      <c r="AJ117">
        <v>1.2E-5</v>
      </c>
      <c r="AK117">
        <v>1.2E-5</v>
      </c>
      <c r="AL117">
        <v>1.2E-5</v>
      </c>
      <c r="AM117">
        <v>1.2E-5</v>
      </c>
      <c r="AN117">
        <v>1.2E-5</v>
      </c>
      <c r="AO117">
        <v>1.2E-5</v>
      </c>
      <c r="AP117">
        <v>1.03E-4</v>
      </c>
      <c r="AQ117">
        <v>1.03E-4</v>
      </c>
      <c r="AR117">
        <v>1.03E-4</v>
      </c>
      <c r="AS117">
        <v>1.03E-4</v>
      </c>
      <c r="AT117">
        <v>1.03E-4</v>
      </c>
      <c r="AU117">
        <v>1.8100000000000001E-4</v>
      </c>
      <c r="AV117">
        <v>1.8100000000000001E-4</v>
      </c>
      <c r="AW117">
        <v>1.8100000000000001E-4</v>
      </c>
      <c r="AX117">
        <v>1.8100000000000001E-4</v>
      </c>
      <c r="AY117">
        <v>1.8100000000000001E-4</v>
      </c>
      <c r="AZ117">
        <v>2.5599999999999999E-4</v>
      </c>
      <c r="BA117">
        <v>2.5599999999999999E-4</v>
      </c>
      <c r="BB117">
        <v>2.5599999999999999E-4</v>
      </c>
      <c r="BC117">
        <v>2.5599999999999999E-4</v>
      </c>
      <c r="BD117">
        <v>2.5599999999999999E-4</v>
      </c>
      <c r="BE117">
        <v>3.1700000000000001E-4</v>
      </c>
      <c r="BF117">
        <v>3.1700000000000001E-4</v>
      </c>
      <c r="BG117">
        <v>3.1700000000000001E-4</v>
      </c>
      <c r="BH117">
        <v>3.1700000000000001E-4</v>
      </c>
      <c r="BI117">
        <v>3.1700000000000001E-4</v>
      </c>
      <c r="BJ117">
        <v>3.59E-4</v>
      </c>
      <c r="BK117">
        <v>3.59E-4</v>
      </c>
      <c r="BL117">
        <v>3.59E-4</v>
      </c>
      <c r="BM117">
        <v>3.59E-4</v>
      </c>
      <c r="BN117">
        <v>3.59E-4</v>
      </c>
      <c r="BO117">
        <v>4.3399999999999998E-4</v>
      </c>
      <c r="BP117">
        <v>4.3399999999999998E-4</v>
      </c>
      <c r="BQ117">
        <v>4.3399999999999998E-4</v>
      </c>
      <c r="BR117">
        <v>4.3399999999999998E-4</v>
      </c>
      <c r="BS117">
        <v>4.3399999999999998E-4</v>
      </c>
      <c r="BT117">
        <v>4.4200000000000001E-4</v>
      </c>
      <c r="BU117">
        <v>4.4200000000000001E-4</v>
      </c>
      <c r="BV117">
        <v>4.4200000000000001E-4</v>
      </c>
      <c r="BW117">
        <v>4.4200000000000001E-4</v>
      </c>
      <c r="BX117">
        <v>4.4200000000000001E-4</v>
      </c>
      <c r="BY117">
        <v>4.6000000000000001E-4</v>
      </c>
      <c r="BZ117">
        <v>4.6000000000000001E-4</v>
      </c>
      <c r="CA117">
        <v>4.6000000000000001E-4</v>
      </c>
      <c r="CB117">
        <v>4.6000000000000001E-4</v>
      </c>
      <c r="CC117">
        <v>4.6000000000000001E-4</v>
      </c>
      <c r="CD117">
        <v>4.6000000000000001E-4</v>
      </c>
      <c r="CE117">
        <v>4.6000000000000001E-4</v>
      </c>
      <c r="CF117">
        <v>4.6000000000000001E-4</v>
      </c>
      <c r="CG117">
        <v>4.6000000000000001E-4</v>
      </c>
      <c r="CH117">
        <v>4.6000000000000001E-4</v>
      </c>
      <c r="CI117">
        <v>4.6000000000000001E-4</v>
      </c>
      <c r="CJ117">
        <v>4.6000000000000001E-4</v>
      </c>
      <c r="CK117">
        <v>4.6000000000000001E-4</v>
      </c>
      <c r="CL117">
        <v>4.6000000000000001E-4</v>
      </c>
      <c r="CM117">
        <v>4.6000000000000001E-4</v>
      </c>
      <c r="CN117">
        <v>4.6000000000000001E-4</v>
      </c>
      <c r="CO117">
        <v>4.6000000000000001E-4</v>
      </c>
      <c r="CP117">
        <v>4.6000000000000001E-4</v>
      </c>
      <c r="CQ117">
        <v>4.6000000000000001E-4</v>
      </c>
      <c r="CR117">
        <v>4.6000000000000001E-4</v>
      </c>
      <c r="CS117">
        <v>4.6000000000000001E-4</v>
      </c>
      <c r="CT117">
        <v>4.6000000000000001E-4</v>
      </c>
      <c r="CU117">
        <v>4.6000000000000001E-4</v>
      </c>
      <c r="CV117">
        <v>4.6000000000000001E-4</v>
      </c>
      <c r="CW117">
        <v>4.6000000000000001E-4</v>
      </c>
      <c r="CX117">
        <v>4.6000000000000001E-4</v>
      </c>
    </row>
    <row r="118" spans="1:102" x14ac:dyDescent="0.25">
      <c r="A118" t="s">
        <v>301</v>
      </c>
      <c r="B118" t="e">
        <v>#VALUE!</v>
      </c>
      <c r="C118" t="e">
        <v>#VALUE!</v>
      </c>
      <c r="D118" t="e">
        <v>#VALUE!</v>
      </c>
      <c r="E118" t="e">
        <v>#VALUE!</v>
      </c>
      <c r="F118" t="e">
        <v>#VALUE!</v>
      </c>
      <c r="G118" t="e">
        <v>#VALUE!</v>
      </c>
      <c r="H118" t="e">
        <v>#VALUE!</v>
      </c>
      <c r="I118" t="e">
        <v>#VALUE!</v>
      </c>
      <c r="J118" t="e">
        <v>#VALUE!</v>
      </c>
      <c r="K118" t="e">
        <v>#VALUE!</v>
      </c>
      <c r="L118" t="e">
        <v>#VALUE!</v>
      </c>
      <c r="M118" t="e">
        <v>#VALUE!</v>
      </c>
      <c r="N118" t="e">
        <v>#VALUE!</v>
      </c>
      <c r="O118" t="e">
        <v>#VALUE!</v>
      </c>
      <c r="P118" t="e">
        <v>#VALUE!</v>
      </c>
      <c r="Q118">
        <v>2.5999999999999998E-5</v>
      </c>
      <c r="R118">
        <v>2.5999999999999998E-5</v>
      </c>
      <c r="S118">
        <v>2.5999999999999998E-5</v>
      </c>
      <c r="T118">
        <v>2.5999999999999998E-5</v>
      </c>
      <c r="U118">
        <v>2.5999999999999998E-5</v>
      </c>
      <c r="V118">
        <v>2.5999999999999998E-5</v>
      </c>
      <c r="W118">
        <v>2.5999999999999998E-5</v>
      </c>
      <c r="X118">
        <v>2.5999999999999998E-5</v>
      </c>
      <c r="Y118">
        <v>2.5999999999999998E-5</v>
      </c>
      <c r="Z118">
        <v>2.5999999999999998E-5</v>
      </c>
      <c r="AA118">
        <v>2.5999999999999998E-5</v>
      </c>
      <c r="AB118">
        <v>2.5999999999999998E-5</v>
      </c>
      <c r="AC118">
        <v>2.5999999999999998E-5</v>
      </c>
      <c r="AD118">
        <v>2.5999999999999998E-5</v>
      </c>
      <c r="AE118">
        <v>2.5999999999999998E-5</v>
      </c>
      <c r="AF118">
        <v>2.5999999999999998E-5</v>
      </c>
      <c r="AG118">
        <v>2.5999999999999998E-5</v>
      </c>
      <c r="AH118">
        <v>2.5999999999999998E-5</v>
      </c>
      <c r="AI118">
        <v>2.5999999999999998E-5</v>
      </c>
      <c r="AJ118">
        <v>2.5999999999999998E-5</v>
      </c>
      <c r="AK118">
        <v>2.5999999999999998E-5</v>
      </c>
      <c r="AL118">
        <v>2.5999999999999998E-5</v>
      </c>
      <c r="AM118">
        <v>2.5999999999999998E-5</v>
      </c>
      <c r="AN118">
        <v>2.5999999999999998E-5</v>
      </c>
      <c r="AO118">
        <v>2.5999999999999998E-5</v>
      </c>
      <c r="AP118">
        <v>9.6000000000000002E-5</v>
      </c>
      <c r="AQ118">
        <v>9.6000000000000002E-5</v>
      </c>
      <c r="AR118">
        <v>9.6000000000000002E-5</v>
      </c>
      <c r="AS118">
        <v>9.6000000000000002E-5</v>
      </c>
      <c r="AT118">
        <v>9.6000000000000002E-5</v>
      </c>
      <c r="AU118">
        <v>1.4300000000000001E-4</v>
      </c>
      <c r="AV118">
        <v>1.4300000000000001E-4</v>
      </c>
      <c r="AW118">
        <v>1.4300000000000001E-4</v>
      </c>
      <c r="AX118">
        <v>1.4300000000000001E-4</v>
      </c>
      <c r="AY118">
        <v>1.4300000000000001E-4</v>
      </c>
      <c r="AZ118">
        <v>1.36E-4</v>
      </c>
      <c r="BA118">
        <v>1.36E-4</v>
      </c>
      <c r="BB118">
        <v>1.36E-4</v>
      </c>
      <c r="BC118">
        <v>1.36E-4</v>
      </c>
      <c r="BD118">
        <v>1.36E-4</v>
      </c>
      <c r="BE118">
        <v>1.8699999999999999E-4</v>
      </c>
      <c r="BF118">
        <v>1.8699999999999999E-4</v>
      </c>
      <c r="BG118">
        <v>1.8699999999999999E-4</v>
      </c>
      <c r="BH118">
        <v>1.8699999999999999E-4</v>
      </c>
      <c r="BI118">
        <v>1.8699999999999999E-4</v>
      </c>
      <c r="BJ118">
        <v>1.5899999999999999E-4</v>
      </c>
      <c r="BK118">
        <v>1.5899999999999999E-4</v>
      </c>
      <c r="BL118">
        <v>1.5899999999999999E-4</v>
      </c>
      <c r="BM118">
        <v>1.5899999999999999E-4</v>
      </c>
      <c r="BN118">
        <v>1.5899999999999999E-4</v>
      </c>
      <c r="BO118">
        <v>2.2699999999999999E-4</v>
      </c>
      <c r="BP118">
        <v>2.2699999999999999E-4</v>
      </c>
      <c r="BQ118">
        <v>2.2699999999999999E-4</v>
      </c>
      <c r="BR118">
        <v>2.2699999999999999E-4</v>
      </c>
      <c r="BS118">
        <v>2.2699999999999999E-4</v>
      </c>
      <c r="BT118">
        <v>2.33E-4</v>
      </c>
      <c r="BU118">
        <v>2.33E-4</v>
      </c>
      <c r="BV118">
        <v>2.33E-4</v>
      </c>
      <c r="BW118">
        <v>2.33E-4</v>
      </c>
      <c r="BX118">
        <v>2.33E-4</v>
      </c>
      <c r="BY118">
        <v>9.6000000000000002E-5</v>
      </c>
      <c r="BZ118">
        <v>9.6000000000000002E-5</v>
      </c>
      <c r="CA118">
        <v>9.6000000000000002E-5</v>
      </c>
      <c r="CB118">
        <v>9.6000000000000002E-5</v>
      </c>
      <c r="CC118">
        <v>9.6000000000000002E-5</v>
      </c>
      <c r="CD118">
        <v>9.6000000000000002E-5</v>
      </c>
      <c r="CE118">
        <v>9.6000000000000002E-5</v>
      </c>
      <c r="CF118">
        <v>9.6000000000000002E-5</v>
      </c>
      <c r="CG118">
        <v>9.6000000000000002E-5</v>
      </c>
      <c r="CH118">
        <v>9.6000000000000002E-5</v>
      </c>
      <c r="CI118">
        <v>9.6000000000000002E-5</v>
      </c>
      <c r="CJ118">
        <v>9.6000000000000002E-5</v>
      </c>
      <c r="CK118">
        <v>9.6000000000000002E-5</v>
      </c>
      <c r="CL118">
        <v>9.6000000000000002E-5</v>
      </c>
      <c r="CM118">
        <v>9.6000000000000002E-5</v>
      </c>
      <c r="CN118">
        <v>9.6000000000000002E-5</v>
      </c>
      <c r="CO118">
        <v>9.6000000000000002E-5</v>
      </c>
      <c r="CP118">
        <v>9.6000000000000002E-5</v>
      </c>
      <c r="CQ118">
        <v>9.6000000000000002E-5</v>
      </c>
      <c r="CR118">
        <v>9.6000000000000002E-5</v>
      </c>
      <c r="CS118">
        <v>9.6000000000000002E-5</v>
      </c>
      <c r="CT118">
        <v>9.6000000000000002E-5</v>
      </c>
      <c r="CU118">
        <v>9.6000000000000002E-5</v>
      </c>
      <c r="CV118">
        <v>9.6000000000000002E-5</v>
      </c>
      <c r="CW118">
        <v>9.6000000000000002E-5</v>
      </c>
      <c r="CX118">
        <v>9.6000000000000002E-5</v>
      </c>
    </row>
    <row r="119" spans="1:102" x14ac:dyDescent="0.25">
      <c r="A119" t="s">
        <v>303</v>
      </c>
      <c r="B119" t="e">
        <v>#VALUE!</v>
      </c>
      <c r="C119" t="e">
        <v>#VALUE!</v>
      </c>
      <c r="D119" t="e">
        <v>#VALUE!</v>
      </c>
      <c r="E119" t="e">
        <v>#VALUE!</v>
      </c>
      <c r="F119" t="e">
        <v>#VALUE!</v>
      </c>
      <c r="G119" t="e">
        <v>#VALUE!</v>
      </c>
      <c r="H119" t="e">
        <v>#VALUE!</v>
      </c>
      <c r="I119" t="e">
        <v>#VALUE!</v>
      </c>
      <c r="J119" t="e">
        <v>#VALUE!</v>
      </c>
      <c r="K119" t="e">
        <v>#VALUE!</v>
      </c>
      <c r="L119" t="e">
        <v>#VALUE!</v>
      </c>
      <c r="M119" t="e">
        <v>#VALUE!</v>
      </c>
      <c r="N119" t="e">
        <v>#VALUE!</v>
      </c>
      <c r="O119" t="e">
        <v>#VALUE!</v>
      </c>
      <c r="P119" t="e">
        <v>#VALUE!</v>
      </c>
      <c r="Q119">
        <v>6.9999999999999999E-6</v>
      </c>
      <c r="R119">
        <v>6.9999999999999999E-6</v>
      </c>
      <c r="S119">
        <v>6.9999999999999999E-6</v>
      </c>
      <c r="T119">
        <v>6.9999999999999999E-6</v>
      </c>
      <c r="U119">
        <v>6.9999999999999999E-6</v>
      </c>
      <c r="V119">
        <v>6.9999999999999999E-6</v>
      </c>
      <c r="W119">
        <v>6.9999999999999999E-6</v>
      </c>
      <c r="X119">
        <v>6.9999999999999999E-6</v>
      </c>
      <c r="Y119">
        <v>6.9999999999999999E-6</v>
      </c>
      <c r="Z119">
        <v>6.9999999999999999E-6</v>
      </c>
      <c r="AA119">
        <v>6.9999999999999999E-6</v>
      </c>
      <c r="AB119">
        <v>6.9999999999999999E-6</v>
      </c>
      <c r="AC119">
        <v>6.9999999999999999E-6</v>
      </c>
      <c r="AD119">
        <v>6.9999999999999999E-6</v>
      </c>
      <c r="AE119">
        <v>6.9999999999999999E-6</v>
      </c>
      <c r="AF119">
        <v>6.9999999999999999E-6</v>
      </c>
      <c r="AG119">
        <v>6.9999999999999999E-6</v>
      </c>
      <c r="AH119">
        <v>6.9999999999999999E-6</v>
      </c>
      <c r="AI119">
        <v>6.9999999999999999E-6</v>
      </c>
      <c r="AJ119">
        <v>6.9999999999999999E-6</v>
      </c>
      <c r="AK119">
        <v>6.9999999999999999E-6</v>
      </c>
      <c r="AL119">
        <v>6.9999999999999999E-6</v>
      </c>
      <c r="AM119">
        <v>6.9999999999999999E-6</v>
      </c>
      <c r="AN119">
        <v>6.9999999999999999E-6</v>
      </c>
      <c r="AO119">
        <v>6.9999999999999999E-6</v>
      </c>
      <c r="AP119">
        <v>6.3E-5</v>
      </c>
      <c r="AQ119">
        <v>6.3E-5</v>
      </c>
      <c r="AR119">
        <v>6.3E-5</v>
      </c>
      <c r="AS119">
        <v>6.3E-5</v>
      </c>
      <c r="AT119">
        <v>6.3E-5</v>
      </c>
      <c r="AU119">
        <v>1.08E-4</v>
      </c>
      <c r="AV119">
        <v>1.08E-4</v>
      </c>
      <c r="AW119">
        <v>1.08E-4</v>
      </c>
      <c r="AX119">
        <v>1.08E-4</v>
      </c>
      <c r="AY119">
        <v>1.08E-4</v>
      </c>
      <c r="AZ119">
        <v>1.6200000000000001E-4</v>
      </c>
      <c r="BA119">
        <v>1.6200000000000001E-4</v>
      </c>
      <c r="BB119">
        <v>1.6200000000000001E-4</v>
      </c>
      <c r="BC119">
        <v>1.6200000000000001E-4</v>
      </c>
      <c r="BD119">
        <v>1.6200000000000001E-4</v>
      </c>
      <c r="BE119">
        <v>2.2599999999999999E-4</v>
      </c>
      <c r="BF119">
        <v>2.2599999999999999E-4</v>
      </c>
      <c r="BG119">
        <v>2.2599999999999999E-4</v>
      </c>
      <c r="BH119">
        <v>2.2599999999999999E-4</v>
      </c>
      <c r="BI119">
        <v>2.2599999999999999E-4</v>
      </c>
      <c r="BJ119">
        <v>3.01E-4</v>
      </c>
      <c r="BK119">
        <v>3.01E-4</v>
      </c>
      <c r="BL119">
        <v>3.01E-4</v>
      </c>
      <c r="BM119">
        <v>3.01E-4</v>
      </c>
      <c r="BN119">
        <v>3.01E-4</v>
      </c>
      <c r="BO119">
        <v>3.6699999999999998E-4</v>
      </c>
      <c r="BP119">
        <v>3.6699999999999998E-4</v>
      </c>
      <c r="BQ119">
        <v>3.6699999999999998E-4</v>
      </c>
      <c r="BR119">
        <v>3.6699999999999998E-4</v>
      </c>
      <c r="BS119">
        <v>3.6699999999999998E-4</v>
      </c>
      <c r="BT119">
        <v>4.1899999999999999E-4</v>
      </c>
      <c r="BU119">
        <v>4.1899999999999999E-4</v>
      </c>
      <c r="BV119">
        <v>4.1899999999999999E-4</v>
      </c>
      <c r="BW119">
        <v>4.1899999999999999E-4</v>
      </c>
      <c r="BX119">
        <v>4.1899999999999999E-4</v>
      </c>
      <c r="BY119">
        <v>4.55E-4</v>
      </c>
      <c r="BZ119">
        <v>4.55E-4</v>
      </c>
      <c r="CA119">
        <v>4.55E-4</v>
      </c>
      <c r="CB119">
        <v>4.55E-4</v>
      </c>
      <c r="CC119">
        <v>4.55E-4</v>
      </c>
      <c r="CD119">
        <v>4.55E-4</v>
      </c>
      <c r="CE119">
        <v>4.55E-4</v>
      </c>
      <c r="CF119">
        <v>4.55E-4</v>
      </c>
      <c r="CG119">
        <v>4.55E-4</v>
      </c>
      <c r="CH119">
        <v>4.55E-4</v>
      </c>
      <c r="CI119">
        <v>4.55E-4</v>
      </c>
      <c r="CJ119">
        <v>4.55E-4</v>
      </c>
      <c r="CK119">
        <v>4.55E-4</v>
      </c>
      <c r="CL119">
        <v>4.55E-4</v>
      </c>
      <c r="CM119">
        <v>4.55E-4</v>
      </c>
      <c r="CN119">
        <v>4.55E-4</v>
      </c>
      <c r="CO119">
        <v>4.55E-4</v>
      </c>
      <c r="CP119">
        <v>4.55E-4</v>
      </c>
      <c r="CQ119">
        <v>4.55E-4</v>
      </c>
      <c r="CR119">
        <v>4.55E-4</v>
      </c>
      <c r="CS119">
        <v>4.55E-4</v>
      </c>
      <c r="CT119">
        <v>4.55E-4</v>
      </c>
      <c r="CU119">
        <v>4.55E-4</v>
      </c>
      <c r="CV119">
        <v>4.55E-4</v>
      </c>
      <c r="CW119">
        <v>4.55E-4</v>
      </c>
      <c r="CX119">
        <v>4.55E-4</v>
      </c>
    </row>
    <row r="120" spans="1:102" x14ac:dyDescent="0.25">
      <c r="A120" t="s">
        <v>305</v>
      </c>
      <c r="B120">
        <v>3.0000000000000001E-6</v>
      </c>
      <c r="C120">
        <v>3.0000000000000001E-6</v>
      </c>
      <c r="D120">
        <v>3.0000000000000001E-6</v>
      </c>
      <c r="E120">
        <v>3.0000000000000001E-6</v>
      </c>
      <c r="F120">
        <v>3.0000000000000001E-6</v>
      </c>
      <c r="G120">
        <v>3.0000000000000001E-6</v>
      </c>
      <c r="H120">
        <v>3.0000000000000001E-6</v>
      </c>
      <c r="I120">
        <v>3.0000000000000001E-6</v>
      </c>
      <c r="J120">
        <v>3.0000000000000001E-6</v>
      </c>
      <c r="K120">
        <v>3.0000000000000001E-6</v>
      </c>
      <c r="L120">
        <v>3.0000000000000001E-6</v>
      </c>
      <c r="M120">
        <v>3.0000000000000001E-6</v>
      </c>
      <c r="N120">
        <v>3.0000000000000001E-6</v>
      </c>
      <c r="O120">
        <v>3.0000000000000001E-6</v>
      </c>
      <c r="P120">
        <v>3.0000000000000001E-6</v>
      </c>
      <c r="Q120">
        <v>2.4000000000000001E-4</v>
      </c>
      <c r="R120">
        <v>2.4000000000000001E-4</v>
      </c>
      <c r="S120">
        <v>2.4000000000000001E-4</v>
      </c>
      <c r="T120">
        <v>2.4000000000000001E-4</v>
      </c>
      <c r="U120">
        <v>2.4000000000000001E-4</v>
      </c>
      <c r="V120">
        <v>2.4000000000000001E-4</v>
      </c>
      <c r="W120">
        <v>2.4000000000000001E-4</v>
      </c>
      <c r="X120">
        <v>2.4000000000000001E-4</v>
      </c>
      <c r="Y120">
        <v>2.4000000000000001E-4</v>
      </c>
      <c r="Z120">
        <v>2.4000000000000001E-4</v>
      </c>
      <c r="AA120">
        <v>2.4000000000000001E-4</v>
      </c>
      <c r="AB120">
        <v>2.4000000000000001E-4</v>
      </c>
      <c r="AC120">
        <v>2.4000000000000001E-4</v>
      </c>
      <c r="AD120">
        <v>2.4000000000000001E-4</v>
      </c>
      <c r="AE120">
        <v>2.4000000000000001E-4</v>
      </c>
      <c r="AF120">
        <v>2.4000000000000001E-4</v>
      </c>
      <c r="AG120">
        <v>2.4000000000000001E-4</v>
      </c>
      <c r="AH120">
        <v>2.4000000000000001E-4</v>
      </c>
      <c r="AI120">
        <v>2.4000000000000001E-4</v>
      </c>
      <c r="AJ120">
        <v>2.4000000000000001E-4</v>
      </c>
      <c r="AK120">
        <v>2.4000000000000001E-4</v>
      </c>
      <c r="AL120">
        <v>2.4000000000000001E-4</v>
      </c>
      <c r="AM120">
        <v>2.4000000000000001E-4</v>
      </c>
      <c r="AN120">
        <v>2.4000000000000001E-4</v>
      </c>
      <c r="AO120">
        <v>2.4000000000000001E-4</v>
      </c>
      <c r="AP120">
        <v>6.2200000000000005E-4</v>
      </c>
      <c r="AQ120">
        <v>6.2200000000000005E-4</v>
      </c>
      <c r="AR120">
        <v>6.2200000000000005E-4</v>
      </c>
      <c r="AS120">
        <v>6.2200000000000005E-4</v>
      </c>
      <c r="AT120">
        <v>6.2200000000000005E-4</v>
      </c>
      <c r="AU120">
        <v>8.7900000000000001E-4</v>
      </c>
      <c r="AV120">
        <v>8.7900000000000001E-4</v>
      </c>
      <c r="AW120">
        <v>8.7900000000000001E-4</v>
      </c>
      <c r="AX120">
        <v>8.7900000000000001E-4</v>
      </c>
      <c r="AY120">
        <v>8.7900000000000001E-4</v>
      </c>
      <c r="AZ120">
        <v>1.1689999999999999E-3</v>
      </c>
      <c r="BA120">
        <v>1.1689999999999999E-3</v>
      </c>
      <c r="BB120">
        <v>1.1689999999999999E-3</v>
      </c>
      <c r="BC120">
        <v>1.1689999999999999E-3</v>
      </c>
      <c r="BD120">
        <v>1.1689999999999999E-3</v>
      </c>
      <c r="BE120">
        <v>1.4829999999999999E-3</v>
      </c>
      <c r="BF120">
        <v>1.4829999999999999E-3</v>
      </c>
      <c r="BG120">
        <v>1.4829999999999999E-3</v>
      </c>
      <c r="BH120">
        <v>1.4829999999999999E-3</v>
      </c>
      <c r="BI120">
        <v>1.4829999999999999E-3</v>
      </c>
      <c r="BJ120">
        <v>1.7329999999999999E-3</v>
      </c>
      <c r="BK120">
        <v>1.7329999999999999E-3</v>
      </c>
      <c r="BL120">
        <v>1.7329999999999999E-3</v>
      </c>
      <c r="BM120">
        <v>1.7329999999999999E-3</v>
      </c>
      <c r="BN120">
        <v>1.7329999999999999E-3</v>
      </c>
      <c r="BO120">
        <v>1.8309999999999999E-3</v>
      </c>
      <c r="BP120">
        <v>1.8309999999999999E-3</v>
      </c>
      <c r="BQ120">
        <v>1.8309999999999999E-3</v>
      </c>
      <c r="BR120">
        <v>1.8309999999999999E-3</v>
      </c>
      <c r="BS120">
        <v>1.8309999999999999E-3</v>
      </c>
      <c r="BT120">
        <v>1.817E-3</v>
      </c>
      <c r="BU120">
        <v>1.817E-3</v>
      </c>
      <c r="BV120">
        <v>1.817E-3</v>
      </c>
      <c r="BW120">
        <v>1.817E-3</v>
      </c>
      <c r="BX120">
        <v>1.817E-3</v>
      </c>
      <c r="BY120">
        <v>1.6819999999999999E-3</v>
      </c>
      <c r="BZ120">
        <v>1.6819999999999999E-3</v>
      </c>
      <c r="CA120">
        <v>1.6819999999999999E-3</v>
      </c>
      <c r="CB120">
        <v>1.6819999999999999E-3</v>
      </c>
      <c r="CC120">
        <v>1.6819999999999999E-3</v>
      </c>
      <c r="CD120">
        <v>1.6819999999999999E-3</v>
      </c>
      <c r="CE120">
        <v>1.6819999999999999E-3</v>
      </c>
      <c r="CF120">
        <v>1.6819999999999999E-3</v>
      </c>
      <c r="CG120">
        <v>1.6819999999999999E-3</v>
      </c>
      <c r="CH120">
        <v>1.6819999999999999E-3</v>
      </c>
      <c r="CI120">
        <v>1.6819999999999999E-3</v>
      </c>
      <c r="CJ120">
        <v>1.6819999999999999E-3</v>
      </c>
      <c r="CK120">
        <v>1.6819999999999999E-3</v>
      </c>
      <c r="CL120">
        <v>1.6819999999999999E-3</v>
      </c>
      <c r="CM120">
        <v>1.6819999999999999E-3</v>
      </c>
      <c r="CN120">
        <v>1.6819999999999999E-3</v>
      </c>
      <c r="CO120">
        <v>1.6819999999999999E-3</v>
      </c>
      <c r="CP120">
        <v>1.6819999999999999E-3</v>
      </c>
      <c r="CQ120">
        <v>1.6819999999999999E-3</v>
      </c>
      <c r="CR120">
        <v>1.6819999999999999E-3</v>
      </c>
      <c r="CS120">
        <v>1.6819999999999999E-3</v>
      </c>
      <c r="CT120">
        <v>1.6819999999999999E-3</v>
      </c>
      <c r="CU120">
        <v>1.6819999999999999E-3</v>
      </c>
      <c r="CV120">
        <v>1.6819999999999999E-3</v>
      </c>
      <c r="CW120">
        <v>1.6819999999999999E-3</v>
      </c>
      <c r="CX120">
        <v>1.6819999999999999E-3</v>
      </c>
    </row>
    <row r="121" spans="1:102" x14ac:dyDescent="0.25">
      <c r="A121" t="s">
        <v>307</v>
      </c>
      <c r="B121" t="e">
        <v>#VALUE!</v>
      </c>
      <c r="C121" t="e">
        <v>#VALUE!</v>
      </c>
      <c r="D121" t="e">
        <v>#VALUE!</v>
      </c>
      <c r="E121" t="e">
        <v>#VALUE!</v>
      </c>
      <c r="F121" t="e">
        <v>#VALUE!</v>
      </c>
      <c r="G121" t="e">
        <v>#VALUE!</v>
      </c>
      <c r="H121" t="e">
        <v>#VALUE!</v>
      </c>
      <c r="I121" t="e">
        <v>#VALUE!</v>
      </c>
      <c r="J121" t="e">
        <v>#VALUE!</v>
      </c>
      <c r="K121" t="e">
        <v>#VALUE!</v>
      </c>
      <c r="L121" t="e">
        <v>#VALUE!</v>
      </c>
      <c r="M121" t="e">
        <v>#VALUE!</v>
      </c>
      <c r="N121" t="e">
        <v>#VALUE!</v>
      </c>
      <c r="O121" t="e">
        <v>#VALUE!</v>
      </c>
      <c r="P121" t="e">
        <v>#VALUE!</v>
      </c>
      <c r="Q121">
        <v>2.5000000000000001E-5</v>
      </c>
      <c r="R121">
        <v>2.5000000000000001E-5</v>
      </c>
      <c r="S121">
        <v>2.5000000000000001E-5</v>
      </c>
      <c r="T121">
        <v>2.5000000000000001E-5</v>
      </c>
      <c r="U121">
        <v>2.5000000000000001E-5</v>
      </c>
      <c r="V121">
        <v>2.5000000000000001E-5</v>
      </c>
      <c r="W121">
        <v>2.5000000000000001E-5</v>
      </c>
      <c r="X121">
        <v>2.5000000000000001E-5</v>
      </c>
      <c r="Y121">
        <v>2.5000000000000001E-5</v>
      </c>
      <c r="Z121">
        <v>2.5000000000000001E-5</v>
      </c>
      <c r="AA121">
        <v>2.5000000000000001E-5</v>
      </c>
      <c r="AB121">
        <v>2.5000000000000001E-5</v>
      </c>
      <c r="AC121">
        <v>2.5000000000000001E-5</v>
      </c>
      <c r="AD121">
        <v>2.5000000000000001E-5</v>
      </c>
      <c r="AE121">
        <v>2.5000000000000001E-5</v>
      </c>
      <c r="AF121">
        <v>2.5000000000000001E-5</v>
      </c>
      <c r="AG121">
        <v>2.5000000000000001E-5</v>
      </c>
      <c r="AH121">
        <v>2.5000000000000001E-5</v>
      </c>
      <c r="AI121">
        <v>2.5000000000000001E-5</v>
      </c>
      <c r="AJ121">
        <v>2.5000000000000001E-5</v>
      </c>
      <c r="AK121">
        <v>2.5000000000000001E-5</v>
      </c>
      <c r="AL121">
        <v>2.5000000000000001E-5</v>
      </c>
      <c r="AM121">
        <v>2.5000000000000001E-5</v>
      </c>
      <c r="AN121">
        <v>2.5000000000000001E-5</v>
      </c>
      <c r="AO121">
        <v>2.5000000000000001E-5</v>
      </c>
      <c r="AP121">
        <v>1.5300000000000001E-4</v>
      </c>
      <c r="AQ121">
        <v>1.5300000000000001E-4</v>
      </c>
      <c r="AR121">
        <v>1.5300000000000001E-4</v>
      </c>
      <c r="AS121">
        <v>1.5300000000000001E-4</v>
      </c>
      <c r="AT121">
        <v>1.5300000000000001E-4</v>
      </c>
      <c r="AU121">
        <v>2.3800000000000001E-4</v>
      </c>
      <c r="AV121">
        <v>2.3800000000000001E-4</v>
      </c>
      <c r="AW121">
        <v>2.3800000000000001E-4</v>
      </c>
      <c r="AX121">
        <v>2.3800000000000001E-4</v>
      </c>
      <c r="AY121">
        <v>2.3800000000000001E-4</v>
      </c>
      <c r="AZ121">
        <v>3.1399999999999999E-4</v>
      </c>
      <c r="BA121">
        <v>3.1399999999999999E-4</v>
      </c>
      <c r="BB121">
        <v>3.1399999999999999E-4</v>
      </c>
      <c r="BC121">
        <v>3.1399999999999999E-4</v>
      </c>
      <c r="BD121">
        <v>3.1399999999999999E-4</v>
      </c>
      <c r="BE121">
        <v>3.7800000000000003E-4</v>
      </c>
      <c r="BF121">
        <v>3.7800000000000003E-4</v>
      </c>
      <c r="BG121">
        <v>3.7800000000000003E-4</v>
      </c>
      <c r="BH121">
        <v>3.7800000000000003E-4</v>
      </c>
      <c r="BI121">
        <v>3.7800000000000003E-4</v>
      </c>
      <c r="BJ121">
        <v>4.4200000000000001E-4</v>
      </c>
      <c r="BK121">
        <v>4.4200000000000001E-4</v>
      </c>
      <c r="BL121">
        <v>4.4200000000000001E-4</v>
      </c>
      <c r="BM121">
        <v>4.4200000000000001E-4</v>
      </c>
      <c r="BN121">
        <v>4.4200000000000001E-4</v>
      </c>
      <c r="BO121">
        <v>5.2099999999999998E-4</v>
      </c>
      <c r="BP121">
        <v>5.2099999999999998E-4</v>
      </c>
      <c r="BQ121">
        <v>5.2099999999999998E-4</v>
      </c>
      <c r="BR121">
        <v>5.2099999999999998E-4</v>
      </c>
      <c r="BS121">
        <v>5.2099999999999998E-4</v>
      </c>
      <c r="BT121">
        <v>6.1300000000000005E-4</v>
      </c>
      <c r="BU121">
        <v>6.1300000000000005E-4</v>
      </c>
      <c r="BV121">
        <v>6.1300000000000005E-4</v>
      </c>
      <c r="BW121">
        <v>6.1300000000000005E-4</v>
      </c>
      <c r="BX121">
        <v>6.1300000000000005E-4</v>
      </c>
      <c r="BY121">
        <v>7.18E-4</v>
      </c>
      <c r="BZ121">
        <v>7.18E-4</v>
      </c>
      <c r="CA121">
        <v>7.18E-4</v>
      </c>
      <c r="CB121">
        <v>7.18E-4</v>
      </c>
      <c r="CC121">
        <v>7.18E-4</v>
      </c>
      <c r="CD121">
        <v>7.18E-4</v>
      </c>
      <c r="CE121">
        <v>7.18E-4</v>
      </c>
      <c r="CF121">
        <v>7.18E-4</v>
      </c>
      <c r="CG121">
        <v>7.18E-4</v>
      </c>
      <c r="CH121">
        <v>7.18E-4</v>
      </c>
      <c r="CI121">
        <v>7.18E-4</v>
      </c>
      <c r="CJ121">
        <v>7.18E-4</v>
      </c>
      <c r="CK121">
        <v>7.18E-4</v>
      </c>
      <c r="CL121">
        <v>7.18E-4</v>
      </c>
      <c r="CM121">
        <v>7.18E-4</v>
      </c>
      <c r="CN121">
        <v>7.18E-4</v>
      </c>
      <c r="CO121">
        <v>7.18E-4</v>
      </c>
      <c r="CP121">
        <v>7.18E-4</v>
      </c>
      <c r="CQ121">
        <v>7.18E-4</v>
      </c>
      <c r="CR121">
        <v>7.18E-4</v>
      </c>
      <c r="CS121">
        <v>7.18E-4</v>
      </c>
      <c r="CT121">
        <v>7.18E-4</v>
      </c>
      <c r="CU121">
        <v>7.18E-4</v>
      </c>
      <c r="CV121">
        <v>7.18E-4</v>
      </c>
      <c r="CW121">
        <v>7.18E-4</v>
      </c>
      <c r="CX121">
        <v>7.18E-4</v>
      </c>
    </row>
    <row r="122" spans="1:102" x14ac:dyDescent="0.25">
      <c r="A122" t="s">
        <v>309</v>
      </c>
      <c r="B122" t="e">
        <v>#VALUE!</v>
      </c>
      <c r="C122" t="e">
        <v>#VALUE!</v>
      </c>
      <c r="D122" t="e">
        <v>#VALUE!</v>
      </c>
      <c r="E122" t="e">
        <v>#VALUE!</v>
      </c>
      <c r="F122" t="e">
        <v>#VALUE!</v>
      </c>
      <c r="G122" t="e">
        <v>#VALUE!</v>
      </c>
      <c r="H122" t="e">
        <v>#VALUE!</v>
      </c>
      <c r="I122" t="e">
        <v>#VALUE!</v>
      </c>
      <c r="J122" t="e">
        <v>#VALUE!</v>
      </c>
      <c r="K122" t="e">
        <v>#VALUE!</v>
      </c>
      <c r="L122" t="e">
        <v>#VALUE!</v>
      </c>
      <c r="M122" t="e">
        <v>#VALUE!</v>
      </c>
      <c r="N122" t="e">
        <v>#VALUE!</v>
      </c>
      <c r="O122" t="e">
        <v>#VALUE!</v>
      </c>
      <c r="P122" t="e">
        <v>#VALUE!</v>
      </c>
      <c r="Q122">
        <v>1.8E-5</v>
      </c>
      <c r="R122">
        <v>1.8E-5</v>
      </c>
      <c r="S122">
        <v>1.8E-5</v>
      </c>
      <c r="T122">
        <v>1.8E-5</v>
      </c>
      <c r="U122">
        <v>1.8E-5</v>
      </c>
      <c r="V122">
        <v>1.8E-5</v>
      </c>
      <c r="W122">
        <v>1.8E-5</v>
      </c>
      <c r="X122">
        <v>1.8E-5</v>
      </c>
      <c r="Y122">
        <v>1.8E-5</v>
      </c>
      <c r="Z122">
        <v>1.8E-5</v>
      </c>
      <c r="AA122">
        <v>1.8E-5</v>
      </c>
      <c r="AB122">
        <v>1.8E-5</v>
      </c>
      <c r="AC122">
        <v>1.8E-5</v>
      </c>
      <c r="AD122">
        <v>1.8E-5</v>
      </c>
      <c r="AE122">
        <v>1.8E-5</v>
      </c>
      <c r="AF122">
        <v>1.8E-5</v>
      </c>
      <c r="AG122">
        <v>1.8E-5</v>
      </c>
      <c r="AH122">
        <v>1.8E-5</v>
      </c>
      <c r="AI122">
        <v>1.8E-5</v>
      </c>
      <c r="AJ122">
        <v>1.8E-5</v>
      </c>
      <c r="AK122">
        <v>1.8E-5</v>
      </c>
      <c r="AL122">
        <v>1.8E-5</v>
      </c>
      <c r="AM122">
        <v>1.8E-5</v>
      </c>
      <c r="AN122">
        <v>1.8E-5</v>
      </c>
      <c r="AO122">
        <v>1.8E-5</v>
      </c>
      <c r="AP122">
        <v>8.6000000000000003E-5</v>
      </c>
      <c r="AQ122">
        <v>8.6000000000000003E-5</v>
      </c>
      <c r="AR122">
        <v>8.6000000000000003E-5</v>
      </c>
      <c r="AS122">
        <v>8.6000000000000003E-5</v>
      </c>
      <c r="AT122">
        <v>8.6000000000000003E-5</v>
      </c>
      <c r="AU122">
        <v>1.1900000000000001E-4</v>
      </c>
      <c r="AV122">
        <v>1.1900000000000001E-4</v>
      </c>
      <c r="AW122">
        <v>1.1900000000000001E-4</v>
      </c>
      <c r="AX122">
        <v>1.1900000000000001E-4</v>
      </c>
      <c r="AY122">
        <v>1.1900000000000001E-4</v>
      </c>
      <c r="AZ122">
        <v>1.6100000000000001E-4</v>
      </c>
      <c r="BA122">
        <v>1.6100000000000001E-4</v>
      </c>
      <c r="BB122">
        <v>1.6100000000000001E-4</v>
      </c>
      <c r="BC122">
        <v>1.6100000000000001E-4</v>
      </c>
      <c r="BD122">
        <v>1.6100000000000001E-4</v>
      </c>
      <c r="BE122">
        <v>1.6799999999999999E-4</v>
      </c>
      <c r="BF122">
        <v>1.6799999999999999E-4</v>
      </c>
      <c r="BG122">
        <v>1.6799999999999999E-4</v>
      </c>
      <c r="BH122">
        <v>1.6799999999999999E-4</v>
      </c>
      <c r="BI122">
        <v>1.6799999999999999E-4</v>
      </c>
      <c r="BJ122">
        <v>2.1699999999999999E-4</v>
      </c>
      <c r="BK122">
        <v>2.1699999999999999E-4</v>
      </c>
      <c r="BL122">
        <v>2.1699999999999999E-4</v>
      </c>
      <c r="BM122">
        <v>2.1699999999999999E-4</v>
      </c>
      <c r="BN122">
        <v>2.1699999999999999E-4</v>
      </c>
      <c r="BO122">
        <v>2.9599999999999998E-4</v>
      </c>
      <c r="BP122">
        <v>2.9599999999999998E-4</v>
      </c>
      <c r="BQ122">
        <v>2.9599999999999998E-4</v>
      </c>
      <c r="BR122">
        <v>2.9599999999999998E-4</v>
      </c>
      <c r="BS122">
        <v>2.9599999999999998E-4</v>
      </c>
      <c r="BT122">
        <v>3.5399999999999999E-4</v>
      </c>
      <c r="BU122">
        <v>3.5399999999999999E-4</v>
      </c>
      <c r="BV122">
        <v>3.5399999999999999E-4</v>
      </c>
      <c r="BW122">
        <v>3.5399999999999999E-4</v>
      </c>
      <c r="BX122">
        <v>3.5399999999999999E-4</v>
      </c>
      <c r="BY122">
        <v>5.3200000000000003E-4</v>
      </c>
      <c r="BZ122">
        <v>5.3200000000000003E-4</v>
      </c>
      <c r="CA122">
        <v>5.3200000000000003E-4</v>
      </c>
      <c r="CB122">
        <v>5.3200000000000003E-4</v>
      </c>
      <c r="CC122">
        <v>5.3200000000000003E-4</v>
      </c>
      <c r="CD122">
        <v>5.3200000000000003E-4</v>
      </c>
      <c r="CE122">
        <v>5.3200000000000003E-4</v>
      </c>
      <c r="CF122">
        <v>5.3200000000000003E-4</v>
      </c>
      <c r="CG122">
        <v>5.3200000000000003E-4</v>
      </c>
      <c r="CH122">
        <v>5.3200000000000003E-4</v>
      </c>
      <c r="CI122">
        <v>5.3200000000000003E-4</v>
      </c>
      <c r="CJ122">
        <v>5.3200000000000003E-4</v>
      </c>
      <c r="CK122">
        <v>5.3200000000000003E-4</v>
      </c>
      <c r="CL122">
        <v>5.3200000000000003E-4</v>
      </c>
      <c r="CM122">
        <v>5.3200000000000003E-4</v>
      </c>
      <c r="CN122">
        <v>5.3200000000000003E-4</v>
      </c>
      <c r="CO122">
        <v>5.3200000000000003E-4</v>
      </c>
      <c r="CP122">
        <v>5.3200000000000003E-4</v>
      </c>
      <c r="CQ122">
        <v>5.3200000000000003E-4</v>
      </c>
      <c r="CR122">
        <v>5.3200000000000003E-4</v>
      </c>
      <c r="CS122">
        <v>5.3200000000000003E-4</v>
      </c>
      <c r="CT122">
        <v>5.3200000000000003E-4</v>
      </c>
      <c r="CU122">
        <v>5.3200000000000003E-4</v>
      </c>
      <c r="CV122">
        <v>5.3200000000000003E-4</v>
      </c>
      <c r="CW122">
        <v>5.3200000000000003E-4</v>
      </c>
      <c r="CX122">
        <v>5.3200000000000003E-4</v>
      </c>
    </row>
    <row r="123" spans="1:102" x14ac:dyDescent="0.25">
      <c r="A123" t="s">
        <v>311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1.2999999999999999E-5</v>
      </c>
      <c r="R123">
        <v>1.2999999999999999E-5</v>
      </c>
      <c r="S123">
        <v>1.2999999999999999E-5</v>
      </c>
      <c r="T123">
        <v>1.2999999999999999E-5</v>
      </c>
      <c r="U123">
        <v>1.2999999999999999E-5</v>
      </c>
      <c r="V123">
        <v>1.2999999999999999E-5</v>
      </c>
      <c r="W123">
        <v>1.2999999999999999E-5</v>
      </c>
      <c r="X123">
        <v>1.2999999999999999E-5</v>
      </c>
      <c r="Y123">
        <v>1.2999999999999999E-5</v>
      </c>
      <c r="Z123">
        <v>1.2999999999999999E-5</v>
      </c>
      <c r="AA123">
        <v>1.2999999999999999E-5</v>
      </c>
      <c r="AB123">
        <v>1.2999999999999999E-5</v>
      </c>
      <c r="AC123">
        <v>1.2999999999999999E-5</v>
      </c>
      <c r="AD123">
        <v>1.2999999999999999E-5</v>
      </c>
      <c r="AE123">
        <v>1.2999999999999999E-5</v>
      </c>
      <c r="AF123">
        <v>1.2999999999999999E-5</v>
      </c>
      <c r="AG123">
        <v>1.2999999999999999E-5</v>
      </c>
      <c r="AH123">
        <v>1.2999999999999999E-5</v>
      </c>
      <c r="AI123">
        <v>1.2999999999999999E-5</v>
      </c>
      <c r="AJ123">
        <v>1.2999999999999999E-5</v>
      </c>
      <c r="AK123">
        <v>1.2999999999999999E-5</v>
      </c>
      <c r="AL123">
        <v>1.2999999999999999E-5</v>
      </c>
      <c r="AM123">
        <v>1.2999999999999999E-5</v>
      </c>
      <c r="AN123">
        <v>1.2999999999999999E-5</v>
      </c>
      <c r="AO123">
        <v>1.2999999999999999E-5</v>
      </c>
      <c r="AP123">
        <v>5.1E-5</v>
      </c>
      <c r="AQ123">
        <v>5.1E-5</v>
      </c>
      <c r="AR123">
        <v>5.1E-5</v>
      </c>
      <c r="AS123">
        <v>5.1E-5</v>
      </c>
      <c r="AT123">
        <v>5.1E-5</v>
      </c>
      <c r="AU123">
        <v>6.9999999999999994E-5</v>
      </c>
      <c r="AV123">
        <v>6.9999999999999994E-5</v>
      </c>
      <c r="AW123">
        <v>6.9999999999999994E-5</v>
      </c>
      <c r="AX123">
        <v>6.9999999999999994E-5</v>
      </c>
      <c r="AY123">
        <v>6.9999999999999994E-5</v>
      </c>
      <c r="AZ123">
        <v>8.7999999999999998E-5</v>
      </c>
      <c r="BA123">
        <v>8.7999999999999998E-5</v>
      </c>
      <c r="BB123">
        <v>8.7999999999999998E-5</v>
      </c>
      <c r="BC123">
        <v>8.7999999999999998E-5</v>
      </c>
      <c r="BD123">
        <v>8.7999999999999998E-5</v>
      </c>
      <c r="BE123">
        <v>9.7E-5</v>
      </c>
      <c r="BF123">
        <v>9.7E-5</v>
      </c>
      <c r="BG123">
        <v>9.7E-5</v>
      </c>
      <c r="BH123">
        <v>9.7E-5</v>
      </c>
      <c r="BI123">
        <v>9.7E-5</v>
      </c>
      <c r="BJ123">
        <v>1.06E-4</v>
      </c>
      <c r="BK123">
        <v>1.06E-4</v>
      </c>
      <c r="BL123">
        <v>1.06E-4</v>
      </c>
      <c r="BM123">
        <v>1.06E-4</v>
      </c>
      <c r="BN123">
        <v>1.06E-4</v>
      </c>
      <c r="BO123">
        <v>1.2E-4</v>
      </c>
      <c r="BP123">
        <v>1.2E-4</v>
      </c>
      <c r="BQ123">
        <v>1.2E-4</v>
      </c>
      <c r="BR123">
        <v>1.2E-4</v>
      </c>
      <c r="BS123">
        <v>1.2E-4</v>
      </c>
      <c r="BT123">
        <v>1.4300000000000001E-4</v>
      </c>
      <c r="BU123">
        <v>1.4300000000000001E-4</v>
      </c>
      <c r="BV123">
        <v>1.4300000000000001E-4</v>
      </c>
      <c r="BW123">
        <v>1.4300000000000001E-4</v>
      </c>
      <c r="BX123">
        <v>1.4300000000000001E-4</v>
      </c>
      <c r="BY123">
        <v>2.2100000000000001E-4</v>
      </c>
      <c r="BZ123">
        <v>2.2100000000000001E-4</v>
      </c>
      <c r="CA123">
        <v>2.2100000000000001E-4</v>
      </c>
      <c r="CB123">
        <v>2.2100000000000001E-4</v>
      </c>
      <c r="CC123">
        <v>2.2100000000000001E-4</v>
      </c>
      <c r="CD123">
        <v>2.2100000000000001E-4</v>
      </c>
      <c r="CE123">
        <v>2.2100000000000001E-4</v>
      </c>
      <c r="CF123">
        <v>2.2100000000000001E-4</v>
      </c>
      <c r="CG123">
        <v>2.2100000000000001E-4</v>
      </c>
      <c r="CH123">
        <v>2.2100000000000001E-4</v>
      </c>
      <c r="CI123">
        <v>2.2100000000000001E-4</v>
      </c>
      <c r="CJ123">
        <v>2.2100000000000001E-4</v>
      </c>
      <c r="CK123">
        <v>2.2100000000000001E-4</v>
      </c>
      <c r="CL123">
        <v>2.2100000000000001E-4</v>
      </c>
      <c r="CM123">
        <v>2.2100000000000001E-4</v>
      </c>
      <c r="CN123">
        <v>2.2100000000000001E-4</v>
      </c>
      <c r="CO123">
        <v>2.2100000000000001E-4</v>
      </c>
      <c r="CP123">
        <v>2.2100000000000001E-4</v>
      </c>
      <c r="CQ123">
        <v>2.2100000000000001E-4</v>
      </c>
      <c r="CR123">
        <v>2.2100000000000001E-4</v>
      </c>
      <c r="CS123">
        <v>2.2100000000000001E-4</v>
      </c>
      <c r="CT123">
        <v>2.2100000000000001E-4</v>
      </c>
      <c r="CU123">
        <v>2.2100000000000001E-4</v>
      </c>
      <c r="CV123">
        <v>2.2100000000000001E-4</v>
      </c>
      <c r="CW123">
        <v>2.2100000000000001E-4</v>
      </c>
      <c r="CX123">
        <v>2.2100000000000001E-4</v>
      </c>
    </row>
    <row r="124" spans="1:102" x14ac:dyDescent="0.25">
      <c r="A124" t="s">
        <v>313</v>
      </c>
      <c r="B124" t="e">
        <v>#VALUE!</v>
      </c>
      <c r="C124" t="e">
        <v>#VALUE!</v>
      </c>
      <c r="D124" t="e">
        <v>#VALUE!</v>
      </c>
      <c r="E124" t="e">
        <v>#VALUE!</v>
      </c>
      <c r="F124" t="e">
        <v>#VALUE!</v>
      </c>
      <c r="G124" t="e">
        <v>#VALUE!</v>
      </c>
      <c r="H124" t="e">
        <v>#VALUE!</v>
      </c>
      <c r="I124" t="e">
        <v>#VALUE!</v>
      </c>
      <c r="J124" t="e">
        <v>#VALUE!</v>
      </c>
      <c r="K124" t="e">
        <v>#VALUE!</v>
      </c>
      <c r="L124" t="e">
        <v>#VALUE!</v>
      </c>
      <c r="M124" t="e">
        <v>#VALUE!</v>
      </c>
      <c r="N124" t="e">
        <v>#VALUE!</v>
      </c>
      <c r="O124" t="e">
        <v>#VALUE!</v>
      </c>
      <c r="P124" t="e">
        <v>#VALUE!</v>
      </c>
      <c r="Q124">
        <v>1.4E-5</v>
      </c>
      <c r="R124">
        <v>1.4E-5</v>
      </c>
      <c r="S124">
        <v>1.4E-5</v>
      </c>
      <c r="T124">
        <v>1.4E-5</v>
      </c>
      <c r="U124">
        <v>1.4E-5</v>
      </c>
      <c r="V124">
        <v>1.4E-5</v>
      </c>
      <c r="W124">
        <v>1.4E-5</v>
      </c>
      <c r="X124">
        <v>1.4E-5</v>
      </c>
      <c r="Y124">
        <v>1.4E-5</v>
      </c>
      <c r="Z124">
        <v>1.4E-5</v>
      </c>
      <c r="AA124">
        <v>1.4E-5</v>
      </c>
      <c r="AB124">
        <v>1.4E-5</v>
      </c>
      <c r="AC124">
        <v>1.4E-5</v>
      </c>
      <c r="AD124">
        <v>1.4E-5</v>
      </c>
      <c r="AE124">
        <v>1.4E-5</v>
      </c>
      <c r="AF124">
        <v>1.4E-5</v>
      </c>
      <c r="AG124">
        <v>1.4E-5</v>
      </c>
      <c r="AH124">
        <v>1.4E-5</v>
      </c>
      <c r="AI124">
        <v>1.4E-5</v>
      </c>
      <c r="AJ124">
        <v>1.4E-5</v>
      </c>
      <c r="AK124">
        <v>1.4E-5</v>
      </c>
      <c r="AL124">
        <v>1.4E-5</v>
      </c>
      <c r="AM124">
        <v>1.4E-5</v>
      </c>
      <c r="AN124">
        <v>1.4E-5</v>
      </c>
      <c r="AO124">
        <v>1.4E-5</v>
      </c>
      <c r="AP124">
        <v>1.3300000000000001E-4</v>
      </c>
      <c r="AQ124">
        <v>1.3300000000000001E-4</v>
      </c>
      <c r="AR124">
        <v>1.3300000000000001E-4</v>
      </c>
      <c r="AS124">
        <v>1.3300000000000001E-4</v>
      </c>
      <c r="AT124">
        <v>1.3300000000000001E-4</v>
      </c>
      <c r="AU124">
        <v>2.5900000000000001E-4</v>
      </c>
      <c r="AV124">
        <v>2.5900000000000001E-4</v>
      </c>
      <c r="AW124">
        <v>2.5900000000000001E-4</v>
      </c>
      <c r="AX124">
        <v>2.5900000000000001E-4</v>
      </c>
      <c r="AY124">
        <v>2.5900000000000001E-4</v>
      </c>
      <c r="AZ124">
        <v>4.4099999999999999E-4</v>
      </c>
      <c r="BA124">
        <v>4.4099999999999999E-4</v>
      </c>
      <c r="BB124">
        <v>4.4099999999999999E-4</v>
      </c>
      <c r="BC124">
        <v>4.4099999999999999E-4</v>
      </c>
      <c r="BD124">
        <v>4.4099999999999999E-4</v>
      </c>
      <c r="BE124">
        <v>4.5399999999999998E-4</v>
      </c>
      <c r="BF124">
        <v>4.5399999999999998E-4</v>
      </c>
      <c r="BG124">
        <v>4.5399999999999998E-4</v>
      </c>
      <c r="BH124">
        <v>4.5399999999999998E-4</v>
      </c>
      <c r="BI124">
        <v>4.5399999999999998E-4</v>
      </c>
      <c r="BJ124">
        <v>5.8600000000000004E-4</v>
      </c>
      <c r="BK124">
        <v>5.8600000000000004E-4</v>
      </c>
      <c r="BL124">
        <v>5.8600000000000004E-4</v>
      </c>
      <c r="BM124">
        <v>5.8600000000000004E-4</v>
      </c>
      <c r="BN124">
        <v>5.8600000000000004E-4</v>
      </c>
      <c r="BO124">
        <v>4.7100000000000001E-4</v>
      </c>
      <c r="BP124">
        <v>4.7100000000000001E-4</v>
      </c>
      <c r="BQ124">
        <v>4.7100000000000001E-4</v>
      </c>
      <c r="BR124">
        <v>4.7100000000000001E-4</v>
      </c>
      <c r="BS124">
        <v>4.7100000000000001E-4</v>
      </c>
      <c r="BT124">
        <v>4.0200000000000001E-4</v>
      </c>
      <c r="BU124">
        <v>4.0200000000000001E-4</v>
      </c>
      <c r="BV124">
        <v>4.0200000000000001E-4</v>
      </c>
      <c r="BW124">
        <v>4.0200000000000001E-4</v>
      </c>
      <c r="BX124">
        <v>4.0200000000000001E-4</v>
      </c>
      <c r="BY124">
        <v>2.5300000000000002E-4</v>
      </c>
      <c r="BZ124">
        <v>2.5300000000000002E-4</v>
      </c>
      <c r="CA124">
        <v>2.5300000000000002E-4</v>
      </c>
      <c r="CB124">
        <v>2.5300000000000002E-4</v>
      </c>
      <c r="CC124">
        <v>2.5300000000000002E-4</v>
      </c>
      <c r="CD124">
        <v>2.5300000000000002E-4</v>
      </c>
      <c r="CE124">
        <v>2.5300000000000002E-4</v>
      </c>
      <c r="CF124">
        <v>2.5300000000000002E-4</v>
      </c>
      <c r="CG124">
        <v>2.5300000000000002E-4</v>
      </c>
      <c r="CH124">
        <v>2.5300000000000002E-4</v>
      </c>
      <c r="CI124">
        <v>2.5300000000000002E-4</v>
      </c>
      <c r="CJ124">
        <v>2.5300000000000002E-4</v>
      </c>
      <c r="CK124">
        <v>2.5300000000000002E-4</v>
      </c>
      <c r="CL124">
        <v>2.5300000000000002E-4</v>
      </c>
      <c r="CM124">
        <v>2.5300000000000002E-4</v>
      </c>
      <c r="CN124">
        <v>2.5300000000000002E-4</v>
      </c>
      <c r="CO124">
        <v>2.5300000000000002E-4</v>
      </c>
      <c r="CP124">
        <v>2.5300000000000002E-4</v>
      </c>
      <c r="CQ124">
        <v>2.5300000000000002E-4</v>
      </c>
      <c r="CR124">
        <v>2.5300000000000002E-4</v>
      </c>
      <c r="CS124">
        <v>2.5300000000000002E-4</v>
      </c>
      <c r="CT124">
        <v>2.5300000000000002E-4</v>
      </c>
      <c r="CU124">
        <v>2.5300000000000002E-4</v>
      </c>
      <c r="CV124">
        <v>2.5300000000000002E-4</v>
      </c>
      <c r="CW124">
        <v>2.5300000000000002E-4</v>
      </c>
      <c r="CX124">
        <v>2.5300000000000002E-4</v>
      </c>
    </row>
    <row r="125" spans="1:102" x14ac:dyDescent="0.25">
      <c r="A125" t="s">
        <v>315</v>
      </c>
      <c r="B125" t="e">
        <v>#VALUE!</v>
      </c>
      <c r="C125" t="e">
        <v>#VALUE!</v>
      </c>
      <c r="D125" t="e">
        <v>#VALUE!</v>
      </c>
      <c r="E125" t="e">
        <v>#VALUE!</v>
      </c>
      <c r="F125" t="e">
        <v>#VALUE!</v>
      </c>
      <c r="G125" t="e">
        <v>#VALUE!</v>
      </c>
      <c r="H125" t="e">
        <v>#VALUE!</v>
      </c>
      <c r="I125" t="e">
        <v>#VALUE!</v>
      </c>
      <c r="J125" t="e">
        <v>#VALUE!</v>
      </c>
      <c r="K125" t="e">
        <v>#VALUE!</v>
      </c>
      <c r="L125" t="e">
        <v>#VALUE!</v>
      </c>
      <c r="M125" t="e">
        <v>#VALUE!</v>
      </c>
      <c r="N125" t="e">
        <v>#VALUE!</v>
      </c>
      <c r="O125" t="e">
        <v>#VALUE!</v>
      </c>
      <c r="P125" t="e">
        <v>#VALUE!</v>
      </c>
      <c r="Q125">
        <v>6.9999999999999999E-6</v>
      </c>
      <c r="R125">
        <v>6.9999999999999999E-6</v>
      </c>
      <c r="S125">
        <v>6.9999999999999999E-6</v>
      </c>
      <c r="T125">
        <v>6.9999999999999999E-6</v>
      </c>
      <c r="U125">
        <v>6.9999999999999999E-6</v>
      </c>
      <c r="V125">
        <v>6.9999999999999999E-6</v>
      </c>
      <c r="W125">
        <v>6.9999999999999999E-6</v>
      </c>
      <c r="X125">
        <v>6.9999999999999999E-6</v>
      </c>
      <c r="Y125">
        <v>6.9999999999999999E-6</v>
      </c>
      <c r="Z125">
        <v>6.9999999999999999E-6</v>
      </c>
      <c r="AA125">
        <v>6.9999999999999999E-6</v>
      </c>
      <c r="AB125">
        <v>6.9999999999999999E-6</v>
      </c>
      <c r="AC125">
        <v>6.9999999999999999E-6</v>
      </c>
      <c r="AD125">
        <v>6.9999999999999999E-6</v>
      </c>
      <c r="AE125">
        <v>6.9999999999999999E-6</v>
      </c>
      <c r="AF125">
        <v>6.9999999999999999E-6</v>
      </c>
      <c r="AG125">
        <v>6.9999999999999999E-6</v>
      </c>
      <c r="AH125">
        <v>6.9999999999999999E-6</v>
      </c>
      <c r="AI125">
        <v>6.9999999999999999E-6</v>
      </c>
      <c r="AJ125">
        <v>6.9999999999999999E-6</v>
      </c>
      <c r="AK125">
        <v>6.9999999999999999E-6</v>
      </c>
      <c r="AL125">
        <v>6.9999999999999999E-6</v>
      </c>
      <c r="AM125">
        <v>6.9999999999999999E-6</v>
      </c>
      <c r="AN125">
        <v>6.9999999999999999E-6</v>
      </c>
      <c r="AO125">
        <v>6.9999999999999999E-6</v>
      </c>
      <c r="AP125">
        <v>2.4000000000000001E-5</v>
      </c>
      <c r="AQ125">
        <v>2.4000000000000001E-5</v>
      </c>
      <c r="AR125">
        <v>2.4000000000000001E-5</v>
      </c>
      <c r="AS125">
        <v>2.4000000000000001E-5</v>
      </c>
      <c r="AT125">
        <v>2.4000000000000001E-5</v>
      </c>
      <c r="AU125">
        <v>2.8E-5</v>
      </c>
      <c r="AV125">
        <v>2.8E-5</v>
      </c>
      <c r="AW125">
        <v>2.8E-5</v>
      </c>
      <c r="AX125">
        <v>2.8E-5</v>
      </c>
      <c r="AY125">
        <v>2.8E-5</v>
      </c>
      <c r="AZ125">
        <v>3.4E-5</v>
      </c>
      <c r="BA125">
        <v>3.4E-5</v>
      </c>
      <c r="BB125">
        <v>3.4E-5</v>
      </c>
      <c r="BC125">
        <v>3.4E-5</v>
      </c>
      <c r="BD125">
        <v>3.4E-5</v>
      </c>
      <c r="BE125">
        <v>4.0000000000000003E-5</v>
      </c>
      <c r="BF125">
        <v>4.0000000000000003E-5</v>
      </c>
      <c r="BG125">
        <v>4.0000000000000003E-5</v>
      </c>
      <c r="BH125">
        <v>4.0000000000000003E-5</v>
      </c>
      <c r="BI125">
        <v>4.0000000000000003E-5</v>
      </c>
      <c r="BJ125">
        <v>4.3999999999999999E-5</v>
      </c>
      <c r="BK125">
        <v>4.3999999999999999E-5</v>
      </c>
      <c r="BL125">
        <v>4.3999999999999999E-5</v>
      </c>
      <c r="BM125">
        <v>4.3999999999999999E-5</v>
      </c>
      <c r="BN125">
        <v>4.3999999999999999E-5</v>
      </c>
      <c r="BO125">
        <v>4.8999999999999998E-5</v>
      </c>
      <c r="BP125">
        <v>4.8999999999999998E-5</v>
      </c>
      <c r="BQ125">
        <v>4.8999999999999998E-5</v>
      </c>
      <c r="BR125">
        <v>4.8999999999999998E-5</v>
      </c>
      <c r="BS125">
        <v>4.8999999999999998E-5</v>
      </c>
      <c r="BT125">
        <v>6.2000000000000003E-5</v>
      </c>
      <c r="BU125">
        <v>6.2000000000000003E-5</v>
      </c>
      <c r="BV125">
        <v>6.2000000000000003E-5</v>
      </c>
      <c r="BW125">
        <v>6.2000000000000003E-5</v>
      </c>
      <c r="BX125">
        <v>6.2000000000000003E-5</v>
      </c>
      <c r="BY125">
        <v>1.11E-4</v>
      </c>
      <c r="BZ125">
        <v>1.11E-4</v>
      </c>
      <c r="CA125">
        <v>1.11E-4</v>
      </c>
      <c r="CB125">
        <v>1.11E-4</v>
      </c>
      <c r="CC125">
        <v>1.11E-4</v>
      </c>
      <c r="CD125">
        <v>1.11E-4</v>
      </c>
      <c r="CE125">
        <v>1.11E-4</v>
      </c>
      <c r="CF125">
        <v>1.11E-4</v>
      </c>
      <c r="CG125">
        <v>1.11E-4</v>
      </c>
      <c r="CH125">
        <v>1.11E-4</v>
      </c>
      <c r="CI125">
        <v>1.11E-4</v>
      </c>
      <c r="CJ125">
        <v>1.11E-4</v>
      </c>
      <c r="CK125">
        <v>1.11E-4</v>
      </c>
      <c r="CL125">
        <v>1.11E-4</v>
      </c>
      <c r="CM125">
        <v>1.11E-4</v>
      </c>
      <c r="CN125">
        <v>1.11E-4</v>
      </c>
      <c r="CO125">
        <v>1.11E-4</v>
      </c>
      <c r="CP125">
        <v>1.11E-4</v>
      </c>
      <c r="CQ125">
        <v>1.11E-4</v>
      </c>
      <c r="CR125">
        <v>1.11E-4</v>
      </c>
      <c r="CS125">
        <v>1.11E-4</v>
      </c>
      <c r="CT125">
        <v>1.11E-4</v>
      </c>
      <c r="CU125">
        <v>1.11E-4</v>
      </c>
      <c r="CV125">
        <v>1.11E-4</v>
      </c>
      <c r="CW125">
        <v>1.11E-4</v>
      </c>
      <c r="CX125">
        <v>1.11E-4</v>
      </c>
    </row>
    <row r="126" spans="1:102" x14ac:dyDescent="0.25">
      <c r="A126" t="s">
        <v>317</v>
      </c>
      <c r="B126" t="e">
        <v>#VALUE!</v>
      </c>
      <c r="C126" t="e">
        <v>#VALUE!</v>
      </c>
      <c r="D126" t="e">
        <v>#VALUE!</v>
      </c>
      <c r="E126" t="e">
        <v>#VALUE!</v>
      </c>
      <c r="F126" t="e">
        <v>#VALUE!</v>
      </c>
      <c r="G126" t="e">
        <v>#VALUE!</v>
      </c>
      <c r="H126" t="e">
        <v>#VALUE!</v>
      </c>
      <c r="I126" t="e">
        <v>#VALUE!</v>
      </c>
      <c r="J126" t="e">
        <v>#VALUE!</v>
      </c>
      <c r="K126" t="e">
        <v>#VALUE!</v>
      </c>
      <c r="L126" t="e">
        <v>#VALUE!</v>
      </c>
      <c r="M126" t="e">
        <v>#VALUE!</v>
      </c>
      <c r="N126" t="e">
        <v>#VALUE!</v>
      </c>
      <c r="O126" t="e">
        <v>#VALUE!</v>
      </c>
      <c r="P126" t="e">
        <v>#VALUE!</v>
      </c>
      <c r="Q126">
        <v>3.0000000000000001E-6</v>
      </c>
      <c r="R126">
        <v>3.0000000000000001E-6</v>
      </c>
      <c r="S126">
        <v>3.0000000000000001E-6</v>
      </c>
      <c r="T126">
        <v>3.0000000000000001E-6</v>
      </c>
      <c r="U126">
        <v>3.0000000000000001E-6</v>
      </c>
      <c r="V126">
        <v>3.0000000000000001E-6</v>
      </c>
      <c r="W126">
        <v>3.0000000000000001E-6</v>
      </c>
      <c r="X126">
        <v>3.0000000000000001E-6</v>
      </c>
      <c r="Y126">
        <v>3.0000000000000001E-6</v>
      </c>
      <c r="Z126">
        <v>3.0000000000000001E-6</v>
      </c>
      <c r="AA126">
        <v>3.0000000000000001E-6</v>
      </c>
      <c r="AB126">
        <v>3.0000000000000001E-6</v>
      </c>
      <c r="AC126">
        <v>3.0000000000000001E-6</v>
      </c>
      <c r="AD126">
        <v>3.0000000000000001E-6</v>
      </c>
      <c r="AE126">
        <v>3.0000000000000001E-6</v>
      </c>
      <c r="AF126">
        <v>3.0000000000000001E-6</v>
      </c>
      <c r="AG126">
        <v>3.0000000000000001E-6</v>
      </c>
      <c r="AH126">
        <v>3.0000000000000001E-6</v>
      </c>
      <c r="AI126">
        <v>3.0000000000000001E-6</v>
      </c>
      <c r="AJ126">
        <v>3.0000000000000001E-6</v>
      </c>
      <c r="AK126">
        <v>3.0000000000000001E-6</v>
      </c>
      <c r="AL126">
        <v>3.0000000000000001E-6</v>
      </c>
      <c r="AM126">
        <v>3.0000000000000001E-6</v>
      </c>
      <c r="AN126">
        <v>3.0000000000000001E-6</v>
      </c>
      <c r="AO126">
        <v>3.0000000000000001E-6</v>
      </c>
      <c r="AP126">
        <v>1.9000000000000001E-5</v>
      </c>
      <c r="AQ126">
        <v>1.9000000000000001E-5</v>
      </c>
      <c r="AR126">
        <v>1.9000000000000001E-5</v>
      </c>
      <c r="AS126">
        <v>1.9000000000000001E-5</v>
      </c>
      <c r="AT126">
        <v>1.9000000000000001E-5</v>
      </c>
      <c r="AU126">
        <v>2.4000000000000001E-5</v>
      </c>
      <c r="AV126">
        <v>2.4000000000000001E-5</v>
      </c>
      <c r="AW126">
        <v>2.4000000000000001E-5</v>
      </c>
      <c r="AX126">
        <v>2.4000000000000001E-5</v>
      </c>
      <c r="AY126">
        <v>2.4000000000000001E-5</v>
      </c>
      <c r="AZ126">
        <v>2.5999999999999998E-5</v>
      </c>
      <c r="BA126">
        <v>2.5999999999999998E-5</v>
      </c>
      <c r="BB126">
        <v>2.5999999999999998E-5</v>
      </c>
      <c r="BC126">
        <v>2.5999999999999998E-5</v>
      </c>
      <c r="BD126">
        <v>2.5999999999999998E-5</v>
      </c>
      <c r="BE126">
        <v>4.5000000000000003E-5</v>
      </c>
      <c r="BF126">
        <v>4.5000000000000003E-5</v>
      </c>
      <c r="BG126">
        <v>4.5000000000000003E-5</v>
      </c>
      <c r="BH126">
        <v>4.5000000000000003E-5</v>
      </c>
      <c r="BI126">
        <v>4.5000000000000003E-5</v>
      </c>
      <c r="BJ126">
        <v>5.7000000000000003E-5</v>
      </c>
      <c r="BK126">
        <v>5.7000000000000003E-5</v>
      </c>
      <c r="BL126">
        <v>5.7000000000000003E-5</v>
      </c>
      <c r="BM126">
        <v>5.7000000000000003E-5</v>
      </c>
      <c r="BN126">
        <v>5.7000000000000003E-5</v>
      </c>
      <c r="BO126">
        <v>6.0999999999999999E-5</v>
      </c>
      <c r="BP126">
        <v>6.0999999999999999E-5</v>
      </c>
      <c r="BQ126">
        <v>6.0999999999999999E-5</v>
      </c>
      <c r="BR126">
        <v>6.0999999999999999E-5</v>
      </c>
      <c r="BS126">
        <v>6.0999999999999999E-5</v>
      </c>
      <c r="BT126">
        <v>6.4999999999999994E-5</v>
      </c>
      <c r="BU126">
        <v>6.4999999999999994E-5</v>
      </c>
      <c r="BV126">
        <v>6.4999999999999994E-5</v>
      </c>
      <c r="BW126">
        <v>6.4999999999999994E-5</v>
      </c>
      <c r="BX126">
        <v>6.4999999999999994E-5</v>
      </c>
      <c r="BY126">
        <v>1.11E-4</v>
      </c>
      <c r="BZ126">
        <v>1.11E-4</v>
      </c>
      <c r="CA126">
        <v>1.11E-4</v>
      </c>
      <c r="CB126">
        <v>1.11E-4</v>
      </c>
      <c r="CC126">
        <v>1.11E-4</v>
      </c>
      <c r="CD126">
        <v>1.11E-4</v>
      </c>
      <c r="CE126">
        <v>1.11E-4</v>
      </c>
      <c r="CF126">
        <v>1.11E-4</v>
      </c>
      <c r="CG126">
        <v>1.11E-4</v>
      </c>
      <c r="CH126">
        <v>1.11E-4</v>
      </c>
      <c r="CI126">
        <v>1.11E-4</v>
      </c>
      <c r="CJ126">
        <v>1.11E-4</v>
      </c>
      <c r="CK126">
        <v>1.11E-4</v>
      </c>
      <c r="CL126">
        <v>1.11E-4</v>
      </c>
      <c r="CM126">
        <v>1.11E-4</v>
      </c>
      <c r="CN126">
        <v>1.11E-4</v>
      </c>
      <c r="CO126">
        <v>1.11E-4</v>
      </c>
      <c r="CP126">
        <v>1.11E-4</v>
      </c>
      <c r="CQ126">
        <v>1.11E-4</v>
      </c>
      <c r="CR126">
        <v>1.11E-4</v>
      </c>
      <c r="CS126">
        <v>1.11E-4</v>
      </c>
      <c r="CT126">
        <v>1.11E-4</v>
      </c>
      <c r="CU126">
        <v>1.11E-4</v>
      </c>
      <c r="CV126">
        <v>1.11E-4</v>
      </c>
      <c r="CW126">
        <v>1.11E-4</v>
      </c>
      <c r="CX126">
        <v>1.11E-4</v>
      </c>
    </row>
    <row r="127" spans="1:102" x14ac:dyDescent="0.25">
      <c r="A127" t="s">
        <v>319</v>
      </c>
      <c r="B127" t="e">
        <v>#VALUE!</v>
      </c>
      <c r="C127" t="e">
        <v>#VALUE!</v>
      </c>
      <c r="D127" t="e">
        <v>#VALUE!</v>
      </c>
      <c r="E127" t="e">
        <v>#VALUE!</v>
      </c>
      <c r="F127" t="e">
        <v>#VALUE!</v>
      </c>
      <c r="G127" t="e">
        <v>#VALUE!</v>
      </c>
      <c r="H127" t="e">
        <v>#VALUE!</v>
      </c>
      <c r="I127" t="e">
        <v>#VALUE!</v>
      </c>
      <c r="J127" t="e">
        <v>#VALUE!</v>
      </c>
      <c r="K127" t="e">
        <v>#VALUE!</v>
      </c>
      <c r="L127" t="e">
        <v>#VALUE!</v>
      </c>
      <c r="M127" t="e">
        <v>#VALUE!</v>
      </c>
      <c r="N127" t="e">
        <v>#VALUE!</v>
      </c>
      <c r="O127" t="e">
        <v>#VALUE!</v>
      </c>
      <c r="P127" t="e">
        <v>#VALUE!</v>
      </c>
      <c r="Q127">
        <v>4.6999999999999997E-5</v>
      </c>
      <c r="R127">
        <v>4.6999999999999997E-5</v>
      </c>
      <c r="S127">
        <v>4.6999999999999997E-5</v>
      </c>
      <c r="T127">
        <v>4.6999999999999997E-5</v>
      </c>
      <c r="U127">
        <v>4.6999999999999997E-5</v>
      </c>
      <c r="V127">
        <v>4.6999999999999997E-5</v>
      </c>
      <c r="W127">
        <v>4.6999999999999997E-5</v>
      </c>
      <c r="X127">
        <v>4.6999999999999997E-5</v>
      </c>
      <c r="Y127">
        <v>4.6999999999999997E-5</v>
      </c>
      <c r="Z127">
        <v>4.6999999999999997E-5</v>
      </c>
      <c r="AA127">
        <v>4.6999999999999997E-5</v>
      </c>
      <c r="AB127">
        <v>4.6999999999999997E-5</v>
      </c>
      <c r="AC127">
        <v>4.6999999999999997E-5</v>
      </c>
      <c r="AD127">
        <v>4.6999999999999997E-5</v>
      </c>
      <c r="AE127">
        <v>4.6999999999999997E-5</v>
      </c>
      <c r="AF127">
        <v>4.6999999999999997E-5</v>
      </c>
      <c r="AG127">
        <v>4.6999999999999997E-5</v>
      </c>
      <c r="AH127">
        <v>4.6999999999999997E-5</v>
      </c>
      <c r="AI127">
        <v>4.6999999999999997E-5</v>
      </c>
      <c r="AJ127">
        <v>4.6999999999999997E-5</v>
      </c>
      <c r="AK127">
        <v>4.6999999999999997E-5</v>
      </c>
      <c r="AL127">
        <v>4.6999999999999997E-5</v>
      </c>
      <c r="AM127">
        <v>4.6999999999999997E-5</v>
      </c>
      <c r="AN127">
        <v>4.6999999999999997E-5</v>
      </c>
      <c r="AO127">
        <v>4.6999999999999997E-5</v>
      </c>
      <c r="AP127">
        <v>2.5599999999999999E-4</v>
      </c>
      <c r="AQ127">
        <v>2.5599999999999999E-4</v>
      </c>
      <c r="AR127">
        <v>2.5599999999999999E-4</v>
      </c>
      <c r="AS127">
        <v>2.5599999999999999E-4</v>
      </c>
      <c r="AT127">
        <v>2.5599999999999999E-4</v>
      </c>
      <c r="AU127">
        <v>3.6600000000000001E-4</v>
      </c>
      <c r="AV127">
        <v>3.6600000000000001E-4</v>
      </c>
      <c r="AW127">
        <v>3.6600000000000001E-4</v>
      </c>
      <c r="AX127">
        <v>3.6600000000000001E-4</v>
      </c>
      <c r="AY127">
        <v>3.6600000000000001E-4</v>
      </c>
      <c r="AZ127">
        <v>4.7699999999999999E-4</v>
      </c>
      <c r="BA127">
        <v>4.7699999999999999E-4</v>
      </c>
      <c r="BB127">
        <v>4.7699999999999999E-4</v>
      </c>
      <c r="BC127">
        <v>4.7699999999999999E-4</v>
      </c>
      <c r="BD127">
        <v>4.7699999999999999E-4</v>
      </c>
      <c r="BE127">
        <v>5.6999999999999998E-4</v>
      </c>
      <c r="BF127">
        <v>5.6999999999999998E-4</v>
      </c>
      <c r="BG127">
        <v>5.6999999999999998E-4</v>
      </c>
      <c r="BH127">
        <v>5.6999999999999998E-4</v>
      </c>
      <c r="BI127">
        <v>5.6999999999999998E-4</v>
      </c>
      <c r="BJ127">
        <v>6.2600000000000004E-4</v>
      </c>
      <c r="BK127">
        <v>6.2600000000000004E-4</v>
      </c>
      <c r="BL127">
        <v>6.2600000000000004E-4</v>
      </c>
      <c r="BM127">
        <v>6.2600000000000004E-4</v>
      </c>
      <c r="BN127">
        <v>6.2600000000000004E-4</v>
      </c>
      <c r="BO127">
        <v>7.2000000000000005E-4</v>
      </c>
      <c r="BP127">
        <v>7.2000000000000005E-4</v>
      </c>
      <c r="BQ127">
        <v>7.2000000000000005E-4</v>
      </c>
      <c r="BR127">
        <v>7.2000000000000005E-4</v>
      </c>
      <c r="BS127">
        <v>7.2000000000000005E-4</v>
      </c>
      <c r="BT127">
        <v>8.2100000000000001E-4</v>
      </c>
      <c r="BU127">
        <v>8.2100000000000001E-4</v>
      </c>
      <c r="BV127">
        <v>8.2100000000000001E-4</v>
      </c>
      <c r="BW127">
        <v>8.2100000000000001E-4</v>
      </c>
      <c r="BX127">
        <v>8.2100000000000001E-4</v>
      </c>
      <c r="BY127">
        <v>9.3700000000000001E-4</v>
      </c>
      <c r="BZ127">
        <v>9.3700000000000001E-4</v>
      </c>
      <c r="CA127">
        <v>9.3700000000000001E-4</v>
      </c>
      <c r="CB127">
        <v>9.3700000000000001E-4</v>
      </c>
      <c r="CC127">
        <v>9.3700000000000001E-4</v>
      </c>
      <c r="CD127">
        <v>9.3700000000000001E-4</v>
      </c>
      <c r="CE127">
        <v>9.3700000000000001E-4</v>
      </c>
      <c r="CF127">
        <v>9.3700000000000001E-4</v>
      </c>
      <c r="CG127">
        <v>9.3700000000000001E-4</v>
      </c>
      <c r="CH127">
        <v>9.3700000000000001E-4</v>
      </c>
      <c r="CI127">
        <v>9.3700000000000001E-4</v>
      </c>
      <c r="CJ127">
        <v>9.3700000000000001E-4</v>
      </c>
      <c r="CK127">
        <v>9.3700000000000001E-4</v>
      </c>
      <c r="CL127">
        <v>9.3700000000000001E-4</v>
      </c>
      <c r="CM127">
        <v>9.3700000000000001E-4</v>
      </c>
      <c r="CN127">
        <v>9.3700000000000001E-4</v>
      </c>
      <c r="CO127">
        <v>9.3700000000000001E-4</v>
      </c>
      <c r="CP127">
        <v>9.3700000000000001E-4</v>
      </c>
      <c r="CQ127">
        <v>9.3700000000000001E-4</v>
      </c>
      <c r="CR127">
        <v>9.3700000000000001E-4</v>
      </c>
      <c r="CS127">
        <v>9.3700000000000001E-4</v>
      </c>
      <c r="CT127">
        <v>9.3700000000000001E-4</v>
      </c>
      <c r="CU127">
        <v>9.3700000000000001E-4</v>
      </c>
      <c r="CV127">
        <v>9.3700000000000001E-4</v>
      </c>
      <c r="CW127">
        <v>9.3700000000000001E-4</v>
      </c>
      <c r="CX127">
        <v>9.3700000000000001E-4</v>
      </c>
    </row>
    <row r="128" spans="1:102" x14ac:dyDescent="0.25">
      <c r="A128" t="s">
        <v>321</v>
      </c>
      <c r="B128" t="e">
        <v>#VALUE!</v>
      </c>
      <c r="C128" t="e">
        <v>#VALUE!</v>
      </c>
      <c r="D128" t="e">
        <v>#VALUE!</v>
      </c>
      <c r="E128" t="e">
        <v>#VALUE!</v>
      </c>
      <c r="F128" t="e">
        <v>#VALUE!</v>
      </c>
      <c r="G128" t="e">
        <v>#VALUE!</v>
      </c>
      <c r="H128" t="e">
        <v>#VALUE!</v>
      </c>
      <c r="I128" t="e">
        <v>#VALUE!</v>
      </c>
      <c r="J128" t="e">
        <v>#VALUE!</v>
      </c>
      <c r="K128" t="e">
        <v>#VALUE!</v>
      </c>
      <c r="L128" t="e">
        <v>#VALUE!</v>
      </c>
      <c r="M128" t="e">
        <v>#VALUE!</v>
      </c>
      <c r="N128" t="e">
        <v>#VALUE!</v>
      </c>
      <c r="O128" t="e">
        <v>#VALUE!</v>
      </c>
      <c r="P128" t="e">
        <v>#VALUE!</v>
      </c>
      <c r="Q128">
        <v>2.1999999999999999E-5</v>
      </c>
      <c r="R128">
        <v>2.1999999999999999E-5</v>
      </c>
      <c r="S128">
        <v>2.1999999999999999E-5</v>
      </c>
      <c r="T128">
        <v>2.1999999999999999E-5</v>
      </c>
      <c r="U128">
        <v>2.1999999999999999E-5</v>
      </c>
      <c r="V128">
        <v>2.1999999999999999E-5</v>
      </c>
      <c r="W128">
        <v>2.1999999999999999E-5</v>
      </c>
      <c r="X128">
        <v>2.1999999999999999E-5</v>
      </c>
      <c r="Y128">
        <v>2.1999999999999999E-5</v>
      </c>
      <c r="Z128">
        <v>2.1999999999999999E-5</v>
      </c>
      <c r="AA128">
        <v>2.1999999999999999E-5</v>
      </c>
      <c r="AB128">
        <v>2.1999999999999999E-5</v>
      </c>
      <c r="AC128">
        <v>2.1999999999999999E-5</v>
      </c>
      <c r="AD128">
        <v>2.1999999999999999E-5</v>
      </c>
      <c r="AE128">
        <v>2.1999999999999999E-5</v>
      </c>
      <c r="AF128">
        <v>2.1999999999999999E-5</v>
      </c>
      <c r="AG128">
        <v>2.1999999999999999E-5</v>
      </c>
      <c r="AH128">
        <v>2.1999999999999999E-5</v>
      </c>
      <c r="AI128">
        <v>2.1999999999999999E-5</v>
      </c>
      <c r="AJ128">
        <v>2.1999999999999999E-5</v>
      </c>
      <c r="AK128">
        <v>2.1999999999999999E-5</v>
      </c>
      <c r="AL128">
        <v>2.1999999999999999E-5</v>
      </c>
      <c r="AM128">
        <v>2.1999999999999999E-5</v>
      </c>
      <c r="AN128">
        <v>2.1999999999999999E-5</v>
      </c>
      <c r="AO128">
        <v>2.1999999999999999E-5</v>
      </c>
      <c r="AP128">
        <v>9.5000000000000005E-5</v>
      </c>
      <c r="AQ128">
        <v>9.5000000000000005E-5</v>
      </c>
      <c r="AR128">
        <v>9.5000000000000005E-5</v>
      </c>
      <c r="AS128">
        <v>9.5000000000000005E-5</v>
      </c>
      <c r="AT128">
        <v>9.5000000000000005E-5</v>
      </c>
      <c r="AU128">
        <v>1.3200000000000001E-4</v>
      </c>
      <c r="AV128">
        <v>1.3200000000000001E-4</v>
      </c>
      <c r="AW128">
        <v>1.3200000000000001E-4</v>
      </c>
      <c r="AX128">
        <v>1.3200000000000001E-4</v>
      </c>
      <c r="AY128">
        <v>1.3200000000000001E-4</v>
      </c>
      <c r="AZ128">
        <v>1.84E-4</v>
      </c>
      <c r="BA128">
        <v>1.84E-4</v>
      </c>
      <c r="BB128">
        <v>1.84E-4</v>
      </c>
      <c r="BC128">
        <v>1.84E-4</v>
      </c>
      <c r="BD128">
        <v>1.84E-4</v>
      </c>
      <c r="BE128">
        <v>2.5700000000000001E-4</v>
      </c>
      <c r="BF128">
        <v>2.5700000000000001E-4</v>
      </c>
      <c r="BG128">
        <v>2.5700000000000001E-4</v>
      </c>
      <c r="BH128">
        <v>2.5700000000000001E-4</v>
      </c>
      <c r="BI128">
        <v>2.5700000000000001E-4</v>
      </c>
      <c r="BJ128">
        <v>3.1700000000000001E-4</v>
      </c>
      <c r="BK128">
        <v>3.1700000000000001E-4</v>
      </c>
      <c r="BL128">
        <v>3.1700000000000001E-4</v>
      </c>
      <c r="BM128">
        <v>3.1700000000000001E-4</v>
      </c>
      <c r="BN128">
        <v>3.1700000000000001E-4</v>
      </c>
      <c r="BO128">
        <v>3.1E-4</v>
      </c>
      <c r="BP128">
        <v>3.1E-4</v>
      </c>
      <c r="BQ128">
        <v>3.1E-4</v>
      </c>
      <c r="BR128">
        <v>3.1E-4</v>
      </c>
      <c r="BS128">
        <v>3.1E-4</v>
      </c>
      <c r="BT128">
        <v>2.52E-4</v>
      </c>
      <c r="BU128">
        <v>2.52E-4</v>
      </c>
      <c r="BV128">
        <v>2.52E-4</v>
      </c>
      <c r="BW128">
        <v>2.52E-4</v>
      </c>
      <c r="BX128">
        <v>2.52E-4</v>
      </c>
      <c r="BY128">
        <v>1.1900000000000001E-4</v>
      </c>
      <c r="BZ128">
        <v>1.1900000000000001E-4</v>
      </c>
      <c r="CA128">
        <v>1.1900000000000001E-4</v>
      </c>
      <c r="CB128">
        <v>1.1900000000000001E-4</v>
      </c>
      <c r="CC128">
        <v>1.1900000000000001E-4</v>
      </c>
      <c r="CD128">
        <v>1.1900000000000001E-4</v>
      </c>
      <c r="CE128">
        <v>1.1900000000000001E-4</v>
      </c>
      <c r="CF128">
        <v>1.1900000000000001E-4</v>
      </c>
      <c r="CG128">
        <v>1.1900000000000001E-4</v>
      </c>
      <c r="CH128">
        <v>1.1900000000000001E-4</v>
      </c>
      <c r="CI128">
        <v>1.1900000000000001E-4</v>
      </c>
      <c r="CJ128">
        <v>1.1900000000000001E-4</v>
      </c>
      <c r="CK128">
        <v>1.1900000000000001E-4</v>
      </c>
      <c r="CL128">
        <v>1.1900000000000001E-4</v>
      </c>
      <c r="CM128">
        <v>1.1900000000000001E-4</v>
      </c>
      <c r="CN128">
        <v>1.1900000000000001E-4</v>
      </c>
      <c r="CO128">
        <v>1.1900000000000001E-4</v>
      </c>
      <c r="CP128">
        <v>1.1900000000000001E-4</v>
      </c>
      <c r="CQ128">
        <v>1.1900000000000001E-4</v>
      </c>
      <c r="CR128">
        <v>1.1900000000000001E-4</v>
      </c>
      <c r="CS128">
        <v>1.1900000000000001E-4</v>
      </c>
      <c r="CT128">
        <v>1.1900000000000001E-4</v>
      </c>
      <c r="CU128">
        <v>1.1900000000000001E-4</v>
      </c>
      <c r="CV128">
        <v>1.1900000000000001E-4</v>
      </c>
      <c r="CW128">
        <v>1.1900000000000001E-4</v>
      </c>
      <c r="CX128">
        <v>1.1900000000000001E-4</v>
      </c>
    </row>
    <row r="129" spans="1:102" x14ac:dyDescent="0.25">
      <c r="A129" t="s">
        <v>323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1.9000000000000001E-5</v>
      </c>
      <c r="R129">
        <v>1.9000000000000001E-5</v>
      </c>
      <c r="S129">
        <v>1.9000000000000001E-5</v>
      </c>
      <c r="T129">
        <v>1.9000000000000001E-5</v>
      </c>
      <c r="U129">
        <v>1.9000000000000001E-5</v>
      </c>
      <c r="V129">
        <v>1.9000000000000001E-5</v>
      </c>
      <c r="W129">
        <v>1.9000000000000001E-5</v>
      </c>
      <c r="X129">
        <v>1.9000000000000001E-5</v>
      </c>
      <c r="Y129">
        <v>1.9000000000000001E-5</v>
      </c>
      <c r="Z129">
        <v>1.9000000000000001E-5</v>
      </c>
      <c r="AA129">
        <v>1.9000000000000001E-5</v>
      </c>
      <c r="AB129">
        <v>1.9000000000000001E-5</v>
      </c>
      <c r="AC129">
        <v>1.9000000000000001E-5</v>
      </c>
      <c r="AD129">
        <v>1.9000000000000001E-5</v>
      </c>
      <c r="AE129">
        <v>1.9000000000000001E-5</v>
      </c>
      <c r="AF129">
        <v>1.9000000000000001E-5</v>
      </c>
      <c r="AG129">
        <v>1.9000000000000001E-5</v>
      </c>
      <c r="AH129">
        <v>1.9000000000000001E-5</v>
      </c>
      <c r="AI129">
        <v>1.9000000000000001E-5</v>
      </c>
      <c r="AJ129">
        <v>1.9000000000000001E-5</v>
      </c>
      <c r="AK129">
        <v>1.9000000000000001E-5</v>
      </c>
      <c r="AL129">
        <v>1.9000000000000001E-5</v>
      </c>
      <c r="AM129">
        <v>1.9000000000000001E-5</v>
      </c>
      <c r="AN129">
        <v>1.9000000000000001E-5</v>
      </c>
      <c r="AO129">
        <v>1.9000000000000001E-5</v>
      </c>
      <c r="AP129">
        <v>1.63E-4</v>
      </c>
      <c r="AQ129">
        <v>1.63E-4</v>
      </c>
      <c r="AR129">
        <v>1.63E-4</v>
      </c>
      <c r="AS129">
        <v>1.63E-4</v>
      </c>
      <c r="AT129">
        <v>1.63E-4</v>
      </c>
      <c r="AU129">
        <v>2.7399999999999999E-4</v>
      </c>
      <c r="AV129">
        <v>2.7399999999999999E-4</v>
      </c>
      <c r="AW129">
        <v>2.7399999999999999E-4</v>
      </c>
      <c r="AX129">
        <v>2.7399999999999999E-4</v>
      </c>
      <c r="AY129">
        <v>2.7399999999999999E-4</v>
      </c>
      <c r="AZ129">
        <v>4.0999999999999999E-4</v>
      </c>
      <c r="BA129">
        <v>4.0999999999999999E-4</v>
      </c>
      <c r="BB129">
        <v>4.0999999999999999E-4</v>
      </c>
      <c r="BC129">
        <v>4.0999999999999999E-4</v>
      </c>
      <c r="BD129">
        <v>4.0999999999999999E-4</v>
      </c>
      <c r="BE129">
        <v>5.6599999999999999E-4</v>
      </c>
      <c r="BF129">
        <v>5.6599999999999999E-4</v>
      </c>
      <c r="BG129">
        <v>5.6599999999999999E-4</v>
      </c>
      <c r="BH129">
        <v>5.6599999999999999E-4</v>
      </c>
      <c r="BI129">
        <v>5.6599999999999999E-4</v>
      </c>
      <c r="BJ129">
        <v>7.3399999999999995E-4</v>
      </c>
      <c r="BK129">
        <v>7.3399999999999995E-4</v>
      </c>
      <c r="BL129">
        <v>7.3399999999999995E-4</v>
      </c>
      <c r="BM129">
        <v>7.3399999999999995E-4</v>
      </c>
      <c r="BN129">
        <v>7.3399999999999995E-4</v>
      </c>
      <c r="BO129">
        <v>8.83E-4</v>
      </c>
      <c r="BP129">
        <v>8.83E-4</v>
      </c>
      <c r="BQ129">
        <v>8.83E-4</v>
      </c>
      <c r="BR129">
        <v>8.83E-4</v>
      </c>
      <c r="BS129">
        <v>8.83E-4</v>
      </c>
      <c r="BT129">
        <v>1.0089999999999999E-3</v>
      </c>
      <c r="BU129">
        <v>1.0089999999999999E-3</v>
      </c>
      <c r="BV129">
        <v>1.0089999999999999E-3</v>
      </c>
      <c r="BW129">
        <v>1.0089999999999999E-3</v>
      </c>
      <c r="BX129">
        <v>1.0089999999999999E-3</v>
      </c>
      <c r="BY129">
        <v>1.114E-3</v>
      </c>
      <c r="BZ129">
        <v>1.114E-3</v>
      </c>
      <c r="CA129">
        <v>1.114E-3</v>
      </c>
      <c r="CB129">
        <v>1.114E-3</v>
      </c>
      <c r="CC129">
        <v>1.114E-3</v>
      </c>
      <c r="CD129">
        <v>1.114E-3</v>
      </c>
      <c r="CE129">
        <v>1.114E-3</v>
      </c>
      <c r="CF129">
        <v>1.114E-3</v>
      </c>
      <c r="CG129">
        <v>1.114E-3</v>
      </c>
      <c r="CH129">
        <v>1.114E-3</v>
      </c>
      <c r="CI129">
        <v>1.114E-3</v>
      </c>
      <c r="CJ129">
        <v>1.114E-3</v>
      </c>
      <c r="CK129">
        <v>1.114E-3</v>
      </c>
      <c r="CL129">
        <v>1.114E-3</v>
      </c>
      <c r="CM129">
        <v>1.114E-3</v>
      </c>
      <c r="CN129">
        <v>1.114E-3</v>
      </c>
      <c r="CO129">
        <v>1.114E-3</v>
      </c>
      <c r="CP129">
        <v>1.114E-3</v>
      </c>
      <c r="CQ129">
        <v>1.114E-3</v>
      </c>
      <c r="CR129">
        <v>1.114E-3</v>
      </c>
      <c r="CS129">
        <v>1.114E-3</v>
      </c>
      <c r="CT129">
        <v>1.114E-3</v>
      </c>
      <c r="CU129">
        <v>1.114E-3</v>
      </c>
      <c r="CV129">
        <v>1.114E-3</v>
      </c>
      <c r="CW129">
        <v>1.114E-3</v>
      </c>
      <c r="CX129">
        <v>1.114E-3</v>
      </c>
    </row>
    <row r="130" spans="1:102" x14ac:dyDescent="0.25">
      <c r="A130" t="s">
        <v>325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1.2999999999999999E-5</v>
      </c>
      <c r="R130">
        <v>1.2999999999999999E-5</v>
      </c>
      <c r="S130">
        <v>1.2999999999999999E-5</v>
      </c>
      <c r="T130">
        <v>1.2999999999999999E-5</v>
      </c>
      <c r="U130">
        <v>1.2999999999999999E-5</v>
      </c>
      <c r="V130">
        <v>1.2999999999999999E-5</v>
      </c>
      <c r="W130">
        <v>1.2999999999999999E-5</v>
      </c>
      <c r="X130">
        <v>1.2999999999999999E-5</v>
      </c>
      <c r="Y130">
        <v>1.2999999999999999E-5</v>
      </c>
      <c r="Z130">
        <v>1.2999999999999999E-5</v>
      </c>
      <c r="AA130">
        <v>1.2999999999999999E-5</v>
      </c>
      <c r="AB130">
        <v>1.2999999999999999E-5</v>
      </c>
      <c r="AC130">
        <v>1.2999999999999999E-5</v>
      </c>
      <c r="AD130">
        <v>1.2999999999999999E-5</v>
      </c>
      <c r="AE130">
        <v>1.2999999999999999E-5</v>
      </c>
      <c r="AF130">
        <v>1.2999999999999999E-5</v>
      </c>
      <c r="AG130">
        <v>1.2999999999999999E-5</v>
      </c>
      <c r="AH130">
        <v>1.2999999999999999E-5</v>
      </c>
      <c r="AI130">
        <v>1.2999999999999999E-5</v>
      </c>
      <c r="AJ130">
        <v>1.2999999999999999E-5</v>
      </c>
      <c r="AK130">
        <v>1.2999999999999999E-5</v>
      </c>
      <c r="AL130">
        <v>1.2999999999999999E-5</v>
      </c>
      <c r="AM130">
        <v>1.2999999999999999E-5</v>
      </c>
      <c r="AN130">
        <v>1.2999999999999999E-5</v>
      </c>
      <c r="AO130">
        <v>1.2999999999999999E-5</v>
      </c>
      <c r="AP130">
        <v>5.1E-5</v>
      </c>
      <c r="AQ130">
        <v>5.1E-5</v>
      </c>
      <c r="AR130">
        <v>5.1E-5</v>
      </c>
      <c r="AS130">
        <v>5.1E-5</v>
      </c>
      <c r="AT130">
        <v>5.1E-5</v>
      </c>
      <c r="AU130">
        <v>6.9999999999999994E-5</v>
      </c>
      <c r="AV130">
        <v>6.9999999999999994E-5</v>
      </c>
      <c r="AW130">
        <v>6.9999999999999994E-5</v>
      </c>
      <c r="AX130">
        <v>6.9999999999999994E-5</v>
      </c>
      <c r="AY130">
        <v>6.9999999999999994E-5</v>
      </c>
      <c r="AZ130">
        <v>8.7999999999999998E-5</v>
      </c>
      <c r="BA130">
        <v>8.7999999999999998E-5</v>
      </c>
      <c r="BB130">
        <v>8.7999999999999998E-5</v>
      </c>
      <c r="BC130">
        <v>8.7999999999999998E-5</v>
      </c>
      <c r="BD130">
        <v>8.7999999999999998E-5</v>
      </c>
      <c r="BE130">
        <v>9.7E-5</v>
      </c>
      <c r="BF130">
        <v>9.7E-5</v>
      </c>
      <c r="BG130">
        <v>9.7E-5</v>
      </c>
      <c r="BH130">
        <v>9.7E-5</v>
      </c>
      <c r="BI130">
        <v>9.7E-5</v>
      </c>
      <c r="BJ130">
        <v>1.06E-4</v>
      </c>
      <c r="BK130">
        <v>1.06E-4</v>
      </c>
      <c r="BL130">
        <v>1.06E-4</v>
      </c>
      <c r="BM130">
        <v>1.06E-4</v>
      </c>
      <c r="BN130">
        <v>1.06E-4</v>
      </c>
      <c r="BO130">
        <v>1.2E-4</v>
      </c>
      <c r="BP130">
        <v>1.2E-4</v>
      </c>
      <c r="BQ130">
        <v>1.2E-4</v>
      </c>
      <c r="BR130">
        <v>1.2E-4</v>
      </c>
      <c r="BS130">
        <v>1.2E-4</v>
      </c>
      <c r="BT130">
        <v>1.4300000000000001E-4</v>
      </c>
      <c r="BU130">
        <v>1.4300000000000001E-4</v>
      </c>
      <c r="BV130">
        <v>1.4300000000000001E-4</v>
      </c>
      <c r="BW130">
        <v>1.4300000000000001E-4</v>
      </c>
      <c r="BX130">
        <v>1.4300000000000001E-4</v>
      </c>
      <c r="BY130">
        <v>2.2100000000000001E-4</v>
      </c>
      <c r="BZ130">
        <v>2.2100000000000001E-4</v>
      </c>
      <c r="CA130">
        <v>2.2100000000000001E-4</v>
      </c>
      <c r="CB130">
        <v>2.2100000000000001E-4</v>
      </c>
      <c r="CC130">
        <v>2.2100000000000001E-4</v>
      </c>
      <c r="CD130">
        <v>2.2100000000000001E-4</v>
      </c>
      <c r="CE130">
        <v>2.2100000000000001E-4</v>
      </c>
      <c r="CF130">
        <v>2.2100000000000001E-4</v>
      </c>
      <c r="CG130">
        <v>2.2100000000000001E-4</v>
      </c>
      <c r="CH130">
        <v>2.2100000000000001E-4</v>
      </c>
      <c r="CI130">
        <v>2.2100000000000001E-4</v>
      </c>
      <c r="CJ130">
        <v>2.2100000000000001E-4</v>
      </c>
      <c r="CK130">
        <v>2.2100000000000001E-4</v>
      </c>
      <c r="CL130">
        <v>2.2100000000000001E-4</v>
      </c>
      <c r="CM130">
        <v>2.2100000000000001E-4</v>
      </c>
      <c r="CN130">
        <v>2.2100000000000001E-4</v>
      </c>
      <c r="CO130">
        <v>2.2100000000000001E-4</v>
      </c>
      <c r="CP130">
        <v>2.2100000000000001E-4</v>
      </c>
      <c r="CQ130">
        <v>2.2100000000000001E-4</v>
      </c>
      <c r="CR130">
        <v>2.2100000000000001E-4</v>
      </c>
      <c r="CS130">
        <v>2.2100000000000001E-4</v>
      </c>
      <c r="CT130">
        <v>2.2100000000000001E-4</v>
      </c>
      <c r="CU130">
        <v>2.2100000000000001E-4</v>
      </c>
      <c r="CV130">
        <v>2.2100000000000001E-4</v>
      </c>
      <c r="CW130">
        <v>2.2100000000000001E-4</v>
      </c>
      <c r="CX130">
        <v>2.2100000000000001E-4</v>
      </c>
    </row>
    <row r="131" spans="1:102" x14ac:dyDescent="0.25">
      <c r="A131" t="s">
        <v>327</v>
      </c>
      <c r="B131" t="e">
        <v>#VALUE!</v>
      </c>
      <c r="C131" t="e">
        <v>#VALUE!</v>
      </c>
      <c r="D131" t="e">
        <v>#VALUE!</v>
      </c>
      <c r="E131" t="e">
        <v>#VALUE!</v>
      </c>
      <c r="F131" t="e">
        <v>#VALUE!</v>
      </c>
      <c r="G131" t="e">
        <v>#VALUE!</v>
      </c>
      <c r="H131" t="e">
        <v>#VALUE!</v>
      </c>
      <c r="I131" t="e">
        <v>#VALUE!</v>
      </c>
      <c r="J131" t="e">
        <v>#VALUE!</v>
      </c>
      <c r="K131" t="e">
        <v>#VALUE!</v>
      </c>
      <c r="L131" t="e">
        <v>#VALUE!</v>
      </c>
      <c r="M131" t="e">
        <v>#VALUE!</v>
      </c>
      <c r="N131" t="e">
        <v>#VALUE!</v>
      </c>
      <c r="O131" t="e">
        <v>#VALUE!</v>
      </c>
      <c r="P131" t="e">
        <v>#VALUE!</v>
      </c>
      <c r="Q131">
        <v>1.0000000000000001E-5</v>
      </c>
      <c r="R131">
        <v>1.0000000000000001E-5</v>
      </c>
      <c r="S131">
        <v>1.0000000000000001E-5</v>
      </c>
      <c r="T131">
        <v>1.0000000000000001E-5</v>
      </c>
      <c r="U131">
        <v>1.0000000000000001E-5</v>
      </c>
      <c r="V131">
        <v>1.0000000000000001E-5</v>
      </c>
      <c r="W131">
        <v>1.0000000000000001E-5</v>
      </c>
      <c r="X131">
        <v>1.0000000000000001E-5</v>
      </c>
      <c r="Y131">
        <v>1.0000000000000001E-5</v>
      </c>
      <c r="Z131">
        <v>1.0000000000000001E-5</v>
      </c>
      <c r="AA131">
        <v>1.0000000000000001E-5</v>
      </c>
      <c r="AB131">
        <v>1.0000000000000001E-5</v>
      </c>
      <c r="AC131">
        <v>1.0000000000000001E-5</v>
      </c>
      <c r="AD131">
        <v>1.0000000000000001E-5</v>
      </c>
      <c r="AE131">
        <v>1.0000000000000001E-5</v>
      </c>
      <c r="AF131">
        <v>1.0000000000000001E-5</v>
      </c>
      <c r="AG131">
        <v>1.0000000000000001E-5</v>
      </c>
      <c r="AH131">
        <v>1.0000000000000001E-5</v>
      </c>
      <c r="AI131">
        <v>1.0000000000000001E-5</v>
      </c>
      <c r="AJ131">
        <v>1.0000000000000001E-5</v>
      </c>
      <c r="AK131">
        <v>1.0000000000000001E-5</v>
      </c>
      <c r="AL131">
        <v>1.0000000000000001E-5</v>
      </c>
      <c r="AM131">
        <v>1.0000000000000001E-5</v>
      </c>
      <c r="AN131">
        <v>1.0000000000000001E-5</v>
      </c>
      <c r="AO131">
        <v>1.0000000000000001E-5</v>
      </c>
      <c r="AP131">
        <v>3.3000000000000003E-5</v>
      </c>
      <c r="AQ131">
        <v>3.3000000000000003E-5</v>
      </c>
      <c r="AR131">
        <v>3.3000000000000003E-5</v>
      </c>
      <c r="AS131">
        <v>3.3000000000000003E-5</v>
      </c>
      <c r="AT131">
        <v>3.3000000000000003E-5</v>
      </c>
      <c r="AU131">
        <v>4.1999999999999998E-5</v>
      </c>
      <c r="AV131">
        <v>4.1999999999999998E-5</v>
      </c>
      <c r="AW131">
        <v>4.1999999999999998E-5</v>
      </c>
      <c r="AX131">
        <v>4.1999999999999998E-5</v>
      </c>
      <c r="AY131">
        <v>4.1999999999999998E-5</v>
      </c>
      <c r="AZ131">
        <v>5.0000000000000002E-5</v>
      </c>
      <c r="BA131">
        <v>5.0000000000000002E-5</v>
      </c>
      <c r="BB131">
        <v>5.0000000000000002E-5</v>
      </c>
      <c r="BC131">
        <v>5.0000000000000002E-5</v>
      </c>
      <c r="BD131">
        <v>5.0000000000000002E-5</v>
      </c>
      <c r="BE131">
        <v>6.2000000000000003E-5</v>
      </c>
      <c r="BF131">
        <v>6.2000000000000003E-5</v>
      </c>
      <c r="BG131">
        <v>6.2000000000000003E-5</v>
      </c>
      <c r="BH131">
        <v>6.2000000000000003E-5</v>
      </c>
      <c r="BI131">
        <v>6.2000000000000003E-5</v>
      </c>
      <c r="BJ131">
        <v>5.8999999999999998E-5</v>
      </c>
      <c r="BK131">
        <v>5.8999999999999998E-5</v>
      </c>
      <c r="BL131">
        <v>5.8999999999999998E-5</v>
      </c>
      <c r="BM131">
        <v>5.8999999999999998E-5</v>
      </c>
      <c r="BN131">
        <v>5.8999999999999998E-5</v>
      </c>
      <c r="BO131">
        <v>7.1000000000000005E-5</v>
      </c>
      <c r="BP131">
        <v>7.1000000000000005E-5</v>
      </c>
      <c r="BQ131">
        <v>7.1000000000000005E-5</v>
      </c>
      <c r="BR131">
        <v>7.1000000000000005E-5</v>
      </c>
      <c r="BS131">
        <v>7.1000000000000005E-5</v>
      </c>
      <c r="BT131">
        <v>9.3999999999999994E-5</v>
      </c>
      <c r="BU131">
        <v>9.3999999999999994E-5</v>
      </c>
      <c r="BV131">
        <v>9.3999999999999994E-5</v>
      </c>
      <c r="BW131">
        <v>9.3999999999999994E-5</v>
      </c>
      <c r="BX131">
        <v>9.3999999999999994E-5</v>
      </c>
      <c r="BY131">
        <v>1.7200000000000001E-4</v>
      </c>
      <c r="BZ131">
        <v>1.7200000000000001E-4</v>
      </c>
      <c r="CA131">
        <v>1.7200000000000001E-4</v>
      </c>
      <c r="CB131">
        <v>1.7200000000000001E-4</v>
      </c>
      <c r="CC131">
        <v>1.7200000000000001E-4</v>
      </c>
      <c r="CD131">
        <v>1.7200000000000001E-4</v>
      </c>
      <c r="CE131">
        <v>1.7200000000000001E-4</v>
      </c>
      <c r="CF131">
        <v>1.7200000000000001E-4</v>
      </c>
      <c r="CG131">
        <v>1.7200000000000001E-4</v>
      </c>
      <c r="CH131">
        <v>1.7200000000000001E-4</v>
      </c>
      <c r="CI131">
        <v>1.7200000000000001E-4</v>
      </c>
      <c r="CJ131">
        <v>1.7200000000000001E-4</v>
      </c>
      <c r="CK131">
        <v>1.7200000000000001E-4</v>
      </c>
      <c r="CL131">
        <v>1.7200000000000001E-4</v>
      </c>
      <c r="CM131">
        <v>1.7200000000000001E-4</v>
      </c>
      <c r="CN131">
        <v>1.7200000000000001E-4</v>
      </c>
      <c r="CO131">
        <v>1.7200000000000001E-4</v>
      </c>
      <c r="CP131">
        <v>1.7200000000000001E-4</v>
      </c>
      <c r="CQ131">
        <v>1.7200000000000001E-4</v>
      </c>
      <c r="CR131">
        <v>1.7200000000000001E-4</v>
      </c>
      <c r="CS131">
        <v>1.7200000000000001E-4</v>
      </c>
      <c r="CT131">
        <v>1.7200000000000001E-4</v>
      </c>
      <c r="CU131">
        <v>1.7200000000000001E-4</v>
      </c>
      <c r="CV131">
        <v>1.7200000000000001E-4</v>
      </c>
      <c r="CW131">
        <v>1.7200000000000001E-4</v>
      </c>
      <c r="CX131">
        <v>1.7200000000000001E-4</v>
      </c>
    </row>
    <row r="132" spans="1:102" x14ac:dyDescent="0.25">
      <c r="A132" t="s">
        <v>329</v>
      </c>
      <c r="B132" t="e">
        <v>#VALUE!</v>
      </c>
      <c r="C132" t="e">
        <v>#VALUE!</v>
      </c>
      <c r="D132" t="e">
        <v>#VALUE!</v>
      </c>
      <c r="E132" t="e">
        <v>#VALUE!</v>
      </c>
      <c r="F132" t="e">
        <v>#VALUE!</v>
      </c>
      <c r="G132" t="e">
        <v>#VALUE!</v>
      </c>
      <c r="H132" t="e">
        <v>#VALUE!</v>
      </c>
      <c r="I132" t="e">
        <v>#VALUE!</v>
      </c>
      <c r="J132" t="e">
        <v>#VALUE!</v>
      </c>
      <c r="K132" t="e">
        <v>#VALUE!</v>
      </c>
      <c r="L132" t="e">
        <v>#VALUE!</v>
      </c>
      <c r="M132" t="e">
        <v>#VALUE!</v>
      </c>
      <c r="N132" t="e">
        <v>#VALUE!</v>
      </c>
      <c r="O132" t="e">
        <v>#VALUE!</v>
      </c>
      <c r="P132" t="e">
        <v>#VALUE!</v>
      </c>
      <c r="Q132">
        <v>1.9999999999999999E-6</v>
      </c>
      <c r="R132">
        <v>1.9999999999999999E-6</v>
      </c>
      <c r="S132">
        <v>1.9999999999999999E-6</v>
      </c>
      <c r="T132">
        <v>1.9999999999999999E-6</v>
      </c>
      <c r="U132">
        <v>1.9999999999999999E-6</v>
      </c>
      <c r="V132">
        <v>1.9999999999999999E-6</v>
      </c>
      <c r="W132">
        <v>1.9999999999999999E-6</v>
      </c>
      <c r="X132">
        <v>1.9999999999999999E-6</v>
      </c>
      <c r="Y132">
        <v>1.9999999999999999E-6</v>
      </c>
      <c r="Z132">
        <v>1.9999999999999999E-6</v>
      </c>
      <c r="AA132">
        <v>1.9999999999999999E-6</v>
      </c>
      <c r="AB132">
        <v>1.9999999999999999E-6</v>
      </c>
      <c r="AC132">
        <v>1.9999999999999999E-6</v>
      </c>
      <c r="AD132">
        <v>1.9999999999999999E-6</v>
      </c>
      <c r="AE132">
        <v>1.9999999999999999E-6</v>
      </c>
      <c r="AF132">
        <v>1.9999999999999999E-6</v>
      </c>
      <c r="AG132">
        <v>1.9999999999999999E-6</v>
      </c>
      <c r="AH132">
        <v>1.9999999999999999E-6</v>
      </c>
      <c r="AI132">
        <v>1.9999999999999999E-6</v>
      </c>
      <c r="AJ132">
        <v>1.9999999999999999E-6</v>
      </c>
      <c r="AK132">
        <v>1.9999999999999999E-6</v>
      </c>
      <c r="AL132">
        <v>1.9999999999999999E-6</v>
      </c>
      <c r="AM132">
        <v>1.9999999999999999E-6</v>
      </c>
      <c r="AN132">
        <v>1.9999999999999999E-6</v>
      </c>
      <c r="AO132">
        <v>1.9999999999999999E-6</v>
      </c>
      <c r="AP132">
        <v>1.5999999999999999E-5</v>
      </c>
      <c r="AQ132">
        <v>1.5999999999999999E-5</v>
      </c>
      <c r="AR132">
        <v>1.5999999999999999E-5</v>
      </c>
      <c r="AS132">
        <v>1.5999999999999999E-5</v>
      </c>
      <c r="AT132">
        <v>1.5999999999999999E-5</v>
      </c>
      <c r="AU132">
        <v>2.3E-5</v>
      </c>
      <c r="AV132">
        <v>2.3E-5</v>
      </c>
      <c r="AW132">
        <v>2.3E-5</v>
      </c>
      <c r="AX132">
        <v>2.3E-5</v>
      </c>
      <c r="AY132">
        <v>2.3E-5</v>
      </c>
      <c r="AZ132">
        <v>5.5999999999999999E-5</v>
      </c>
      <c r="BA132">
        <v>5.5999999999999999E-5</v>
      </c>
      <c r="BB132">
        <v>5.5999999999999999E-5</v>
      </c>
      <c r="BC132">
        <v>5.5999999999999999E-5</v>
      </c>
      <c r="BD132">
        <v>5.5999999999999999E-5</v>
      </c>
      <c r="BE132">
        <v>7.7000000000000001E-5</v>
      </c>
      <c r="BF132">
        <v>7.7000000000000001E-5</v>
      </c>
      <c r="BG132">
        <v>7.7000000000000001E-5</v>
      </c>
      <c r="BH132">
        <v>7.7000000000000001E-5</v>
      </c>
      <c r="BI132">
        <v>7.7000000000000001E-5</v>
      </c>
      <c r="BJ132">
        <v>1.08E-4</v>
      </c>
      <c r="BK132">
        <v>1.08E-4</v>
      </c>
      <c r="BL132">
        <v>1.08E-4</v>
      </c>
      <c r="BM132">
        <v>1.08E-4</v>
      </c>
      <c r="BN132">
        <v>1.08E-4</v>
      </c>
      <c r="BO132">
        <v>2.23E-4</v>
      </c>
      <c r="BP132">
        <v>2.23E-4</v>
      </c>
      <c r="BQ132">
        <v>2.23E-4</v>
      </c>
      <c r="BR132">
        <v>2.23E-4</v>
      </c>
      <c r="BS132">
        <v>2.23E-4</v>
      </c>
      <c r="BT132">
        <v>1.06E-4</v>
      </c>
      <c r="BU132">
        <v>1.06E-4</v>
      </c>
      <c r="BV132">
        <v>1.06E-4</v>
      </c>
      <c r="BW132">
        <v>1.06E-4</v>
      </c>
      <c r="BX132">
        <v>1.06E-4</v>
      </c>
      <c r="BY132">
        <v>1.4300000000000001E-4</v>
      </c>
      <c r="BZ132">
        <v>1.4300000000000001E-4</v>
      </c>
      <c r="CA132">
        <v>1.4300000000000001E-4</v>
      </c>
      <c r="CB132">
        <v>1.4300000000000001E-4</v>
      </c>
      <c r="CC132">
        <v>1.4300000000000001E-4</v>
      </c>
      <c r="CD132">
        <v>1.4300000000000001E-4</v>
      </c>
      <c r="CE132">
        <v>1.4300000000000001E-4</v>
      </c>
      <c r="CF132">
        <v>1.4300000000000001E-4</v>
      </c>
      <c r="CG132">
        <v>1.4300000000000001E-4</v>
      </c>
      <c r="CH132">
        <v>1.4300000000000001E-4</v>
      </c>
      <c r="CI132">
        <v>1.4300000000000001E-4</v>
      </c>
      <c r="CJ132">
        <v>1.4300000000000001E-4</v>
      </c>
      <c r="CK132">
        <v>1.4300000000000001E-4</v>
      </c>
      <c r="CL132">
        <v>1.4300000000000001E-4</v>
      </c>
      <c r="CM132">
        <v>1.4300000000000001E-4</v>
      </c>
      <c r="CN132">
        <v>1.4300000000000001E-4</v>
      </c>
      <c r="CO132">
        <v>1.4300000000000001E-4</v>
      </c>
      <c r="CP132">
        <v>1.4300000000000001E-4</v>
      </c>
      <c r="CQ132">
        <v>1.4300000000000001E-4</v>
      </c>
      <c r="CR132">
        <v>1.4300000000000001E-4</v>
      </c>
      <c r="CS132">
        <v>1.4300000000000001E-4</v>
      </c>
      <c r="CT132">
        <v>1.4300000000000001E-4</v>
      </c>
      <c r="CU132">
        <v>1.4300000000000001E-4</v>
      </c>
      <c r="CV132">
        <v>1.4300000000000001E-4</v>
      </c>
      <c r="CW132">
        <v>1.4300000000000001E-4</v>
      </c>
      <c r="CX132">
        <v>1.4300000000000001E-4</v>
      </c>
    </row>
    <row r="133" spans="1:102" x14ac:dyDescent="0.25">
      <c r="A133" t="s">
        <v>331</v>
      </c>
      <c r="B133" t="e">
        <v>#VALUE!</v>
      </c>
      <c r="C133" t="e">
        <v>#VALUE!</v>
      </c>
      <c r="D133" t="e">
        <v>#VALUE!</v>
      </c>
      <c r="E133" t="e">
        <v>#VALUE!</v>
      </c>
      <c r="F133" t="e">
        <v>#VALUE!</v>
      </c>
      <c r="G133" t="e">
        <v>#VALUE!</v>
      </c>
      <c r="H133" t="e">
        <v>#VALUE!</v>
      </c>
      <c r="I133" t="e">
        <v>#VALUE!</v>
      </c>
      <c r="J133" t="e">
        <v>#VALUE!</v>
      </c>
      <c r="K133" t="e">
        <v>#VALUE!</v>
      </c>
      <c r="L133" t="e">
        <v>#VALUE!</v>
      </c>
      <c r="M133" t="e">
        <v>#VALUE!</v>
      </c>
      <c r="N133" t="e">
        <v>#VALUE!</v>
      </c>
      <c r="O133" t="e">
        <v>#VALUE!</v>
      </c>
      <c r="P133" t="e">
        <v>#VALUE!</v>
      </c>
      <c r="Q133">
        <v>6.0000000000000002E-6</v>
      </c>
      <c r="R133">
        <v>6.0000000000000002E-6</v>
      </c>
      <c r="S133">
        <v>6.0000000000000002E-6</v>
      </c>
      <c r="T133">
        <v>6.0000000000000002E-6</v>
      </c>
      <c r="U133">
        <v>6.0000000000000002E-6</v>
      </c>
      <c r="V133">
        <v>6.0000000000000002E-6</v>
      </c>
      <c r="W133">
        <v>6.0000000000000002E-6</v>
      </c>
      <c r="X133">
        <v>6.0000000000000002E-6</v>
      </c>
      <c r="Y133">
        <v>6.0000000000000002E-6</v>
      </c>
      <c r="Z133">
        <v>6.0000000000000002E-6</v>
      </c>
      <c r="AA133">
        <v>6.0000000000000002E-6</v>
      </c>
      <c r="AB133">
        <v>6.0000000000000002E-6</v>
      </c>
      <c r="AC133">
        <v>6.0000000000000002E-6</v>
      </c>
      <c r="AD133">
        <v>6.0000000000000002E-6</v>
      </c>
      <c r="AE133">
        <v>6.0000000000000002E-6</v>
      </c>
      <c r="AF133">
        <v>6.0000000000000002E-6</v>
      </c>
      <c r="AG133">
        <v>6.0000000000000002E-6</v>
      </c>
      <c r="AH133">
        <v>6.0000000000000002E-6</v>
      </c>
      <c r="AI133">
        <v>6.0000000000000002E-6</v>
      </c>
      <c r="AJ133">
        <v>6.0000000000000002E-6</v>
      </c>
      <c r="AK133">
        <v>6.0000000000000002E-6</v>
      </c>
      <c r="AL133">
        <v>6.0000000000000002E-6</v>
      </c>
      <c r="AM133">
        <v>6.0000000000000002E-6</v>
      </c>
      <c r="AN133">
        <v>6.0000000000000002E-6</v>
      </c>
      <c r="AO133">
        <v>6.0000000000000002E-6</v>
      </c>
      <c r="AP133">
        <v>5.8999999999999998E-5</v>
      </c>
      <c r="AQ133">
        <v>5.8999999999999998E-5</v>
      </c>
      <c r="AR133">
        <v>5.8999999999999998E-5</v>
      </c>
      <c r="AS133">
        <v>5.8999999999999998E-5</v>
      </c>
      <c r="AT133">
        <v>5.8999999999999998E-5</v>
      </c>
      <c r="AU133">
        <v>1.1E-4</v>
      </c>
      <c r="AV133">
        <v>1.1E-4</v>
      </c>
      <c r="AW133">
        <v>1.1E-4</v>
      </c>
      <c r="AX133">
        <v>1.1E-4</v>
      </c>
      <c r="AY133">
        <v>1.1E-4</v>
      </c>
      <c r="AZ133">
        <v>1.7000000000000001E-4</v>
      </c>
      <c r="BA133">
        <v>1.7000000000000001E-4</v>
      </c>
      <c r="BB133">
        <v>1.7000000000000001E-4</v>
      </c>
      <c r="BC133">
        <v>1.7000000000000001E-4</v>
      </c>
      <c r="BD133">
        <v>1.7000000000000001E-4</v>
      </c>
      <c r="BE133">
        <v>2.02E-4</v>
      </c>
      <c r="BF133">
        <v>2.02E-4</v>
      </c>
      <c r="BG133">
        <v>2.02E-4</v>
      </c>
      <c r="BH133">
        <v>2.02E-4</v>
      </c>
      <c r="BI133">
        <v>2.02E-4</v>
      </c>
      <c r="BJ133">
        <v>2.0100000000000001E-4</v>
      </c>
      <c r="BK133">
        <v>2.0100000000000001E-4</v>
      </c>
      <c r="BL133">
        <v>2.0100000000000001E-4</v>
      </c>
      <c r="BM133">
        <v>2.0100000000000001E-4</v>
      </c>
      <c r="BN133">
        <v>2.0100000000000001E-4</v>
      </c>
      <c r="BO133">
        <v>1.83E-4</v>
      </c>
      <c r="BP133">
        <v>1.83E-4</v>
      </c>
      <c r="BQ133">
        <v>1.83E-4</v>
      </c>
      <c r="BR133">
        <v>1.83E-4</v>
      </c>
      <c r="BS133">
        <v>1.83E-4</v>
      </c>
      <c r="BT133">
        <v>1.45E-4</v>
      </c>
      <c r="BU133">
        <v>1.45E-4</v>
      </c>
      <c r="BV133">
        <v>1.45E-4</v>
      </c>
      <c r="BW133">
        <v>1.45E-4</v>
      </c>
      <c r="BX133">
        <v>1.45E-4</v>
      </c>
      <c r="BY133">
        <v>8.6000000000000003E-5</v>
      </c>
      <c r="BZ133">
        <v>8.6000000000000003E-5</v>
      </c>
      <c r="CA133">
        <v>8.6000000000000003E-5</v>
      </c>
      <c r="CB133">
        <v>8.6000000000000003E-5</v>
      </c>
      <c r="CC133">
        <v>8.6000000000000003E-5</v>
      </c>
      <c r="CD133">
        <v>8.6000000000000003E-5</v>
      </c>
      <c r="CE133">
        <v>8.6000000000000003E-5</v>
      </c>
      <c r="CF133">
        <v>8.6000000000000003E-5</v>
      </c>
      <c r="CG133">
        <v>8.6000000000000003E-5</v>
      </c>
      <c r="CH133">
        <v>8.6000000000000003E-5</v>
      </c>
      <c r="CI133">
        <v>8.6000000000000003E-5</v>
      </c>
      <c r="CJ133">
        <v>8.6000000000000003E-5</v>
      </c>
      <c r="CK133">
        <v>8.6000000000000003E-5</v>
      </c>
      <c r="CL133">
        <v>8.6000000000000003E-5</v>
      </c>
      <c r="CM133">
        <v>8.6000000000000003E-5</v>
      </c>
      <c r="CN133">
        <v>8.6000000000000003E-5</v>
      </c>
      <c r="CO133">
        <v>8.6000000000000003E-5</v>
      </c>
      <c r="CP133">
        <v>8.6000000000000003E-5</v>
      </c>
      <c r="CQ133">
        <v>8.6000000000000003E-5</v>
      </c>
      <c r="CR133">
        <v>8.6000000000000003E-5</v>
      </c>
      <c r="CS133">
        <v>8.6000000000000003E-5</v>
      </c>
      <c r="CT133">
        <v>8.6000000000000003E-5</v>
      </c>
      <c r="CU133">
        <v>8.6000000000000003E-5</v>
      </c>
      <c r="CV133">
        <v>8.6000000000000003E-5</v>
      </c>
      <c r="CW133">
        <v>8.6000000000000003E-5</v>
      </c>
      <c r="CX133">
        <v>8.6000000000000003E-5</v>
      </c>
    </row>
    <row r="134" spans="1:102" x14ac:dyDescent="0.25">
      <c r="A134" t="s">
        <v>333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1.2999999999999999E-5</v>
      </c>
      <c r="R134">
        <v>1.2999999999999999E-5</v>
      </c>
      <c r="S134">
        <v>1.2999999999999999E-5</v>
      </c>
      <c r="T134">
        <v>1.2999999999999999E-5</v>
      </c>
      <c r="U134">
        <v>1.2999999999999999E-5</v>
      </c>
      <c r="V134">
        <v>1.2999999999999999E-5</v>
      </c>
      <c r="W134">
        <v>1.2999999999999999E-5</v>
      </c>
      <c r="X134">
        <v>1.2999999999999999E-5</v>
      </c>
      <c r="Y134">
        <v>1.2999999999999999E-5</v>
      </c>
      <c r="Z134">
        <v>1.2999999999999999E-5</v>
      </c>
      <c r="AA134">
        <v>1.2999999999999999E-5</v>
      </c>
      <c r="AB134">
        <v>1.2999999999999999E-5</v>
      </c>
      <c r="AC134">
        <v>1.2999999999999999E-5</v>
      </c>
      <c r="AD134">
        <v>1.2999999999999999E-5</v>
      </c>
      <c r="AE134">
        <v>1.2999999999999999E-5</v>
      </c>
      <c r="AF134">
        <v>1.2999999999999999E-5</v>
      </c>
      <c r="AG134">
        <v>1.2999999999999999E-5</v>
      </c>
      <c r="AH134">
        <v>1.2999999999999999E-5</v>
      </c>
      <c r="AI134">
        <v>1.2999999999999999E-5</v>
      </c>
      <c r="AJ134">
        <v>1.2999999999999999E-5</v>
      </c>
      <c r="AK134">
        <v>1.2999999999999999E-5</v>
      </c>
      <c r="AL134">
        <v>1.2999999999999999E-5</v>
      </c>
      <c r="AM134">
        <v>1.2999999999999999E-5</v>
      </c>
      <c r="AN134">
        <v>1.2999999999999999E-5</v>
      </c>
      <c r="AO134">
        <v>1.2999999999999999E-5</v>
      </c>
      <c r="AP134">
        <v>5.1E-5</v>
      </c>
      <c r="AQ134">
        <v>5.1E-5</v>
      </c>
      <c r="AR134">
        <v>5.1E-5</v>
      </c>
      <c r="AS134">
        <v>5.1E-5</v>
      </c>
      <c r="AT134">
        <v>5.1E-5</v>
      </c>
      <c r="AU134">
        <v>6.9999999999999994E-5</v>
      </c>
      <c r="AV134">
        <v>6.9999999999999994E-5</v>
      </c>
      <c r="AW134">
        <v>6.9999999999999994E-5</v>
      </c>
      <c r="AX134">
        <v>6.9999999999999994E-5</v>
      </c>
      <c r="AY134">
        <v>6.9999999999999994E-5</v>
      </c>
      <c r="AZ134">
        <v>8.7999999999999998E-5</v>
      </c>
      <c r="BA134">
        <v>8.7999999999999998E-5</v>
      </c>
      <c r="BB134">
        <v>8.7999999999999998E-5</v>
      </c>
      <c r="BC134">
        <v>8.7999999999999998E-5</v>
      </c>
      <c r="BD134">
        <v>8.7999999999999998E-5</v>
      </c>
      <c r="BE134">
        <v>9.7E-5</v>
      </c>
      <c r="BF134">
        <v>9.7E-5</v>
      </c>
      <c r="BG134">
        <v>9.7E-5</v>
      </c>
      <c r="BH134">
        <v>9.7E-5</v>
      </c>
      <c r="BI134">
        <v>9.7E-5</v>
      </c>
      <c r="BJ134">
        <v>1.06E-4</v>
      </c>
      <c r="BK134">
        <v>1.06E-4</v>
      </c>
      <c r="BL134">
        <v>1.06E-4</v>
      </c>
      <c r="BM134">
        <v>1.06E-4</v>
      </c>
      <c r="BN134">
        <v>1.06E-4</v>
      </c>
      <c r="BO134">
        <v>1.2E-4</v>
      </c>
      <c r="BP134">
        <v>1.2E-4</v>
      </c>
      <c r="BQ134">
        <v>1.2E-4</v>
      </c>
      <c r="BR134">
        <v>1.2E-4</v>
      </c>
      <c r="BS134">
        <v>1.2E-4</v>
      </c>
      <c r="BT134">
        <v>1.4300000000000001E-4</v>
      </c>
      <c r="BU134">
        <v>1.4300000000000001E-4</v>
      </c>
      <c r="BV134">
        <v>1.4300000000000001E-4</v>
      </c>
      <c r="BW134">
        <v>1.4300000000000001E-4</v>
      </c>
      <c r="BX134">
        <v>1.4300000000000001E-4</v>
      </c>
      <c r="BY134">
        <v>2.2100000000000001E-4</v>
      </c>
      <c r="BZ134">
        <v>2.2100000000000001E-4</v>
      </c>
      <c r="CA134">
        <v>2.2100000000000001E-4</v>
      </c>
      <c r="CB134">
        <v>2.2100000000000001E-4</v>
      </c>
      <c r="CC134">
        <v>2.2100000000000001E-4</v>
      </c>
      <c r="CD134">
        <v>2.2100000000000001E-4</v>
      </c>
      <c r="CE134">
        <v>2.2100000000000001E-4</v>
      </c>
      <c r="CF134">
        <v>2.2100000000000001E-4</v>
      </c>
      <c r="CG134">
        <v>2.2100000000000001E-4</v>
      </c>
      <c r="CH134">
        <v>2.2100000000000001E-4</v>
      </c>
      <c r="CI134">
        <v>2.2100000000000001E-4</v>
      </c>
      <c r="CJ134">
        <v>2.2100000000000001E-4</v>
      </c>
      <c r="CK134">
        <v>2.2100000000000001E-4</v>
      </c>
      <c r="CL134">
        <v>2.2100000000000001E-4</v>
      </c>
      <c r="CM134">
        <v>2.2100000000000001E-4</v>
      </c>
      <c r="CN134">
        <v>2.2100000000000001E-4</v>
      </c>
      <c r="CO134">
        <v>2.2100000000000001E-4</v>
      </c>
      <c r="CP134">
        <v>2.2100000000000001E-4</v>
      </c>
      <c r="CQ134">
        <v>2.2100000000000001E-4</v>
      </c>
      <c r="CR134">
        <v>2.2100000000000001E-4</v>
      </c>
      <c r="CS134">
        <v>2.2100000000000001E-4</v>
      </c>
      <c r="CT134">
        <v>2.2100000000000001E-4</v>
      </c>
      <c r="CU134">
        <v>2.2100000000000001E-4</v>
      </c>
      <c r="CV134">
        <v>2.2100000000000001E-4</v>
      </c>
      <c r="CW134">
        <v>2.2100000000000001E-4</v>
      </c>
      <c r="CX134">
        <v>2.2100000000000001E-4</v>
      </c>
    </row>
    <row r="135" spans="1:102" x14ac:dyDescent="0.25">
      <c r="A135" t="s">
        <v>335</v>
      </c>
      <c r="B135" t="e">
        <v>#VALUE!</v>
      </c>
      <c r="C135" t="e">
        <v>#VALUE!</v>
      </c>
      <c r="D135" t="e">
        <v>#VALUE!</v>
      </c>
      <c r="E135" t="e">
        <v>#VALUE!</v>
      </c>
      <c r="F135" t="e">
        <v>#VALUE!</v>
      </c>
      <c r="G135" t="e">
        <v>#VALUE!</v>
      </c>
      <c r="H135" t="e">
        <v>#VALUE!</v>
      </c>
      <c r="I135" t="e">
        <v>#VALUE!</v>
      </c>
      <c r="J135" t="e">
        <v>#VALUE!</v>
      </c>
      <c r="K135" t="e">
        <v>#VALUE!</v>
      </c>
      <c r="L135" t="e">
        <v>#VALUE!</v>
      </c>
      <c r="M135" t="e">
        <v>#VALUE!</v>
      </c>
      <c r="N135" t="e">
        <v>#VALUE!</v>
      </c>
      <c r="O135" t="e">
        <v>#VALUE!</v>
      </c>
      <c r="P135" t="e">
        <v>#VALUE!</v>
      </c>
      <c r="Q135">
        <v>2.3E-5</v>
      </c>
      <c r="R135">
        <v>2.3E-5</v>
      </c>
      <c r="S135">
        <v>2.3E-5</v>
      </c>
      <c r="T135">
        <v>2.3E-5</v>
      </c>
      <c r="U135">
        <v>2.3E-5</v>
      </c>
      <c r="V135">
        <v>2.3E-5</v>
      </c>
      <c r="W135">
        <v>2.3E-5</v>
      </c>
      <c r="X135">
        <v>2.3E-5</v>
      </c>
      <c r="Y135">
        <v>2.3E-5</v>
      </c>
      <c r="Z135">
        <v>2.3E-5</v>
      </c>
      <c r="AA135">
        <v>2.3E-5</v>
      </c>
      <c r="AB135">
        <v>2.3E-5</v>
      </c>
      <c r="AC135">
        <v>2.3E-5</v>
      </c>
      <c r="AD135">
        <v>2.3E-5</v>
      </c>
      <c r="AE135">
        <v>2.3E-5</v>
      </c>
      <c r="AF135">
        <v>2.3E-5</v>
      </c>
      <c r="AG135">
        <v>2.3E-5</v>
      </c>
      <c r="AH135">
        <v>2.3E-5</v>
      </c>
      <c r="AI135">
        <v>2.3E-5</v>
      </c>
      <c r="AJ135">
        <v>2.3E-5</v>
      </c>
      <c r="AK135">
        <v>2.3E-5</v>
      </c>
      <c r="AL135">
        <v>2.3E-5</v>
      </c>
      <c r="AM135">
        <v>2.3E-5</v>
      </c>
      <c r="AN135">
        <v>2.3E-5</v>
      </c>
      <c r="AO135">
        <v>2.3E-5</v>
      </c>
      <c r="AP135">
        <v>9.7E-5</v>
      </c>
      <c r="AQ135">
        <v>9.7E-5</v>
      </c>
      <c r="AR135">
        <v>9.7E-5</v>
      </c>
      <c r="AS135">
        <v>9.7E-5</v>
      </c>
      <c r="AT135">
        <v>9.7E-5</v>
      </c>
      <c r="AU135">
        <v>1.3799999999999999E-4</v>
      </c>
      <c r="AV135">
        <v>1.3799999999999999E-4</v>
      </c>
      <c r="AW135">
        <v>1.3799999999999999E-4</v>
      </c>
      <c r="AX135">
        <v>1.3799999999999999E-4</v>
      </c>
      <c r="AY135">
        <v>1.3799999999999999E-4</v>
      </c>
      <c r="AZ135">
        <v>1.65E-4</v>
      </c>
      <c r="BA135">
        <v>1.65E-4</v>
      </c>
      <c r="BB135">
        <v>1.65E-4</v>
      </c>
      <c r="BC135">
        <v>1.65E-4</v>
      </c>
      <c r="BD135">
        <v>1.65E-4</v>
      </c>
      <c r="BE135">
        <v>1.76E-4</v>
      </c>
      <c r="BF135">
        <v>1.76E-4</v>
      </c>
      <c r="BG135">
        <v>1.76E-4</v>
      </c>
      <c r="BH135">
        <v>1.76E-4</v>
      </c>
      <c r="BI135">
        <v>1.76E-4</v>
      </c>
      <c r="BJ135">
        <v>1.8799999999999999E-4</v>
      </c>
      <c r="BK135">
        <v>1.8799999999999999E-4</v>
      </c>
      <c r="BL135">
        <v>1.8799999999999999E-4</v>
      </c>
      <c r="BM135">
        <v>1.8799999999999999E-4</v>
      </c>
      <c r="BN135">
        <v>1.8799999999999999E-4</v>
      </c>
      <c r="BO135">
        <v>2.5999999999999998E-4</v>
      </c>
      <c r="BP135">
        <v>2.5999999999999998E-4</v>
      </c>
      <c r="BQ135">
        <v>2.5999999999999998E-4</v>
      </c>
      <c r="BR135">
        <v>2.5999999999999998E-4</v>
      </c>
      <c r="BS135">
        <v>2.5999999999999998E-4</v>
      </c>
      <c r="BT135">
        <v>3.79E-4</v>
      </c>
      <c r="BU135">
        <v>3.79E-4</v>
      </c>
      <c r="BV135">
        <v>3.79E-4</v>
      </c>
      <c r="BW135">
        <v>3.79E-4</v>
      </c>
      <c r="BX135">
        <v>3.79E-4</v>
      </c>
      <c r="BY135">
        <v>5.2999999999999998E-4</v>
      </c>
      <c r="BZ135">
        <v>5.2999999999999998E-4</v>
      </c>
      <c r="CA135">
        <v>5.2999999999999998E-4</v>
      </c>
      <c r="CB135">
        <v>5.2999999999999998E-4</v>
      </c>
      <c r="CC135">
        <v>5.2999999999999998E-4</v>
      </c>
      <c r="CD135">
        <v>5.2999999999999998E-4</v>
      </c>
      <c r="CE135">
        <v>5.2999999999999998E-4</v>
      </c>
      <c r="CF135">
        <v>5.2999999999999998E-4</v>
      </c>
      <c r="CG135">
        <v>5.2999999999999998E-4</v>
      </c>
      <c r="CH135">
        <v>5.2999999999999998E-4</v>
      </c>
      <c r="CI135">
        <v>5.2999999999999998E-4</v>
      </c>
      <c r="CJ135">
        <v>5.2999999999999998E-4</v>
      </c>
      <c r="CK135">
        <v>5.2999999999999998E-4</v>
      </c>
      <c r="CL135">
        <v>5.2999999999999998E-4</v>
      </c>
      <c r="CM135">
        <v>5.2999999999999998E-4</v>
      </c>
      <c r="CN135">
        <v>5.2999999999999998E-4</v>
      </c>
      <c r="CO135">
        <v>5.2999999999999998E-4</v>
      </c>
      <c r="CP135">
        <v>5.2999999999999998E-4</v>
      </c>
      <c r="CQ135">
        <v>5.2999999999999998E-4</v>
      </c>
      <c r="CR135">
        <v>5.2999999999999998E-4</v>
      </c>
      <c r="CS135">
        <v>5.2999999999999998E-4</v>
      </c>
      <c r="CT135">
        <v>5.2999999999999998E-4</v>
      </c>
      <c r="CU135">
        <v>5.2999999999999998E-4</v>
      </c>
      <c r="CV135">
        <v>5.2999999999999998E-4</v>
      </c>
      <c r="CW135">
        <v>5.2999999999999998E-4</v>
      </c>
      <c r="CX135">
        <v>5.2999999999999998E-4</v>
      </c>
    </row>
    <row r="136" spans="1:102" x14ac:dyDescent="0.25">
      <c r="A136" t="s">
        <v>337</v>
      </c>
      <c r="B136" t="e">
        <v>#VALUE!</v>
      </c>
      <c r="C136" t="e">
        <v>#VALUE!</v>
      </c>
      <c r="D136" t="e">
        <v>#VALUE!</v>
      </c>
      <c r="E136" t="e">
        <v>#VALUE!</v>
      </c>
      <c r="F136" t="e">
        <v>#VALUE!</v>
      </c>
      <c r="G136" t="e">
        <v>#VALUE!</v>
      </c>
      <c r="H136" t="e">
        <v>#VALUE!</v>
      </c>
      <c r="I136" t="e">
        <v>#VALUE!</v>
      </c>
      <c r="J136" t="e">
        <v>#VALUE!</v>
      </c>
      <c r="K136" t="e">
        <v>#VALUE!</v>
      </c>
      <c r="L136" t="e">
        <v>#VALUE!</v>
      </c>
      <c r="M136" t="e">
        <v>#VALUE!</v>
      </c>
      <c r="N136" t="e">
        <v>#VALUE!</v>
      </c>
      <c r="O136" t="e">
        <v>#VALUE!</v>
      </c>
      <c r="P136" t="e">
        <v>#VALUE!</v>
      </c>
      <c r="Q136">
        <v>1.06E-4</v>
      </c>
      <c r="R136">
        <v>1.06E-4</v>
      </c>
      <c r="S136">
        <v>1.06E-4</v>
      </c>
      <c r="T136">
        <v>1.06E-4</v>
      </c>
      <c r="U136">
        <v>1.06E-4</v>
      </c>
      <c r="V136">
        <v>1.06E-4</v>
      </c>
      <c r="W136">
        <v>1.06E-4</v>
      </c>
      <c r="X136">
        <v>1.06E-4</v>
      </c>
      <c r="Y136">
        <v>1.06E-4</v>
      </c>
      <c r="Z136">
        <v>1.06E-4</v>
      </c>
      <c r="AA136">
        <v>1.06E-4</v>
      </c>
      <c r="AB136">
        <v>1.06E-4</v>
      </c>
      <c r="AC136">
        <v>1.06E-4</v>
      </c>
      <c r="AD136">
        <v>1.06E-4</v>
      </c>
      <c r="AE136">
        <v>1.06E-4</v>
      </c>
      <c r="AF136">
        <v>1.06E-4</v>
      </c>
      <c r="AG136">
        <v>1.06E-4</v>
      </c>
      <c r="AH136">
        <v>1.06E-4</v>
      </c>
      <c r="AI136">
        <v>1.06E-4</v>
      </c>
      <c r="AJ136">
        <v>1.06E-4</v>
      </c>
      <c r="AK136">
        <v>1.06E-4</v>
      </c>
      <c r="AL136">
        <v>1.06E-4</v>
      </c>
      <c r="AM136">
        <v>1.06E-4</v>
      </c>
      <c r="AN136">
        <v>1.06E-4</v>
      </c>
      <c r="AO136">
        <v>1.06E-4</v>
      </c>
      <c r="AP136">
        <v>3.6400000000000001E-4</v>
      </c>
      <c r="AQ136">
        <v>3.6400000000000001E-4</v>
      </c>
      <c r="AR136">
        <v>3.6400000000000001E-4</v>
      </c>
      <c r="AS136">
        <v>3.6400000000000001E-4</v>
      </c>
      <c r="AT136">
        <v>3.6400000000000001E-4</v>
      </c>
      <c r="AU136">
        <v>4.8299999999999998E-4</v>
      </c>
      <c r="AV136">
        <v>4.8299999999999998E-4</v>
      </c>
      <c r="AW136">
        <v>4.8299999999999998E-4</v>
      </c>
      <c r="AX136">
        <v>4.8299999999999998E-4</v>
      </c>
      <c r="AY136">
        <v>4.8299999999999998E-4</v>
      </c>
      <c r="AZ136">
        <v>5.5699999999999999E-4</v>
      </c>
      <c r="BA136">
        <v>5.5699999999999999E-4</v>
      </c>
      <c r="BB136">
        <v>5.5699999999999999E-4</v>
      </c>
      <c r="BC136">
        <v>5.5699999999999999E-4</v>
      </c>
      <c r="BD136">
        <v>5.5699999999999999E-4</v>
      </c>
      <c r="BE136">
        <v>5.62E-4</v>
      </c>
      <c r="BF136">
        <v>5.62E-4</v>
      </c>
      <c r="BG136">
        <v>5.62E-4</v>
      </c>
      <c r="BH136">
        <v>5.62E-4</v>
      </c>
      <c r="BI136">
        <v>5.62E-4</v>
      </c>
      <c r="BJ136">
        <v>5.2099999999999998E-4</v>
      </c>
      <c r="BK136">
        <v>5.2099999999999998E-4</v>
      </c>
      <c r="BL136">
        <v>5.2099999999999998E-4</v>
      </c>
      <c r="BM136">
        <v>5.2099999999999998E-4</v>
      </c>
      <c r="BN136">
        <v>5.2099999999999998E-4</v>
      </c>
      <c r="BO136">
        <v>6.2E-4</v>
      </c>
      <c r="BP136">
        <v>6.2E-4</v>
      </c>
      <c r="BQ136">
        <v>6.2E-4</v>
      </c>
      <c r="BR136">
        <v>6.2E-4</v>
      </c>
      <c r="BS136">
        <v>6.2E-4</v>
      </c>
      <c r="BT136">
        <v>7.8700000000000005E-4</v>
      </c>
      <c r="BU136">
        <v>7.8700000000000005E-4</v>
      </c>
      <c r="BV136">
        <v>7.8700000000000005E-4</v>
      </c>
      <c r="BW136">
        <v>7.8700000000000005E-4</v>
      </c>
      <c r="BX136">
        <v>7.8700000000000005E-4</v>
      </c>
      <c r="BY136">
        <v>1.0640000000000001E-3</v>
      </c>
      <c r="BZ136">
        <v>1.0640000000000001E-3</v>
      </c>
      <c r="CA136">
        <v>1.0640000000000001E-3</v>
      </c>
      <c r="CB136">
        <v>1.0640000000000001E-3</v>
      </c>
      <c r="CC136">
        <v>1.0640000000000001E-3</v>
      </c>
      <c r="CD136">
        <v>1.0640000000000001E-3</v>
      </c>
      <c r="CE136">
        <v>1.0640000000000001E-3</v>
      </c>
      <c r="CF136">
        <v>1.0640000000000001E-3</v>
      </c>
      <c r="CG136">
        <v>1.0640000000000001E-3</v>
      </c>
      <c r="CH136">
        <v>1.0640000000000001E-3</v>
      </c>
      <c r="CI136">
        <v>1.0640000000000001E-3</v>
      </c>
      <c r="CJ136">
        <v>1.0640000000000001E-3</v>
      </c>
      <c r="CK136">
        <v>1.0640000000000001E-3</v>
      </c>
      <c r="CL136">
        <v>1.0640000000000001E-3</v>
      </c>
      <c r="CM136">
        <v>1.0640000000000001E-3</v>
      </c>
      <c r="CN136">
        <v>1.0640000000000001E-3</v>
      </c>
      <c r="CO136">
        <v>1.0640000000000001E-3</v>
      </c>
      <c r="CP136">
        <v>1.0640000000000001E-3</v>
      </c>
      <c r="CQ136">
        <v>1.0640000000000001E-3</v>
      </c>
      <c r="CR136">
        <v>1.0640000000000001E-3</v>
      </c>
      <c r="CS136">
        <v>1.0640000000000001E-3</v>
      </c>
      <c r="CT136">
        <v>1.0640000000000001E-3</v>
      </c>
      <c r="CU136">
        <v>1.0640000000000001E-3</v>
      </c>
      <c r="CV136">
        <v>1.0640000000000001E-3</v>
      </c>
      <c r="CW136">
        <v>1.0640000000000001E-3</v>
      </c>
      <c r="CX136">
        <v>1.0640000000000001E-3</v>
      </c>
    </row>
    <row r="137" spans="1:102" x14ac:dyDescent="0.25">
      <c r="A137" t="s">
        <v>339</v>
      </c>
      <c r="B137">
        <v>9.9999999999999995E-7</v>
      </c>
      <c r="C137">
        <v>9.9999999999999995E-7</v>
      </c>
      <c r="D137">
        <v>9.9999999999999995E-7</v>
      </c>
      <c r="E137">
        <v>9.9999999999999995E-7</v>
      </c>
      <c r="F137">
        <v>9.9999999999999995E-7</v>
      </c>
      <c r="G137">
        <v>9.9999999999999995E-7</v>
      </c>
      <c r="H137">
        <v>9.9999999999999995E-7</v>
      </c>
      <c r="I137">
        <v>9.9999999999999995E-7</v>
      </c>
      <c r="J137">
        <v>9.9999999999999995E-7</v>
      </c>
      <c r="K137">
        <v>9.9999999999999995E-7</v>
      </c>
      <c r="L137">
        <v>9.9999999999999995E-7</v>
      </c>
      <c r="M137">
        <v>9.9999999999999995E-7</v>
      </c>
      <c r="N137">
        <v>9.9999999999999995E-7</v>
      </c>
      <c r="O137">
        <v>9.9999999999999995E-7</v>
      </c>
      <c r="P137">
        <v>9.9999999999999995E-7</v>
      </c>
      <c r="Q137">
        <v>4.5000000000000003E-5</v>
      </c>
      <c r="R137">
        <v>4.5000000000000003E-5</v>
      </c>
      <c r="S137">
        <v>4.5000000000000003E-5</v>
      </c>
      <c r="T137">
        <v>4.5000000000000003E-5</v>
      </c>
      <c r="U137">
        <v>4.5000000000000003E-5</v>
      </c>
      <c r="V137">
        <v>4.5000000000000003E-5</v>
      </c>
      <c r="W137">
        <v>4.5000000000000003E-5</v>
      </c>
      <c r="X137">
        <v>4.5000000000000003E-5</v>
      </c>
      <c r="Y137">
        <v>4.5000000000000003E-5</v>
      </c>
      <c r="Z137">
        <v>4.5000000000000003E-5</v>
      </c>
      <c r="AA137">
        <v>4.5000000000000003E-5</v>
      </c>
      <c r="AB137">
        <v>4.5000000000000003E-5</v>
      </c>
      <c r="AC137">
        <v>4.5000000000000003E-5</v>
      </c>
      <c r="AD137">
        <v>4.5000000000000003E-5</v>
      </c>
      <c r="AE137">
        <v>4.5000000000000003E-5</v>
      </c>
      <c r="AF137">
        <v>4.5000000000000003E-5</v>
      </c>
      <c r="AG137">
        <v>4.5000000000000003E-5</v>
      </c>
      <c r="AH137">
        <v>4.5000000000000003E-5</v>
      </c>
      <c r="AI137">
        <v>4.5000000000000003E-5</v>
      </c>
      <c r="AJ137">
        <v>4.5000000000000003E-5</v>
      </c>
      <c r="AK137">
        <v>4.5000000000000003E-5</v>
      </c>
      <c r="AL137">
        <v>4.5000000000000003E-5</v>
      </c>
      <c r="AM137">
        <v>4.5000000000000003E-5</v>
      </c>
      <c r="AN137">
        <v>4.5000000000000003E-5</v>
      </c>
      <c r="AO137">
        <v>4.5000000000000003E-5</v>
      </c>
      <c r="AP137">
        <v>2.2900000000000001E-4</v>
      </c>
      <c r="AQ137">
        <v>2.2900000000000001E-4</v>
      </c>
      <c r="AR137">
        <v>2.2900000000000001E-4</v>
      </c>
      <c r="AS137">
        <v>2.2900000000000001E-4</v>
      </c>
      <c r="AT137">
        <v>2.2900000000000001E-4</v>
      </c>
      <c r="AU137">
        <v>3.0499999999999999E-4</v>
      </c>
      <c r="AV137">
        <v>3.0499999999999999E-4</v>
      </c>
      <c r="AW137">
        <v>3.0499999999999999E-4</v>
      </c>
      <c r="AX137">
        <v>3.0499999999999999E-4</v>
      </c>
      <c r="AY137">
        <v>3.0499999999999999E-4</v>
      </c>
      <c r="AZ137">
        <v>3.6099999999999999E-4</v>
      </c>
      <c r="BA137">
        <v>3.6099999999999999E-4</v>
      </c>
      <c r="BB137">
        <v>3.6099999999999999E-4</v>
      </c>
      <c r="BC137">
        <v>3.6099999999999999E-4</v>
      </c>
      <c r="BD137">
        <v>3.6099999999999999E-4</v>
      </c>
      <c r="BE137">
        <v>4.1599999999999997E-4</v>
      </c>
      <c r="BF137">
        <v>4.1599999999999997E-4</v>
      </c>
      <c r="BG137">
        <v>4.1599999999999997E-4</v>
      </c>
      <c r="BH137">
        <v>4.1599999999999997E-4</v>
      </c>
      <c r="BI137">
        <v>4.1599999999999997E-4</v>
      </c>
      <c r="BJ137">
        <v>4.7600000000000002E-4</v>
      </c>
      <c r="BK137">
        <v>4.7600000000000002E-4</v>
      </c>
      <c r="BL137">
        <v>4.7600000000000002E-4</v>
      </c>
      <c r="BM137">
        <v>4.7600000000000002E-4</v>
      </c>
      <c r="BN137">
        <v>4.7600000000000002E-4</v>
      </c>
      <c r="BO137">
        <v>5.9800000000000001E-4</v>
      </c>
      <c r="BP137">
        <v>5.9800000000000001E-4</v>
      </c>
      <c r="BQ137">
        <v>5.9800000000000001E-4</v>
      </c>
      <c r="BR137">
        <v>5.9800000000000001E-4</v>
      </c>
      <c r="BS137">
        <v>5.9800000000000001E-4</v>
      </c>
      <c r="BT137">
        <v>7.9600000000000005E-4</v>
      </c>
      <c r="BU137">
        <v>7.9600000000000005E-4</v>
      </c>
      <c r="BV137">
        <v>7.9600000000000005E-4</v>
      </c>
      <c r="BW137">
        <v>7.9600000000000005E-4</v>
      </c>
      <c r="BX137">
        <v>7.9600000000000005E-4</v>
      </c>
      <c r="BY137">
        <v>1.041E-3</v>
      </c>
      <c r="BZ137">
        <v>1.041E-3</v>
      </c>
      <c r="CA137">
        <v>1.041E-3</v>
      </c>
      <c r="CB137">
        <v>1.041E-3</v>
      </c>
      <c r="CC137">
        <v>1.041E-3</v>
      </c>
      <c r="CD137">
        <v>1.041E-3</v>
      </c>
      <c r="CE137">
        <v>1.041E-3</v>
      </c>
      <c r="CF137">
        <v>1.041E-3</v>
      </c>
      <c r="CG137">
        <v>1.041E-3</v>
      </c>
      <c r="CH137">
        <v>1.041E-3</v>
      </c>
      <c r="CI137">
        <v>1.041E-3</v>
      </c>
      <c r="CJ137">
        <v>1.041E-3</v>
      </c>
      <c r="CK137">
        <v>1.041E-3</v>
      </c>
      <c r="CL137">
        <v>1.041E-3</v>
      </c>
      <c r="CM137">
        <v>1.041E-3</v>
      </c>
      <c r="CN137">
        <v>1.041E-3</v>
      </c>
      <c r="CO137">
        <v>1.041E-3</v>
      </c>
      <c r="CP137">
        <v>1.041E-3</v>
      </c>
      <c r="CQ137">
        <v>1.041E-3</v>
      </c>
      <c r="CR137">
        <v>1.041E-3</v>
      </c>
      <c r="CS137">
        <v>1.041E-3</v>
      </c>
      <c r="CT137">
        <v>1.041E-3</v>
      </c>
      <c r="CU137">
        <v>1.041E-3</v>
      </c>
      <c r="CV137">
        <v>1.041E-3</v>
      </c>
      <c r="CW137">
        <v>1.041E-3</v>
      </c>
      <c r="CX137">
        <v>1.041E-3</v>
      </c>
    </row>
    <row r="138" spans="1:102" x14ac:dyDescent="0.25">
      <c r="A138" t="s">
        <v>341</v>
      </c>
      <c r="B138" t="e">
        <v>#VALUE!</v>
      </c>
      <c r="C138" t="e">
        <v>#VALUE!</v>
      </c>
      <c r="D138" t="e">
        <v>#VALUE!</v>
      </c>
      <c r="E138" t="e">
        <v>#VALUE!</v>
      </c>
      <c r="F138" t="e">
        <v>#VALUE!</v>
      </c>
      <c r="G138" t="e">
        <v>#VALUE!</v>
      </c>
      <c r="H138" t="e">
        <v>#VALUE!</v>
      </c>
      <c r="I138" t="e">
        <v>#VALUE!</v>
      </c>
      <c r="J138" t="e">
        <v>#VALUE!</v>
      </c>
      <c r="K138" t="e">
        <v>#VALUE!</v>
      </c>
      <c r="L138" t="e">
        <v>#VALUE!</v>
      </c>
      <c r="M138" t="e">
        <v>#VALUE!</v>
      </c>
      <c r="N138" t="e">
        <v>#VALUE!</v>
      </c>
      <c r="O138" t="e">
        <v>#VALUE!</v>
      </c>
      <c r="P138" t="e">
        <v>#VALUE!</v>
      </c>
      <c r="Q138">
        <v>3.0000000000000001E-5</v>
      </c>
      <c r="R138">
        <v>3.0000000000000001E-5</v>
      </c>
      <c r="S138">
        <v>3.0000000000000001E-5</v>
      </c>
      <c r="T138">
        <v>3.0000000000000001E-5</v>
      </c>
      <c r="U138">
        <v>3.0000000000000001E-5</v>
      </c>
      <c r="V138">
        <v>3.0000000000000001E-5</v>
      </c>
      <c r="W138">
        <v>3.0000000000000001E-5</v>
      </c>
      <c r="X138">
        <v>3.0000000000000001E-5</v>
      </c>
      <c r="Y138">
        <v>3.0000000000000001E-5</v>
      </c>
      <c r="Z138">
        <v>3.0000000000000001E-5</v>
      </c>
      <c r="AA138">
        <v>3.0000000000000001E-5</v>
      </c>
      <c r="AB138">
        <v>3.0000000000000001E-5</v>
      </c>
      <c r="AC138">
        <v>3.0000000000000001E-5</v>
      </c>
      <c r="AD138">
        <v>3.0000000000000001E-5</v>
      </c>
      <c r="AE138">
        <v>3.0000000000000001E-5</v>
      </c>
      <c r="AF138">
        <v>3.0000000000000001E-5</v>
      </c>
      <c r="AG138">
        <v>3.0000000000000001E-5</v>
      </c>
      <c r="AH138">
        <v>3.0000000000000001E-5</v>
      </c>
      <c r="AI138">
        <v>3.0000000000000001E-5</v>
      </c>
      <c r="AJ138">
        <v>3.0000000000000001E-5</v>
      </c>
      <c r="AK138">
        <v>3.0000000000000001E-5</v>
      </c>
      <c r="AL138">
        <v>3.0000000000000001E-5</v>
      </c>
      <c r="AM138">
        <v>3.0000000000000001E-5</v>
      </c>
      <c r="AN138">
        <v>3.0000000000000001E-5</v>
      </c>
      <c r="AO138">
        <v>3.0000000000000001E-5</v>
      </c>
      <c r="AP138">
        <v>1.64E-4</v>
      </c>
      <c r="AQ138">
        <v>1.64E-4</v>
      </c>
      <c r="AR138">
        <v>1.64E-4</v>
      </c>
      <c r="AS138">
        <v>1.64E-4</v>
      </c>
      <c r="AT138">
        <v>1.64E-4</v>
      </c>
      <c r="AU138">
        <v>2.3599999999999999E-4</v>
      </c>
      <c r="AV138">
        <v>2.3599999999999999E-4</v>
      </c>
      <c r="AW138">
        <v>2.3599999999999999E-4</v>
      </c>
      <c r="AX138">
        <v>2.3599999999999999E-4</v>
      </c>
      <c r="AY138">
        <v>2.3599999999999999E-4</v>
      </c>
      <c r="AZ138">
        <v>2.9300000000000002E-4</v>
      </c>
      <c r="BA138">
        <v>2.9300000000000002E-4</v>
      </c>
      <c r="BB138">
        <v>2.9300000000000002E-4</v>
      </c>
      <c r="BC138">
        <v>2.9300000000000002E-4</v>
      </c>
      <c r="BD138">
        <v>2.9300000000000002E-4</v>
      </c>
      <c r="BE138">
        <v>3.3399999999999999E-4</v>
      </c>
      <c r="BF138">
        <v>3.3399999999999999E-4</v>
      </c>
      <c r="BG138">
        <v>3.3399999999999999E-4</v>
      </c>
      <c r="BH138">
        <v>3.3399999999999999E-4</v>
      </c>
      <c r="BI138">
        <v>3.3399999999999999E-4</v>
      </c>
      <c r="BJ138">
        <v>3.6699999999999998E-4</v>
      </c>
      <c r="BK138">
        <v>3.6699999999999998E-4</v>
      </c>
      <c r="BL138">
        <v>3.6699999999999998E-4</v>
      </c>
      <c r="BM138">
        <v>3.6699999999999998E-4</v>
      </c>
      <c r="BN138">
        <v>3.6699999999999998E-4</v>
      </c>
      <c r="BO138">
        <v>4.6000000000000001E-4</v>
      </c>
      <c r="BP138">
        <v>4.6000000000000001E-4</v>
      </c>
      <c r="BQ138">
        <v>4.6000000000000001E-4</v>
      </c>
      <c r="BR138">
        <v>4.6000000000000001E-4</v>
      </c>
      <c r="BS138">
        <v>4.6000000000000001E-4</v>
      </c>
      <c r="BT138">
        <v>6.0599999999999998E-4</v>
      </c>
      <c r="BU138">
        <v>6.0599999999999998E-4</v>
      </c>
      <c r="BV138">
        <v>6.0599999999999998E-4</v>
      </c>
      <c r="BW138">
        <v>6.0599999999999998E-4</v>
      </c>
      <c r="BX138">
        <v>6.0599999999999998E-4</v>
      </c>
      <c r="BY138">
        <v>8.0599999999999997E-4</v>
      </c>
      <c r="BZ138">
        <v>8.0599999999999997E-4</v>
      </c>
      <c r="CA138">
        <v>8.0599999999999997E-4</v>
      </c>
      <c r="CB138">
        <v>8.0599999999999997E-4</v>
      </c>
      <c r="CC138">
        <v>8.0599999999999997E-4</v>
      </c>
      <c r="CD138">
        <v>8.0599999999999997E-4</v>
      </c>
      <c r="CE138">
        <v>8.0599999999999997E-4</v>
      </c>
      <c r="CF138">
        <v>8.0599999999999997E-4</v>
      </c>
      <c r="CG138">
        <v>8.0599999999999997E-4</v>
      </c>
      <c r="CH138">
        <v>8.0599999999999997E-4</v>
      </c>
      <c r="CI138">
        <v>8.0599999999999997E-4</v>
      </c>
      <c r="CJ138">
        <v>8.0599999999999997E-4</v>
      </c>
      <c r="CK138">
        <v>8.0599999999999997E-4</v>
      </c>
      <c r="CL138">
        <v>8.0599999999999997E-4</v>
      </c>
      <c r="CM138">
        <v>8.0599999999999997E-4</v>
      </c>
      <c r="CN138">
        <v>8.0599999999999997E-4</v>
      </c>
      <c r="CO138">
        <v>8.0599999999999997E-4</v>
      </c>
      <c r="CP138">
        <v>8.0599999999999997E-4</v>
      </c>
      <c r="CQ138">
        <v>8.0599999999999997E-4</v>
      </c>
      <c r="CR138">
        <v>8.0599999999999997E-4</v>
      </c>
      <c r="CS138">
        <v>8.0599999999999997E-4</v>
      </c>
      <c r="CT138">
        <v>8.0599999999999997E-4</v>
      </c>
      <c r="CU138">
        <v>8.0599999999999997E-4</v>
      </c>
      <c r="CV138">
        <v>8.0599999999999997E-4</v>
      </c>
      <c r="CW138">
        <v>8.0599999999999997E-4</v>
      </c>
      <c r="CX138">
        <v>8.0599999999999997E-4</v>
      </c>
    </row>
    <row r="139" spans="1:102" x14ac:dyDescent="0.25">
      <c r="A139" t="s">
        <v>343</v>
      </c>
      <c r="B139" t="e">
        <v>#VALUE!</v>
      </c>
      <c r="C139" t="e">
        <v>#VALUE!</v>
      </c>
      <c r="D139" t="e">
        <v>#VALUE!</v>
      </c>
      <c r="E139" t="e">
        <v>#VALUE!</v>
      </c>
      <c r="F139" t="e">
        <v>#VALUE!</v>
      </c>
      <c r="G139" t="e">
        <v>#VALUE!</v>
      </c>
      <c r="H139" t="e">
        <v>#VALUE!</v>
      </c>
      <c r="I139" t="e">
        <v>#VALUE!</v>
      </c>
      <c r="J139" t="e">
        <v>#VALUE!</v>
      </c>
      <c r="K139" t="e">
        <v>#VALUE!</v>
      </c>
      <c r="L139" t="e">
        <v>#VALUE!</v>
      </c>
      <c r="M139" t="e">
        <v>#VALUE!</v>
      </c>
      <c r="N139" t="e">
        <v>#VALUE!</v>
      </c>
      <c r="O139" t="e">
        <v>#VALUE!</v>
      </c>
      <c r="P139" t="e">
        <v>#VALUE!</v>
      </c>
      <c r="Q139">
        <v>1.9000000000000001E-5</v>
      </c>
      <c r="R139">
        <v>1.9000000000000001E-5</v>
      </c>
      <c r="S139">
        <v>1.9000000000000001E-5</v>
      </c>
      <c r="T139">
        <v>1.9000000000000001E-5</v>
      </c>
      <c r="U139">
        <v>1.9000000000000001E-5</v>
      </c>
      <c r="V139">
        <v>1.9000000000000001E-5</v>
      </c>
      <c r="W139">
        <v>1.9000000000000001E-5</v>
      </c>
      <c r="X139">
        <v>1.9000000000000001E-5</v>
      </c>
      <c r="Y139">
        <v>1.9000000000000001E-5</v>
      </c>
      <c r="Z139">
        <v>1.9000000000000001E-5</v>
      </c>
      <c r="AA139">
        <v>1.9000000000000001E-5</v>
      </c>
      <c r="AB139">
        <v>1.9000000000000001E-5</v>
      </c>
      <c r="AC139">
        <v>1.9000000000000001E-5</v>
      </c>
      <c r="AD139">
        <v>1.9000000000000001E-5</v>
      </c>
      <c r="AE139">
        <v>1.9000000000000001E-5</v>
      </c>
      <c r="AF139">
        <v>1.9000000000000001E-5</v>
      </c>
      <c r="AG139">
        <v>1.9000000000000001E-5</v>
      </c>
      <c r="AH139">
        <v>1.9000000000000001E-5</v>
      </c>
      <c r="AI139">
        <v>1.9000000000000001E-5</v>
      </c>
      <c r="AJ139">
        <v>1.9000000000000001E-5</v>
      </c>
      <c r="AK139">
        <v>1.9000000000000001E-5</v>
      </c>
      <c r="AL139">
        <v>1.9000000000000001E-5</v>
      </c>
      <c r="AM139">
        <v>1.9000000000000001E-5</v>
      </c>
      <c r="AN139">
        <v>1.9000000000000001E-5</v>
      </c>
      <c r="AO139">
        <v>1.9000000000000001E-5</v>
      </c>
      <c r="AP139">
        <v>1.13E-4</v>
      </c>
      <c r="AQ139">
        <v>1.13E-4</v>
      </c>
      <c r="AR139">
        <v>1.13E-4</v>
      </c>
      <c r="AS139">
        <v>1.13E-4</v>
      </c>
      <c r="AT139">
        <v>1.13E-4</v>
      </c>
      <c r="AU139">
        <v>1.6799999999999999E-4</v>
      </c>
      <c r="AV139">
        <v>1.6799999999999999E-4</v>
      </c>
      <c r="AW139">
        <v>1.6799999999999999E-4</v>
      </c>
      <c r="AX139">
        <v>1.6799999999999999E-4</v>
      </c>
      <c r="AY139">
        <v>1.6799999999999999E-4</v>
      </c>
      <c r="AZ139">
        <v>2.0799999999999999E-4</v>
      </c>
      <c r="BA139">
        <v>2.0799999999999999E-4</v>
      </c>
      <c r="BB139">
        <v>2.0799999999999999E-4</v>
      </c>
      <c r="BC139">
        <v>2.0799999999999999E-4</v>
      </c>
      <c r="BD139">
        <v>2.0799999999999999E-4</v>
      </c>
      <c r="BE139">
        <v>2.2800000000000001E-4</v>
      </c>
      <c r="BF139">
        <v>2.2800000000000001E-4</v>
      </c>
      <c r="BG139">
        <v>2.2800000000000001E-4</v>
      </c>
      <c r="BH139">
        <v>2.2800000000000001E-4</v>
      </c>
      <c r="BI139">
        <v>2.2800000000000001E-4</v>
      </c>
      <c r="BJ139">
        <v>2.4499999999999999E-4</v>
      </c>
      <c r="BK139">
        <v>2.4499999999999999E-4</v>
      </c>
      <c r="BL139">
        <v>2.4499999999999999E-4</v>
      </c>
      <c r="BM139">
        <v>2.4499999999999999E-4</v>
      </c>
      <c r="BN139">
        <v>2.4499999999999999E-4</v>
      </c>
      <c r="BO139">
        <v>2.7799999999999998E-4</v>
      </c>
      <c r="BP139">
        <v>2.7799999999999998E-4</v>
      </c>
      <c r="BQ139">
        <v>2.7799999999999998E-4</v>
      </c>
      <c r="BR139">
        <v>2.7799999999999998E-4</v>
      </c>
      <c r="BS139">
        <v>2.7799999999999998E-4</v>
      </c>
      <c r="BT139">
        <v>3.19E-4</v>
      </c>
      <c r="BU139">
        <v>3.19E-4</v>
      </c>
      <c r="BV139">
        <v>3.19E-4</v>
      </c>
      <c r="BW139">
        <v>3.19E-4</v>
      </c>
      <c r="BX139">
        <v>3.19E-4</v>
      </c>
      <c r="BY139">
        <v>3.7500000000000001E-4</v>
      </c>
      <c r="BZ139">
        <v>3.7500000000000001E-4</v>
      </c>
      <c r="CA139">
        <v>3.7500000000000001E-4</v>
      </c>
      <c r="CB139">
        <v>3.7500000000000001E-4</v>
      </c>
      <c r="CC139">
        <v>3.7500000000000001E-4</v>
      </c>
      <c r="CD139">
        <v>3.7500000000000001E-4</v>
      </c>
      <c r="CE139">
        <v>3.7500000000000001E-4</v>
      </c>
      <c r="CF139">
        <v>3.7500000000000001E-4</v>
      </c>
      <c r="CG139">
        <v>3.7500000000000001E-4</v>
      </c>
      <c r="CH139">
        <v>3.7500000000000001E-4</v>
      </c>
      <c r="CI139">
        <v>3.7500000000000001E-4</v>
      </c>
      <c r="CJ139">
        <v>3.7500000000000001E-4</v>
      </c>
      <c r="CK139">
        <v>3.7500000000000001E-4</v>
      </c>
      <c r="CL139">
        <v>3.7500000000000001E-4</v>
      </c>
      <c r="CM139">
        <v>3.7500000000000001E-4</v>
      </c>
      <c r="CN139">
        <v>3.7500000000000001E-4</v>
      </c>
      <c r="CO139">
        <v>3.7500000000000001E-4</v>
      </c>
      <c r="CP139">
        <v>3.7500000000000001E-4</v>
      </c>
      <c r="CQ139">
        <v>3.7500000000000001E-4</v>
      </c>
      <c r="CR139">
        <v>3.7500000000000001E-4</v>
      </c>
      <c r="CS139">
        <v>3.7500000000000001E-4</v>
      </c>
      <c r="CT139">
        <v>3.7500000000000001E-4</v>
      </c>
      <c r="CU139">
        <v>3.7500000000000001E-4</v>
      </c>
      <c r="CV139">
        <v>3.7500000000000001E-4</v>
      </c>
      <c r="CW139">
        <v>3.7500000000000001E-4</v>
      </c>
      <c r="CX139">
        <v>3.7500000000000001E-4</v>
      </c>
    </row>
    <row r="140" spans="1:102" x14ac:dyDescent="0.25">
      <c r="A140" t="s">
        <v>345</v>
      </c>
      <c r="B140" t="e">
        <v>#VALUE!</v>
      </c>
      <c r="C140" t="e">
        <v>#VALUE!</v>
      </c>
      <c r="D140" t="e">
        <v>#VALUE!</v>
      </c>
      <c r="E140" t="e">
        <v>#VALUE!</v>
      </c>
      <c r="F140" t="e">
        <v>#VALUE!</v>
      </c>
      <c r="G140" t="e">
        <v>#VALUE!</v>
      </c>
      <c r="H140" t="e">
        <v>#VALUE!</v>
      </c>
      <c r="I140" t="e">
        <v>#VALUE!</v>
      </c>
      <c r="J140" t="e">
        <v>#VALUE!</v>
      </c>
      <c r="K140" t="e">
        <v>#VALUE!</v>
      </c>
      <c r="L140" t="e">
        <v>#VALUE!</v>
      </c>
      <c r="M140" t="e">
        <v>#VALUE!</v>
      </c>
      <c r="N140" t="e">
        <v>#VALUE!</v>
      </c>
      <c r="O140" t="e">
        <v>#VALUE!</v>
      </c>
      <c r="P140" t="e">
        <v>#VALUE!</v>
      </c>
      <c r="Q140">
        <v>1.2999999999999999E-5</v>
      </c>
      <c r="R140">
        <v>1.2999999999999999E-5</v>
      </c>
      <c r="S140">
        <v>1.2999999999999999E-5</v>
      </c>
      <c r="T140">
        <v>1.2999999999999999E-5</v>
      </c>
      <c r="U140">
        <v>1.2999999999999999E-5</v>
      </c>
      <c r="V140">
        <v>1.2999999999999999E-5</v>
      </c>
      <c r="W140">
        <v>1.2999999999999999E-5</v>
      </c>
      <c r="X140">
        <v>1.2999999999999999E-5</v>
      </c>
      <c r="Y140">
        <v>1.2999999999999999E-5</v>
      </c>
      <c r="Z140">
        <v>1.2999999999999999E-5</v>
      </c>
      <c r="AA140">
        <v>1.2999999999999999E-5</v>
      </c>
      <c r="AB140">
        <v>1.2999999999999999E-5</v>
      </c>
      <c r="AC140">
        <v>1.2999999999999999E-5</v>
      </c>
      <c r="AD140">
        <v>1.2999999999999999E-5</v>
      </c>
      <c r="AE140">
        <v>1.2999999999999999E-5</v>
      </c>
      <c r="AF140">
        <v>1.2999999999999999E-5</v>
      </c>
      <c r="AG140">
        <v>1.2999999999999999E-5</v>
      </c>
      <c r="AH140">
        <v>1.2999999999999999E-5</v>
      </c>
      <c r="AI140">
        <v>1.2999999999999999E-5</v>
      </c>
      <c r="AJ140">
        <v>1.2999999999999999E-5</v>
      </c>
      <c r="AK140">
        <v>1.2999999999999999E-5</v>
      </c>
      <c r="AL140">
        <v>1.2999999999999999E-5</v>
      </c>
      <c r="AM140">
        <v>1.2999999999999999E-5</v>
      </c>
      <c r="AN140">
        <v>1.2999999999999999E-5</v>
      </c>
      <c r="AO140">
        <v>1.2999999999999999E-5</v>
      </c>
      <c r="AP140">
        <v>7.4999999999999993E-5</v>
      </c>
      <c r="AQ140">
        <v>7.4999999999999993E-5</v>
      </c>
      <c r="AR140">
        <v>7.4999999999999993E-5</v>
      </c>
      <c r="AS140">
        <v>7.4999999999999993E-5</v>
      </c>
      <c r="AT140">
        <v>7.4999999999999993E-5</v>
      </c>
      <c r="AU140">
        <v>1.17E-4</v>
      </c>
      <c r="AV140">
        <v>1.17E-4</v>
      </c>
      <c r="AW140">
        <v>1.17E-4</v>
      </c>
      <c r="AX140">
        <v>1.17E-4</v>
      </c>
      <c r="AY140">
        <v>1.17E-4</v>
      </c>
      <c r="AZ140">
        <v>1.5899999999999999E-4</v>
      </c>
      <c r="BA140">
        <v>1.5899999999999999E-4</v>
      </c>
      <c r="BB140">
        <v>1.5899999999999999E-4</v>
      </c>
      <c r="BC140">
        <v>1.5899999999999999E-4</v>
      </c>
      <c r="BD140">
        <v>1.5899999999999999E-4</v>
      </c>
      <c r="BE140">
        <v>1.83E-4</v>
      </c>
      <c r="BF140">
        <v>1.83E-4</v>
      </c>
      <c r="BG140">
        <v>1.83E-4</v>
      </c>
      <c r="BH140">
        <v>1.83E-4</v>
      </c>
      <c r="BI140">
        <v>1.83E-4</v>
      </c>
      <c r="BJ140">
        <v>1.9000000000000001E-4</v>
      </c>
      <c r="BK140">
        <v>1.9000000000000001E-4</v>
      </c>
      <c r="BL140">
        <v>1.9000000000000001E-4</v>
      </c>
      <c r="BM140">
        <v>1.9000000000000001E-4</v>
      </c>
      <c r="BN140">
        <v>1.9000000000000001E-4</v>
      </c>
      <c r="BO140">
        <v>1.93E-4</v>
      </c>
      <c r="BP140">
        <v>1.93E-4</v>
      </c>
      <c r="BQ140">
        <v>1.93E-4</v>
      </c>
      <c r="BR140">
        <v>1.93E-4</v>
      </c>
      <c r="BS140">
        <v>1.93E-4</v>
      </c>
      <c r="BT140">
        <v>2.1499999999999999E-4</v>
      </c>
      <c r="BU140">
        <v>2.1499999999999999E-4</v>
      </c>
      <c r="BV140">
        <v>2.1499999999999999E-4</v>
      </c>
      <c r="BW140">
        <v>2.1499999999999999E-4</v>
      </c>
      <c r="BX140">
        <v>2.1499999999999999E-4</v>
      </c>
      <c r="BY140">
        <v>2.5799999999999998E-4</v>
      </c>
      <c r="BZ140">
        <v>2.5799999999999998E-4</v>
      </c>
      <c r="CA140">
        <v>2.5799999999999998E-4</v>
      </c>
      <c r="CB140">
        <v>2.5799999999999998E-4</v>
      </c>
      <c r="CC140">
        <v>2.5799999999999998E-4</v>
      </c>
      <c r="CD140">
        <v>2.5799999999999998E-4</v>
      </c>
      <c r="CE140">
        <v>2.5799999999999998E-4</v>
      </c>
      <c r="CF140">
        <v>2.5799999999999998E-4</v>
      </c>
      <c r="CG140">
        <v>2.5799999999999998E-4</v>
      </c>
      <c r="CH140">
        <v>2.5799999999999998E-4</v>
      </c>
      <c r="CI140">
        <v>2.5799999999999998E-4</v>
      </c>
      <c r="CJ140">
        <v>2.5799999999999998E-4</v>
      </c>
      <c r="CK140">
        <v>2.5799999999999998E-4</v>
      </c>
      <c r="CL140">
        <v>2.5799999999999998E-4</v>
      </c>
      <c r="CM140">
        <v>2.5799999999999998E-4</v>
      </c>
      <c r="CN140">
        <v>2.5799999999999998E-4</v>
      </c>
      <c r="CO140">
        <v>2.5799999999999998E-4</v>
      </c>
      <c r="CP140">
        <v>2.5799999999999998E-4</v>
      </c>
      <c r="CQ140">
        <v>2.5799999999999998E-4</v>
      </c>
      <c r="CR140">
        <v>2.5799999999999998E-4</v>
      </c>
      <c r="CS140">
        <v>2.5799999999999998E-4</v>
      </c>
      <c r="CT140">
        <v>2.5799999999999998E-4</v>
      </c>
      <c r="CU140">
        <v>2.5799999999999998E-4</v>
      </c>
      <c r="CV140">
        <v>2.5799999999999998E-4</v>
      </c>
      <c r="CW140">
        <v>2.5799999999999998E-4</v>
      </c>
      <c r="CX140">
        <v>2.5799999999999998E-4</v>
      </c>
    </row>
    <row r="141" spans="1:102" x14ac:dyDescent="0.25">
      <c r="A141" t="s">
        <v>347</v>
      </c>
      <c r="B141" t="e">
        <v>#VALUE!</v>
      </c>
      <c r="C141" t="e">
        <v>#VALUE!</v>
      </c>
      <c r="D141" t="e">
        <v>#VALUE!</v>
      </c>
      <c r="E141" t="e">
        <v>#VALUE!</v>
      </c>
      <c r="F141" t="e">
        <v>#VALUE!</v>
      </c>
      <c r="G141" t="e">
        <v>#VALUE!</v>
      </c>
      <c r="H141" t="e">
        <v>#VALUE!</v>
      </c>
      <c r="I141" t="e">
        <v>#VALUE!</v>
      </c>
      <c r="J141" t="e">
        <v>#VALUE!</v>
      </c>
      <c r="K141" t="e">
        <v>#VALUE!</v>
      </c>
      <c r="L141" t="e">
        <v>#VALUE!</v>
      </c>
      <c r="M141" t="e">
        <v>#VALUE!</v>
      </c>
      <c r="N141" t="e">
        <v>#VALUE!</v>
      </c>
      <c r="O141" t="e">
        <v>#VALUE!</v>
      </c>
      <c r="P141" t="e">
        <v>#VALUE!</v>
      </c>
      <c r="Q141">
        <v>1.2E-5</v>
      </c>
      <c r="R141">
        <v>1.2E-5</v>
      </c>
      <c r="S141">
        <v>1.2E-5</v>
      </c>
      <c r="T141">
        <v>1.2E-5</v>
      </c>
      <c r="U141">
        <v>1.2E-5</v>
      </c>
      <c r="V141">
        <v>1.2E-5</v>
      </c>
      <c r="W141">
        <v>1.2E-5</v>
      </c>
      <c r="X141">
        <v>1.2E-5</v>
      </c>
      <c r="Y141">
        <v>1.2E-5</v>
      </c>
      <c r="Z141">
        <v>1.2E-5</v>
      </c>
      <c r="AA141">
        <v>1.2E-5</v>
      </c>
      <c r="AB141">
        <v>1.2E-5</v>
      </c>
      <c r="AC141">
        <v>1.2E-5</v>
      </c>
      <c r="AD141">
        <v>1.2E-5</v>
      </c>
      <c r="AE141">
        <v>1.2E-5</v>
      </c>
      <c r="AF141">
        <v>1.2E-5</v>
      </c>
      <c r="AG141">
        <v>1.2E-5</v>
      </c>
      <c r="AH141">
        <v>1.2E-5</v>
      </c>
      <c r="AI141">
        <v>1.2E-5</v>
      </c>
      <c r="AJ141">
        <v>1.2E-5</v>
      </c>
      <c r="AK141">
        <v>1.2E-5</v>
      </c>
      <c r="AL141">
        <v>1.2E-5</v>
      </c>
      <c r="AM141">
        <v>1.2E-5</v>
      </c>
      <c r="AN141">
        <v>1.2E-5</v>
      </c>
      <c r="AO141">
        <v>1.2E-5</v>
      </c>
      <c r="AP141">
        <v>5.1999999999999997E-5</v>
      </c>
      <c r="AQ141">
        <v>5.1999999999999997E-5</v>
      </c>
      <c r="AR141">
        <v>5.1999999999999997E-5</v>
      </c>
      <c r="AS141">
        <v>5.1999999999999997E-5</v>
      </c>
      <c r="AT141">
        <v>5.1999999999999997E-5</v>
      </c>
      <c r="AU141">
        <v>7.4999999999999993E-5</v>
      </c>
      <c r="AV141">
        <v>7.4999999999999993E-5</v>
      </c>
      <c r="AW141">
        <v>7.4999999999999993E-5</v>
      </c>
      <c r="AX141">
        <v>7.4999999999999993E-5</v>
      </c>
      <c r="AY141">
        <v>7.4999999999999993E-5</v>
      </c>
      <c r="AZ141">
        <v>9.3999999999999994E-5</v>
      </c>
      <c r="BA141">
        <v>9.3999999999999994E-5</v>
      </c>
      <c r="BB141">
        <v>9.3999999999999994E-5</v>
      </c>
      <c r="BC141">
        <v>9.3999999999999994E-5</v>
      </c>
      <c r="BD141">
        <v>9.3999999999999994E-5</v>
      </c>
      <c r="BE141">
        <v>1.01E-4</v>
      </c>
      <c r="BF141">
        <v>1.01E-4</v>
      </c>
      <c r="BG141">
        <v>1.01E-4</v>
      </c>
      <c r="BH141">
        <v>1.01E-4</v>
      </c>
      <c r="BI141">
        <v>1.01E-4</v>
      </c>
      <c r="BJ141">
        <v>1.11E-4</v>
      </c>
      <c r="BK141">
        <v>1.11E-4</v>
      </c>
      <c r="BL141">
        <v>1.11E-4</v>
      </c>
      <c r="BM141">
        <v>1.11E-4</v>
      </c>
      <c r="BN141">
        <v>1.11E-4</v>
      </c>
      <c r="BO141">
        <v>1.25E-4</v>
      </c>
      <c r="BP141">
        <v>1.25E-4</v>
      </c>
      <c r="BQ141">
        <v>1.25E-4</v>
      </c>
      <c r="BR141">
        <v>1.25E-4</v>
      </c>
      <c r="BS141">
        <v>1.25E-4</v>
      </c>
      <c r="BT141">
        <v>1.45E-4</v>
      </c>
      <c r="BU141">
        <v>1.45E-4</v>
      </c>
      <c r="BV141">
        <v>1.45E-4</v>
      </c>
      <c r="BW141">
        <v>1.45E-4</v>
      </c>
      <c r="BX141">
        <v>1.45E-4</v>
      </c>
      <c r="BY141">
        <v>2.2900000000000001E-4</v>
      </c>
      <c r="BZ141">
        <v>2.2900000000000001E-4</v>
      </c>
      <c r="CA141">
        <v>2.2900000000000001E-4</v>
      </c>
      <c r="CB141">
        <v>2.2900000000000001E-4</v>
      </c>
      <c r="CC141">
        <v>2.2900000000000001E-4</v>
      </c>
      <c r="CD141">
        <v>2.2900000000000001E-4</v>
      </c>
      <c r="CE141">
        <v>2.2900000000000001E-4</v>
      </c>
      <c r="CF141">
        <v>2.2900000000000001E-4</v>
      </c>
      <c r="CG141">
        <v>2.2900000000000001E-4</v>
      </c>
      <c r="CH141">
        <v>2.2900000000000001E-4</v>
      </c>
      <c r="CI141">
        <v>2.2900000000000001E-4</v>
      </c>
      <c r="CJ141">
        <v>2.2900000000000001E-4</v>
      </c>
      <c r="CK141">
        <v>2.2900000000000001E-4</v>
      </c>
      <c r="CL141">
        <v>2.2900000000000001E-4</v>
      </c>
      <c r="CM141">
        <v>2.2900000000000001E-4</v>
      </c>
      <c r="CN141">
        <v>2.2900000000000001E-4</v>
      </c>
      <c r="CO141">
        <v>2.2900000000000001E-4</v>
      </c>
      <c r="CP141">
        <v>2.2900000000000001E-4</v>
      </c>
      <c r="CQ141">
        <v>2.2900000000000001E-4</v>
      </c>
      <c r="CR141">
        <v>2.2900000000000001E-4</v>
      </c>
      <c r="CS141">
        <v>2.2900000000000001E-4</v>
      </c>
      <c r="CT141">
        <v>2.2900000000000001E-4</v>
      </c>
      <c r="CU141">
        <v>2.2900000000000001E-4</v>
      </c>
      <c r="CV141">
        <v>2.2900000000000001E-4</v>
      </c>
      <c r="CW141">
        <v>2.2900000000000001E-4</v>
      </c>
      <c r="CX141">
        <v>2.2900000000000001E-4</v>
      </c>
    </row>
    <row r="142" spans="1:102" x14ac:dyDescent="0.25">
      <c r="A142" t="s">
        <v>349</v>
      </c>
      <c r="B142" t="e">
        <v>#VALUE!</v>
      </c>
      <c r="C142" t="e">
        <v>#VALUE!</v>
      </c>
      <c r="D142" t="e">
        <v>#VALUE!</v>
      </c>
      <c r="E142" t="e">
        <v>#VALUE!</v>
      </c>
      <c r="F142" t="e">
        <v>#VALUE!</v>
      </c>
      <c r="G142" t="e">
        <v>#VALUE!</v>
      </c>
      <c r="H142" t="e">
        <v>#VALUE!</v>
      </c>
      <c r="I142" t="e">
        <v>#VALUE!</v>
      </c>
      <c r="J142" t="e">
        <v>#VALUE!</v>
      </c>
      <c r="K142" t="e">
        <v>#VALUE!</v>
      </c>
      <c r="L142" t="e">
        <v>#VALUE!</v>
      </c>
      <c r="M142" t="e">
        <v>#VALUE!</v>
      </c>
      <c r="N142" t="e">
        <v>#VALUE!</v>
      </c>
      <c r="O142" t="e">
        <v>#VALUE!</v>
      </c>
      <c r="P142" t="e">
        <v>#VALUE!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 t="e">
        <v>#VALUE!</v>
      </c>
      <c r="AQ142" t="e">
        <v>#VALUE!</v>
      </c>
      <c r="AR142" t="e">
        <v>#VALUE!</v>
      </c>
      <c r="AS142" t="e">
        <v>#VALUE!</v>
      </c>
      <c r="AT142" t="e">
        <v>#VALUE!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</row>
    <row r="143" spans="1:102" x14ac:dyDescent="0.25">
      <c r="A143" t="s">
        <v>351</v>
      </c>
      <c r="B143" t="e">
        <v>#VALUE!</v>
      </c>
      <c r="C143" t="e">
        <v>#VALUE!</v>
      </c>
      <c r="D143" t="e">
        <v>#VALUE!</v>
      </c>
      <c r="E143" t="e">
        <v>#VALUE!</v>
      </c>
      <c r="F143" t="e">
        <v>#VALUE!</v>
      </c>
      <c r="G143" t="e">
        <v>#VALUE!</v>
      </c>
      <c r="H143" t="e">
        <v>#VALUE!</v>
      </c>
      <c r="I143" t="e">
        <v>#VALUE!</v>
      </c>
      <c r="J143" t="e">
        <v>#VALUE!</v>
      </c>
      <c r="K143" t="e">
        <v>#VALUE!</v>
      </c>
      <c r="L143" t="e">
        <v>#VALUE!</v>
      </c>
      <c r="M143" t="e">
        <v>#VALUE!</v>
      </c>
      <c r="N143" t="e">
        <v>#VALUE!</v>
      </c>
      <c r="O143" t="e">
        <v>#VALUE!</v>
      </c>
      <c r="P143" t="e">
        <v>#VALUE!</v>
      </c>
      <c r="Q143">
        <v>3.4E-5</v>
      </c>
      <c r="R143">
        <v>3.4E-5</v>
      </c>
      <c r="S143">
        <v>3.4E-5</v>
      </c>
      <c r="T143">
        <v>3.4E-5</v>
      </c>
      <c r="U143">
        <v>3.4E-5</v>
      </c>
      <c r="V143">
        <v>3.4E-5</v>
      </c>
      <c r="W143">
        <v>3.4E-5</v>
      </c>
      <c r="X143">
        <v>3.4E-5</v>
      </c>
      <c r="Y143">
        <v>3.4E-5</v>
      </c>
      <c r="Z143">
        <v>3.4E-5</v>
      </c>
      <c r="AA143">
        <v>3.4E-5</v>
      </c>
      <c r="AB143">
        <v>3.4E-5</v>
      </c>
      <c r="AC143">
        <v>3.4E-5</v>
      </c>
      <c r="AD143">
        <v>3.4E-5</v>
      </c>
      <c r="AE143">
        <v>3.4E-5</v>
      </c>
      <c r="AF143">
        <v>3.4E-5</v>
      </c>
      <c r="AG143">
        <v>3.4E-5</v>
      </c>
      <c r="AH143">
        <v>3.4E-5</v>
      </c>
      <c r="AI143">
        <v>3.4E-5</v>
      </c>
      <c r="AJ143">
        <v>3.4E-5</v>
      </c>
      <c r="AK143">
        <v>3.4E-5</v>
      </c>
      <c r="AL143">
        <v>3.4E-5</v>
      </c>
      <c r="AM143">
        <v>3.4E-5</v>
      </c>
      <c r="AN143">
        <v>3.4E-5</v>
      </c>
      <c r="AO143">
        <v>3.4E-5</v>
      </c>
      <c r="AP143">
        <v>1.63E-4</v>
      </c>
      <c r="AQ143">
        <v>1.63E-4</v>
      </c>
      <c r="AR143">
        <v>1.63E-4</v>
      </c>
      <c r="AS143">
        <v>1.63E-4</v>
      </c>
      <c r="AT143">
        <v>1.63E-4</v>
      </c>
      <c r="AU143">
        <v>2.4000000000000001E-4</v>
      </c>
      <c r="AV143">
        <v>2.4000000000000001E-4</v>
      </c>
      <c r="AW143">
        <v>2.4000000000000001E-4</v>
      </c>
      <c r="AX143">
        <v>2.4000000000000001E-4</v>
      </c>
      <c r="AY143">
        <v>2.4000000000000001E-4</v>
      </c>
      <c r="AZ143">
        <v>3.1300000000000002E-4</v>
      </c>
      <c r="BA143">
        <v>3.1300000000000002E-4</v>
      </c>
      <c r="BB143">
        <v>3.1300000000000002E-4</v>
      </c>
      <c r="BC143">
        <v>3.1300000000000002E-4</v>
      </c>
      <c r="BD143">
        <v>3.1300000000000002E-4</v>
      </c>
      <c r="BE143">
        <v>3.4499999999999998E-4</v>
      </c>
      <c r="BF143">
        <v>3.4499999999999998E-4</v>
      </c>
      <c r="BG143">
        <v>3.4499999999999998E-4</v>
      </c>
      <c r="BH143">
        <v>3.4499999999999998E-4</v>
      </c>
      <c r="BI143">
        <v>3.4499999999999998E-4</v>
      </c>
      <c r="BJ143">
        <v>3.6499999999999998E-4</v>
      </c>
      <c r="BK143">
        <v>3.6499999999999998E-4</v>
      </c>
      <c r="BL143">
        <v>3.6499999999999998E-4</v>
      </c>
      <c r="BM143">
        <v>3.6499999999999998E-4</v>
      </c>
      <c r="BN143">
        <v>3.6499999999999998E-4</v>
      </c>
      <c r="BO143">
        <v>3.8200000000000002E-4</v>
      </c>
      <c r="BP143">
        <v>3.8200000000000002E-4</v>
      </c>
      <c r="BQ143">
        <v>3.8200000000000002E-4</v>
      </c>
      <c r="BR143">
        <v>3.8200000000000002E-4</v>
      </c>
      <c r="BS143">
        <v>3.8200000000000002E-4</v>
      </c>
      <c r="BT143">
        <v>3.9199999999999999E-4</v>
      </c>
      <c r="BU143">
        <v>3.9199999999999999E-4</v>
      </c>
      <c r="BV143">
        <v>3.9199999999999999E-4</v>
      </c>
      <c r="BW143">
        <v>3.9199999999999999E-4</v>
      </c>
      <c r="BX143">
        <v>3.9199999999999999E-4</v>
      </c>
      <c r="BY143">
        <v>3.7800000000000003E-4</v>
      </c>
      <c r="BZ143">
        <v>3.7800000000000003E-4</v>
      </c>
      <c r="CA143">
        <v>3.7800000000000003E-4</v>
      </c>
      <c r="CB143">
        <v>3.7800000000000003E-4</v>
      </c>
      <c r="CC143">
        <v>3.7800000000000003E-4</v>
      </c>
      <c r="CD143">
        <v>3.7800000000000003E-4</v>
      </c>
      <c r="CE143">
        <v>3.7800000000000003E-4</v>
      </c>
      <c r="CF143">
        <v>3.7800000000000003E-4</v>
      </c>
      <c r="CG143">
        <v>3.7800000000000003E-4</v>
      </c>
      <c r="CH143">
        <v>3.7800000000000003E-4</v>
      </c>
      <c r="CI143">
        <v>3.7800000000000003E-4</v>
      </c>
      <c r="CJ143">
        <v>3.7800000000000003E-4</v>
      </c>
      <c r="CK143">
        <v>3.7800000000000003E-4</v>
      </c>
      <c r="CL143">
        <v>3.7800000000000003E-4</v>
      </c>
      <c r="CM143">
        <v>3.7800000000000003E-4</v>
      </c>
      <c r="CN143">
        <v>3.7800000000000003E-4</v>
      </c>
      <c r="CO143">
        <v>3.7800000000000003E-4</v>
      </c>
      <c r="CP143">
        <v>3.7800000000000003E-4</v>
      </c>
      <c r="CQ143">
        <v>3.7800000000000003E-4</v>
      </c>
      <c r="CR143">
        <v>3.7800000000000003E-4</v>
      </c>
      <c r="CS143">
        <v>3.7800000000000003E-4</v>
      </c>
      <c r="CT143">
        <v>3.7800000000000003E-4</v>
      </c>
      <c r="CU143">
        <v>3.7800000000000003E-4</v>
      </c>
      <c r="CV143">
        <v>3.7800000000000003E-4</v>
      </c>
      <c r="CW143">
        <v>3.7800000000000003E-4</v>
      </c>
      <c r="CX143">
        <v>3.7800000000000003E-4</v>
      </c>
    </row>
    <row r="144" spans="1:102" x14ac:dyDescent="0.25">
      <c r="A144" t="s">
        <v>353</v>
      </c>
      <c r="B144" t="e">
        <v>#VALUE!</v>
      </c>
      <c r="C144" t="e">
        <v>#VALUE!</v>
      </c>
      <c r="D144" t="e">
        <v>#VALUE!</v>
      </c>
      <c r="E144" t="e">
        <v>#VALUE!</v>
      </c>
      <c r="F144" t="e">
        <v>#VALUE!</v>
      </c>
      <c r="G144" t="e">
        <v>#VALUE!</v>
      </c>
      <c r="H144" t="e">
        <v>#VALUE!</v>
      </c>
      <c r="I144" t="e">
        <v>#VALUE!</v>
      </c>
      <c r="J144" t="e">
        <v>#VALUE!</v>
      </c>
      <c r="K144" t="e">
        <v>#VALUE!</v>
      </c>
      <c r="L144" t="e">
        <v>#VALUE!</v>
      </c>
      <c r="M144" t="e">
        <v>#VALUE!</v>
      </c>
      <c r="N144" t="e">
        <v>#VALUE!</v>
      </c>
      <c r="O144" t="e">
        <v>#VALUE!</v>
      </c>
      <c r="P144" t="e">
        <v>#VALUE!</v>
      </c>
      <c r="Q144">
        <v>3.4999999999999997E-5</v>
      </c>
      <c r="R144">
        <v>3.4999999999999997E-5</v>
      </c>
      <c r="S144">
        <v>3.4999999999999997E-5</v>
      </c>
      <c r="T144">
        <v>3.4999999999999997E-5</v>
      </c>
      <c r="U144">
        <v>3.4999999999999997E-5</v>
      </c>
      <c r="V144">
        <v>3.4999999999999997E-5</v>
      </c>
      <c r="W144">
        <v>3.4999999999999997E-5</v>
      </c>
      <c r="X144">
        <v>3.4999999999999997E-5</v>
      </c>
      <c r="Y144">
        <v>3.4999999999999997E-5</v>
      </c>
      <c r="Z144">
        <v>3.4999999999999997E-5</v>
      </c>
      <c r="AA144">
        <v>3.4999999999999997E-5</v>
      </c>
      <c r="AB144">
        <v>3.4999999999999997E-5</v>
      </c>
      <c r="AC144">
        <v>3.4999999999999997E-5</v>
      </c>
      <c r="AD144">
        <v>3.4999999999999997E-5</v>
      </c>
      <c r="AE144">
        <v>3.4999999999999997E-5</v>
      </c>
      <c r="AF144">
        <v>3.4999999999999997E-5</v>
      </c>
      <c r="AG144">
        <v>3.4999999999999997E-5</v>
      </c>
      <c r="AH144">
        <v>3.4999999999999997E-5</v>
      </c>
      <c r="AI144">
        <v>3.4999999999999997E-5</v>
      </c>
      <c r="AJ144">
        <v>3.4999999999999997E-5</v>
      </c>
      <c r="AK144">
        <v>3.4999999999999997E-5</v>
      </c>
      <c r="AL144">
        <v>3.4999999999999997E-5</v>
      </c>
      <c r="AM144">
        <v>3.4999999999999997E-5</v>
      </c>
      <c r="AN144">
        <v>3.4999999999999997E-5</v>
      </c>
      <c r="AO144">
        <v>3.4999999999999997E-5</v>
      </c>
      <c r="AP144">
        <v>1E-4</v>
      </c>
      <c r="AQ144">
        <v>1E-4</v>
      </c>
      <c r="AR144">
        <v>1E-4</v>
      </c>
      <c r="AS144">
        <v>1E-4</v>
      </c>
      <c r="AT144">
        <v>1E-4</v>
      </c>
      <c r="AU144">
        <v>1.21E-4</v>
      </c>
      <c r="AV144">
        <v>1.21E-4</v>
      </c>
      <c r="AW144">
        <v>1.21E-4</v>
      </c>
      <c r="AX144">
        <v>1.21E-4</v>
      </c>
      <c r="AY144">
        <v>1.21E-4</v>
      </c>
      <c r="AZ144">
        <v>1.3899999999999999E-4</v>
      </c>
      <c r="BA144">
        <v>1.3899999999999999E-4</v>
      </c>
      <c r="BB144">
        <v>1.3899999999999999E-4</v>
      </c>
      <c r="BC144">
        <v>1.3899999999999999E-4</v>
      </c>
      <c r="BD144">
        <v>1.3899999999999999E-4</v>
      </c>
      <c r="BE144">
        <v>1.5300000000000001E-4</v>
      </c>
      <c r="BF144">
        <v>1.5300000000000001E-4</v>
      </c>
      <c r="BG144">
        <v>1.5300000000000001E-4</v>
      </c>
      <c r="BH144">
        <v>1.5300000000000001E-4</v>
      </c>
      <c r="BI144">
        <v>1.5300000000000001E-4</v>
      </c>
      <c r="BJ144">
        <v>1.6899999999999999E-4</v>
      </c>
      <c r="BK144">
        <v>1.6899999999999999E-4</v>
      </c>
      <c r="BL144">
        <v>1.6899999999999999E-4</v>
      </c>
      <c r="BM144">
        <v>1.6899999999999999E-4</v>
      </c>
      <c r="BN144">
        <v>1.6899999999999999E-4</v>
      </c>
      <c r="BO144">
        <v>1.9000000000000001E-4</v>
      </c>
      <c r="BP144">
        <v>1.9000000000000001E-4</v>
      </c>
      <c r="BQ144">
        <v>1.9000000000000001E-4</v>
      </c>
      <c r="BR144">
        <v>1.9000000000000001E-4</v>
      </c>
      <c r="BS144">
        <v>1.9000000000000001E-4</v>
      </c>
      <c r="BT144">
        <v>2.1000000000000001E-4</v>
      </c>
      <c r="BU144">
        <v>2.1000000000000001E-4</v>
      </c>
      <c r="BV144">
        <v>2.1000000000000001E-4</v>
      </c>
      <c r="BW144">
        <v>2.1000000000000001E-4</v>
      </c>
      <c r="BX144">
        <v>2.1000000000000001E-4</v>
      </c>
      <c r="BY144">
        <v>2.3900000000000001E-4</v>
      </c>
      <c r="BZ144">
        <v>2.3900000000000001E-4</v>
      </c>
      <c r="CA144">
        <v>2.3900000000000001E-4</v>
      </c>
      <c r="CB144">
        <v>2.3900000000000001E-4</v>
      </c>
      <c r="CC144">
        <v>2.3900000000000001E-4</v>
      </c>
      <c r="CD144">
        <v>2.3900000000000001E-4</v>
      </c>
      <c r="CE144">
        <v>2.3900000000000001E-4</v>
      </c>
      <c r="CF144">
        <v>2.3900000000000001E-4</v>
      </c>
      <c r="CG144">
        <v>2.3900000000000001E-4</v>
      </c>
      <c r="CH144">
        <v>2.3900000000000001E-4</v>
      </c>
      <c r="CI144">
        <v>2.3900000000000001E-4</v>
      </c>
      <c r="CJ144">
        <v>2.3900000000000001E-4</v>
      </c>
      <c r="CK144">
        <v>2.3900000000000001E-4</v>
      </c>
      <c r="CL144">
        <v>2.3900000000000001E-4</v>
      </c>
      <c r="CM144">
        <v>2.3900000000000001E-4</v>
      </c>
      <c r="CN144">
        <v>2.3900000000000001E-4</v>
      </c>
      <c r="CO144">
        <v>2.3900000000000001E-4</v>
      </c>
      <c r="CP144">
        <v>2.3900000000000001E-4</v>
      </c>
      <c r="CQ144">
        <v>2.3900000000000001E-4</v>
      </c>
      <c r="CR144">
        <v>2.3900000000000001E-4</v>
      </c>
      <c r="CS144">
        <v>2.3900000000000001E-4</v>
      </c>
      <c r="CT144">
        <v>2.3900000000000001E-4</v>
      </c>
      <c r="CU144">
        <v>2.3900000000000001E-4</v>
      </c>
      <c r="CV144">
        <v>2.3900000000000001E-4</v>
      </c>
      <c r="CW144">
        <v>2.3900000000000001E-4</v>
      </c>
      <c r="CX144">
        <v>2.3900000000000001E-4</v>
      </c>
    </row>
    <row r="145" spans="1:102" x14ac:dyDescent="0.25">
      <c r="A145" t="s">
        <v>355</v>
      </c>
      <c r="B145" t="e">
        <v>#VALUE!</v>
      </c>
      <c r="C145" t="e">
        <v>#VALUE!</v>
      </c>
      <c r="D145" t="e">
        <v>#VALUE!</v>
      </c>
      <c r="E145" t="e">
        <v>#VALUE!</v>
      </c>
      <c r="F145" t="e">
        <v>#VALUE!</v>
      </c>
      <c r="G145" t="e">
        <v>#VALUE!</v>
      </c>
      <c r="H145" t="e">
        <v>#VALUE!</v>
      </c>
      <c r="I145" t="e">
        <v>#VALUE!</v>
      </c>
      <c r="J145" t="e">
        <v>#VALUE!</v>
      </c>
      <c r="K145" t="e">
        <v>#VALUE!</v>
      </c>
      <c r="L145" t="e">
        <v>#VALUE!</v>
      </c>
      <c r="M145" t="e">
        <v>#VALUE!</v>
      </c>
      <c r="N145" t="e">
        <v>#VALUE!</v>
      </c>
      <c r="O145" t="e">
        <v>#VALUE!</v>
      </c>
      <c r="P145" t="e">
        <v>#VALUE!</v>
      </c>
      <c r="Q145">
        <v>4.5000000000000003E-5</v>
      </c>
      <c r="R145">
        <v>4.5000000000000003E-5</v>
      </c>
      <c r="S145">
        <v>4.5000000000000003E-5</v>
      </c>
      <c r="T145">
        <v>4.5000000000000003E-5</v>
      </c>
      <c r="U145">
        <v>4.5000000000000003E-5</v>
      </c>
      <c r="V145">
        <v>4.5000000000000003E-5</v>
      </c>
      <c r="W145">
        <v>4.5000000000000003E-5</v>
      </c>
      <c r="X145">
        <v>4.5000000000000003E-5</v>
      </c>
      <c r="Y145">
        <v>4.5000000000000003E-5</v>
      </c>
      <c r="Z145">
        <v>4.5000000000000003E-5</v>
      </c>
      <c r="AA145">
        <v>4.5000000000000003E-5</v>
      </c>
      <c r="AB145">
        <v>4.5000000000000003E-5</v>
      </c>
      <c r="AC145">
        <v>4.5000000000000003E-5</v>
      </c>
      <c r="AD145">
        <v>4.5000000000000003E-5</v>
      </c>
      <c r="AE145">
        <v>4.5000000000000003E-5</v>
      </c>
      <c r="AF145">
        <v>4.5000000000000003E-5</v>
      </c>
      <c r="AG145">
        <v>4.5000000000000003E-5</v>
      </c>
      <c r="AH145">
        <v>4.5000000000000003E-5</v>
      </c>
      <c r="AI145">
        <v>4.5000000000000003E-5</v>
      </c>
      <c r="AJ145">
        <v>4.5000000000000003E-5</v>
      </c>
      <c r="AK145">
        <v>4.5000000000000003E-5</v>
      </c>
      <c r="AL145">
        <v>4.5000000000000003E-5</v>
      </c>
      <c r="AM145">
        <v>4.5000000000000003E-5</v>
      </c>
      <c r="AN145">
        <v>4.5000000000000003E-5</v>
      </c>
      <c r="AO145">
        <v>4.5000000000000003E-5</v>
      </c>
      <c r="AP145">
        <v>3.2600000000000001E-4</v>
      </c>
      <c r="AQ145">
        <v>3.2600000000000001E-4</v>
      </c>
      <c r="AR145">
        <v>3.2600000000000001E-4</v>
      </c>
      <c r="AS145">
        <v>3.2600000000000001E-4</v>
      </c>
      <c r="AT145">
        <v>3.2600000000000001E-4</v>
      </c>
      <c r="AU145">
        <v>5.44E-4</v>
      </c>
      <c r="AV145">
        <v>5.44E-4</v>
      </c>
      <c r="AW145">
        <v>5.44E-4</v>
      </c>
      <c r="AX145">
        <v>5.44E-4</v>
      </c>
      <c r="AY145">
        <v>5.44E-4</v>
      </c>
      <c r="AZ145">
        <v>7.8600000000000002E-4</v>
      </c>
      <c r="BA145">
        <v>7.8600000000000002E-4</v>
      </c>
      <c r="BB145">
        <v>7.8600000000000002E-4</v>
      </c>
      <c r="BC145">
        <v>7.8600000000000002E-4</v>
      </c>
      <c r="BD145">
        <v>7.8600000000000002E-4</v>
      </c>
      <c r="BE145">
        <v>9.8400000000000007E-4</v>
      </c>
      <c r="BF145">
        <v>9.8400000000000007E-4</v>
      </c>
      <c r="BG145">
        <v>9.8400000000000007E-4</v>
      </c>
      <c r="BH145">
        <v>9.8400000000000007E-4</v>
      </c>
      <c r="BI145">
        <v>9.8400000000000007E-4</v>
      </c>
      <c r="BJ145">
        <v>1.0989999999999999E-3</v>
      </c>
      <c r="BK145">
        <v>1.0989999999999999E-3</v>
      </c>
      <c r="BL145">
        <v>1.0989999999999999E-3</v>
      </c>
      <c r="BM145">
        <v>1.0989999999999999E-3</v>
      </c>
      <c r="BN145">
        <v>1.0989999999999999E-3</v>
      </c>
      <c r="BO145">
        <v>1.1119999999999999E-3</v>
      </c>
      <c r="BP145">
        <v>1.1119999999999999E-3</v>
      </c>
      <c r="BQ145">
        <v>1.1119999999999999E-3</v>
      </c>
      <c r="BR145">
        <v>1.1119999999999999E-3</v>
      </c>
      <c r="BS145">
        <v>1.1119999999999999E-3</v>
      </c>
      <c r="BT145">
        <v>1.0250000000000001E-3</v>
      </c>
      <c r="BU145">
        <v>1.0250000000000001E-3</v>
      </c>
      <c r="BV145">
        <v>1.0250000000000001E-3</v>
      </c>
      <c r="BW145">
        <v>1.0250000000000001E-3</v>
      </c>
      <c r="BX145">
        <v>1.0250000000000001E-3</v>
      </c>
      <c r="BY145">
        <v>8.3299999999999997E-4</v>
      </c>
      <c r="BZ145">
        <v>8.3299999999999997E-4</v>
      </c>
      <c r="CA145">
        <v>8.3299999999999997E-4</v>
      </c>
      <c r="CB145">
        <v>8.3299999999999997E-4</v>
      </c>
      <c r="CC145">
        <v>8.3299999999999997E-4</v>
      </c>
      <c r="CD145">
        <v>8.3299999999999997E-4</v>
      </c>
      <c r="CE145">
        <v>8.3299999999999997E-4</v>
      </c>
      <c r="CF145">
        <v>8.3299999999999997E-4</v>
      </c>
      <c r="CG145">
        <v>8.3299999999999997E-4</v>
      </c>
      <c r="CH145">
        <v>8.3299999999999997E-4</v>
      </c>
      <c r="CI145">
        <v>8.3299999999999997E-4</v>
      </c>
      <c r="CJ145">
        <v>8.3299999999999997E-4</v>
      </c>
      <c r="CK145">
        <v>8.3299999999999997E-4</v>
      </c>
      <c r="CL145">
        <v>8.3299999999999997E-4</v>
      </c>
      <c r="CM145">
        <v>8.3299999999999997E-4</v>
      </c>
      <c r="CN145">
        <v>8.3299999999999997E-4</v>
      </c>
      <c r="CO145">
        <v>8.3299999999999997E-4</v>
      </c>
      <c r="CP145">
        <v>8.3299999999999997E-4</v>
      </c>
      <c r="CQ145">
        <v>8.3299999999999997E-4</v>
      </c>
      <c r="CR145">
        <v>8.3299999999999997E-4</v>
      </c>
      <c r="CS145">
        <v>8.3299999999999997E-4</v>
      </c>
      <c r="CT145">
        <v>8.3299999999999997E-4</v>
      </c>
      <c r="CU145">
        <v>8.3299999999999997E-4</v>
      </c>
      <c r="CV145">
        <v>8.3299999999999997E-4</v>
      </c>
      <c r="CW145">
        <v>8.3299999999999997E-4</v>
      </c>
      <c r="CX145">
        <v>8.3299999999999997E-4</v>
      </c>
    </row>
    <row r="146" spans="1:102" x14ac:dyDescent="0.25">
      <c r="A146" t="s">
        <v>357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2.3E-5</v>
      </c>
      <c r="R146">
        <v>2.3E-5</v>
      </c>
      <c r="S146">
        <v>2.3E-5</v>
      </c>
      <c r="T146">
        <v>2.3E-5</v>
      </c>
      <c r="U146">
        <v>2.3E-5</v>
      </c>
      <c r="V146">
        <v>2.3E-5</v>
      </c>
      <c r="W146">
        <v>2.3E-5</v>
      </c>
      <c r="X146">
        <v>2.3E-5</v>
      </c>
      <c r="Y146">
        <v>2.3E-5</v>
      </c>
      <c r="Z146">
        <v>2.3E-5</v>
      </c>
      <c r="AA146">
        <v>2.3E-5</v>
      </c>
      <c r="AB146">
        <v>2.3E-5</v>
      </c>
      <c r="AC146">
        <v>2.3E-5</v>
      </c>
      <c r="AD146">
        <v>2.3E-5</v>
      </c>
      <c r="AE146">
        <v>2.3E-5</v>
      </c>
      <c r="AF146">
        <v>2.3E-5</v>
      </c>
      <c r="AG146">
        <v>2.3E-5</v>
      </c>
      <c r="AH146">
        <v>2.3E-5</v>
      </c>
      <c r="AI146">
        <v>2.3E-5</v>
      </c>
      <c r="AJ146">
        <v>2.3E-5</v>
      </c>
      <c r="AK146">
        <v>2.3E-5</v>
      </c>
      <c r="AL146">
        <v>2.3E-5</v>
      </c>
      <c r="AM146">
        <v>2.3E-5</v>
      </c>
      <c r="AN146">
        <v>2.3E-5</v>
      </c>
      <c r="AO146">
        <v>2.3E-5</v>
      </c>
      <c r="AP146">
        <v>9.2E-5</v>
      </c>
      <c r="AQ146">
        <v>9.2E-5</v>
      </c>
      <c r="AR146">
        <v>9.2E-5</v>
      </c>
      <c r="AS146">
        <v>9.2E-5</v>
      </c>
      <c r="AT146">
        <v>9.2E-5</v>
      </c>
      <c r="AU146">
        <v>1.18E-4</v>
      </c>
      <c r="AV146">
        <v>1.18E-4</v>
      </c>
      <c r="AW146">
        <v>1.18E-4</v>
      </c>
      <c r="AX146">
        <v>1.18E-4</v>
      </c>
      <c r="AY146">
        <v>1.18E-4</v>
      </c>
      <c r="AZ146">
        <v>1.3899999999999999E-4</v>
      </c>
      <c r="BA146">
        <v>1.3899999999999999E-4</v>
      </c>
      <c r="BB146">
        <v>1.3899999999999999E-4</v>
      </c>
      <c r="BC146">
        <v>1.3899999999999999E-4</v>
      </c>
      <c r="BD146">
        <v>1.3899999999999999E-4</v>
      </c>
      <c r="BE146">
        <v>1.5799999999999999E-4</v>
      </c>
      <c r="BF146">
        <v>1.5799999999999999E-4</v>
      </c>
      <c r="BG146">
        <v>1.5799999999999999E-4</v>
      </c>
      <c r="BH146">
        <v>1.5799999999999999E-4</v>
      </c>
      <c r="BI146">
        <v>1.5799999999999999E-4</v>
      </c>
      <c r="BJ146">
        <v>1.75E-4</v>
      </c>
      <c r="BK146">
        <v>1.75E-4</v>
      </c>
      <c r="BL146">
        <v>1.75E-4</v>
      </c>
      <c r="BM146">
        <v>1.75E-4</v>
      </c>
      <c r="BN146">
        <v>1.75E-4</v>
      </c>
      <c r="BO146">
        <v>2.1000000000000001E-4</v>
      </c>
      <c r="BP146">
        <v>2.1000000000000001E-4</v>
      </c>
      <c r="BQ146">
        <v>2.1000000000000001E-4</v>
      </c>
      <c r="BR146">
        <v>2.1000000000000001E-4</v>
      </c>
      <c r="BS146">
        <v>2.1000000000000001E-4</v>
      </c>
      <c r="BT146">
        <v>2.6400000000000002E-4</v>
      </c>
      <c r="BU146">
        <v>2.6400000000000002E-4</v>
      </c>
      <c r="BV146">
        <v>2.6400000000000002E-4</v>
      </c>
      <c r="BW146">
        <v>2.6400000000000002E-4</v>
      </c>
      <c r="BX146">
        <v>2.6400000000000002E-4</v>
      </c>
      <c r="BY146">
        <v>2.9599999999999998E-4</v>
      </c>
      <c r="BZ146">
        <v>2.9599999999999998E-4</v>
      </c>
      <c r="CA146">
        <v>2.9599999999999998E-4</v>
      </c>
      <c r="CB146">
        <v>2.9599999999999998E-4</v>
      </c>
      <c r="CC146">
        <v>2.9599999999999998E-4</v>
      </c>
      <c r="CD146">
        <v>2.9599999999999998E-4</v>
      </c>
      <c r="CE146">
        <v>2.9599999999999998E-4</v>
      </c>
      <c r="CF146">
        <v>2.9599999999999998E-4</v>
      </c>
      <c r="CG146">
        <v>2.9599999999999998E-4</v>
      </c>
      <c r="CH146">
        <v>2.9599999999999998E-4</v>
      </c>
      <c r="CI146">
        <v>2.9599999999999998E-4</v>
      </c>
      <c r="CJ146">
        <v>2.9599999999999998E-4</v>
      </c>
      <c r="CK146">
        <v>2.9599999999999998E-4</v>
      </c>
      <c r="CL146">
        <v>2.9599999999999998E-4</v>
      </c>
      <c r="CM146">
        <v>2.9599999999999998E-4</v>
      </c>
      <c r="CN146">
        <v>2.9599999999999998E-4</v>
      </c>
      <c r="CO146">
        <v>2.9599999999999998E-4</v>
      </c>
      <c r="CP146">
        <v>2.9599999999999998E-4</v>
      </c>
      <c r="CQ146">
        <v>2.9599999999999998E-4</v>
      </c>
      <c r="CR146">
        <v>2.9599999999999998E-4</v>
      </c>
      <c r="CS146">
        <v>2.9599999999999998E-4</v>
      </c>
      <c r="CT146">
        <v>2.9599999999999998E-4</v>
      </c>
      <c r="CU146">
        <v>2.9599999999999998E-4</v>
      </c>
      <c r="CV146">
        <v>2.9599999999999998E-4</v>
      </c>
      <c r="CW146">
        <v>2.9599999999999998E-4</v>
      </c>
      <c r="CX146">
        <v>2.9599999999999998E-4</v>
      </c>
    </row>
    <row r="147" spans="1:102" x14ac:dyDescent="0.25">
      <c r="A147" t="s">
        <v>359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2.3E-5</v>
      </c>
      <c r="R147">
        <v>2.3E-5</v>
      </c>
      <c r="S147">
        <v>2.3E-5</v>
      </c>
      <c r="T147">
        <v>2.3E-5</v>
      </c>
      <c r="U147">
        <v>2.3E-5</v>
      </c>
      <c r="V147">
        <v>2.3E-5</v>
      </c>
      <c r="W147">
        <v>2.3E-5</v>
      </c>
      <c r="X147">
        <v>2.3E-5</v>
      </c>
      <c r="Y147">
        <v>2.3E-5</v>
      </c>
      <c r="Z147">
        <v>2.3E-5</v>
      </c>
      <c r="AA147">
        <v>2.3E-5</v>
      </c>
      <c r="AB147">
        <v>2.3E-5</v>
      </c>
      <c r="AC147">
        <v>2.3E-5</v>
      </c>
      <c r="AD147">
        <v>2.3E-5</v>
      </c>
      <c r="AE147">
        <v>2.3E-5</v>
      </c>
      <c r="AF147">
        <v>2.3E-5</v>
      </c>
      <c r="AG147">
        <v>2.3E-5</v>
      </c>
      <c r="AH147">
        <v>2.3E-5</v>
      </c>
      <c r="AI147">
        <v>2.3E-5</v>
      </c>
      <c r="AJ147">
        <v>2.3E-5</v>
      </c>
      <c r="AK147">
        <v>2.3E-5</v>
      </c>
      <c r="AL147">
        <v>2.3E-5</v>
      </c>
      <c r="AM147">
        <v>2.3E-5</v>
      </c>
      <c r="AN147">
        <v>2.3E-5</v>
      </c>
      <c r="AO147">
        <v>2.3E-5</v>
      </c>
      <c r="AP147">
        <v>9.2E-5</v>
      </c>
      <c r="AQ147">
        <v>9.2E-5</v>
      </c>
      <c r="AR147">
        <v>9.2E-5</v>
      </c>
      <c r="AS147">
        <v>9.2E-5</v>
      </c>
      <c r="AT147">
        <v>9.2E-5</v>
      </c>
      <c r="AU147">
        <v>1.18E-4</v>
      </c>
      <c r="AV147">
        <v>1.18E-4</v>
      </c>
      <c r="AW147">
        <v>1.18E-4</v>
      </c>
      <c r="AX147">
        <v>1.18E-4</v>
      </c>
      <c r="AY147">
        <v>1.18E-4</v>
      </c>
      <c r="AZ147">
        <v>1.3899999999999999E-4</v>
      </c>
      <c r="BA147">
        <v>1.3899999999999999E-4</v>
      </c>
      <c r="BB147">
        <v>1.3899999999999999E-4</v>
      </c>
      <c r="BC147">
        <v>1.3899999999999999E-4</v>
      </c>
      <c r="BD147">
        <v>1.3899999999999999E-4</v>
      </c>
      <c r="BE147">
        <v>1.5799999999999999E-4</v>
      </c>
      <c r="BF147">
        <v>1.5799999999999999E-4</v>
      </c>
      <c r="BG147">
        <v>1.5799999999999999E-4</v>
      </c>
      <c r="BH147">
        <v>1.5799999999999999E-4</v>
      </c>
      <c r="BI147">
        <v>1.5799999999999999E-4</v>
      </c>
      <c r="BJ147">
        <v>1.75E-4</v>
      </c>
      <c r="BK147">
        <v>1.75E-4</v>
      </c>
      <c r="BL147">
        <v>1.75E-4</v>
      </c>
      <c r="BM147">
        <v>1.75E-4</v>
      </c>
      <c r="BN147">
        <v>1.75E-4</v>
      </c>
      <c r="BO147">
        <v>2.1000000000000001E-4</v>
      </c>
      <c r="BP147">
        <v>2.1000000000000001E-4</v>
      </c>
      <c r="BQ147">
        <v>2.1000000000000001E-4</v>
      </c>
      <c r="BR147">
        <v>2.1000000000000001E-4</v>
      </c>
      <c r="BS147">
        <v>2.1000000000000001E-4</v>
      </c>
      <c r="BT147">
        <v>2.6400000000000002E-4</v>
      </c>
      <c r="BU147">
        <v>2.6400000000000002E-4</v>
      </c>
      <c r="BV147">
        <v>2.6400000000000002E-4</v>
      </c>
      <c r="BW147">
        <v>2.6400000000000002E-4</v>
      </c>
      <c r="BX147">
        <v>2.6400000000000002E-4</v>
      </c>
      <c r="BY147">
        <v>2.9599999999999998E-4</v>
      </c>
      <c r="BZ147">
        <v>2.9599999999999998E-4</v>
      </c>
      <c r="CA147">
        <v>2.9599999999999998E-4</v>
      </c>
      <c r="CB147">
        <v>2.9599999999999998E-4</v>
      </c>
      <c r="CC147">
        <v>2.9599999999999998E-4</v>
      </c>
      <c r="CD147">
        <v>2.9599999999999998E-4</v>
      </c>
      <c r="CE147">
        <v>2.9599999999999998E-4</v>
      </c>
      <c r="CF147">
        <v>2.9599999999999998E-4</v>
      </c>
      <c r="CG147">
        <v>2.9599999999999998E-4</v>
      </c>
      <c r="CH147">
        <v>2.9599999999999998E-4</v>
      </c>
      <c r="CI147">
        <v>2.9599999999999998E-4</v>
      </c>
      <c r="CJ147">
        <v>2.9599999999999998E-4</v>
      </c>
      <c r="CK147">
        <v>2.9599999999999998E-4</v>
      </c>
      <c r="CL147">
        <v>2.9599999999999998E-4</v>
      </c>
      <c r="CM147">
        <v>2.9599999999999998E-4</v>
      </c>
      <c r="CN147">
        <v>2.9599999999999998E-4</v>
      </c>
      <c r="CO147">
        <v>2.9599999999999998E-4</v>
      </c>
      <c r="CP147">
        <v>2.9599999999999998E-4</v>
      </c>
      <c r="CQ147">
        <v>2.9599999999999998E-4</v>
      </c>
      <c r="CR147">
        <v>2.9599999999999998E-4</v>
      </c>
      <c r="CS147">
        <v>2.9599999999999998E-4</v>
      </c>
      <c r="CT147">
        <v>2.9599999999999998E-4</v>
      </c>
      <c r="CU147">
        <v>2.9599999999999998E-4</v>
      </c>
      <c r="CV147">
        <v>2.9599999999999998E-4</v>
      </c>
      <c r="CW147">
        <v>2.9599999999999998E-4</v>
      </c>
      <c r="CX147">
        <v>2.9599999999999998E-4</v>
      </c>
    </row>
    <row r="148" spans="1:102" x14ac:dyDescent="0.25">
      <c r="A148" t="s">
        <v>361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2.3E-5</v>
      </c>
      <c r="R148">
        <v>2.3E-5</v>
      </c>
      <c r="S148">
        <v>2.3E-5</v>
      </c>
      <c r="T148">
        <v>2.3E-5</v>
      </c>
      <c r="U148">
        <v>2.3E-5</v>
      </c>
      <c r="V148">
        <v>2.3E-5</v>
      </c>
      <c r="W148">
        <v>2.3E-5</v>
      </c>
      <c r="X148">
        <v>2.3E-5</v>
      </c>
      <c r="Y148">
        <v>2.3E-5</v>
      </c>
      <c r="Z148">
        <v>2.3E-5</v>
      </c>
      <c r="AA148">
        <v>2.3E-5</v>
      </c>
      <c r="AB148">
        <v>2.3E-5</v>
      </c>
      <c r="AC148">
        <v>2.3E-5</v>
      </c>
      <c r="AD148">
        <v>2.3E-5</v>
      </c>
      <c r="AE148">
        <v>2.3E-5</v>
      </c>
      <c r="AF148">
        <v>2.3E-5</v>
      </c>
      <c r="AG148">
        <v>2.3E-5</v>
      </c>
      <c r="AH148">
        <v>2.3E-5</v>
      </c>
      <c r="AI148">
        <v>2.3E-5</v>
      </c>
      <c r="AJ148">
        <v>2.3E-5</v>
      </c>
      <c r="AK148">
        <v>2.3E-5</v>
      </c>
      <c r="AL148">
        <v>2.3E-5</v>
      </c>
      <c r="AM148">
        <v>2.3E-5</v>
      </c>
      <c r="AN148">
        <v>2.3E-5</v>
      </c>
      <c r="AO148">
        <v>2.3E-5</v>
      </c>
      <c r="AP148">
        <v>9.2E-5</v>
      </c>
      <c r="AQ148">
        <v>9.2E-5</v>
      </c>
      <c r="AR148">
        <v>9.2E-5</v>
      </c>
      <c r="AS148">
        <v>9.2E-5</v>
      </c>
      <c r="AT148">
        <v>9.2E-5</v>
      </c>
      <c r="AU148">
        <v>1.18E-4</v>
      </c>
      <c r="AV148">
        <v>1.18E-4</v>
      </c>
      <c r="AW148">
        <v>1.18E-4</v>
      </c>
      <c r="AX148">
        <v>1.18E-4</v>
      </c>
      <c r="AY148">
        <v>1.18E-4</v>
      </c>
      <c r="AZ148">
        <v>1.3899999999999999E-4</v>
      </c>
      <c r="BA148">
        <v>1.3899999999999999E-4</v>
      </c>
      <c r="BB148">
        <v>1.3899999999999999E-4</v>
      </c>
      <c r="BC148">
        <v>1.3899999999999999E-4</v>
      </c>
      <c r="BD148">
        <v>1.3899999999999999E-4</v>
      </c>
      <c r="BE148">
        <v>1.5799999999999999E-4</v>
      </c>
      <c r="BF148">
        <v>1.5799999999999999E-4</v>
      </c>
      <c r="BG148">
        <v>1.5799999999999999E-4</v>
      </c>
      <c r="BH148">
        <v>1.5799999999999999E-4</v>
      </c>
      <c r="BI148">
        <v>1.5799999999999999E-4</v>
      </c>
      <c r="BJ148">
        <v>1.75E-4</v>
      </c>
      <c r="BK148">
        <v>1.75E-4</v>
      </c>
      <c r="BL148">
        <v>1.75E-4</v>
      </c>
      <c r="BM148">
        <v>1.75E-4</v>
      </c>
      <c r="BN148">
        <v>1.75E-4</v>
      </c>
      <c r="BO148">
        <v>2.1000000000000001E-4</v>
      </c>
      <c r="BP148">
        <v>2.1000000000000001E-4</v>
      </c>
      <c r="BQ148">
        <v>2.1000000000000001E-4</v>
      </c>
      <c r="BR148">
        <v>2.1000000000000001E-4</v>
      </c>
      <c r="BS148">
        <v>2.1000000000000001E-4</v>
      </c>
      <c r="BT148">
        <v>2.6400000000000002E-4</v>
      </c>
      <c r="BU148">
        <v>2.6400000000000002E-4</v>
      </c>
      <c r="BV148">
        <v>2.6400000000000002E-4</v>
      </c>
      <c r="BW148">
        <v>2.6400000000000002E-4</v>
      </c>
      <c r="BX148">
        <v>2.6400000000000002E-4</v>
      </c>
      <c r="BY148">
        <v>2.9599999999999998E-4</v>
      </c>
      <c r="BZ148">
        <v>2.9599999999999998E-4</v>
      </c>
      <c r="CA148">
        <v>2.9599999999999998E-4</v>
      </c>
      <c r="CB148">
        <v>2.9599999999999998E-4</v>
      </c>
      <c r="CC148">
        <v>2.9599999999999998E-4</v>
      </c>
      <c r="CD148">
        <v>2.9599999999999998E-4</v>
      </c>
      <c r="CE148">
        <v>2.9599999999999998E-4</v>
      </c>
      <c r="CF148">
        <v>2.9599999999999998E-4</v>
      </c>
      <c r="CG148">
        <v>2.9599999999999998E-4</v>
      </c>
      <c r="CH148">
        <v>2.9599999999999998E-4</v>
      </c>
      <c r="CI148">
        <v>2.9599999999999998E-4</v>
      </c>
      <c r="CJ148">
        <v>2.9599999999999998E-4</v>
      </c>
      <c r="CK148">
        <v>2.9599999999999998E-4</v>
      </c>
      <c r="CL148">
        <v>2.9599999999999998E-4</v>
      </c>
      <c r="CM148">
        <v>2.9599999999999998E-4</v>
      </c>
      <c r="CN148">
        <v>2.9599999999999998E-4</v>
      </c>
      <c r="CO148">
        <v>2.9599999999999998E-4</v>
      </c>
      <c r="CP148">
        <v>2.9599999999999998E-4</v>
      </c>
      <c r="CQ148">
        <v>2.9599999999999998E-4</v>
      </c>
      <c r="CR148">
        <v>2.9599999999999998E-4</v>
      </c>
      <c r="CS148">
        <v>2.9599999999999998E-4</v>
      </c>
      <c r="CT148">
        <v>2.9599999999999998E-4</v>
      </c>
      <c r="CU148">
        <v>2.9599999999999998E-4</v>
      </c>
      <c r="CV148">
        <v>2.9599999999999998E-4</v>
      </c>
      <c r="CW148">
        <v>2.9599999999999998E-4</v>
      </c>
      <c r="CX148">
        <v>2.9599999999999998E-4</v>
      </c>
    </row>
    <row r="149" spans="1:102" x14ac:dyDescent="0.25">
      <c r="A149" t="s">
        <v>363</v>
      </c>
      <c r="B149" t="e">
        <v>#VALUE!</v>
      </c>
      <c r="C149" t="e">
        <v>#VALUE!</v>
      </c>
      <c r="D149" t="e">
        <v>#VALUE!</v>
      </c>
      <c r="E149" t="e">
        <v>#VALUE!</v>
      </c>
      <c r="F149" t="e">
        <v>#VALUE!</v>
      </c>
      <c r="G149" t="e">
        <v>#VALUE!</v>
      </c>
      <c r="H149" t="e">
        <v>#VALUE!</v>
      </c>
      <c r="I149" t="e">
        <v>#VALUE!</v>
      </c>
      <c r="J149" t="e">
        <v>#VALUE!</v>
      </c>
      <c r="K149" t="e">
        <v>#VALUE!</v>
      </c>
      <c r="L149" t="e">
        <v>#VALUE!</v>
      </c>
      <c r="M149" t="e">
        <v>#VALUE!</v>
      </c>
      <c r="N149" t="e">
        <v>#VALUE!</v>
      </c>
      <c r="O149" t="e">
        <v>#VALUE!</v>
      </c>
      <c r="P149" t="e">
        <v>#VALUE!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2.31E-4</v>
      </c>
      <c r="AV149">
        <v>2.31E-4</v>
      </c>
      <c r="AW149">
        <v>2.31E-4</v>
      </c>
      <c r="AX149">
        <v>2.31E-4</v>
      </c>
      <c r="AY149">
        <v>2.31E-4</v>
      </c>
      <c r="AZ149">
        <v>0</v>
      </c>
      <c r="BA149">
        <v>0</v>
      </c>
      <c r="BB149">
        <v>0</v>
      </c>
      <c r="BC149">
        <v>0</v>
      </c>
      <c r="BD149">
        <v>0</v>
      </c>
      <c r="BE149" t="e">
        <v>#VALUE!</v>
      </c>
      <c r="BF149" t="e">
        <v>#VALUE!</v>
      </c>
      <c r="BG149" t="e">
        <v>#VALUE!</v>
      </c>
      <c r="BH149" t="e">
        <v>#VALUE!</v>
      </c>
      <c r="BI149" t="e">
        <v>#VALUE!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5.8600000000000004E-4</v>
      </c>
      <c r="BP149">
        <v>5.8600000000000004E-4</v>
      </c>
      <c r="BQ149">
        <v>5.8600000000000004E-4</v>
      </c>
      <c r="BR149">
        <v>5.8600000000000004E-4</v>
      </c>
      <c r="BS149">
        <v>5.8600000000000004E-4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</row>
    <row r="150" spans="1:102" x14ac:dyDescent="0.25">
      <c r="A150" t="s">
        <v>365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1.7E-5</v>
      </c>
      <c r="R150">
        <v>1.7E-5</v>
      </c>
      <c r="S150">
        <v>1.7E-5</v>
      </c>
      <c r="T150">
        <v>1.7E-5</v>
      </c>
      <c r="U150">
        <v>1.7E-5</v>
      </c>
      <c r="V150">
        <v>1.7E-5</v>
      </c>
      <c r="W150">
        <v>1.7E-5</v>
      </c>
      <c r="X150">
        <v>1.7E-5</v>
      </c>
      <c r="Y150">
        <v>1.7E-5</v>
      </c>
      <c r="Z150">
        <v>1.7E-5</v>
      </c>
      <c r="AA150">
        <v>1.7E-5</v>
      </c>
      <c r="AB150">
        <v>1.7E-5</v>
      </c>
      <c r="AC150">
        <v>1.7E-5</v>
      </c>
      <c r="AD150">
        <v>1.7E-5</v>
      </c>
      <c r="AE150">
        <v>1.7E-5</v>
      </c>
      <c r="AF150">
        <v>1.7E-5</v>
      </c>
      <c r="AG150">
        <v>1.7E-5</v>
      </c>
      <c r="AH150">
        <v>1.7E-5</v>
      </c>
      <c r="AI150">
        <v>1.7E-5</v>
      </c>
      <c r="AJ150">
        <v>1.7E-5</v>
      </c>
      <c r="AK150">
        <v>1.7E-5</v>
      </c>
      <c r="AL150">
        <v>1.7E-5</v>
      </c>
      <c r="AM150">
        <v>1.7E-5</v>
      </c>
      <c r="AN150">
        <v>1.7E-5</v>
      </c>
      <c r="AO150">
        <v>1.7E-5</v>
      </c>
      <c r="AP150">
        <v>6.0000000000000002E-5</v>
      </c>
      <c r="AQ150">
        <v>6.0000000000000002E-5</v>
      </c>
      <c r="AR150">
        <v>6.0000000000000002E-5</v>
      </c>
      <c r="AS150">
        <v>6.0000000000000002E-5</v>
      </c>
      <c r="AT150">
        <v>6.0000000000000002E-5</v>
      </c>
      <c r="AU150">
        <v>7.7999999999999999E-5</v>
      </c>
      <c r="AV150">
        <v>7.7999999999999999E-5</v>
      </c>
      <c r="AW150">
        <v>7.7999999999999999E-5</v>
      </c>
      <c r="AX150">
        <v>7.7999999999999999E-5</v>
      </c>
      <c r="AY150">
        <v>7.7999999999999999E-5</v>
      </c>
      <c r="AZ150">
        <v>9.7999999999999997E-5</v>
      </c>
      <c r="BA150">
        <v>9.7999999999999997E-5</v>
      </c>
      <c r="BB150">
        <v>9.7999999999999997E-5</v>
      </c>
      <c r="BC150">
        <v>9.7999999999999997E-5</v>
      </c>
      <c r="BD150">
        <v>9.7999999999999997E-5</v>
      </c>
      <c r="BE150">
        <v>1.11E-4</v>
      </c>
      <c r="BF150">
        <v>1.11E-4</v>
      </c>
      <c r="BG150">
        <v>1.11E-4</v>
      </c>
      <c r="BH150">
        <v>1.11E-4</v>
      </c>
      <c r="BI150">
        <v>1.11E-4</v>
      </c>
      <c r="BJ150">
        <v>1.1400000000000001E-4</v>
      </c>
      <c r="BK150">
        <v>1.1400000000000001E-4</v>
      </c>
      <c r="BL150">
        <v>1.1400000000000001E-4</v>
      </c>
      <c r="BM150">
        <v>1.1400000000000001E-4</v>
      </c>
      <c r="BN150">
        <v>1.1400000000000001E-4</v>
      </c>
      <c r="BO150">
        <v>1.15E-4</v>
      </c>
      <c r="BP150">
        <v>1.15E-4</v>
      </c>
      <c r="BQ150">
        <v>1.15E-4</v>
      </c>
      <c r="BR150">
        <v>1.15E-4</v>
      </c>
      <c r="BS150">
        <v>1.15E-4</v>
      </c>
      <c r="BT150">
        <v>1.35E-4</v>
      </c>
      <c r="BU150">
        <v>1.35E-4</v>
      </c>
      <c r="BV150">
        <v>1.35E-4</v>
      </c>
      <c r="BW150">
        <v>1.35E-4</v>
      </c>
      <c r="BX150">
        <v>1.35E-4</v>
      </c>
      <c r="BY150">
        <v>1.63E-4</v>
      </c>
      <c r="BZ150">
        <v>1.63E-4</v>
      </c>
      <c r="CA150">
        <v>1.63E-4</v>
      </c>
      <c r="CB150">
        <v>1.63E-4</v>
      </c>
      <c r="CC150">
        <v>1.63E-4</v>
      </c>
      <c r="CD150">
        <v>1.63E-4</v>
      </c>
      <c r="CE150">
        <v>1.63E-4</v>
      </c>
      <c r="CF150">
        <v>1.63E-4</v>
      </c>
      <c r="CG150">
        <v>1.63E-4</v>
      </c>
      <c r="CH150">
        <v>1.63E-4</v>
      </c>
      <c r="CI150">
        <v>1.63E-4</v>
      </c>
      <c r="CJ150">
        <v>1.63E-4</v>
      </c>
      <c r="CK150">
        <v>1.63E-4</v>
      </c>
      <c r="CL150">
        <v>1.63E-4</v>
      </c>
      <c r="CM150">
        <v>1.63E-4</v>
      </c>
      <c r="CN150">
        <v>1.63E-4</v>
      </c>
      <c r="CO150">
        <v>1.63E-4</v>
      </c>
      <c r="CP150">
        <v>1.63E-4</v>
      </c>
      <c r="CQ150">
        <v>1.63E-4</v>
      </c>
      <c r="CR150">
        <v>1.63E-4</v>
      </c>
      <c r="CS150">
        <v>1.63E-4</v>
      </c>
      <c r="CT150">
        <v>1.63E-4</v>
      </c>
      <c r="CU150">
        <v>1.63E-4</v>
      </c>
      <c r="CV150">
        <v>1.63E-4</v>
      </c>
      <c r="CW150">
        <v>1.63E-4</v>
      </c>
      <c r="CX150">
        <v>1.63E-4</v>
      </c>
    </row>
    <row r="151" spans="1:102" x14ac:dyDescent="0.25">
      <c r="A151" t="s">
        <v>367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4.3999999999999999E-5</v>
      </c>
      <c r="R151">
        <v>4.3999999999999999E-5</v>
      </c>
      <c r="S151">
        <v>4.3999999999999999E-5</v>
      </c>
      <c r="T151">
        <v>4.3999999999999999E-5</v>
      </c>
      <c r="U151">
        <v>4.3999999999999999E-5</v>
      </c>
      <c r="V151">
        <v>4.3999999999999999E-5</v>
      </c>
      <c r="W151">
        <v>4.3999999999999999E-5</v>
      </c>
      <c r="X151">
        <v>4.3999999999999999E-5</v>
      </c>
      <c r="Y151">
        <v>4.3999999999999999E-5</v>
      </c>
      <c r="Z151">
        <v>4.3999999999999999E-5</v>
      </c>
      <c r="AA151">
        <v>4.3999999999999999E-5</v>
      </c>
      <c r="AB151">
        <v>4.3999999999999999E-5</v>
      </c>
      <c r="AC151">
        <v>4.3999999999999999E-5</v>
      </c>
      <c r="AD151">
        <v>4.3999999999999999E-5</v>
      </c>
      <c r="AE151">
        <v>4.3999999999999999E-5</v>
      </c>
      <c r="AF151">
        <v>4.3999999999999999E-5</v>
      </c>
      <c r="AG151">
        <v>4.3999999999999999E-5</v>
      </c>
      <c r="AH151">
        <v>4.3999999999999999E-5</v>
      </c>
      <c r="AI151">
        <v>4.3999999999999999E-5</v>
      </c>
      <c r="AJ151">
        <v>4.3999999999999999E-5</v>
      </c>
      <c r="AK151">
        <v>4.3999999999999999E-5</v>
      </c>
      <c r="AL151">
        <v>4.3999999999999999E-5</v>
      </c>
      <c r="AM151">
        <v>4.3999999999999999E-5</v>
      </c>
      <c r="AN151">
        <v>4.3999999999999999E-5</v>
      </c>
      <c r="AO151">
        <v>4.3999999999999999E-5</v>
      </c>
      <c r="AP151">
        <v>2.4000000000000001E-4</v>
      </c>
      <c r="AQ151">
        <v>2.4000000000000001E-4</v>
      </c>
      <c r="AR151">
        <v>2.4000000000000001E-4</v>
      </c>
      <c r="AS151">
        <v>2.4000000000000001E-4</v>
      </c>
      <c r="AT151">
        <v>2.4000000000000001E-4</v>
      </c>
      <c r="AU151">
        <v>3.6900000000000002E-4</v>
      </c>
      <c r="AV151">
        <v>3.6900000000000002E-4</v>
      </c>
      <c r="AW151">
        <v>3.6900000000000002E-4</v>
      </c>
      <c r="AX151">
        <v>3.6900000000000002E-4</v>
      </c>
      <c r="AY151">
        <v>3.6900000000000002E-4</v>
      </c>
      <c r="AZ151">
        <v>5.1999999999999995E-4</v>
      </c>
      <c r="BA151">
        <v>5.1999999999999995E-4</v>
      </c>
      <c r="BB151">
        <v>5.1999999999999995E-4</v>
      </c>
      <c r="BC151">
        <v>5.1999999999999995E-4</v>
      </c>
      <c r="BD151">
        <v>5.1999999999999995E-4</v>
      </c>
      <c r="BE151">
        <v>6.7699999999999998E-4</v>
      </c>
      <c r="BF151">
        <v>6.7699999999999998E-4</v>
      </c>
      <c r="BG151">
        <v>6.7699999999999998E-4</v>
      </c>
      <c r="BH151">
        <v>6.7699999999999998E-4</v>
      </c>
      <c r="BI151">
        <v>6.7699999999999998E-4</v>
      </c>
      <c r="BJ151">
        <v>8.2899999999999998E-4</v>
      </c>
      <c r="BK151">
        <v>8.2899999999999998E-4</v>
      </c>
      <c r="BL151">
        <v>8.2899999999999998E-4</v>
      </c>
      <c r="BM151">
        <v>8.2899999999999998E-4</v>
      </c>
      <c r="BN151">
        <v>8.2899999999999998E-4</v>
      </c>
      <c r="BO151">
        <v>9.7400000000000004E-4</v>
      </c>
      <c r="BP151">
        <v>9.7400000000000004E-4</v>
      </c>
      <c r="BQ151">
        <v>9.7400000000000004E-4</v>
      </c>
      <c r="BR151">
        <v>9.7400000000000004E-4</v>
      </c>
      <c r="BS151">
        <v>9.7400000000000004E-4</v>
      </c>
      <c r="BT151">
        <v>1.096E-3</v>
      </c>
      <c r="BU151">
        <v>1.096E-3</v>
      </c>
      <c r="BV151">
        <v>1.096E-3</v>
      </c>
      <c r="BW151">
        <v>1.096E-3</v>
      </c>
      <c r="BX151">
        <v>1.096E-3</v>
      </c>
      <c r="BY151">
        <v>1.2260000000000001E-3</v>
      </c>
      <c r="BZ151">
        <v>1.2260000000000001E-3</v>
      </c>
      <c r="CA151">
        <v>1.2260000000000001E-3</v>
      </c>
      <c r="CB151">
        <v>1.2260000000000001E-3</v>
      </c>
      <c r="CC151">
        <v>1.2260000000000001E-3</v>
      </c>
      <c r="CD151">
        <v>1.2260000000000001E-3</v>
      </c>
      <c r="CE151">
        <v>1.2260000000000001E-3</v>
      </c>
      <c r="CF151">
        <v>1.2260000000000001E-3</v>
      </c>
      <c r="CG151">
        <v>1.2260000000000001E-3</v>
      </c>
      <c r="CH151">
        <v>1.2260000000000001E-3</v>
      </c>
      <c r="CI151">
        <v>1.2260000000000001E-3</v>
      </c>
      <c r="CJ151">
        <v>1.2260000000000001E-3</v>
      </c>
      <c r="CK151">
        <v>1.2260000000000001E-3</v>
      </c>
      <c r="CL151">
        <v>1.2260000000000001E-3</v>
      </c>
      <c r="CM151">
        <v>1.2260000000000001E-3</v>
      </c>
      <c r="CN151">
        <v>1.2260000000000001E-3</v>
      </c>
      <c r="CO151">
        <v>1.2260000000000001E-3</v>
      </c>
      <c r="CP151">
        <v>1.2260000000000001E-3</v>
      </c>
      <c r="CQ151">
        <v>1.2260000000000001E-3</v>
      </c>
      <c r="CR151">
        <v>1.2260000000000001E-3</v>
      </c>
      <c r="CS151">
        <v>1.2260000000000001E-3</v>
      </c>
      <c r="CT151">
        <v>1.2260000000000001E-3</v>
      </c>
      <c r="CU151">
        <v>1.2260000000000001E-3</v>
      </c>
      <c r="CV151">
        <v>1.2260000000000001E-3</v>
      </c>
      <c r="CW151">
        <v>1.2260000000000001E-3</v>
      </c>
      <c r="CX151">
        <v>1.2260000000000001E-3</v>
      </c>
    </row>
    <row r="152" spans="1:102" x14ac:dyDescent="0.25">
      <c r="A152" t="s">
        <v>369</v>
      </c>
      <c r="B152" t="e">
        <v>#VALUE!</v>
      </c>
      <c r="C152" t="e">
        <v>#VALUE!</v>
      </c>
      <c r="D152" t="e">
        <v>#VALUE!</v>
      </c>
      <c r="E152" t="e">
        <v>#VALUE!</v>
      </c>
      <c r="F152" t="e">
        <v>#VALUE!</v>
      </c>
      <c r="G152" t="e">
        <v>#VALUE!</v>
      </c>
      <c r="H152" t="e">
        <v>#VALUE!</v>
      </c>
      <c r="I152" t="e">
        <v>#VALUE!</v>
      </c>
      <c r="J152" t="e">
        <v>#VALUE!</v>
      </c>
      <c r="K152" t="e">
        <v>#VALUE!</v>
      </c>
      <c r="L152" t="e">
        <v>#VALUE!</v>
      </c>
      <c r="M152" t="e">
        <v>#VALUE!</v>
      </c>
      <c r="N152" t="e">
        <v>#VALUE!</v>
      </c>
      <c r="O152" t="e">
        <v>#VALUE!</v>
      </c>
      <c r="P152" t="e">
        <v>#VALUE!</v>
      </c>
      <c r="Q152">
        <v>9.9999999999999995E-7</v>
      </c>
      <c r="R152">
        <v>9.9999999999999995E-7</v>
      </c>
      <c r="S152">
        <v>9.9999999999999995E-7</v>
      </c>
      <c r="T152">
        <v>9.9999999999999995E-7</v>
      </c>
      <c r="U152">
        <v>9.9999999999999995E-7</v>
      </c>
      <c r="V152">
        <v>9.9999999999999995E-7</v>
      </c>
      <c r="W152">
        <v>9.9999999999999995E-7</v>
      </c>
      <c r="X152">
        <v>9.9999999999999995E-7</v>
      </c>
      <c r="Y152">
        <v>9.9999999999999995E-7</v>
      </c>
      <c r="Z152">
        <v>9.9999999999999995E-7</v>
      </c>
      <c r="AA152">
        <v>9.9999999999999995E-7</v>
      </c>
      <c r="AB152">
        <v>9.9999999999999995E-7</v>
      </c>
      <c r="AC152">
        <v>9.9999999999999995E-7</v>
      </c>
      <c r="AD152">
        <v>9.9999999999999995E-7</v>
      </c>
      <c r="AE152">
        <v>9.9999999999999995E-7</v>
      </c>
      <c r="AF152">
        <v>9.9999999999999995E-7</v>
      </c>
      <c r="AG152">
        <v>9.9999999999999995E-7</v>
      </c>
      <c r="AH152">
        <v>9.9999999999999995E-7</v>
      </c>
      <c r="AI152">
        <v>9.9999999999999995E-7</v>
      </c>
      <c r="AJ152">
        <v>9.9999999999999995E-7</v>
      </c>
      <c r="AK152">
        <v>9.9999999999999995E-7</v>
      </c>
      <c r="AL152">
        <v>9.9999999999999995E-7</v>
      </c>
      <c r="AM152">
        <v>9.9999999999999995E-7</v>
      </c>
      <c r="AN152">
        <v>9.9999999999999995E-7</v>
      </c>
      <c r="AO152">
        <v>9.9999999999999995E-7</v>
      </c>
      <c r="AP152">
        <v>1.0000000000000001E-5</v>
      </c>
      <c r="AQ152">
        <v>1.0000000000000001E-5</v>
      </c>
      <c r="AR152">
        <v>1.0000000000000001E-5</v>
      </c>
      <c r="AS152">
        <v>1.0000000000000001E-5</v>
      </c>
      <c r="AT152">
        <v>1.0000000000000001E-5</v>
      </c>
      <c r="AU152">
        <v>1.5999999999999999E-5</v>
      </c>
      <c r="AV152">
        <v>1.5999999999999999E-5</v>
      </c>
      <c r="AW152">
        <v>1.5999999999999999E-5</v>
      </c>
      <c r="AX152">
        <v>1.5999999999999999E-5</v>
      </c>
      <c r="AY152">
        <v>1.5999999999999999E-5</v>
      </c>
      <c r="AZ152">
        <v>2.3E-5</v>
      </c>
      <c r="BA152">
        <v>2.3E-5</v>
      </c>
      <c r="BB152">
        <v>2.3E-5</v>
      </c>
      <c r="BC152">
        <v>2.3E-5</v>
      </c>
      <c r="BD152">
        <v>2.3E-5</v>
      </c>
      <c r="BE152">
        <v>3.1000000000000001E-5</v>
      </c>
      <c r="BF152">
        <v>3.1000000000000001E-5</v>
      </c>
      <c r="BG152">
        <v>3.1000000000000001E-5</v>
      </c>
      <c r="BH152">
        <v>3.1000000000000001E-5</v>
      </c>
      <c r="BI152">
        <v>3.1000000000000001E-5</v>
      </c>
      <c r="BJ152">
        <v>4.0000000000000003E-5</v>
      </c>
      <c r="BK152">
        <v>4.0000000000000003E-5</v>
      </c>
      <c r="BL152">
        <v>4.0000000000000003E-5</v>
      </c>
      <c r="BM152">
        <v>4.0000000000000003E-5</v>
      </c>
      <c r="BN152">
        <v>4.0000000000000003E-5</v>
      </c>
      <c r="BO152">
        <v>5.3999999999999998E-5</v>
      </c>
      <c r="BP152">
        <v>5.3999999999999998E-5</v>
      </c>
      <c r="BQ152">
        <v>5.3999999999999998E-5</v>
      </c>
      <c r="BR152">
        <v>5.3999999999999998E-5</v>
      </c>
      <c r="BS152">
        <v>5.3999999999999998E-5</v>
      </c>
      <c r="BT152">
        <v>7.7000000000000001E-5</v>
      </c>
      <c r="BU152">
        <v>7.7000000000000001E-5</v>
      </c>
      <c r="BV152">
        <v>7.7000000000000001E-5</v>
      </c>
      <c r="BW152">
        <v>7.7000000000000001E-5</v>
      </c>
      <c r="BX152">
        <v>7.7000000000000001E-5</v>
      </c>
      <c r="BY152">
        <v>9.0000000000000006E-5</v>
      </c>
      <c r="BZ152">
        <v>9.0000000000000006E-5</v>
      </c>
      <c r="CA152">
        <v>9.0000000000000006E-5</v>
      </c>
      <c r="CB152">
        <v>9.0000000000000006E-5</v>
      </c>
      <c r="CC152">
        <v>9.0000000000000006E-5</v>
      </c>
      <c r="CD152">
        <v>9.0000000000000006E-5</v>
      </c>
      <c r="CE152">
        <v>9.0000000000000006E-5</v>
      </c>
      <c r="CF152">
        <v>9.0000000000000006E-5</v>
      </c>
      <c r="CG152">
        <v>9.0000000000000006E-5</v>
      </c>
      <c r="CH152">
        <v>9.0000000000000006E-5</v>
      </c>
      <c r="CI152">
        <v>9.0000000000000006E-5</v>
      </c>
      <c r="CJ152">
        <v>9.0000000000000006E-5</v>
      </c>
      <c r="CK152">
        <v>9.0000000000000006E-5</v>
      </c>
      <c r="CL152">
        <v>9.0000000000000006E-5</v>
      </c>
      <c r="CM152">
        <v>9.0000000000000006E-5</v>
      </c>
      <c r="CN152">
        <v>9.0000000000000006E-5</v>
      </c>
      <c r="CO152">
        <v>9.0000000000000006E-5</v>
      </c>
      <c r="CP152">
        <v>9.0000000000000006E-5</v>
      </c>
      <c r="CQ152">
        <v>9.0000000000000006E-5</v>
      </c>
      <c r="CR152">
        <v>9.0000000000000006E-5</v>
      </c>
      <c r="CS152">
        <v>9.0000000000000006E-5</v>
      </c>
      <c r="CT152">
        <v>9.0000000000000006E-5</v>
      </c>
      <c r="CU152">
        <v>9.0000000000000006E-5</v>
      </c>
      <c r="CV152">
        <v>9.0000000000000006E-5</v>
      </c>
      <c r="CW152">
        <v>9.0000000000000006E-5</v>
      </c>
      <c r="CX152">
        <v>9.0000000000000006E-5</v>
      </c>
    </row>
    <row r="153" spans="1:102" x14ac:dyDescent="0.25">
      <c r="A153" t="s">
        <v>371</v>
      </c>
      <c r="B153" t="e">
        <v>#VALUE!</v>
      </c>
      <c r="C153" t="e">
        <v>#VALUE!</v>
      </c>
      <c r="D153" t="e">
        <v>#VALUE!</v>
      </c>
      <c r="E153" t="e">
        <v>#VALUE!</v>
      </c>
      <c r="F153" t="e">
        <v>#VALUE!</v>
      </c>
      <c r="G153" t="e">
        <v>#VALUE!</v>
      </c>
      <c r="H153" t="e">
        <v>#VALUE!</v>
      </c>
      <c r="I153" t="e">
        <v>#VALUE!</v>
      </c>
      <c r="J153" t="e">
        <v>#VALUE!</v>
      </c>
      <c r="K153" t="e">
        <v>#VALUE!</v>
      </c>
      <c r="L153" t="e">
        <v>#VALUE!</v>
      </c>
      <c r="M153" t="e">
        <v>#VALUE!</v>
      </c>
      <c r="N153" t="e">
        <v>#VALUE!</v>
      </c>
      <c r="O153" t="e">
        <v>#VALUE!</v>
      </c>
      <c r="P153" t="e">
        <v>#VALUE!</v>
      </c>
      <c r="Q153">
        <v>4.3000000000000002E-5</v>
      </c>
      <c r="R153">
        <v>4.3000000000000002E-5</v>
      </c>
      <c r="S153">
        <v>4.3000000000000002E-5</v>
      </c>
      <c r="T153">
        <v>4.3000000000000002E-5</v>
      </c>
      <c r="U153">
        <v>4.3000000000000002E-5</v>
      </c>
      <c r="V153">
        <v>4.3000000000000002E-5</v>
      </c>
      <c r="W153">
        <v>4.3000000000000002E-5</v>
      </c>
      <c r="X153">
        <v>4.3000000000000002E-5</v>
      </c>
      <c r="Y153">
        <v>4.3000000000000002E-5</v>
      </c>
      <c r="Z153">
        <v>4.3000000000000002E-5</v>
      </c>
      <c r="AA153">
        <v>4.3000000000000002E-5</v>
      </c>
      <c r="AB153">
        <v>4.3000000000000002E-5</v>
      </c>
      <c r="AC153">
        <v>4.3000000000000002E-5</v>
      </c>
      <c r="AD153">
        <v>4.3000000000000002E-5</v>
      </c>
      <c r="AE153">
        <v>4.3000000000000002E-5</v>
      </c>
      <c r="AF153">
        <v>4.3000000000000002E-5</v>
      </c>
      <c r="AG153">
        <v>4.3000000000000002E-5</v>
      </c>
      <c r="AH153">
        <v>4.3000000000000002E-5</v>
      </c>
      <c r="AI153">
        <v>4.3000000000000002E-5</v>
      </c>
      <c r="AJ153">
        <v>4.3000000000000002E-5</v>
      </c>
      <c r="AK153">
        <v>4.3000000000000002E-5</v>
      </c>
      <c r="AL153">
        <v>4.3000000000000002E-5</v>
      </c>
      <c r="AM153">
        <v>4.3000000000000002E-5</v>
      </c>
      <c r="AN153">
        <v>4.3000000000000002E-5</v>
      </c>
      <c r="AO153">
        <v>4.3000000000000002E-5</v>
      </c>
      <c r="AP153">
        <v>2.7099999999999997E-4</v>
      </c>
      <c r="AQ153">
        <v>2.7099999999999997E-4</v>
      </c>
      <c r="AR153">
        <v>2.7099999999999997E-4</v>
      </c>
      <c r="AS153">
        <v>2.7099999999999997E-4</v>
      </c>
      <c r="AT153">
        <v>2.7099999999999997E-4</v>
      </c>
      <c r="AU153">
        <v>4.3399999999999998E-4</v>
      </c>
      <c r="AV153">
        <v>4.3399999999999998E-4</v>
      </c>
      <c r="AW153">
        <v>4.3399999999999998E-4</v>
      </c>
      <c r="AX153">
        <v>4.3399999999999998E-4</v>
      </c>
      <c r="AY153">
        <v>4.3399999999999998E-4</v>
      </c>
      <c r="AZ153">
        <v>6.3000000000000003E-4</v>
      </c>
      <c r="BA153">
        <v>6.3000000000000003E-4</v>
      </c>
      <c r="BB153">
        <v>6.3000000000000003E-4</v>
      </c>
      <c r="BC153">
        <v>6.3000000000000003E-4</v>
      </c>
      <c r="BD153">
        <v>6.3000000000000003E-4</v>
      </c>
      <c r="BE153">
        <v>8.4099999999999995E-4</v>
      </c>
      <c r="BF153">
        <v>8.4099999999999995E-4</v>
      </c>
      <c r="BG153">
        <v>8.4099999999999995E-4</v>
      </c>
      <c r="BH153">
        <v>8.4099999999999995E-4</v>
      </c>
      <c r="BI153">
        <v>8.4099999999999995E-4</v>
      </c>
      <c r="BJ153">
        <v>1.054E-3</v>
      </c>
      <c r="BK153">
        <v>1.054E-3</v>
      </c>
      <c r="BL153">
        <v>1.054E-3</v>
      </c>
      <c r="BM153">
        <v>1.054E-3</v>
      </c>
      <c r="BN153">
        <v>1.054E-3</v>
      </c>
      <c r="BO153">
        <v>1.2509999999999999E-3</v>
      </c>
      <c r="BP153">
        <v>1.2509999999999999E-3</v>
      </c>
      <c r="BQ153">
        <v>1.2509999999999999E-3</v>
      </c>
      <c r="BR153">
        <v>1.2509999999999999E-3</v>
      </c>
      <c r="BS153">
        <v>1.2509999999999999E-3</v>
      </c>
      <c r="BT153">
        <v>1.4189999999999999E-3</v>
      </c>
      <c r="BU153">
        <v>1.4189999999999999E-3</v>
      </c>
      <c r="BV153">
        <v>1.4189999999999999E-3</v>
      </c>
      <c r="BW153">
        <v>1.4189999999999999E-3</v>
      </c>
      <c r="BX153">
        <v>1.4189999999999999E-3</v>
      </c>
      <c r="BY153">
        <v>1.578E-3</v>
      </c>
      <c r="BZ153">
        <v>1.578E-3</v>
      </c>
      <c r="CA153">
        <v>1.578E-3</v>
      </c>
      <c r="CB153">
        <v>1.578E-3</v>
      </c>
      <c r="CC153">
        <v>1.578E-3</v>
      </c>
      <c r="CD153">
        <v>1.578E-3</v>
      </c>
      <c r="CE153">
        <v>1.578E-3</v>
      </c>
      <c r="CF153">
        <v>1.578E-3</v>
      </c>
      <c r="CG153">
        <v>1.578E-3</v>
      </c>
      <c r="CH153">
        <v>1.578E-3</v>
      </c>
      <c r="CI153">
        <v>1.578E-3</v>
      </c>
      <c r="CJ153">
        <v>1.578E-3</v>
      </c>
      <c r="CK153">
        <v>1.578E-3</v>
      </c>
      <c r="CL153">
        <v>1.578E-3</v>
      </c>
      <c r="CM153">
        <v>1.578E-3</v>
      </c>
      <c r="CN153">
        <v>1.578E-3</v>
      </c>
      <c r="CO153">
        <v>1.578E-3</v>
      </c>
      <c r="CP153">
        <v>1.578E-3</v>
      </c>
      <c r="CQ153">
        <v>1.578E-3</v>
      </c>
      <c r="CR153">
        <v>1.578E-3</v>
      </c>
      <c r="CS153">
        <v>1.578E-3</v>
      </c>
      <c r="CT153">
        <v>1.578E-3</v>
      </c>
      <c r="CU153">
        <v>1.578E-3</v>
      </c>
      <c r="CV153">
        <v>1.578E-3</v>
      </c>
      <c r="CW153">
        <v>1.578E-3</v>
      </c>
      <c r="CX153">
        <v>1.578E-3</v>
      </c>
    </row>
    <row r="154" spans="1:102" x14ac:dyDescent="0.25">
      <c r="A154" t="s">
        <v>373</v>
      </c>
      <c r="B154" t="e">
        <v>#VALUE!</v>
      </c>
      <c r="C154" t="e">
        <v>#VALUE!</v>
      </c>
      <c r="D154" t="e">
        <v>#VALUE!</v>
      </c>
      <c r="E154" t="e">
        <v>#VALUE!</v>
      </c>
      <c r="F154" t="e">
        <v>#VALUE!</v>
      </c>
      <c r="G154" t="e">
        <v>#VALUE!</v>
      </c>
      <c r="H154" t="e">
        <v>#VALUE!</v>
      </c>
      <c r="I154" t="e">
        <v>#VALUE!</v>
      </c>
      <c r="J154" t="e">
        <v>#VALUE!</v>
      </c>
      <c r="K154" t="e">
        <v>#VALUE!</v>
      </c>
      <c r="L154" t="e">
        <v>#VALUE!</v>
      </c>
      <c r="M154" t="e">
        <v>#VALUE!</v>
      </c>
      <c r="N154" t="e">
        <v>#VALUE!</v>
      </c>
      <c r="O154" t="e">
        <v>#VALUE!</v>
      </c>
      <c r="P154" t="e">
        <v>#VALUE!</v>
      </c>
      <c r="Q154">
        <v>2.3E-5</v>
      </c>
      <c r="R154">
        <v>2.3E-5</v>
      </c>
      <c r="S154">
        <v>2.3E-5</v>
      </c>
      <c r="T154">
        <v>2.3E-5</v>
      </c>
      <c r="U154">
        <v>2.3E-5</v>
      </c>
      <c r="V154">
        <v>2.3E-5</v>
      </c>
      <c r="W154">
        <v>2.3E-5</v>
      </c>
      <c r="X154">
        <v>2.3E-5</v>
      </c>
      <c r="Y154">
        <v>2.3E-5</v>
      </c>
      <c r="Z154">
        <v>2.3E-5</v>
      </c>
      <c r="AA154">
        <v>2.3E-5</v>
      </c>
      <c r="AB154">
        <v>2.3E-5</v>
      </c>
      <c r="AC154">
        <v>2.3E-5</v>
      </c>
      <c r="AD154">
        <v>2.3E-5</v>
      </c>
      <c r="AE154">
        <v>2.3E-5</v>
      </c>
      <c r="AF154">
        <v>2.3E-5</v>
      </c>
      <c r="AG154">
        <v>2.3E-5</v>
      </c>
      <c r="AH154">
        <v>2.3E-5</v>
      </c>
      <c r="AI154">
        <v>2.3E-5</v>
      </c>
      <c r="AJ154">
        <v>2.3E-5</v>
      </c>
      <c r="AK154">
        <v>2.3E-5</v>
      </c>
      <c r="AL154">
        <v>2.3E-5</v>
      </c>
      <c r="AM154">
        <v>2.3E-5</v>
      </c>
      <c r="AN154">
        <v>2.3E-5</v>
      </c>
      <c r="AO154">
        <v>2.3E-5</v>
      </c>
      <c r="AP154">
        <v>1.1400000000000001E-4</v>
      </c>
      <c r="AQ154">
        <v>1.1400000000000001E-4</v>
      </c>
      <c r="AR154">
        <v>1.1400000000000001E-4</v>
      </c>
      <c r="AS154">
        <v>1.1400000000000001E-4</v>
      </c>
      <c r="AT154">
        <v>1.1400000000000001E-4</v>
      </c>
      <c r="AU154">
        <v>1.63E-4</v>
      </c>
      <c r="AV154">
        <v>1.63E-4</v>
      </c>
      <c r="AW154">
        <v>1.63E-4</v>
      </c>
      <c r="AX154">
        <v>1.63E-4</v>
      </c>
      <c r="AY154">
        <v>1.63E-4</v>
      </c>
      <c r="AZ154">
        <v>2.12E-4</v>
      </c>
      <c r="BA154">
        <v>2.12E-4</v>
      </c>
      <c r="BB154">
        <v>2.12E-4</v>
      </c>
      <c r="BC154">
        <v>2.12E-4</v>
      </c>
      <c r="BD154">
        <v>2.12E-4</v>
      </c>
      <c r="BE154">
        <v>2.43E-4</v>
      </c>
      <c r="BF154">
        <v>2.43E-4</v>
      </c>
      <c r="BG154">
        <v>2.43E-4</v>
      </c>
      <c r="BH154">
        <v>2.43E-4</v>
      </c>
      <c r="BI154">
        <v>2.43E-4</v>
      </c>
      <c r="BJ154">
        <v>2.5599999999999999E-4</v>
      </c>
      <c r="BK154">
        <v>2.5599999999999999E-4</v>
      </c>
      <c r="BL154">
        <v>2.5599999999999999E-4</v>
      </c>
      <c r="BM154">
        <v>2.5599999999999999E-4</v>
      </c>
      <c r="BN154">
        <v>2.5599999999999999E-4</v>
      </c>
      <c r="BO154">
        <v>2.7399999999999999E-4</v>
      </c>
      <c r="BP154">
        <v>2.7399999999999999E-4</v>
      </c>
      <c r="BQ154">
        <v>2.7399999999999999E-4</v>
      </c>
      <c r="BR154">
        <v>2.7399999999999999E-4</v>
      </c>
      <c r="BS154">
        <v>2.7399999999999999E-4</v>
      </c>
      <c r="BT154">
        <v>3.1100000000000002E-4</v>
      </c>
      <c r="BU154">
        <v>3.1100000000000002E-4</v>
      </c>
      <c r="BV154">
        <v>3.1100000000000002E-4</v>
      </c>
      <c r="BW154">
        <v>3.1100000000000002E-4</v>
      </c>
      <c r="BX154">
        <v>3.1100000000000002E-4</v>
      </c>
      <c r="BY154">
        <v>3.2000000000000003E-4</v>
      </c>
      <c r="BZ154">
        <v>3.2000000000000003E-4</v>
      </c>
      <c r="CA154">
        <v>3.2000000000000003E-4</v>
      </c>
      <c r="CB154">
        <v>3.2000000000000003E-4</v>
      </c>
      <c r="CC154">
        <v>3.2000000000000003E-4</v>
      </c>
      <c r="CD154">
        <v>3.2000000000000003E-4</v>
      </c>
      <c r="CE154">
        <v>3.2000000000000003E-4</v>
      </c>
      <c r="CF154">
        <v>3.2000000000000003E-4</v>
      </c>
      <c r="CG154">
        <v>3.2000000000000003E-4</v>
      </c>
      <c r="CH154">
        <v>3.2000000000000003E-4</v>
      </c>
      <c r="CI154">
        <v>3.2000000000000003E-4</v>
      </c>
      <c r="CJ154">
        <v>3.2000000000000003E-4</v>
      </c>
      <c r="CK154">
        <v>3.2000000000000003E-4</v>
      </c>
      <c r="CL154">
        <v>3.2000000000000003E-4</v>
      </c>
      <c r="CM154">
        <v>3.2000000000000003E-4</v>
      </c>
      <c r="CN154">
        <v>3.2000000000000003E-4</v>
      </c>
      <c r="CO154">
        <v>3.2000000000000003E-4</v>
      </c>
      <c r="CP154">
        <v>3.2000000000000003E-4</v>
      </c>
      <c r="CQ154">
        <v>3.2000000000000003E-4</v>
      </c>
      <c r="CR154">
        <v>3.2000000000000003E-4</v>
      </c>
      <c r="CS154">
        <v>3.2000000000000003E-4</v>
      </c>
      <c r="CT154">
        <v>3.2000000000000003E-4</v>
      </c>
      <c r="CU154">
        <v>3.2000000000000003E-4</v>
      </c>
      <c r="CV154">
        <v>3.2000000000000003E-4</v>
      </c>
      <c r="CW154">
        <v>3.2000000000000003E-4</v>
      </c>
      <c r="CX154">
        <v>3.2000000000000003E-4</v>
      </c>
    </row>
    <row r="155" spans="1:102" x14ac:dyDescent="0.25">
      <c r="A155" t="s">
        <v>375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4.3999999999999999E-5</v>
      </c>
      <c r="R155">
        <v>4.3999999999999999E-5</v>
      </c>
      <c r="S155">
        <v>4.3999999999999999E-5</v>
      </c>
      <c r="T155">
        <v>4.3999999999999999E-5</v>
      </c>
      <c r="U155">
        <v>4.3999999999999999E-5</v>
      </c>
      <c r="V155">
        <v>4.3999999999999999E-5</v>
      </c>
      <c r="W155">
        <v>4.3999999999999999E-5</v>
      </c>
      <c r="X155">
        <v>4.3999999999999999E-5</v>
      </c>
      <c r="Y155">
        <v>4.3999999999999999E-5</v>
      </c>
      <c r="Z155">
        <v>4.3999999999999999E-5</v>
      </c>
      <c r="AA155">
        <v>4.3999999999999999E-5</v>
      </c>
      <c r="AB155">
        <v>4.3999999999999999E-5</v>
      </c>
      <c r="AC155">
        <v>4.3999999999999999E-5</v>
      </c>
      <c r="AD155">
        <v>4.3999999999999999E-5</v>
      </c>
      <c r="AE155">
        <v>4.3999999999999999E-5</v>
      </c>
      <c r="AF155">
        <v>4.3999999999999999E-5</v>
      </c>
      <c r="AG155">
        <v>4.3999999999999999E-5</v>
      </c>
      <c r="AH155">
        <v>4.3999999999999999E-5</v>
      </c>
      <c r="AI155">
        <v>4.3999999999999999E-5</v>
      </c>
      <c r="AJ155">
        <v>4.3999999999999999E-5</v>
      </c>
      <c r="AK155">
        <v>4.3999999999999999E-5</v>
      </c>
      <c r="AL155">
        <v>4.3999999999999999E-5</v>
      </c>
      <c r="AM155">
        <v>4.3999999999999999E-5</v>
      </c>
      <c r="AN155">
        <v>4.3999999999999999E-5</v>
      </c>
      <c r="AO155">
        <v>4.3999999999999999E-5</v>
      </c>
      <c r="AP155">
        <v>2.4000000000000001E-4</v>
      </c>
      <c r="AQ155">
        <v>2.4000000000000001E-4</v>
      </c>
      <c r="AR155">
        <v>2.4000000000000001E-4</v>
      </c>
      <c r="AS155">
        <v>2.4000000000000001E-4</v>
      </c>
      <c r="AT155">
        <v>2.4000000000000001E-4</v>
      </c>
      <c r="AU155">
        <v>3.6900000000000002E-4</v>
      </c>
      <c r="AV155">
        <v>3.6900000000000002E-4</v>
      </c>
      <c r="AW155">
        <v>3.6900000000000002E-4</v>
      </c>
      <c r="AX155">
        <v>3.6900000000000002E-4</v>
      </c>
      <c r="AY155">
        <v>3.6900000000000002E-4</v>
      </c>
      <c r="AZ155">
        <v>5.1999999999999995E-4</v>
      </c>
      <c r="BA155">
        <v>5.1999999999999995E-4</v>
      </c>
      <c r="BB155">
        <v>5.1999999999999995E-4</v>
      </c>
      <c r="BC155">
        <v>5.1999999999999995E-4</v>
      </c>
      <c r="BD155">
        <v>5.1999999999999995E-4</v>
      </c>
      <c r="BE155">
        <v>6.7699999999999998E-4</v>
      </c>
      <c r="BF155">
        <v>6.7699999999999998E-4</v>
      </c>
      <c r="BG155">
        <v>6.7699999999999998E-4</v>
      </c>
      <c r="BH155">
        <v>6.7699999999999998E-4</v>
      </c>
      <c r="BI155">
        <v>6.7699999999999998E-4</v>
      </c>
      <c r="BJ155">
        <v>8.2899999999999998E-4</v>
      </c>
      <c r="BK155">
        <v>8.2899999999999998E-4</v>
      </c>
      <c r="BL155">
        <v>8.2899999999999998E-4</v>
      </c>
      <c r="BM155">
        <v>8.2899999999999998E-4</v>
      </c>
      <c r="BN155">
        <v>8.2899999999999998E-4</v>
      </c>
      <c r="BO155">
        <v>9.7400000000000004E-4</v>
      </c>
      <c r="BP155">
        <v>9.7400000000000004E-4</v>
      </c>
      <c r="BQ155">
        <v>9.7400000000000004E-4</v>
      </c>
      <c r="BR155">
        <v>9.7400000000000004E-4</v>
      </c>
      <c r="BS155">
        <v>9.7400000000000004E-4</v>
      </c>
      <c r="BT155">
        <v>1.096E-3</v>
      </c>
      <c r="BU155">
        <v>1.096E-3</v>
      </c>
      <c r="BV155">
        <v>1.096E-3</v>
      </c>
      <c r="BW155">
        <v>1.096E-3</v>
      </c>
      <c r="BX155">
        <v>1.096E-3</v>
      </c>
      <c r="BY155">
        <v>1.2260000000000001E-3</v>
      </c>
      <c r="BZ155">
        <v>1.2260000000000001E-3</v>
      </c>
      <c r="CA155">
        <v>1.2260000000000001E-3</v>
      </c>
      <c r="CB155">
        <v>1.2260000000000001E-3</v>
      </c>
      <c r="CC155">
        <v>1.2260000000000001E-3</v>
      </c>
      <c r="CD155">
        <v>1.2260000000000001E-3</v>
      </c>
      <c r="CE155">
        <v>1.2260000000000001E-3</v>
      </c>
      <c r="CF155">
        <v>1.2260000000000001E-3</v>
      </c>
      <c r="CG155">
        <v>1.2260000000000001E-3</v>
      </c>
      <c r="CH155">
        <v>1.2260000000000001E-3</v>
      </c>
      <c r="CI155">
        <v>1.2260000000000001E-3</v>
      </c>
      <c r="CJ155">
        <v>1.2260000000000001E-3</v>
      </c>
      <c r="CK155">
        <v>1.2260000000000001E-3</v>
      </c>
      <c r="CL155">
        <v>1.2260000000000001E-3</v>
      </c>
      <c r="CM155">
        <v>1.2260000000000001E-3</v>
      </c>
      <c r="CN155">
        <v>1.2260000000000001E-3</v>
      </c>
      <c r="CO155">
        <v>1.2260000000000001E-3</v>
      </c>
      <c r="CP155">
        <v>1.2260000000000001E-3</v>
      </c>
      <c r="CQ155">
        <v>1.2260000000000001E-3</v>
      </c>
      <c r="CR155">
        <v>1.2260000000000001E-3</v>
      </c>
      <c r="CS155">
        <v>1.2260000000000001E-3</v>
      </c>
      <c r="CT155">
        <v>1.2260000000000001E-3</v>
      </c>
      <c r="CU155">
        <v>1.2260000000000001E-3</v>
      </c>
      <c r="CV155">
        <v>1.2260000000000001E-3</v>
      </c>
      <c r="CW155">
        <v>1.2260000000000001E-3</v>
      </c>
      <c r="CX155">
        <v>1.2260000000000001E-3</v>
      </c>
    </row>
    <row r="156" spans="1:102" x14ac:dyDescent="0.25">
      <c r="A156" t="s">
        <v>377</v>
      </c>
      <c r="B156" t="e">
        <v>#VALUE!</v>
      </c>
      <c r="C156" t="e">
        <v>#VALUE!</v>
      </c>
      <c r="D156" t="e">
        <v>#VALUE!</v>
      </c>
      <c r="E156" t="e">
        <v>#VALUE!</v>
      </c>
      <c r="F156" t="e">
        <v>#VALUE!</v>
      </c>
      <c r="G156" t="e">
        <v>#VALUE!</v>
      </c>
      <c r="H156" t="e">
        <v>#VALUE!</v>
      </c>
      <c r="I156" t="e">
        <v>#VALUE!</v>
      </c>
      <c r="J156" t="e">
        <v>#VALUE!</v>
      </c>
      <c r="K156" t="e">
        <v>#VALUE!</v>
      </c>
      <c r="L156" t="e">
        <v>#VALUE!</v>
      </c>
      <c r="M156" t="e">
        <v>#VALUE!</v>
      </c>
      <c r="N156" t="e">
        <v>#VALUE!</v>
      </c>
      <c r="O156" t="e">
        <v>#VALUE!</v>
      </c>
      <c r="P156" t="e">
        <v>#VALUE!</v>
      </c>
      <c r="Q156">
        <v>4.5000000000000003E-5</v>
      </c>
      <c r="R156">
        <v>4.5000000000000003E-5</v>
      </c>
      <c r="S156">
        <v>4.5000000000000003E-5</v>
      </c>
      <c r="T156">
        <v>4.5000000000000003E-5</v>
      </c>
      <c r="U156">
        <v>4.5000000000000003E-5</v>
      </c>
      <c r="V156">
        <v>4.5000000000000003E-5</v>
      </c>
      <c r="W156">
        <v>4.5000000000000003E-5</v>
      </c>
      <c r="X156">
        <v>4.5000000000000003E-5</v>
      </c>
      <c r="Y156">
        <v>4.5000000000000003E-5</v>
      </c>
      <c r="Z156">
        <v>4.5000000000000003E-5</v>
      </c>
      <c r="AA156">
        <v>4.5000000000000003E-5</v>
      </c>
      <c r="AB156">
        <v>4.5000000000000003E-5</v>
      </c>
      <c r="AC156">
        <v>4.5000000000000003E-5</v>
      </c>
      <c r="AD156">
        <v>4.5000000000000003E-5</v>
      </c>
      <c r="AE156">
        <v>4.5000000000000003E-5</v>
      </c>
      <c r="AF156">
        <v>4.5000000000000003E-5</v>
      </c>
      <c r="AG156">
        <v>4.5000000000000003E-5</v>
      </c>
      <c r="AH156">
        <v>4.5000000000000003E-5</v>
      </c>
      <c r="AI156">
        <v>4.5000000000000003E-5</v>
      </c>
      <c r="AJ156">
        <v>4.5000000000000003E-5</v>
      </c>
      <c r="AK156">
        <v>4.5000000000000003E-5</v>
      </c>
      <c r="AL156">
        <v>4.5000000000000003E-5</v>
      </c>
      <c r="AM156">
        <v>4.5000000000000003E-5</v>
      </c>
      <c r="AN156">
        <v>4.5000000000000003E-5</v>
      </c>
      <c r="AO156">
        <v>4.5000000000000003E-5</v>
      </c>
      <c r="AP156">
        <v>2.3000000000000001E-4</v>
      </c>
      <c r="AQ156">
        <v>2.3000000000000001E-4</v>
      </c>
      <c r="AR156">
        <v>2.3000000000000001E-4</v>
      </c>
      <c r="AS156">
        <v>2.3000000000000001E-4</v>
      </c>
      <c r="AT156">
        <v>2.3000000000000001E-4</v>
      </c>
      <c r="AU156">
        <v>3.4200000000000002E-4</v>
      </c>
      <c r="AV156">
        <v>3.4200000000000002E-4</v>
      </c>
      <c r="AW156">
        <v>3.4200000000000002E-4</v>
      </c>
      <c r="AX156">
        <v>3.4200000000000002E-4</v>
      </c>
      <c r="AY156">
        <v>3.4200000000000002E-4</v>
      </c>
      <c r="AZ156">
        <v>5.1699999999999999E-4</v>
      </c>
      <c r="BA156">
        <v>5.1699999999999999E-4</v>
      </c>
      <c r="BB156">
        <v>5.1699999999999999E-4</v>
      </c>
      <c r="BC156">
        <v>5.1699999999999999E-4</v>
      </c>
      <c r="BD156">
        <v>5.1699999999999999E-4</v>
      </c>
      <c r="BE156">
        <v>7.1500000000000003E-4</v>
      </c>
      <c r="BF156">
        <v>7.1500000000000003E-4</v>
      </c>
      <c r="BG156">
        <v>7.1500000000000003E-4</v>
      </c>
      <c r="BH156">
        <v>7.1500000000000003E-4</v>
      </c>
      <c r="BI156">
        <v>7.1500000000000003E-4</v>
      </c>
      <c r="BJ156">
        <v>9.3899999999999995E-4</v>
      </c>
      <c r="BK156">
        <v>9.3899999999999995E-4</v>
      </c>
      <c r="BL156">
        <v>9.3899999999999995E-4</v>
      </c>
      <c r="BM156">
        <v>9.3899999999999995E-4</v>
      </c>
      <c r="BN156">
        <v>9.3899999999999995E-4</v>
      </c>
      <c r="BO156">
        <v>1.199E-3</v>
      </c>
      <c r="BP156">
        <v>1.199E-3</v>
      </c>
      <c r="BQ156">
        <v>1.199E-3</v>
      </c>
      <c r="BR156">
        <v>1.199E-3</v>
      </c>
      <c r="BS156">
        <v>1.199E-3</v>
      </c>
      <c r="BT156">
        <v>1.603E-3</v>
      </c>
      <c r="BU156">
        <v>1.603E-3</v>
      </c>
      <c r="BV156">
        <v>1.603E-3</v>
      </c>
      <c r="BW156">
        <v>1.603E-3</v>
      </c>
      <c r="BX156">
        <v>1.603E-3</v>
      </c>
      <c r="BY156">
        <v>1.9659999999999999E-3</v>
      </c>
      <c r="BZ156">
        <v>1.9659999999999999E-3</v>
      </c>
      <c r="CA156">
        <v>1.9659999999999999E-3</v>
      </c>
      <c r="CB156">
        <v>1.9659999999999999E-3</v>
      </c>
      <c r="CC156">
        <v>1.9659999999999999E-3</v>
      </c>
      <c r="CD156">
        <v>1.9659999999999999E-3</v>
      </c>
      <c r="CE156">
        <v>1.9659999999999999E-3</v>
      </c>
      <c r="CF156">
        <v>1.9659999999999999E-3</v>
      </c>
      <c r="CG156">
        <v>1.9659999999999999E-3</v>
      </c>
      <c r="CH156">
        <v>1.9659999999999999E-3</v>
      </c>
      <c r="CI156">
        <v>1.9659999999999999E-3</v>
      </c>
      <c r="CJ156">
        <v>1.9659999999999999E-3</v>
      </c>
      <c r="CK156">
        <v>1.9659999999999999E-3</v>
      </c>
      <c r="CL156">
        <v>1.9659999999999999E-3</v>
      </c>
      <c r="CM156">
        <v>1.9659999999999999E-3</v>
      </c>
      <c r="CN156">
        <v>1.9659999999999999E-3</v>
      </c>
      <c r="CO156">
        <v>1.9659999999999999E-3</v>
      </c>
      <c r="CP156">
        <v>1.9659999999999999E-3</v>
      </c>
      <c r="CQ156">
        <v>1.9659999999999999E-3</v>
      </c>
      <c r="CR156">
        <v>1.9659999999999999E-3</v>
      </c>
      <c r="CS156">
        <v>1.9659999999999999E-3</v>
      </c>
      <c r="CT156">
        <v>1.9659999999999999E-3</v>
      </c>
      <c r="CU156">
        <v>1.9659999999999999E-3</v>
      </c>
      <c r="CV156">
        <v>1.9659999999999999E-3</v>
      </c>
      <c r="CW156">
        <v>1.9659999999999999E-3</v>
      </c>
      <c r="CX156">
        <v>1.9659999999999999E-3</v>
      </c>
    </row>
    <row r="157" spans="1:102" x14ac:dyDescent="0.25">
      <c r="A157" t="s">
        <v>379</v>
      </c>
      <c r="B157" t="e">
        <v>#VALUE!</v>
      </c>
      <c r="C157" t="e">
        <v>#VALUE!</v>
      </c>
      <c r="D157" t="e">
        <v>#VALUE!</v>
      </c>
      <c r="E157" t="e">
        <v>#VALUE!</v>
      </c>
      <c r="F157" t="e">
        <v>#VALUE!</v>
      </c>
      <c r="G157" t="e">
        <v>#VALUE!</v>
      </c>
      <c r="H157" t="e">
        <v>#VALUE!</v>
      </c>
      <c r="I157" t="e">
        <v>#VALUE!</v>
      </c>
      <c r="J157" t="e">
        <v>#VALUE!</v>
      </c>
      <c r="K157" t="e">
        <v>#VALUE!</v>
      </c>
      <c r="L157" t="e">
        <v>#VALUE!</v>
      </c>
      <c r="M157" t="e">
        <v>#VALUE!</v>
      </c>
      <c r="N157" t="e">
        <v>#VALUE!</v>
      </c>
      <c r="O157" t="e">
        <v>#VALUE!</v>
      </c>
      <c r="P157" t="e">
        <v>#VALUE!</v>
      </c>
      <c r="Q157">
        <v>6.0000000000000002E-6</v>
      </c>
      <c r="R157">
        <v>6.0000000000000002E-6</v>
      </c>
      <c r="S157">
        <v>6.0000000000000002E-6</v>
      </c>
      <c r="T157">
        <v>6.0000000000000002E-6</v>
      </c>
      <c r="U157">
        <v>6.0000000000000002E-6</v>
      </c>
      <c r="V157">
        <v>6.0000000000000002E-6</v>
      </c>
      <c r="W157">
        <v>6.0000000000000002E-6</v>
      </c>
      <c r="X157">
        <v>6.0000000000000002E-6</v>
      </c>
      <c r="Y157">
        <v>6.0000000000000002E-6</v>
      </c>
      <c r="Z157">
        <v>6.0000000000000002E-6</v>
      </c>
      <c r="AA157">
        <v>6.0000000000000002E-6</v>
      </c>
      <c r="AB157">
        <v>6.0000000000000002E-6</v>
      </c>
      <c r="AC157">
        <v>6.0000000000000002E-6</v>
      </c>
      <c r="AD157">
        <v>6.0000000000000002E-6</v>
      </c>
      <c r="AE157">
        <v>6.0000000000000002E-6</v>
      </c>
      <c r="AF157">
        <v>6.0000000000000002E-6</v>
      </c>
      <c r="AG157">
        <v>6.0000000000000002E-6</v>
      </c>
      <c r="AH157">
        <v>6.0000000000000002E-6</v>
      </c>
      <c r="AI157">
        <v>6.0000000000000002E-6</v>
      </c>
      <c r="AJ157">
        <v>6.0000000000000002E-6</v>
      </c>
      <c r="AK157">
        <v>6.0000000000000002E-6</v>
      </c>
      <c r="AL157">
        <v>6.0000000000000002E-6</v>
      </c>
      <c r="AM157">
        <v>6.0000000000000002E-6</v>
      </c>
      <c r="AN157">
        <v>6.0000000000000002E-6</v>
      </c>
      <c r="AO157">
        <v>6.0000000000000002E-6</v>
      </c>
      <c r="AP157">
        <v>2.6999999999999999E-5</v>
      </c>
      <c r="AQ157">
        <v>2.6999999999999999E-5</v>
      </c>
      <c r="AR157">
        <v>2.6999999999999999E-5</v>
      </c>
      <c r="AS157">
        <v>2.6999999999999999E-5</v>
      </c>
      <c r="AT157">
        <v>2.6999999999999999E-5</v>
      </c>
      <c r="AU157">
        <v>3.8999999999999999E-5</v>
      </c>
      <c r="AV157">
        <v>3.8999999999999999E-5</v>
      </c>
      <c r="AW157">
        <v>3.8999999999999999E-5</v>
      </c>
      <c r="AX157">
        <v>3.8999999999999999E-5</v>
      </c>
      <c r="AY157">
        <v>3.8999999999999999E-5</v>
      </c>
      <c r="AZ157">
        <v>5.1E-5</v>
      </c>
      <c r="BA157">
        <v>5.1E-5</v>
      </c>
      <c r="BB157">
        <v>5.1E-5</v>
      </c>
      <c r="BC157">
        <v>5.1E-5</v>
      </c>
      <c r="BD157">
        <v>5.1E-5</v>
      </c>
      <c r="BE157">
        <v>5.8E-5</v>
      </c>
      <c r="BF157">
        <v>5.8E-5</v>
      </c>
      <c r="BG157">
        <v>5.8E-5</v>
      </c>
      <c r="BH157">
        <v>5.8E-5</v>
      </c>
      <c r="BI157">
        <v>5.8E-5</v>
      </c>
      <c r="BJ157">
        <v>7.4999999999999993E-5</v>
      </c>
      <c r="BK157">
        <v>7.4999999999999993E-5</v>
      </c>
      <c r="BL157">
        <v>7.4999999999999993E-5</v>
      </c>
      <c r="BM157">
        <v>7.4999999999999993E-5</v>
      </c>
      <c r="BN157">
        <v>7.4999999999999993E-5</v>
      </c>
      <c r="BO157">
        <v>1.21E-4</v>
      </c>
      <c r="BP157">
        <v>1.21E-4</v>
      </c>
      <c r="BQ157">
        <v>1.21E-4</v>
      </c>
      <c r="BR157">
        <v>1.21E-4</v>
      </c>
      <c r="BS157">
        <v>1.21E-4</v>
      </c>
      <c r="BT157">
        <v>1.75E-4</v>
      </c>
      <c r="BU157">
        <v>1.75E-4</v>
      </c>
      <c r="BV157">
        <v>1.75E-4</v>
      </c>
      <c r="BW157">
        <v>1.75E-4</v>
      </c>
      <c r="BX157">
        <v>1.75E-4</v>
      </c>
      <c r="BY157">
        <v>2.5599999999999999E-4</v>
      </c>
      <c r="BZ157">
        <v>2.5599999999999999E-4</v>
      </c>
      <c r="CA157">
        <v>2.5599999999999999E-4</v>
      </c>
      <c r="CB157">
        <v>2.5599999999999999E-4</v>
      </c>
      <c r="CC157">
        <v>2.5599999999999999E-4</v>
      </c>
      <c r="CD157">
        <v>2.5599999999999999E-4</v>
      </c>
      <c r="CE157">
        <v>2.5599999999999999E-4</v>
      </c>
      <c r="CF157">
        <v>2.5599999999999999E-4</v>
      </c>
      <c r="CG157">
        <v>2.5599999999999999E-4</v>
      </c>
      <c r="CH157">
        <v>2.5599999999999999E-4</v>
      </c>
      <c r="CI157">
        <v>2.5599999999999999E-4</v>
      </c>
      <c r="CJ157">
        <v>2.5599999999999999E-4</v>
      </c>
      <c r="CK157">
        <v>2.5599999999999999E-4</v>
      </c>
      <c r="CL157">
        <v>2.5599999999999999E-4</v>
      </c>
      <c r="CM157">
        <v>2.5599999999999999E-4</v>
      </c>
      <c r="CN157">
        <v>2.5599999999999999E-4</v>
      </c>
      <c r="CO157">
        <v>2.5599999999999999E-4</v>
      </c>
      <c r="CP157">
        <v>2.5599999999999999E-4</v>
      </c>
      <c r="CQ157">
        <v>2.5599999999999999E-4</v>
      </c>
      <c r="CR157">
        <v>2.5599999999999999E-4</v>
      </c>
      <c r="CS157">
        <v>2.5599999999999999E-4</v>
      </c>
      <c r="CT157">
        <v>2.5599999999999999E-4</v>
      </c>
      <c r="CU157">
        <v>2.5599999999999999E-4</v>
      </c>
      <c r="CV157">
        <v>2.5599999999999999E-4</v>
      </c>
      <c r="CW157">
        <v>2.5599999999999999E-4</v>
      </c>
      <c r="CX157">
        <v>2.5599999999999999E-4</v>
      </c>
    </row>
    <row r="158" spans="1:102" x14ac:dyDescent="0.25">
      <c r="A158" t="s">
        <v>381</v>
      </c>
      <c r="B158" t="e">
        <v>#VALUE!</v>
      </c>
      <c r="C158" t="e">
        <v>#VALUE!</v>
      </c>
      <c r="D158" t="e">
        <v>#VALUE!</v>
      </c>
      <c r="E158" t="e">
        <v>#VALUE!</v>
      </c>
      <c r="F158" t="e">
        <v>#VALUE!</v>
      </c>
      <c r="G158" t="e">
        <v>#VALUE!</v>
      </c>
      <c r="H158" t="e">
        <v>#VALUE!</v>
      </c>
      <c r="I158" t="e">
        <v>#VALUE!</v>
      </c>
      <c r="J158" t="e">
        <v>#VALUE!</v>
      </c>
      <c r="K158" t="e">
        <v>#VALUE!</v>
      </c>
      <c r="L158" t="e">
        <v>#VALUE!</v>
      </c>
      <c r="M158" t="e">
        <v>#VALUE!</v>
      </c>
      <c r="N158" t="e">
        <v>#VALUE!</v>
      </c>
      <c r="O158" t="e">
        <v>#VALUE!</v>
      </c>
      <c r="P158" t="e">
        <v>#VALUE!</v>
      </c>
      <c r="Q158">
        <v>1.5E-5</v>
      </c>
      <c r="R158">
        <v>1.5E-5</v>
      </c>
      <c r="S158">
        <v>1.5E-5</v>
      </c>
      <c r="T158">
        <v>1.5E-5</v>
      </c>
      <c r="U158">
        <v>1.5E-5</v>
      </c>
      <c r="V158">
        <v>1.5E-5</v>
      </c>
      <c r="W158">
        <v>1.5E-5</v>
      </c>
      <c r="X158">
        <v>1.5E-5</v>
      </c>
      <c r="Y158">
        <v>1.5E-5</v>
      </c>
      <c r="Z158">
        <v>1.5E-5</v>
      </c>
      <c r="AA158">
        <v>1.5E-5</v>
      </c>
      <c r="AB158">
        <v>1.5E-5</v>
      </c>
      <c r="AC158">
        <v>1.5E-5</v>
      </c>
      <c r="AD158">
        <v>1.5E-5</v>
      </c>
      <c r="AE158">
        <v>1.5E-5</v>
      </c>
      <c r="AF158">
        <v>1.5E-5</v>
      </c>
      <c r="AG158">
        <v>1.5E-5</v>
      </c>
      <c r="AH158">
        <v>1.5E-5</v>
      </c>
      <c r="AI158">
        <v>1.5E-5</v>
      </c>
      <c r="AJ158">
        <v>1.5E-5</v>
      </c>
      <c r="AK158">
        <v>1.5E-5</v>
      </c>
      <c r="AL158">
        <v>1.5E-5</v>
      </c>
      <c r="AM158">
        <v>1.5E-5</v>
      </c>
      <c r="AN158">
        <v>1.5E-5</v>
      </c>
      <c r="AO158">
        <v>1.5E-5</v>
      </c>
      <c r="AP158">
        <v>7.4999999999999993E-5</v>
      </c>
      <c r="AQ158">
        <v>7.4999999999999993E-5</v>
      </c>
      <c r="AR158">
        <v>7.4999999999999993E-5</v>
      </c>
      <c r="AS158">
        <v>7.4999999999999993E-5</v>
      </c>
      <c r="AT158">
        <v>7.4999999999999993E-5</v>
      </c>
      <c r="AU158">
        <v>1.0900000000000001E-4</v>
      </c>
      <c r="AV158">
        <v>1.0900000000000001E-4</v>
      </c>
      <c r="AW158">
        <v>1.0900000000000001E-4</v>
      </c>
      <c r="AX158">
        <v>1.0900000000000001E-4</v>
      </c>
      <c r="AY158">
        <v>1.0900000000000001E-4</v>
      </c>
      <c r="AZ158">
        <v>1.4200000000000001E-4</v>
      </c>
      <c r="BA158">
        <v>1.4200000000000001E-4</v>
      </c>
      <c r="BB158">
        <v>1.4200000000000001E-4</v>
      </c>
      <c r="BC158">
        <v>1.4200000000000001E-4</v>
      </c>
      <c r="BD158">
        <v>1.4200000000000001E-4</v>
      </c>
      <c r="BE158">
        <v>1.66E-4</v>
      </c>
      <c r="BF158">
        <v>1.66E-4</v>
      </c>
      <c r="BG158">
        <v>1.66E-4</v>
      </c>
      <c r="BH158">
        <v>1.66E-4</v>
      </c>
      <c r="BI158">
        <v>1.66E-4</v>
      </c>
      <c r="BJ158">
        <v>1.8000000000000001E-4</v>
      </c>
      <c r="BK158">
        <v>1.8000000000000001E-4</v>
      </c>
      <c r="BL158">
        <v>1.8000000000000001E-4</v>
      </c>
      <c r="BM158">
        <v>1.8000000000000001E-4</v>
      </c>
      <c r="BN158">
        <v>1.8000000000000001E-4</v>
      </c>
      <c r="BO158">
        <v>1.92E-4</v>
      </c>
      <c r="BP158">
        <v>1.92E-4</v>
      </c>
      <c r="BQ158">
        <v>1.92E-4</v>
      </c>
      <c r="BR158">
        <v>1.92E-4</v>
      </c>
      <c r="BS158">
        <v>1.92E-4</v>
      </c>
      <c r="BT158">
        <v>2.03E-4</v>
      </c>
      <c r="BU158">
        <v>2.03E-4</v>
      </c>
      <c r="BV158">
        <v>2.03E-4</v>
      </c>
      <c r="BW158">
        <v>2.03E-4</v>
      </c>
      <c r="BX158">
        <v>2.03E-4</v>
      </c>
      <c r="BY158">
        <v>2.2100000000000001E-4</v>
      </c>
      <c r="BZ158">
        <v>2.2100000000000001E-4</v>
      </c>
      <c r="CA158">
        <v>2.2100000000000001E-4</v>
      </c>
      <c r="CB158">
        <v>2.2100000000000001E-4</v>
      </c>
      <c r="CC158">
        <v>2.2100000000000001E-4</v>
      </c>
      <c r="CD158">
        <v>2.2100000000000001E-4</v>
      </c>
      <c r="CE158">
        <v>2.2100000000000001E-4</v>
      </c>
      <c r="CF158">
        <v>2.2100000000000001E-4</v>
      </c>
      <c r="CG158">
        <v>2.2100000000000001E-4</v>
      </c>
      <c r="CH158">
        <v>2.2100000000000001E-4</v>
      </c>
      <c r="CI158">
        <v>2.2100000000000001E-4</v>
      </c>
      <c r="CJ158">
        <v>2.2100000000000001E-4</v>
      </c>
      <c r="CK158">
        <v>2.2100000000000001E-4</v>
      </c>
      <c r="CL158">
        <v>2.2100000000000001E-4</v>
      </c>
      <c r="CM158">
        <v>2.2100000000000001E-4</v>
      </c>
      <c r="CN158">
        <v>2.2100000000000001E-4</v>
      </c>
      <c r="CO158">
        <v>2.2100000000000001E-4</v>
      </c>
      <c r="CP158">
        <v>2.2100000000000001E-4</v>
      </c>
      <c r="CQ158">
        <v>2.2100000000000001E-4</v>
      </c>
      <c r="CR158">
        <v>2.2100000000000001E-4</v>
      </c>
      <c r="CS158">
        <v>2.2100000000000001E-4</v>
      </c>
      <c r="CT158">
        <v>2.2100000000000001E-4</v>
      </c>
      <c r="CU158">
        <v>2.2100000000000001E-4</v>
      </c>
      <c r="CV158">
        <v>2.2100000000000001E-4</v>
      </c>
      <c r="CW158">
        <v>2.2100000000000001E-4</v>
      </c>
      <c r="CX158">
        <v>2.2100000000000001E-4</v>
      </c>
    </row>
    <row r="159" spans="1:102" x14ac:dyDescent="0.25">
      <c r="A159" t="s">
        <v>383</v>
      </c>
      <c r="B159" t="e">
        <v>#VALUE!</v>
      </c>
      <c r="C159" t="e">
        <v>#VALUE!</v>
      </c>
      <c r="D159" t="e">
        <v>#VALUE!</v>
      </c>
      <c r="E159" t="e">
        <v>#VALUE!</v>
      </c>
      <c r="F159" t="e">
        <v>#VALUE!</v>
      </c>
      <c r="G159" t="e">
        <v>#VALUE!</v>
      </c>
      <c r="H159" t="e">
        <v>#VALUE!</v>
      </c>
      <c r="I159" t="e">
        <v>#VALUE!</v>
      </c>
      <c r="J159" t="e">
        <v>#VALUE!</v>
      </c>
      <c r="K159" t="e">
        <v>#VALUE!</v>
      </c>
      <c r="L159" t="e">
        <v>#VALUE!</v>
      </c>
      <c r="M159" t="e">
        <v>#VALUE!</v>
      </c>
      <c r="N159" t="e">
        <v>#VALUE!</v>
      </c>
      <c r="O159" t="e">
        <v>#VALUE!</v>
      </c>
      <c r="P159" t="e">
        <v>#VALUE!</v>
      </c>
      <c r="Q159">
        <v>9.0000000000000002E-6</v>
      </c>
      <c r="R159">
        <v>9.0000000000000002E-6</v>
      </c>
      <c r="S159">
        <v>9.0000000000000002E-6</v>
      </c>
      <c r="T159">
        <v>9.0000000000000002E-6</v>
      </c>
      <c r="U159">
        <v>9.0000000000000002E-6</v>
      </c>
      <c r="V159">
        <v>9.0000000000000002E-6</v>
      </c>
      <c r="W159">
        <v>9.0000000000000002E-6</v>
      </c>
      <c r="X159">
        <v>9.0000000000000002E-6</v>
      </c>
      <c r="Y159">
        <v>9.0000000000000002E-6</v>
      </c>
      <c r="Z159">
        <v>9.0000000000000002E-6</v>
      </c>
      <c r="AA159">
        <v>9.0000000000000002E-6</v>
      </c>
      <c r="AB159">
        <v>9.0000000000000002E-6</v>
      </c>
      <c r="AC159">
        <v>9.0000000000000002E-6</v>
      </c>
      <c r="AD159">
        <v>9.0000000000000002E-6</v>
      </c>
      <c r="AE159">
        <v>9.0000000000000002E-6</v>
      </c>
      <c r="AF159">
        <v>9.0000000000000002E-6</v>
      </c>
      <c r="AG159">
        <v>9.0000000000000002E-6</v>
      </c>
      <c r="AH159">
        <v>9.0000000000000002E-6</v>
      </c>
      <c r="AI159">
        <v>9.0000000000000002E-6</v>
      </c>
      <c r="AJ159">
        <v>9.0000000000000002E-6</v>
      </c>
      <c r="AK159">
        <v>9.0000000000000002E-6</v>
      </c>
      <c r="AL159">
        <v>9.0000000000000002E-6</v>
      </c>
      <c r="AM159">
        <v>9.0000000000000002E-6</v>
      </c>
      <c r="AN159">
        <v>9.0000000000000002E-6</v>
      </c>
      <c r="AO159">
        <v>9.0000000000000002E-6</v>
      </c>
      <c r="AP159">
        <v>2.8E-5</v>
      </c>
      <c r="AQ159">
        <v>2.8E-5</v>
      </c>
      <c r="AR159">
        <v>2.8E-5</v>
      </c>
      <c r="AS159">
        <v>2.8E-5</v>
      </c>
      <c r="AT159">
        <v>2.8E-5</v>
      </c>
      <c r="AU159">
        <v>5.3000000000000001E-5</v>
      </c>
      <c r="AV159">
        <v>5.3000000000000001E-5</v>
      </c>
      <c r="AW159">
        <v>5.3000000000000001E-5</v>
      </c>
      <c r="AX159">
        <v>5.3000000000000001E-5</v>
      </c>
      <c r="AY159">
        <v>5.3000000000000001E-5</v>
      </c>
      <c r="AZ159">
        <v>7.7999999999999999E-5</v>
      </c>
      <c r="BA159">
        <v>7.7999999999999999E-5</v>
      </c>
      <c r="BB159">
        <v>7.7999999999999999E-5</v>
      </c>
      <c r="BC159">
        <v>7.7999999999999999E-5</v>
      </c>
      <c r="BD159">
        <v>7.7999999999999999E-5</v>
      </c>
      <c r="BE159">
        <v>9.2999999999999997E-5</v>
      </c>
      <c r="BF159">
        <v>9.2999999999999997E-5</v>
      </c>
      <c r="BG159">
        <v>9.2999999999999997E-5</v>
      </c>
      <c r="BH159">
        <v>9.2999999999999997E-5</v>
      </c>
      <c r="BI159">
        <v>9.2999999999999997E-5</v>
      </c>
      <c r="BJ159">
        <v>1.05E-4</v>
      </c>
      <c r="BK159">
        <v>1.05E-4</v>
      </c>
      <c r="BL159">
        <v>1.05E-4</v>
      </c>
      <c r="BM159">
        <v>1.05E-4</v>
      </c>
      <c r="BN159">
        <v>1.05E-4</v>
      </c>
      <c r="BO159">
        <v>9.6000000000000002E-5</v>
      </c>
      <c r="BP159">
        <v>9.6000000000000002E-5</v>
      </c>
      <c r="BQ159">
        <v>9.6000000000000002E-5</v>
      </c>
      <c r="BR159">
        <v>9.6000000000000002E-5</v>
      </c>
      <c r="BS159">
        <v>9.6000000000000002E-5</v>
      </c>
      <c r="BT159">
        <v>1.25E-4</v>
      </c>
      <c r="BU159">
        <v>1.25E-4</v>
      </c>
      <c r="BV159">
        <v>1.25E-4</v>
      </c>
      <c r="BW159">
        <v>1.25E-4</v>
      </c>
      <c r="BX159">
        <v>1.25E-4</v>
      </c>
      <c r="BY159">
        <v>2.1900000000000001E-4</v>
      </c>
      <c r="BZ159">
        <v>2.1900000000000001E-4</v>
      </c>
      <c r="CA159">
        <v>2.1900000000000001E-4</v>
      </c>
      <c r="CB159">
        <v>2.1900000000000001E-4</v>
      </c>
      <c r="CC159">
        <v>2.1900000000000001E-4</v>
      </c>
      <c r="CD159">
        <v>2.1900000000000001E-4</v>
      </c>
      <c r="CE159">
        <v>2.1900000000000001E-4</v>
      </c>
      <c r="CF159">
        <v>2.1900000000000001E-4</v>
      </c>
      <c r="CG159">
        <v>2.1900000000000001E-4</v>
      </c>
      <c r="CH159">
        <v>2.1900000000000001E-4</v>
      </c>
      <c r="CI159">
        <v>2.1900000000000001E-4</v>
      </c>
      <c r="CJ159">
        <v>2.1900000000000001E-4</v>
      </c>
      <c r="CK159">
        <v>2.1900000000000001E-4</v>
      </c>
      <c r="CL159">
        <v>2.1900000000000001E-4</v>
      </c>
      <c r="CM159">
        <v>2.1900000000000001E-4</v>
      </c>
      <c r="CN159">
        <v>2.1900000000000001E-4</v>
      </c>
      <c r="CO159">
        <v>2.1900000000000001E-4</v>
      </c>
      <c r="CP159">
        <v>2.1900000000000001E-4</v>
      </c>
      <c r="CQ159">
        <v>2.1900000000000001E-4</v>
      </c>
      <c r="CR159">
        <v>2.1900000000000001E-4</v>
      </c>
      <c r="CS159">
        <v>2.1900000000000001E-4</v>
      </c>
      <c r="CT159">
        <v>2.1900000000000001E-4</v>
      </c>
      <c r="CU159">
        <v>2.1900000000000001E-4</v>
      </c>
      <c r="CV159">
        <v>2.1900000000000001E-4</v>
      </c>
      <c r="CW159">
        <v>2.1900000000000001E-4</v>
      </c>
      <c r="CX159">
        <v>2.1900000000000001E-4</v>
      </c>
    </row>
    <row r="160" spans="1:102" x14ac:dyDescent="0.25">
      <c r="A160" t="s">
        <v>385</v>
      </c>
      <c r="B160" t="e">
        <v>#VALUE!</v>
      </c>
      <c r="C160" t="e">
        <v>#VALUE!</v>
      </c>
      <c r="D160" t="e">
        <v>#VALUE!</v>
      </c>
      <c r="E160" t="e">
        <v>#VALUE!</v>
      </c>
      <c r="F160" t="e">
        <v>#VALUE!</v>
      </c>
      <c r="G160" t="e">
        <v>#VALUE!</v>
      </c>
      <c r="H160" t="e">
        <v>#VALUE!</v>
      </c>
      <c r="I160" t="e">
        <v>#VALUE!</v>
      </c>
      <c r="J160" t="e">
        <v>#VALUE!</v>
      </c>
      <c r="K160" t="e">
        <v>#VALUE!</v>
      </c>
      <c r="L160" t="e">
        <v>#VALUE!</v>
      </c>
      <c r="M160" t="e">
        <v>#VALUE!</v>
      </c>
      <c r="N160" t="e">
        <v>#VALUE!</v>
      </c>
      <c r="O160" t="e">
        <v>#VALUE!</v>
      </c>
      <c r="P160" t="e">
        <v>#VALUE!</v>
      </c>
      <c r="Q160">
        <v>4.5000000000000003E-5</v>
      </c>
      <c r="R160">
        <v>4.5000000000000003E-5</v>
      </c>
      <c r="S160">
        <v>4.5000000000000003E-5</v>
      </c>
      <c r="T160">
        <v>4.5000000000000003E-5</v>
      </c>
      <c r="U160">
        <v>4.5000000000000003E-5</v>
      </c>
      <c r="V160">
        <v>4.5000000000000003E-5</v>
      </c>
      <c r="W160">
        <v>4.5000000000000003E-5</v>
      </c>
      <c r="X160">
        <v>4.5000000000000003E-5</v>
      </c>
      <c r="Y160">
        <v>4.5000000000000003E-5</v>
      </c>
      <c r="Z160">
        <v>4.5000000000000003E-5</v>
      </c>
      <c r="AA160">
        <v>4.5000000000000003E-5</v>
      </c>
      <c r="AB160">
        <v>4.5000000000000003E-5</v>
      </c>
      <c r="AC160">
        <v>4.5000000000000003E-5</v>
      </c>
      <c r="AD160">
        <v>4.5000000000000003E-5</v>
      </c>
      <c r="AE160">
        <v>4.5000000000000003E-5</v>
      </c>
      <c r="AF160">
        <v>4.5000000000000003E-5</v>
      </c>
      <c r="AG160">
        <v>4.5000000000000003E-5</v>
      </c>
      <c r="AH160">
        <v>4.5000000000000003E-5</v>
      </c>
      <c r="AI160">
        <v>4.5000000000000003E-5</v>
      </c>
      <c r="AJ160">
        <v>4.5000000000000003E-5</v>
      </c>
      <c r="AK160">
        <v>4.5000000000000003E-5</v>
      </c>
      <c r="AL160">
        <v>4.5000000000000003E-5</v>
      </c>
      <c r="AM160">
        <v>4.5000000000000003E-5</v>
      </c>
      <c r="AN160">
        <v>4.5000000000000003E-5</v>
      </c>
      <c r="AO160">
        <v>4.5000000000000003E-5</v>
      </c>
      <c r="AP160">
        <v>2.9799999999999998E-4</v>
      </c>
      <c r="AQ160">
        <v>2.9799999999999998E-4</v>
      </c>
      <c r="AR160">
        <v>2.9799999999999998E-4</v>
      </c>
      <c r="AS160">
        <v>2.9799999999999998E-4</v>
      </c>
      <c r="AT160">
        <v>2.9799999999999998E-4</v>
      </c>
      <c r="AU160">
        <v>3.7599999999999998E-4</v>
      </c>
      <c r="AV160">
        <v>3.7599999999999998E-4</v>
      </c>
      <c r="AW160">
        <v>3.7599999999999998E-4</v>
      </c>
      <c r="AX160">
        <v>3.7599999999999998E-4</v>
      </c>
      <c r="AY160">
        <v>3.7599999999999998E-4</v>
      </c>
      <c r="AZ160">
        <v>4.6500000000000003E-4</v>
      </c>
      <c r="BA160">
        <v>4.6500000000000003E-4</v>
      </c>
      <c r="BB160">
        <v>4.6500000000000003E-4</v>
      </c>
      <c r="BC160">
        <v>4.6500000000000003E-4</v>
      </c>
      <c r="BD160">
        <v>4.6500000000000003E-4</v>
      </c>
      <c r="BE160">
        <v>2.9700000000000001E-4</v>
      </c>
      <c r="BF160">
        <v>2.9700000000000001E-4</v>
      </c>
      <c r="BG160">
        <v>2.9700000000000001E-4</v>
      </c>
      <c r="BH160">
        <v>2.9700000000000001E-4</v>
      </c>
      <c r="BI160">
        <v>2.9700000000000001E-4</v>
      </c>
      <c r="BJ160">
        <v>1.098E-3</v>
      </c>
      <c r="BK160">
        <v>1.098E-3</v>
      </c>
      <c r="BL160">
        <v>1.098E-3</v>
      </c>
      <c r="BM160">
        <v>1.098E-3</v>
      </c>
      <c r="BN160">
        <v>1.098E-3</v>
      </c>
      <c r="BO160">
        <v>7.0600000000000003E-4</v>
      </c>
      <c r="BP160">
        <v>7.0600000000000003E-4</v>
      </c>
      <c r="BQ160">
        <v>7.0600000000000003E-4</v>
      </c>
      <c r="BR160">
        <v>7.0600000000000003E-4</v>
      </c>
      <c r="BS160">
        <v>7.0600000000000003E-4</v>
      </c>
      <c r="BT160">
        <v>3.8299999999999999E-4</v>
      </c>
      <c r="BU160">
        <v>3.8299999999999999E-4</v>
      </c>
      <c r="BV160">
        <v>3.8299999999999999E-4</v>
      </c>
      <c r="BW160">
        <v>3.8299999999999999E-4</v>
      </c>
      <c r="BX160">
        <v>3.8299999999999999E-4</v>
      </c>
      <c r="BY160">
        <v>7.3200000000000001E-4</v>
      </c>
      <c r="BZ160">
        <v>7.3200000000000001E-4</v>
      </c>
      <c r="CA160">
        <v>7.3200000000000001E-4</v>
      </c>
      <c r="CB160">
        <v>7.3200000000000001E-4</v>
      </c>
      <c r="CC160">
        <v>7.3200000000000001E-4</v>
      </c>
      <c r="CD160">
        <v>7.3200000000000001E-4</v>
      </c>
      <c r="CE160">
        <v>7.3200000000000001E-4</v>
      </c>
      <c r="CF160">
        <v>7.3200000000000001E-4</v>
      </c>
      <c r="CG160">
        <v>7.3200000000000001E-4</v>
      </c>
      <c r="CH160">
        <v>7.3200000000000001E-4</v>
      </c>
      <c r="CI160">
        <v>7.3200000000000001E-4</v>
      </c>
      <c r="CJ160">
        <v>7.3200000000000001E-4</v>
      </c>
      <c r="CK160">
        <v>7.3200000000000001E-4</v>
      </c>
      <c r="CL160">
        <v>7.3200000000000001E-4</v>
      </c>
      <c r="CM160">
        <v>7.3200000000000001E-4</v>
      </c>
      <c r="CN160">
        <v>7.3200000000000001E-4</v>
      </c>
      <c r="CO160">
        <v>7.3200000000000001E-4</v>
      </c>
      <c r="CP160">
        <v>7.3200000000000001E-4</v>
      </c>
      <c r="CQ160">
        <v>7.3200000000000001E-4</v>
      </c>
      <c r="CR160">
        <v>7.3200000000000001E-4</v>
      </c>
      <c r="CS160">
        <v>7.3200000000000001E-4</v>
      </c>
      <c r="CT160">
        <v>7.3200000000000001E-4</v>
      </c>
      <c r="CU160">
        <v>7.3200000000000001E-4</v>
      </c>
      <c r="CV160">
        <v>7.3200000000000001E-4</v>
      </c>
      <c r="CW160">
        <v>7.3200000000000001E-4</v>
      </c>
      <c r="CX160">
        <v>7.3200000000000001E-4</v>
      </c>
    </row>
    <row r="161" spans="1:102" x14ac:dyDescent="0.25">
      <c r="A161" t="s">
        <v>387</v>
      </c>
      <c r="B161" t="e">
        <v>#VALUE!</v>
      </c>
      <c r="C161" t="e">
        <v>#VALUE!</v>
      </c>
      <c r="D161" t="e">
        <v>#VALUE!</v>
      </c>
      <c r="E161" t="e">
        <v>#VALUE!</v>
      </c>
      <c r="F161" t="e">
        <v>#VALUE!</v>
      </c>
      <c r="G161" t="e">
        <v>#VALUE!</v>
      </c>
      <c r="H161" t="e">
        <v>#VALUE!</v>
      </c>
      <c r="I161" t="e">
        <v>#VALUE!</v>
      </c>
      <c r="J161" t="e">
        <v>#VALUE!</v>
      </c>
      <c r="K161" t="e">
        <v>#VALUE!</v>
      </c>
      <c r="L161" t="e">
        <v>#VALUE!</v>
      </c>
      <c r="M161" t="e">
        <v>#VALUE!</v>
      </c>
      <c r="N161" t="e">
        <v>#VALUE!</v>
      </c>
      <c r="O161" t="e">
        <v>#VALUE!</v>
      </c>
      <c r="P161" t="e">
        <v>#VALUE!</v>
      </c>
      <c r="Q161">
        <v>3.4999999999999997E-5</v>
      </c>
      <c r="R161">
        <v>3.4999999999999997E-5</v>
      </c>
      <c r="S161">
        <v>3.4999999999999997E-5</v>
      </c>
      <c r="T161">
        <v>3.4999999999999997E-5</v>
      </c>
      <c r="U161">
        <v>3.4999999999999997E-5</v>
      </c>
      <c r="V161">
        <v>3.4999999999999997E-5</v>
      </c>
      <c r="W161">
        <v>3.4999999999999997E-5</v>
      </c>
      <c r="X161">
        <v>3.4999999999999997E-5</v>
      </c>
      <c r="Y161">
        <v>3.4999999999999997E-5</v>
      </c>
      <c r="Z161">
        <v>3.4999999999999997E-5</v>
      </c>
      <c r="AA161">
        <v>3.4999999999999997E-5</v>
      </c>
      <c r="AB161">
        <v>3.4999999999999997E-5</v>
      </c>
      <c r="AC161">
        <v>3.4999999999999997E-5</v>
      </c>
      <c r="AD161">
        <v>3.4999999999999997E-5</v>
      </c>
      <c r="AE161">
        <v>3.4999999999999997E-5</v>
      </c>
      <c r="AF161">
        <v>3.4999999999999997E-5</v>
      </c>
      <c r="AG161">
        <v>3.4999999999999997E-5</v>
      </c>
      <c r="AH161">
        <v>3.4999999999999997E-5</v>
      </c>
      <c r="AI161">
        <v>3.4999999999999997E-5</v>
      </c>
      <c r="AJ161">
        <v>3.4999999999999997E-5</v>
      </c>
      <c r="AK161">
        <v>3.4999999999999997E-5</v>
      </c>
      <c r="AL161">
        <v>3.4999999999999997E-5</v>
      </c>
      <c r="AM161">
        <v>3.4999999999999997E-5</v>
      </c>
      <c r="AN161">
        <v>3.4999999999999997E-5</v>
      </c>
      <c r="AO161">
        <v>3.4999999999999997E-5</v>
      </c>
      <c r="AP161">
        <v>2.13E-4</v>
      </c>
      <c r="AQ161">
        <v>2.13E-4</v>
      </c>
      <c r="AR161">
        <v>2.13E-4</v>
      </c>
      <c r="AS161">
        <v>2.13E-4</v>
      </c>
      <c r="AT161">
        <v>2.13E-4</v>
      </c>
      <c r="AU161">
        <v>3.4400000000000001E-4</v>
      </c>
      <c r="AV161">
        <v>3.4400000000000001E-4</v>
      </c>
      <c r="AW161">
        <v>3.4400000000000001E-4</v>
      </c>
      <c r="AX161">
        <v>3.4400000000000001E-4</v>
      </c>
      <c r="AY161">
        <v>3.4400000000000001E-4</v>
      </c>
      <c r="AZ161">
        <v>5.0500000000000002E-4</v>
      </c>
      <c r="BA161">
        <v>5.0500000000000002E-4</v>
      </c>
      <c r="BB161">
        <v>5.0500000000000002E-4</v>
      </c>
      <c r="BC161">
        <v>5.0500000000000002E-4</v>
      </c>
      <c r="BD161">
        <v>5.0500000000000002E-4</v>
      </c>
      <c r="BE161">
        <v>6.7699999999999998E-4</v>
      </c>
      <c r="BF161">
        <v>6.7699999999999998E-4</v>
      </c>
      <c r="BG161">
        <v>6.7699999999999998E-4</v>
      </c>
      <c r="BH161">
        <v>6.7699999999999998E-4</v>
      </c>
      <c r="BI161">
        <v>6.7699999999999998E-4</v>
      </c>
      <c r="BJ161">
        <v>8.4400000000000002E-4</v>
      </c>
      <c r="BK161">
        <v>8.4400000000000002E-4</v>
      </c>
      <c r="BL161">
        <v>8.4400000000000002E-4</v>
      </c>
      <c r="BM161">
        <v>8.4400000000000002E-4</v>
      </c>
      <c r="BN161">
        <v>8.4400000000000002E-4</v>
      </c>
      <c r="BO161">
        <v>9.6599999999999995E-4</v>
      </c>
      <c r="BP161">
        <v>9.6599999999999995E-4</v>
      </c>
      <c r="BQ161">
        <v>9.6599999999999995E-4</v>
      </c>
      <c r="BR161">
        <v>9.6599999999999995E-4</v>
      </c>
      <c r="BS161">
        <v>9.6599999999999995E-4</v>
      </c>
      <c r="BT161">
        <v>1.0039999999999999E-3</v>
      </c>
      <c r="BU161">
        <v>1.0039999999999999E-3</v>
      </c>
      <c r="BV161">
        <v>1.0039999999999999E-3</v>
      </c>
      <c r="BW161">
        <v>1.0039999999999999E-3</v>
      </c>
      <c r="BX161">
        <v>1.0039999999999999E-3</v>
      </c>
      <c r="BY161">
        <v>9.7000000000000005E-4</v>
      </c>
      <c r="BZ161">
        <v>9.7000000000000005E-4</v>
      </c>
      <c r="CA161">
        <v>9.7000000000000005E-4</v>
      </c>
      <c r="CB161">
        <v>9.7000000000000005E-4</v>
      </c>
      <c r="CC161">
        <v>9.7000000000000005E-4</v>
      </c>
      <c r="CD161">
        <v>9.7000000000000005E-4</v>
      </c>
      <c r="CE161">
        <v>9.7000000000000005E-4</v>
      </c>
      <c r="CF161">
        <v>9.7000000000000005E-4</v>
      </c>
      <c r="CG161">
        <v>9.7000000000000005E-4</v>
      </c>
      <c r="CH161">
        <v>9.7000000000000005E-4</v>
      </c>
      <c r="CI161">
        <v>9.7000000000000005E-4</v>
      </c>
      <c r="CJ161">
        <v>9.7000000000000005E-4</v>
      </c>
      <c r="CK161">
        <v>9.7000000000000005E-4</v>
      </c>
      <c r="CL161">
        <v>9.7000000000000005E-4</v>
      </c>
      <c r="CM161">
        <v>9.7000000000000005E-4</v>
      </c>
      <c r="CN161">
        <v>9.7000000000000005E-4</v>
      </c>
      <c r="CO161">
        <v>9.7000000000000005E-4</v>
      </c>
      <c r="CP161">
        <v>9.7000000000000005E-4</v>
      </c>
      <c r="CQ161">
        <v>9.7000000000000005E-4</v>
      </c>
      <c r="CR161">
        <v>9.7000000000000005E-4</v>
      </c>
      <c r="CS161">
        <v>9.7000000000000005E-4</v>
      </c>
      <c r="CT161">
        <v>9.7000000000000005E-4</v>
      </c>
      <c r="CU161">
        <v>9.7000000000000005E-4</v>
      </c>
      <c r="CV161">
        <v>9.7000000000000005E-4</v>
      </c>
      <c r="CW161">
        <v>9.7000000000000005E-4</v>
      </c>
      <c r="CX161">
        <v>9.7000000000000005E-4</v>
      </c>
    </row>
    <row r="162" spans="1:102" x14ac:dyDescent="0.25">
      <c r="A162" t="s">
        <v>389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5.7000000000000003E-5</v>
      </c>
      <c r="R162">
        <v>5.7000000000000003E-5</v>
      </c>
      <c r="S162">
        <v>5.7000000000000003E-5</v>
      </c>
      <c r="T162">
        <v>5.7000000000000003E-5</v>
      </c>
      <c r="U162">
        <v>5.7000000000000003E-5</v>
      </c>
      <c r="V162">
        <v>5.7000000000000003E-5</v>
      </c>
      <c r="W162">
        <v>5.7000000000000003E-5</v>
      </c>
      <c r="X162">
        <v>5.7000000000000003E-5</v>
      </c>
      <c r="Y162">
        <v>5.7000000000000003E-5</v>
      </c>
      <c r="Z162">
        <v>5.7000000000000003E-5</v>
      </c>
      <c r="AA162">
        <v>5.7000000000000003E-5</v>
      </c>
      <c r="AB162">
        <v>5.7000000000000003E-5</v>
      </c>
      <c r="AC162">
        <v>5.7000000000000003E-5</v>
      </c>
      <c r="AD162">
        <v>5.7000000000000003E-5</v>
      </c>
      <c r="AE162">
        <v>5.7000000000000003E-5</v>
      </c>
      <c r="AF162">
        <v>5.7000000000000003E-5</v>
      </c>
      <c r="AG162">
        <v>5.7000000000000003E-5</v>
      </c>
      <c r="AH162">
        <v>5.7000000000000003E-5</v>
      </c>
      <c r="AI162">
        <v>5.7000000000000003E-5</v>
      </c>
      <c r="AJ162">
        <v>5.7000000000000003E-5</v>
      </c>
      <c r="AK162">
        <v>5.7000000000000003E-5</v>
      </c>
      <c r="AL162">
        <v>5.7000000000000003E-5</v>
      </c>
      <c r="AM162">
        <v>5.7000000000000003E-5</v>
      </c>
      <c r="AN162">
        <v>5.7000000000000003E-5</v>
      </c>
      <c r="AO162">
        <v>5.7000000000000003E-5</v>
      </c>
      <c r="AP162">
        <v>2.61E-4</v>
      </c>
      <c r="AQ162">
        <v>2.61E-4</v>
      </c>
      <c r="AR162">
        <v>2.61E-4</v>
      </c>
      <c r="AS162">
        <v>2.61E-4</v>
      </c>
      <c r="AT162">
        <v>2.61E-4</v>
      </c>
      <c r="AU162">
        <v>3.4299999999999999E-4</v>
      </c>
      <c r="AV162">
        <v>3.4299999999999999E-4</v>
      </c>
      <c r="AW162">
        <v>3.4299999999999999E-4</v>
      </c>
      <c r="AX162">
        <v>3.4299999999999999E-4</v>
      </c>
      <c r="AY162">
        <v>3.4299999999999999E-4</v>
      </c>
      <c r="AZ162">
        <v>4.0299999999999998E-4</v>
      </c>
      <c r="BA162">
        <v>4.0299999999999998E-4</v>
      </c>
      <c r="BB162">
        <v>4.0299999999999998E-4</v>
      </c>
      <c r="BC162">
        <v>4.0299999999999998E-4</v>
      </c>
      <c r="BD162">
        <v>4.0299999999999998E-4</v>
      </c>
      <c r="BE162">
        <v>4.6200000000000001E-4</v>
      </c>
      <c r="BF162">
        <v>4.6200000000000001E-4</v>
      </c>
      <c r="BG162">
        <v>4.6200000000000001E-4</v>
      </c>
      <c r="BH162">
        <v>4.6200000000000001E-4</v>
      </c>
      <c r="BI162">
        <v>4.6200000000000001E-4</v>
      </c>
      <c r="BJ162">
        <v>5.0500000000000002E-4</v>
      </c>
      <c r="BK162">
        <v>5.0500000000000002E-4</v>
      </c>
      <c r="BL162">
        <v>5.0500000000000002E-4</v>
      </c>
      <c r="BM162">
        <v>5.0500000000000002E-4</v>
      </c>
      <c r="BN162">
        <v>5.0500000000000002E-4</v>
      </c>
      <c r="BO162">
        <v>6.6399999999999999E-4</v>
      </c>
      <c r="BP162">
        <v>6.6399999999999999E-4</v>
      </c>
      <c r="BQ162">
        <v>6.6399999999999999E-4</v>
      </c>
      <c r="BR162">
        <v>6.6399999999999999E-4</v>
      </c>
      <c r="BS162">
        <v>6.6399999999999999E-4</v>
      </c>
      <c r="BT162">
        <v>9.2500000000000004E-4</v>
      </c>
      <c r="BU162">
        <v>9.2500000000000004E-4</v>
      </c>
      <c r="BV162">
        <v>9.2500000000000004E-4</v>
      </c>
      <c r="BW162">
        <v>9.2500000000000004E-4</v>
      </c>
      <c r="BX162">
        <v>9.2500000000000004E-4</v>
      </c>
      <c r="BY162">
        <v>1.2899999999999999E-3</v>
      </c>
      <c r="BZ162">
        <v>1.2899999999999999E-3</v>
      </c>
      <c r="CA162">
        <v>1.2899999999999999E-3</v>
      </c>
      <c r="CB162">
        <v>1.2899999999999999E-3</v>
      </c>
      <c r="CC162">
        <v>1.2899999999999999E-3</v>
      </c>
      <c r="CD162">
        <v>1.2899999999999999E-3</v>
      </c>
      <c r="CE162">
        <v>1.2899999999999999E-3</v>
      </c>
      <c r="CF162">
        <v>1.2899999999999999E-3</v>
      </c>
      <c r="CG162">
        <v>1.2899999999999999E-3</v>
      </c>
      <c r="CH162">
        <v>1.2899999999999999E-3</v>
      </c>
      <c r="CI162">
        <v>1.2899999999999999E-3</v>
      </c>
      <c r="CJ162">
        <v>1.2899999999999999E-3</v>
      </c>
      <c r="CK162">
        <v>1.2899999999999999E-3</v>
      </c>
      <c r="CL162">
        <v>1.2899999999999999E-3</v>
      </c>
      <c r="CM162">
        <v>1.2899999999999999E-3</v>
      </c>
      <c r="CN162">
        <v>1.2899999999999999E-3</v>
      </c>
      <c r="CO162">
        <v>1.2899999999999999E-3</v>
      </c>
      <c r="CP162">
        <v>1.2899999999999999E-3</v>
      </c>
      <c r="CQ162">
        <v>1.2899999999999999E-3</v>
      </c>
      <c r="CR162">
        <v>1.2899999999999999E-3</v>
      </c>
      <c r="CS162">
        <v>1.2899999999999999E-3</v>
      </c>
      <c r="CT162">
        <v>1.2899999999999999E-3</v>
      </c>
      <c r="CU162">
        <v>1.2899999999999999E-3</v>
      </c>
      <c r="CV162">
        <v>1.2899999999999999E-3</v>
      </c>
      <c r="CW162">
        <v>1.2899999999999999E-3</v>
      </c>
      <c r="CX162">
        <v>1.2899999999999999E-3</v>
      </c>
    </row>
    <row r="163" spans="1:102" x14ac:dyDescent="0.25">
      <c r="A163" t="s">
        <v>391</v>
      </c>
      <c r="B163" t="e">
        <v>#VALUE!</v>
      </c>
      <c r="C163" t="e">
        <v>#VALUE!</v>
      </c>
      <c r="D163" t="e">
        <v>#VALUE!</v>
      </c>
      <c r="E163" t="e">
        <v>#VALUE!</v>
      </c>
      <c r="F163" t="e">
        <v>#VALUE!</v>
      </c>
      <c r="G163" t="e">
        <v>#VALUE!</v>
      </c>
      <c r="H163" t="e">
        <v>#VALUE!</v>
      </c>
      <c r="I163" t="e">
        <v>#VALUE!</v>
      </c>
      <c r="J163" t="e">
        <v>#VALUE!</v>
      </c>
      <c r="K163" t="e">
        <v>#VALUE!</v>
      </c>
      <c r="L163" t="e">
        <v>#VALUE!</v>
      </c>
      <c r="M163" t="e">
        <v>#VALUE!</v>
      </c>
      <c r="N163" t="e">
        <v>#VALUE!</v>
      </c>
      <c r="O163" t="e">
        <v>#VALUE!</v>
      </c>
      <c r="P163" t="e">
        <v>#VALUE!</v>
      </c>
      <c r="Q163">
        <v>7.9999999999999996E-6</v>
      </c>
      <c r="R163">
        <v>7.9999999999999996E-6</v>
      </c>
      <c r="S163">
        <v>7.9999999999999996E-6</v>
      </c>
      <c r="T163">
        <v>7.9999999999999996E-6</v>
      </c>
      <c r="U163">
        <v>7.9999999999999996E-6</v>
      </c>
      <c r="V163">
        <v>7.9999999999999996E-6</v>
      </c>
      <c r="W163">
        <v>7.9999999999999996E-6</v>
      </c>
      <c r="X163">
        <v>7.9999999999999996E-6</v>
      </c>
      <c r="Y163">
        <v>7.9999999999999996E-6</v>
      </c>
      <c r="Z163">
        <v>7.9999999999999996E-6</v>
      </c>
      <c r="AA163">
        <v>7.9999999999999996E-6</v>
      </c>
      <c r="AB163">
        <v>7.9999999999999996E-6</v>
      </c>
      <c r="AC163">
        <v>7.9999999999999996E-6</v>
      </c>
      <c r="AD163">
        <v>7.9999999999999996E-6</v>
      </c>
      <c r="AE163">
        <v>7.9999999999999996E-6</v>
      </c>
      <c r="AF163">
        <v>7.9999999999999996E-6</v>
      </c>
      <c r="AG163">
        <v>7.9999999999999996E-6</v>
      </c>
      <c r="AH163">
        <v>7.9999999999999996E-6</v>
      </c>
      <c r="AI163">
        <v>7.9999999999999996E-6</v>
      </c>
      <c r="AJ163">
        <v>7.9999999999999996E-6</v>
      </c>
      <c r="AK163">
        <v>7.9999999999999996E-6</v>
      </c>
      <c r="AL163">
        <v>7.9999999999999996E-6</v>
      </c>
      <c r="AM163">
        <v>7.9999999999999996E-6</v>
      </c>
      <c r="AN163">
        <v>7.9999999999999996E-6</v>
      </c>
      <c r="AO163">
        <v>7.9999999999999996E-6</v>
      </c>
      <c r="AP163">
        <v>3.6000000000000001E-5</v>
      </c>
      <c r="AQ163">
        <v>3.6000000000000001E-5</v>
      </c>
      <c r="AR163">
        <v>3.6000000000000001E-5</v>
      </c>
      <c r="AS163">
        <v>3.6000000000000001E-5</v>
      </c>
      <c r="AT163">
        <v>3.6000000000000001E-5</v>
      </c>
      <c r="AU163">
        <v>4.6999999999999997E-5</v>
      </c>
      <c r="AV163">
        <v>4.6999999999999997E-5</v>
      </c>
      <c r="AW163">
        <v>4.6999999999999997E-5</v>
      </c>
      <c r="AX163">
        <v>4.6999999999999997E-5</v>
      </c>
      <c r="AY163">
        <v>4.6999999999999997E-5</v>
      </c>
      <c r="AZ163">
        <v>5.7000000000000003E-5</v>
      </c>
      <c r="BA163">
        <v>5.7000000000000003E-5</v>
      </c>
      <c r="BB163">
        <v>5.7000000000000003E-5</v>
      </c>
      <c r="BC163">
        <v>5.7000000000000003E-5</v>
      </c>
      <c r="BD163">
        <v>5.7000000000000003E-5</v>
      </c>
      <c r="BE163">
        <v>5.8999999999999998E-5</v>
      </c>
      <c r="BF163">
        <v>5.8999999999999998E-5</v>
      </c>
      <c r="BG163">
        <v>5.8999999999999998E-5</v>
      </c>
      <c r="BH163">
        <v>5.8999999999999998E-5</v>
      </c>
      <c r="BI163">
        <v>5.8999999999999998E-5</v>
      </c>
      <c r="BJ163">
        <v>6.0000000000000002E-5</v>
      </c>
      <c r="BK163">
        <v>6.0000000000000002E-5</v>
      </c>
      <c r="BL163">
        <v>6.0000000000000002E-5</v>
      </c>
      <c r="BM163">
        <v>6.0000000000000002E-5</v>
      </c>
      <c r="BN163">
        <v>6.0000000000000002E-5</v>
      </c>
      <c r="BO163">
        <v>6.2000000000000003E-5</v>
      </c>
      <c r="BP163">
        <v>6.2000000000000003E-5</v>
      </c>
      <c r="BQ163">
        <v>6.2000000000000003E-5</v>
      </c>
      <c r="BR163">
        <v>6.2000000000000003E-5</v>
      </c>
      <c r="BS163">
        <v>6.2000000000000003E-5</v>
      </c>
      <c r="BT163">
        <v>7.1000000000000005E-5</v>
      </c>
      <c r="BU163">
        <v>7.1000000000000005E-5</v>
      </c>
      <c r="BV163">
        <v>7.1000000000000005E-5</v>
      </c>
      <c r="BW163">
        <v>7.1000000000000005E-5</v>
      </c>
      <c r="BX163">
        <v>7.1000000000000005E-5</v>
      </c>
      <c r="BY163">
        <v>9.7E-5</v>
      </c>
      <c r="BZ163">
        <v>9.7E-5</v>
      </c>
      <c r="CA163">
        <v>9.7E-5</v>
      </c>
      <c r="CB163">
        <v>9.7E-5</v>
      </c>
      <c r="CC163">
        <v>9.7E-5</v>
      </c>
      <c r="CD163">
        <v>9.7E-5</v>
      </c>
      <c r="CE163">
        <v>9.7E-5</v>
      </c>
      <c r="CF163">
        <v>9.7E-5</v>
      </c>
      <c r="CG163">
        <v>9.7E-5</v>
      </c>
      <c r="CH163">
        <v>9.7E-5</v>
      </c>
      <c r="CI163">
        <v>9.7E-5</v>
      </c>
      <c r="CJ163">
        <v>9.7E-5</v>
      </c>
      <c r="CK163">
        <v>9.7E-5</v>
      </c>
      <c r="CL163">
        <v>9.7E-5</v>
      </c>
      <c r="CM163">
        <v>9.7E-5</v>
      </c>
      <c r="CN163">
        <v>9.7E-5</v>
      </c>
      <c r="CO163">
        <v>9.7E-5</v>
      </c>
      <c r="CP163">
        <v>9.7E-5</v>
      </c>
      <c r="CQ163">
        <v>9.7E-5</v>
      </c>
      <c r="CR163">
        <v>9.7E-5</v>
      </c>
      <c r="CS163">
        <v>9.7E-5</v>
      </c>
      <c r="CT163">
        <v>9.7E-5</v>
      </c>
      <c r="CU163">
        <v>9.7E-5</v>
      </c>
      <c r="CV163">
        <v>9.7E-5</v>
      </c>
      <c r="CW163">
        <v>9.7E-5</v>
      </c>
      <c r="CX163">
        <v>9.7E-5</v>
      </c>
    </row>
    <row r="164" spans="1:102" x14ac:dyDescent="0.25">
      <c r="A164" t="s">
        <v>393</v>
      </c>
      <c r="B164" t="e">
        <v>#VALUE!</v>
      </c>
      <c r="C164" t="e">
        <v>#VALUE!</v>
      </c>
      <c r="D164" t="e">
        <v>#VALUE!</v>
      </c>
      <c r="E164" t="e">
        <v>#VALUE!</v>
      </c>
      <c r="F164" t="e">
        <v>#VALUE!</v>
      </c>
      <c r="G164" t="e">
        <v>#VALUE!</v>
      </c>
      <c r="H164" t="e">
        <v>#VALUE!</v>
      </c>
      <c r="I164" t="e">
        <v>#VALUE!</v>
      </c>
      <c r="J164" t="e">
        <v>#VALUE!</v>
      </c>
      <c r="K164" t="e">
        <v>#VALUE!</v>
      </c>
      <c r="L164" t="e">
        <v>#VALUE!</v>
      </c>
      <c r="M164" t="e">
        <v>#VALUE!</v>
      </c>
      <c r="N164" t="e">
        <v>#VALUE!</v>
      </c>
      <c r="O164" t="e">
        <v>#VALUE!</v>
      </c>
      <c r="P164" t="e">
        <v>#VALUE!</v>
      </c>
      <c r="Q164">
        <v>3.0000000000000001E-6</v>
      </c>
      <c r="R164">
        <v>3.0000000000000001E-6</v>
      </c>
      <c r="S164">
        <v>3.0000000000000001E-6</v>
      </c>
      <c r="T164">
        <v>3.0000000000000001E-6</v>
      </c>
      <c r="U164">
        <v>3.0000000000000001E-6</v>
      </c>
      <c r="V164">
        <v>3.0000000000000001E-6</v>
      </c>
      <c r="W164">
        <v>3.0000000000000001E-6</v>
      </c>
      <c r="X164">
        <v>3.0000000000000001E-6</v>
      </c>
      <c r="Y164">
        <v>3.0000000000000001E-6</v>
      </c>
      <c r="Z164">
        <v>3.0000000000000001E-6</v>
      </c>
      <c r="AA164">
        <v>3.0000000000000001E-6</v>
      </c>
      <c r="AB164">
        <v>3.0000000000000001E-6</v>
      </c>
      <c r="AC164">
        <v>3.0000000000000001E-6</v>
      </c>
      <c r="AD164">
        <v>3.0000000000000001E-6</v>
      </c>
      <c r="AE164">
        <v>3.0000000000000001E-6</v>
      </c>
      <c r="AF164">
        <v>3.0000000000000001E-6</v>
      </c>
      <c r="AG164">
        <v>3.0000000000000001E-6</v>
      </c>
      <c r="AH164">
        <v>3.0000000000000001E-6</v>
      </c>
      <c r="AI164">
        <v>3.0000000000000001E-6</v>
      </c>
      <c r="AJ164">
        <v>3.0000000000000001E-6</v>
      </c>
      <c r="AK164">
        <v>3.0000000000000001E-6</v>
      </c>
      <c r="AL164">
        <v>3.0000000000000001E-6</v>
      </c>
      <c r="AM164">
        <v>3.0000000000000001E-6</v>
      </c>
      <c r="AN164">
        <v>3.0000000000000001E-6</v>
      </c>
      <c r="AO164">
        <v>3.0000000000000001E-6</v>
      </c>
      <c r="AP164">
        <v>4.5000000000000003E-5</v>
      </c>
      <c r="AQ164">
        <v>4.5000000000000003E-5</v>
      </c>
      <c r="AR164">
        <v>4.5000000000000003E-5</v>
      </c>
      <c r="AS164">
        <v>4.5000000000000003E-5</v>
      </c>
      <c r="AT164">
        <v>4.5000000000000003E-5</v>
      </c>
      <c r="AU164">
        <v>7.8999999999999996E-5</v>
      </c>
      <c r="AV164">
        <v>7.8999999999999996E-5</v>
      </c>
      <c r="AW164">
        <v>7.8999999999999996E-5</v>
      </c>
      <c r="AX164">
        <v>7.8999999999999996E-5</v>
      </c>
      <c r="AY164">
        <v>7.8999999999999996E-5</v>
      </c>
      <c r="AZ164">
        <v>1.1E-4</v>
      </c>
      <c r="BA164">
        <v>1.1E-4</v>
      </c>
      <c r="BB164">
        <v>1.1E-4</v>
      </c>
      <c r="BC164">
        <v>1.1E-4</v>
      </c>
      <c r="BD164">
        <v>1.1E-4</v>
      </c>
      <c r="BE164">
        <v>1.3999999999999999E-4</v>
      </c>
      <c r="BF164">
        <v>1.3999999999999999E-4</v>
      </c>
      <c r="BG164">
        <v>1.3999999999999999E-4</v>
      </c>
      <c r="BH164">
        <v>1.3999999999999999E-4</v>
      </c>
      <c r="BI164">
        <v>1.3999999999999999E-4</v>
      </c>
      <c r="BJ164">
        <v>1.8699999999999999E-4</v>
      </c>
      <c r="BK164">
        <v>1.8699999999999999E-4</v>
      </c>
      <c r="BL164">
        <v>1.8699999999999999E-4</v>
      </c>
      <c r="BM164">
        <v>1.8699999999999999E-4</v>
      </c>
      <c r="BN164">
        <v>1.8699999999999999E-4</v>
      </c>
      <c r="BO164">
        <v>2.5300000000000002E-4</v>
      </c>
      <c r="BP164">
        <v>2.5300000000000002E-4</v>
      </c>
      <c r="BQ164">
        <v>2.5300000000000002E-4</v>
      </c>
      <c r="BR164">
        <v>2.5300000000000002E-4</v>
      </c>
      <c r="BS164">
        <v>2.5300000000000002E-4</v>
      </c>
      <c r="BT164">
        <v>3.3599999999999998E-4</v>
      </c>
      <c r="BU164">
        <v>3.3599999999999998E-4</v>
      </c>
      <c r="BV164">
        <v>3.3599999999999998E-4</v>
      </c>
      <c r="BW164">
        <v>3.3599999999999998E-4</v>
      </c>
      <c r="BX164">
        <v>3.3599999999999998E-4</v>
      </c>
      <c r="BY164">
        <v>4.37E-4</v>
      </c>
      <c r="BZ164">
        <v>4.37E-4</v>
      </c>
      <c r="CA164">
        <v>4.37E-4</v>
      </c>
      <c r="CB164">
        <v>4.37E-4</v>
      </c>
      <c r="CC164">
        <v>4.37E-4</v>
      </c>
      <c r="CD164">
        <v>4.37E-4</v>
      </c>
      <c r="CE164">
        <v>4.37E-4</v>
      </c>
      <c r="CF164">
        <v>4.37E-4</v>
      </c>
      <c r="CG164">
        <v>4.37E-4</v>
      </c>
      <c r="CH164">
        <v>4.37E-4</v>
      </c>
      <c r="CI164">
        <v>4.37E-4</v>
      </c>
      <c r="CJ164">
        <v>4.37E-4</v>
      </c>
      <c r="CK164">
        <v>4.37E-4</v>
      </c>
      <c r="CL164">
        <v>4.37E-4</v>
      </c>
      <c r="CM164">
        <v>4.37E-4</v>
      </c>
      <c r="CN164">
        <v>4.37E-4</v>
      </c>
      <c r="CO164">
        <v>4.37E-4</v>
      </c>
      <c r="CP164">
        <v>4.37E-4</v>
      </c>
      <c r="CQ164">
        <v>4.37E-4</v>
      </c>
      <c r="CR164">
        <v>4.37E-4</v>
      </c>
      <c r="CS164">
        <v>4.37E-4</v>
      </c>
      <c r="CT164">
        <v>4.37E-4</v>
      </c>
      <c r="CU164">
        <v>4.37E-4</v>
      </c>
      <c r="CV164">
        <v>4.37E-4</v>
      </c>
      <c r="CW164">
        <v>4.37E-4</v>
      </c>
      <c r="CX164">
        <v>4.37E-4</v>
      </c>
    </row>
    <row r="165" spans="1:102" x14ac:dyDescent="0.25">
      <c r="A165" t="s">
        <v>395</v>
      </c>
      <c r="B165" t="e">
        <v>#VALUE!</v>
      </c>
      <c r="C165" t="e">
        <v>#VALUE!</v>
      </c>
      <c r="D165" t="e">
        <v>#VALUE!</v>
      </c>
      <c r="E165" t="e">
        <v>#VALUE!</v>
      </c>
      <c r="F165" t="e">
        <v>#VALUE!</v>
      </c>
      <c r="G165" t="e">
        <v>#VALUE!</v>
      </c>
      <c r="H165" t="e">
        <v>#VALUE!</v>
      </c>
      <c r="I165" t="e">
        <v>#VALUE!</v>
      </c>
      <c r="J165" t="e">
        <v>#VALUE!</v>
      </c>
      <c r="K165" t="e">
        <v>#VALUE!</v>
      </c>
      <c r="L165" t="e">
        <v>#VALUE!</v>
      </c>
      <c r="M165" t="e">
        <v>#VALUE!</v>
      </c>
      <c r="N165" t="e">
        <v>#VALUE!</v>
      </c>
      <c r="O165" t="e">
        <v>#VALUE!</v>
      </c>
      <c r="P165" t="e">
        <v>#VALUE!</v>
      </c>
      <c r="Q165">
        <v>3.9999999999999998E-6</v>
      </c>
      <c r="R165">
        <v>3.9999999999999998E-6</v>
      </c>
      <c r="S165">
        <v>3.9999999999999998E-6</v>
      </c>
      <c r="T165">
        <v>3.9999999999999998E-6</v>
      </c>
      <c r="U165">
        <v>3.9999999999999998E-6</v>
      </c>
      <c r="V165">
        <v>3.9999999999999998E-6</v>
      </c>
      <c r="W165">
        <v>3.9999999999999998E-6</v>
      </c>
      <c r="X165">
        <v>3.9999999999999998E-6</v>
      </c>
      <c r="Y165">
        <v>3.9999999999999998E-6</v>
      </c>
      <c r="Z165">
        <v>3.9999999999999998E-6</v>
      </c>
      <c r="AA165">
        <v>3.9999999999999998E-6</v>
      </c>
      <c r="AB165">
        <v>3.9999999999999998E-6</v>
      </c>
      <c r="AC165">
        <v>3.9999999999999998E-6</v>
      </c>
      <c r="AD165">
        <v>3.9999999999999998E-6</v>
      </c>
      <c r="AE165">
        <v>3.9999999999999998E-6</v>
      </c>
      <c r="AF165">
        <v>3.9999999999999998E-6</v>
      </c>
      <c r="AG165">
        <v>3.9999999999999998E-6</v>
      </c>
      <c r="AH165">
        <v>3.9999999999999998E-6</v>
      </c>
      <c r="AI165">
        <v>3.9999999999999998E-6</v>
      </c>
      <c r="AJ165">
        <v>3.9999999999999998E-6</v>
      </c>
      <c r="AK165">
        <v>3.9999999999999998E-6</v>
      </c>
      <c r="AL165">
        <v>3.9999999999999998E-6</v>
      </c>
      <c r="AM165">
        <v>3.9999999999999998E-6</v>
      </c>
      <c r="AN165">
        <v>3.9999999999999998E-6</v>
      </c>
      <c r="AO165">
        <v>3.9999999999999998E-6</v>
      </c>
      <c r="AP165">
        <v>3.1999999999999999E-5</v>
      </c>
      <c r="AQ165">
        <v>3.1999999999999999E-5</v>
      </c>
      <c r="AR165">
        <v>3.1999999999999999E-5</v>
      </c>
      <c r="AS165">
        <v>3.1999999999999999E-5</v>
      </c>
      <c r="AT165">
        <v>3.1999999999999999E-5</v>
      </c>
      <c r="AU165">
        <v>6.6000000000000005E-5</v>
      </c>
      <c r="AV165">
        <v>6.6000000000000005E-5</v>
      </c>
      <c r="AW165">
        <v>6.6000000000000005E-5</v>
      </c>
      <c r="AX165">
        <v>6.6000000000000005E-5</v>
      </c>
      <c r="AY165">
        <v>6.6000000000000005E-5</v>
      </c>
      <c r="AZ165">
        <v>1.12E-4</v>
      </c>
      <c r="BA165">
        <v>1.12E-4</v>
      </c>
      <c r="BB165">
        <v>1.12E-4</v>
      </c>
      <c r="BC165">
        <v>1.12E-4</v>
      </c>
      <c r="BD165">
        <v>1.12E-4</v>
      </c>
      <c r="BE165">
        <v>1.54E-4</v>
      </c>
      <c r="BF165">
        <v>1.54E-4</v>
      </c>
      <c r="BG165">
        <v>1.54E-4</v>
      </c>
      <c r="BH165">
        <v>1.54E-4</v>
      </c>
      <c r="BI165">
        <v>1.54E-4</v>
      </c>
      <c r="BJ165">
        <v>2.04E-4</v>
      </c>
      <c r="BK165">
        <v>2.04E-4</v>
      </c>
      <c r="BL165">
        <v>2.04E-4</v>
      </c>
      <c r="BM165">
        <v>2.04E-4</v>
      </c>
      <c r="BN165">
        <v>2.04E-4</v>
      </c>
      <c r="BO165">
        <v>2.7500000000000002E-4</v>
      </c>
      <c r="BP165">
        <v>2.7500000000000002E-4</v>
      </c>
      <c r="BQ165">
        <v>2.7500000000000002E-4</v>
      </c>
      <c r="BR165">
        <v>2.7500000000000002E-4</v>
      </c>
      <c r="BS165">
        <v>2.7500000000000002E-4</v>
      </c>
      <c r="BT165">
        <v>3.6900000000000002E-4</v>
      </c>
      <c r="BU165">
        <v>3.6900000000000002E-4</v>
      </c>
      <c r="BV165">
        <v>3.6900000000000002E-4</v>
      </c>
      <c r="BW165">
        <v>3.6900000000000002E-4</v>
      </c>
      <c r="BX165">
        <v>3.6900000000000002E-4</v>
      </c>
      <c r="BY165">
        <v>4.86E-4</v>
      </c>
      <c r="BZ165">
        <v>4.86E-4</v>
      </c>
      <c r="CA165">
        <v>4.86E-4</v>
      </c>
      <c r="CB165">
        <v>4.86E-4</v>
      </c>
      <c r="CC165">
        <v>4.86E-4</v>
      </c>
      <c r="CD165">
        <v>4.86E-4</v>
      </c>
      <c r="CE165">
        <v>4.86E-4</v>
      </c>
      <c r="CF165">
        <v>4.86E-4</v>
      </c>
      <c r="CG165">
        <v>4.86E-4</v>
      </c>
      <c r="CH165">
        <v>4.86E-4</v>
      </c>
      <c r="CI165">
        <v>4.86E-4</v>
      </c>
      <c r="CJ165">
        <v>4.86E-4</v>
      </c>
      <c r="CK165">
        <v>4.86E-4</v>
      </c>
      <c r="CL165">
        <v>4.86E-4</v>
      </c>
      <c r="CM165">
        <v>4.86E-4</v>
      </c>
      <c r="CN165">
        <v>4.86E-4</v>
      </c>
      <c r="CO165">
        <v>4.86E-4</v>
      </c>
      <c r="CP165">
        <v>4.86E-4</v>
      </c>
      <c r="CQ165">
        <v>4.86E-4</v>
      </c>
      <c r="CR165">
        <v>4.86E-4</v>
      </c>
      <c r="CS165">
        <v>4.86E-4</v>
      </c>
      <c r="CT165">
        <v>4.86E-4</v>
      </c>
      <c r="CU165">
        <v>4.86E-4</v>
      </c>
      <c r="CV165">
        <v>4.86E-4</v>
      </c>
      <c r="CW165">
        <v>4.86E-4</v>
      </c>
      <c r="CX165">
        <v>4.86E-4</v>
      </c>
    </row>
    <row r="166" spans="1:102" x14ac:dyDescent="0.25">
      <c r="A166" t="s">
        <v>397</v>
      </c>
      <c r="B166" t="e">
        <v>#VALUE!</v>
      </c>
      <c r="C166" t="e">
        <v>#VALUE!</v>
      </c>
      <c r="D166" t="e">
        <v>#VALUE!</v>
      </c>
      <c r="E166" t="e">
        <v>#VALUE!</v>
      </c>
      <c r="F166" t="e">
        <v>#VALUE!</v>
      </c>
      <c r="G166" t="e">
        <v>#VALUE!</v>
      </c>
      <c r="H166" t="e">
        <v>#VALUE!</v>
      </c>
      <c r="I166" t="e">
        <v>#VALUE!</v>
      </c>
      <c r="J166" t="e">
        <v>#VALUE!</v>
      </c>
      <c r="K166" t="e">
        <v>#VALUE!</v>
      </c>
      <c r="L166" t="e">
        <v>#VALUE!</v>
      </c>
      <c r="M166" t="e">
        <v>#VALUE!</v>
      </c>
      <c r="N166" t="e">
        <v>#VALUE!</v>
      </c>
      <c r="O166" t="e">
        <v>#VALUE!</v>
      </c>
      <c r="P166" t="e">
        <v>#VALUE!</v>
      </c>
      <c r="Q166">
        <v>3.4E-5</v>
      </c>
      <c r="R166">
        <v>3.4E-5</v>
      </c>
      <c r="S166">
        <v>3.4E-5</v>
      </c>
      <c r="T166">
        <v>3.4E-5</v>
      </c>
      <c r="U166">
        <v>3.4E-5</v>
      </c>
      <c r="V166">
        <v>3.4E-5</v>
      </c>
      <c r="W166">
        <v>3.4E-5</v>
      </c>
      <c r="X166">
        <v>3.4E-5</v>
      </c>
      <c r="Y166">
        <v>3.4E-5</v>
      </c>
      <c r="Z166">
        <v>3.4E-5</v>
      </c>
      <c r="AA166">
        <v>3.4E-5</v>
      </c>
      <c r="AB166">
        <v>3.4E-5</v>
      </c>
      <c r="AC166">
        <v>3.4E-5</v>
      </c>
      <c r="AD166">
        <v>3.4E-5</v>
      </c>
      <c r="AE166">
        <v>3.4E-5</v>
      </c>
      <c r="AF166">
        <v>3.4E-5</v>
      </c>
      <c r="AG166">
        <v>3.4E-5</v>
      </c>
      <c r="AH166">
        <v>3.4E-5</v>
      </c>
      <c r="AI166">
        <v>3.4E-5</v>
      </c>
      <c r="AJ166">
        <v>3.4E-5</v>
      </c>
      <c r="AK166">
        <v>3.4E-5</v>
      </c>
      <c r="AL166">
        <v>3.4E-5</v>
      </c>
      <c r="AM166">
        <v>3.4E-5</v>
      </c>
      <c r="AN166">
        <v>3.4E-5</v>
      </c>
      <c r="AO166">
        <v>3.4E-5</v>
      </c>
      <c r="AP166">
        <v>2.2499999999999999E-4</v>
      </c>
      <c r="AQ166">
        <v>2.2499999999999999E-4</v>
      </c>
      <c r="AR166">
        <v>2.2499999999999999E-4</v>
      </c>
      <c r="AS166">
        <v>2.2499999999999999E-4</v>
      </c>
      <c r="AT166">
        <v>2.2499999999999999E-4</v>
      </c>
      <c r="AU166">
        <v>3.6499999999999998E-4</v>
      </c>
      <c r="AV166">
        <v>3.6499999999999998E-4</v>
      </c>
      <c r="AW166">
        <v>3.6499999999999998E-4</v>
      </c>
      <c r="AX166">
        <v>3.6499999999999998E-4</v>
      </c>
      <c r="AY166">
        <v>3.6499999999999998E-4</v>
      </c>
      <c r="AZ166">
        <v>5.3799999999999996E-4</v>
      </c>
      <c r="BA166">
        <v>5.3799999999999996E-4</v>
      </c>
      <c r="BB166">
        <v>5.3799999999999996E-4</v>
      </c>
      <c r="BC166">
        <v>5.3799999999999996E-4</v>
      </c>
      <c r="BD166">
        <v>5.3799999999999996E-4</v>
      </c>
      <c r="BE166">
        <v>7.0200000000000004E-4</v>
      </c>
      <c r="BF166">
        <v>7.0200000000000004E-4</v>
      </c>
      <c r="BG166">
        <v>7.0200000000000004E-4</v>
      </c>
      <c r="BH166">
        <v>7.0200000000000004E-4</v>
      </c>
      <c r="BI166">
        <v>7.0200000000000004E-4</v>
      </c>
      <c r="BJ166">
        <v>8.3900000000000001E-4</v>
      </c>
      <c r="BK166">
        <v>8.3900000000000001E-4</v>
      </c>
      <c r="BL166">
        <v>8.3900000000000001E-4</v>
      </c>
      <c r="BM166">
        <v>8.3900000000000001E-4</v>
      </c>
      <c r="BN166">
        <v>8.3900000000000001E-4</v>
      </c>
      <c r="BO166">
        <v>9.4899999999999997E-4</v>
      </c>
      <c r="BP166">
        <v>9.4899999999999997E-4</v>
      </c>
      <c r="BQ166">
        <v>9.4899999999999997E-4</v>
      </c>
      <c r="BR166">
        <v>9.4899999999999997E-4</v>
      </c>
      <c r="BS166">
        <v>9.4899999999999997E-4</v>
      </c>
      <c r="BT166">
        <v>9.6699999999999998E-4</v>
      </c>
      <c r="BU166">
        <v>9.6699999999999998E-4</v>
      </c>
      <c r="BV166">
        <v>9.6699999999999998E-4</v>
      </c>
      <c r="BW166">
        <v>9.6699999999999998E-4</v>
      </c>
      <c r="BX166">
        <v>9.6699999999999998E-4</v>
      </c>
      <c r="BY166">
        <v>9.2100000000000005E-4</v>
      </c>
      <c r="BZ166">
        <v>9.2100000000000005E-4</v>
      </c>
      <c r="CA166">
        <v>9.2100000000000005E-4</v>
      </c>
      <c r="CB166">
        <v>9.2100000000000005E-4</v>
      </c>
      <c r="CC166">
        <v>9.2100000000000005E-4</v>
      </c>
      <c r="CD166">
        <v>9.2100000000000005E-4</v>
      </c>
      <c r="CE166">
        <v>9.2100000000000005E-4</v>
      </c>
      <c r="CF166">
        <v>9.2100000000000005E-4</v>
      </c>
      <c r="CG166">
        <v>9.2100000000000005E-4</v>
      </c>
      <c r="CH166">
        <v>9.2100000000000005E-4</v>
      </c>
      <c r="CI166">
        <v>9.2100000000000005E-4</v>
      </c>
      <c r="CJ166">
        <v>9.2100000000000005E-4</v>
      </c>
      <c r="CK166">
        <v>9.2100000000000005E-4</v>
      </c>
      <c r="CL166">
        <v>9.2100000000000005E-4</v>
      </c>
      <c r="CM166">
        <v>9.2100000000000005E-4</v>
      </c>
      <c r="CN166">
        <v>9.2100000000000005E-4</v>
      </c>
      <c r="CO166">
        <v>9.2100000000000005E-4</v>
      </c>
      <c r="CP166">
        <v>9.2100000000000005E-4</v>
      </c>
      <c r="CQ166">
        <v>9.2100000000000005E-4</v>
      </c>
      <c r="CR166">
        <v>9.2100000000000005E-4</v>
      </c>
      <c r="CS166">
        <v>9.2100000000000005E-4</v>
      </c>
      <c r="CT166">
        <v>9.2100000000000005E-4</v>
      </c>
      <c r="CU166">
        <v>9.2100000000000005E-4</v>
      </c>
      <c r="CV166">
        <v>9.2100000000000005E-4</v>
      </c>
      <c r="CW166">
        <v>9.2100000000000005E-4</v>
      </c>
      <c r="CX166">
        <v>9.2100000000000005E-4</v>
      </c>
    </row>
    <row r="167" spans="1:102" x14ac:dyDescent="0.25">
      <c r="A167" t="s">
        <v>399</v>
      </c>
      <c r="B167" t="e">
        <v>#VALUE!</v>
      </c>
      <c r="C167" t="e">
        <v>#VALUE!</v>
      </c>
      <c r="D167" t="e">
        <v>#VALUE!</v>
      </c>
      <c r="E167" t="e">
        <v>#VALUE!</v>
      </c>
      <c r="F167" t="e">
        <v>#VALUE!</v>
      </c>
      <c r="G167" t="e">
        <v>#VALUE!</v>
      </c>
      <c r="H167" t="e">
        <v>#VALUE!</v>
      </c>
      <c r="I167" t="e">
        <v>#VALUE!</v>
      </c>
      <c r="J167" t="e">
        <v>#VALUE!</v>
      </c>
      <c r="K167" t="e">
        <v>#VALUE!</v>
      </c>
      <c r="L167" t="e">
        <v>#VALUE!</v>
      </c>
      <c r="M167" t="e">
        <v>#VALUE!</v>
      </c>
      <c r="N167" t="e">
        <v>#VALUE!</v>
      </c>
      <c r="O167" t="e">
        <v>#VALUE!</v>
      </c>
      <c r="P167" t="e">
        <v>#VALUE!</v>
      </c>
      <c r="Q167">
        <v>3.8000000000000002E-5</v>
      </c>
      <c r="R167">
        <v>3.8000000000000002E-5</v>
      </c>
      <c r="S167">
        <v>3.8000000000000002E-5</v>
      </c>
      <c r="T167">
        <v>3.8000000000000002E-5</v>
      </c>
      <c r="U167">
        <v>3.8000000000000002E-5</v>
      </c>
      <c r="V167">
        <v>3.8000000000000002E-5</v>
      </c>
      <c r="W167">
        <v>3.8000000000000002E-5</v>
      </c>
      <c r="X167">
        <v>3.8000000000000002E-5</v>
      </c>
      <c r="Y167">
        <v>3.8000000000000002E-5</v>
      </c>
      <c r="Z167">
        <v>3.8000000000000002E-5</v>
      </c>
      <c r="AA167">
        <v>3.8000000000000002E-5</v>
      </c>
      <c r="AB167">
        <v>3.8000000000000002E-5</v>
      </c>
      <c r="AC167">
        <v>3.8000000000000002E-5</v>
      </c>
      <c r="AD167">
        <v>3.8000000000000002E-5</v>
      </c>
      <c r="AE167">
        <v>3.8000000000000002E-5</v>
      </c>
      <c r="AF167">
        <v>3.8000000000000002E-5</v>
      </c>
      <c r="AG167">
        <v>3.8000000000000002E-5</v>
      </c>
      <c r="AH167">
        <v>3.8000000000000002E-5</v>
      </c>
      <c r="AI167">
        <v>3.8000000000000002E-5</v>
      </c>
      <c r="AJ167">
        <v>3.8000000000000002E-5</v>
      </c>
      <c r="AK167">
        <v>3.8000000000000002E-5</v>
      </c>
      <c r="AL167">
        <v>3.8000000000000002E-5</v>
      </c>
      <c r="AM167">
        <v>3.8000000000000002E-5</v>
      </c>
      <c r="AN167">
        <v>3.8000000000000002E-5</v>
      </c>
      <c r="AO167">
        <v>3.8000000000000002E-5</v>
      </c>
      <c r="AP167">
        <v>1.6699999999999999E-4</v>
      </c>
      <c r="AQ167">
        <v>1.6699999999999999E-4</v>
      </c>
      <c r="AR167">
        <v>1.6699999999999999E-4</v>
      </c>
      <c r="AS167">
        <v>1.6699999999999999E-4</v>
      </c>
      <c r="AT167">
        <v>1.6699999999999999E-4</v>
      </c>
      <c r="AU167">
        <v>2.8899999999999998E-4</v>
      </c>
      <c r="AV167">
        <v>2.8899999999999998E-4</v>
      </c>
      <c r="AW167">
        <v>2.8899999999999998E-4</v>
      </c>
      <c r="AX167">
        <v>2.8899999999999998E-4</v>
      </c>
      <c r="AY167">
        <v>2.8899999999999998E-4</v>
      </c>
      <c r="AZ167">
        <v>2.7E-4</v>
      </c>
      <c r="BA167">
        <v>2.7E-4</v>
      </c>
      <c r="BB167">
        <v>2.7E-4</v>
      </c>
      <c r="BC167">
        <v>2.7E-4</v>
      </c>
      <c r="BD167">
        <v>2.7E-4</v>
      </c>
      <c r="BE167">
        <v>9.1000000000000003E-5</v>
      </c>
      <c r="BF167">
        <v>9.1000000000000003E-5</v>
      </c>
      <c r="BG167">
        <v>9.1000000000000003E-5</v>
      </c>
      <c r="BH167">
        <v>9.1000000000000003E-5</v>
      </c>
      <c r="BI167">
        <v>9.1000000000000003E-5</v>
      </c>
      <c r="BJ167">
        <v>7.1299999999999998E-4</v>
      </c>
      <c r="BK167">
        <v>7.1299999999999998E-4</v>
      </c>
      <c r="BL167">
        <v>7.1299999999999998E-4</v>
      </c>
      <c r="BM167">
        <v>7.1299999999999998E-4</v>
      </c>
      <c r="BN167">
        <v>7.1299999999999998E-4</v>
      </c>
      <c r="BO167">
        <v>8.9400000000000005E-4</v>
      </c>
      <c r="BP167">
        <v>8.9400000000000005E-4</v>
      </c>
      <c r="BQ167">
        <v>8.9400000000000005E-4</v>
      </c>
      <c r="BR167">
        <v>8.9400000000000005E-4</v>
      </c>
      <c r="BS167">
        <v>8.9400000000000005E-4</v>
      </c>
      <c r="BT167">
        <v>9.1699999999999995E-4</v>
      </c>
      <c r="BU167">
        <v>9.1699999999999995E-4</v>
      </c>
      <c r="BV167">
        <v>9.1699999999999995E-4</v>
      </c>
      <c r="BW167">
        <v>9.1699999999999995E-4</v>
      </c>
      <c r="BX167">
        <v>9.1699999999999995E-4</v>
      </c>
      <c r="BY167">
        <v>1.238E-3</v>
      </c>
      <c r="BZ167">
        <v>1.238E-3</v>
      </c>
      <c r="CA167">
        <v>1.238E-3</v>
      </c>
      <c r="CB167">
        <v>1.238E-3</v>
      </c>
      <c r="CC167">
        <v>1.238E-3</v>
      </c>
      <c r="CD167">
        <v>1.238E-3</v>
      </c>
      <c r="CE167">
        <v>1.238E-3</v>
      </c>
      <c r="CF167">
        <v>1.238E-3</v>
      </c>
      <c r="CG167">
        <v>1.238E-3</v>
      </c>
      <c r="CH167">
        <v>1.238E-3</v>
      </c>
      <c r="CI167">
        <v>1.238E-3</v>
      </c>
      <c r="CJ167">
        <v>1.238E-3</v>
      </c>
      <c r="CK167">
        <v>1.238E-3</v>
      </c>
      <c r="CL167">
        <v>1.238E-3</v>
      </c>
      <c r="CM167">
        <v>1.238E-3</v>
      </c>
      <c r="CN167">
        <v>1.238E-3</v>
      </c>
      <c r="CO167">
        <v>1.238E-3</v>
      </c>
      <c r="CP167">
        <v>1.238E-3</v>
      </c>
      <c r="CQ167">
        <v>1.238E-3</v>
      </c>
      <c r="CR167">
        <v>1.238E-3</v>
      </c>
      <c r="CS167">
        <v>1.238E-3</v>
      </c>
      <c r="CT167">
        <v>1.238E-3</v>
      </c>
      <c r="CU167">
        <v>1.238E-3</v>
      </c>
      <c r="CV167">
        <v>1.238E-3</v>
      </c>
      <c r="CW167">
        <v>1.238E-3</v>
      </c>
      <c r="CX167">
        <v>1.238E-3</v>
      </c>
    </row>
    <row r="168" spans="1:102" x14ac:dyDescent="0.25">
      <c r="A168" t="s">
        <v>401</v>
      </c>
      <c r="B168" t="e">
        <v>#VALUE!</v>
      </c>
      <c r="C168" t="e">
        <v>#VALUE!</v>
      </c>
      <c r="D168" t="e">
        <v>#VALUE!</v>
      </c>
      <c r="E168" t="e">
        <v>#VALUE!</v>
      </c>
      <c r="F168" t="e">
        <v>#VALUE!</v>
      </c>
      <c r="G168" t="e">
        <v>#VALUE!</v>
      </c>
      <c r="H168" t="e">
        <v>#VALUE!</v>
      </c>
      <c r="I168" t="e">
        <v>#VALUE!</v>
      </c>
      <c r="J168" t="e">
        <v>#VALUE!</v>
      </c>
      <c r="K168" t="e">
        <v>#VALUE!</v>
      </c>
      <c r="L168" t="e">
        <v>#VALUE!</v>
      </c>
      <c r="M168" t="e">
        <v>#VALUE!</v>
      </c>
      <c r="N168" t="e">
        <v>#VALUE!</v>
      </c>
      <c r="O168" t="e">
        <v>#VALUE!</v>
      </c>
      <c r="P168" t="e">
        <v>#VALUE!</v>
      </c>
      <c r="Q168">
        <v>3.6000000000000001E-5</v>
      </c>
      <c r="R168">
        <v>3.6000000000000001E-5</v>
      </c>
      <c r="S168">
        <v>3.6000000000000001E-5</v>
      </c>
      <c r="T168">
        <v>3.6000000000000001E-5</v>
      </c>
      <c r="U168">
        <v>3.6000000000000001E-5</v>
      </c>
      <c r="V168">
        <v>3.6000000000000001E-5</v>
      </c>
      <c r="W168">
        <v>3.6000000000000001E-5</v>
      </c>
      <c r="X168">
        <v>3.6000000000000001E-5</v>
      </c>
      <c r="Y168">
        <v>3.6000000000000001E-5</v>
      </c>
      <c r="Z168">
        <v>3.6000000000000001E-5</v>
      </c>
      <c r="AA168">
        <v>3.6000000000000001E-5</v>
      </c>
      <c r="AB168">
        <v>3.6000000000000001E-5</v>
      </c>
      <c r="AC168">
        <v>3.6000000000000001E-5</v>
      </c>
      <c r="AD168">
        <v>3.6000000000000001E-5</v>
      </c>
      <c r="AE168">
        <v>3.6000000000000001E-5</v>
      </c>
      <c r="AF168">
        <v>3.6000000000000001E-5</v>
      </c>
      <c r="AG168">
        <v>3.6000000000000001E-5</v>
      </c>
      <c r="AH168">
        <v>3.6000000000000001E-5</v>
      </c>
      <c r="AI168">
        <v>3.6000000000000001E-5</v>
      </c>
      <c r="AJ168">
        <v>3.6000000000000001E-5</v>
      </c>
      <c r="AK168">
        <v>3.6000000000000001E-5</v>
      </c>
      <c r="AL168">
        <v>3.6000000000000001E-5</v>
      </c>
      <c r="AM168">
        <v>3.6000000000000001E-5</v>
      </c>
      <c r="AN168">
        <v>3.6000000000000001E-5</v>
      </c>
      <c r="AO168">
        <v>3.6000000000000001E-5</v>
      </c>
      <c r="AP168">
        <v>3.0800000000000001E-4</v>
      </c>
      <c r="AQ168">
        <v>3.0800000000000001E-4</v>
      </c>
      <c r="AR168">
        <v>3.0800000000000001E-4</v>
      </c>
      <c r="AS168">
        <v>3.0800000000000001E-4</v>
      </c>
      <c r="AT168">
        <v>3.0800000000000001E-4</v>
      </c>
      <c r="AU168">
        <v>4.7699999999999999E-4</v>
      </c>
      <c r="AV168">
        <v>4.7699999999999999E-4</v>
      </c>
      <c r="AW168">
        <v>4.7699999999999999E-4</v>
      </c>
      <c r="AX168">
        <v>4.7699999999999999E-4</v>
      </c>
      <c r="AY168">
        <v>4.7699999999999999E-4</v>
      </c>
      <c r="AZ168">
        <v>6.29E-4</v>
      </c>
      <c r="BA168">
        <v>6.29E-4</v>
      </c>
      <c r="BB168">
        <v>6.29E-4</v>
      </c>
      <c r="BC168">
        <v>6.29E-4</v>
      </c>
      <c r="BD168">
        <v>6.29E-4</v>
      </c>
      <c r="BE168">
        <v>6.0700000000000001E-4</v>
      </c>
      <c r="BF168">
        <v>6.0700000000000001E-4</v>
      </c>
      <c r="BG168">
        <v>6.0700000000000001E-4</v>
      </c>
      <c r="BH168">
        <v>6.0700000000000001E-4</v>
      </c>
      <c r="BI168">
        <v>6.0700000000000001E-4</v>
      </c>
      <c r="BJ168">
        <v>1.292E-3</v>
      </c>
      <c r="BK168">
        <v>1.292E-3</v>
      </c>
      <c r="BL168">
        <v>1.292E-3</v>
      </c>
      <c r="BM168">
        <v>1.292E-3</v>
      </c>
      <c r="BN168">
        <v>1.292E-3</v>
      </c>
      <c r="BO168">
        <v>1.0349999999999999E-3</v>
      </c>
      <c r="BP168">
        <v>1.0349999999999999E-3</v>
      </c>
      <c r="BQ168">
        <v>1.0349999999999999E-3</v>
      </c>
      <c r="BR168">
        <v>1.0349999999999999E-3</v>
      </c>
      <c r="BS168">
        <v>1.0349999999999999E-3</v>
      </c>
      <c r="BT168">
        <v>1.4599999999999999E-3</v>
      </c>
      <c r="BU168">
        <v>1.4599999999999999E-3</v>
      </c>
      <c r="BV168">
        <v>1.4599999999999999E-3</v>
      </c>
      <c r="BW168">
        <v>1.4599999999999999E-3</v>
      </c>
      <c r="BX168">
        <v>1.4599999999999999E-3</v>
      </c>
      <c r="BY168">
        <v>4.1000000000000003E-3</v>
      </c>
      <c r="BZ168">
        <v>4.1000000000000003E-3</v>
      </c>
      <c r="CA168">
        <v>4.1000000000000003E-3</v>
      </c>
      <c r="CB168">
        <v>4.1000000000000003E-3</v>
      </c>
      <c r="CC168">
        <v>4.1000000000000003E-3</v>
      </c>
      <c r="CD168">
        <v>4.1000000000000003E-3</v>
      </c>
      <c r="CE168">
        <v>4.1000000000000003E-3</v>
      </c>
      <c r="CF168">
        <v>4.1000000000000003E-3</v>
      </c>
      <c r="CG168">
        <v>4.1000000000000003E-3</v>
      </c>
      <c r="CH168">
        <v>4.1000000000000003E-3</v>
      </c>
      <c r="CI168">
        <v>4.1000000000000003E-3</v>
      </c>
      <c r="CJ168">
        <v>4.1000000000000003E-3</v>
      </c>
      <c r="CK168">
        <v>4.1000000000000003E-3</v>
      </c>
      <c r="CL168">
        <v>4.1000000000000003E-3</v>
      </c>
      <c r="CM168">
        <v>4.1000000000000003E-3</v>
      </c>
      <c r="CN168">
        <v>4.1000000000000003E-3</v>
      </c>
      <c r="CO168">
        <v>4.1000000000000003E-3</v>
      </c>
      <c r="CP168">
        <v>4.1000000000000003E-3</v>
      </c>
      <c r="CQ168">
        <v>4.1000000000000003E-3</v>
      </c>
      <c r="CR168">
        <v>4.1000000000000003E-3</v>
      </c>
      <c r="CS168">
        <v>4.1000000000000003E-3</v>
      </c>
      <c r="CT168">
        <v>4.1000000000000003E-3</v>
      </c>
      <c r="CU168">
        <v>4.1000000000000003E-3</v>
      </c>
      <c r="CV168">
        <v>4.1000000000000003E-3</v>
      </c>
      <c r="CW168">
        <v>4.1000000000000003E-3</v>
      </c>
      <c r="CX168">
        <v>4.1000000000000003E-3</v>
      </c>
    </row>
    <row r="169" spans="1:102" x14ac:dyDescent="0.25">
      <c r="A169" t="s">
        <v>403</v>
      </c>
      <c r="B169" t="e">
        <v>#VALUE!</v>
      </c>
      <c r="C169" t="e">
        <v>#VALUE!</v>
      </c>
      <c r="D169" t="e">
        <v>#VALUE!</v>
      </c>
      <c r="E169" t="e">
        <v>#VALUE!</v>
      </c>
      <c r="F169" t="e">
        <v>#VALUE!</v>
      </c>
      <c r="G169" t="e">
        <v>#VALUE!</v>
      </c>
      <c r="H169" t="e">
        <v>#VALUE!</v>
      </c>
      <c r="I169" t="e">
        <v>#VALUE!</v>
      </c>
      <c r="J169" t="e">
        <v>#VALUE!</v>
      </c>
      <c r="K169" t="e">
        <v>#VALUE!</v>
      </c>
      <c r="L169" t="e">
        <v>#VALUE!</v>
      </c>
      <c r="M169" t="e">
        <v>#VALUE!</v>
      </c>
      <c r="N169" t="e">
        <v>#VALUE!</v>
      </c>
      <c r="O169" t="e">
        <v>#VALUE!</v>
      </c>
      <c r="P169" t="e">
        <v>#VALUE!</v>
      </c>
      <c r="Q169">
        <v>5.0000000000000004E-6</v>
      </c>
      <c r="R169">
        <v>5.0000000000000004E-6</v>
      </c>
      <c r="S169">
        <v>5.0000000000000004E-6</v>
      </c>
      <c r="T169">
        <v>5.0000000000000004E-6</v>
      </c>
      <c r="U169">
        <v>5.0000000000000004E-6</v>
      </c>
      <c r="V169">
        <v>5.0000000000000004E-6</v>
      </c>
      <c r="W169">
        <v>5.0000000000000004E-6</v>
      </c>
      <c r="X169">
        <v>5.0000000000000004E-6</v>
      </c>
      <c r="Y169">
        <v>5.0000000000000004E-6</v>
      </c>
      <c r="Z169">
        <v>5.0000000000000004E-6</v>
      </c>
      <c r="AA169">
        <v>5.0000000000000004E-6</v>
      </c>
      <c r="AB169">
        <v>5.0000000000000004E-6</v>
      </c>
      <c r="AC169">
        <v>5.0000000000000004E-6</v>
      </c>
      <c r="AD169">
        <v>5.0000000000000004E-6</v>
      </c>
      <c r="AE169">
        <v>5.0000000000000004E-6</v>
      </c>
      <c r="AF169">
        <v>5.0000000000000004E-6</v>
      </c>
      <c r="AG169">
        <v>5.0000000000000004E-6</v>
      </c>
      <c r="AH169">
        <v>5.0000000000000004E-6</v>
      </c>
      <c r="AI169">
        <v>5.0000000000000004E-6</v>
      </c>
      <c r="AJ169">
        <v>5.0000000000000004E-6</v>
      </c>
      <c r="AK169">
        <v>5.0000000000000004E-6</v>
      </c>
      <c r="AL169">
        <v>5.0000000000000004E-6</v>
      </c>
      <c r="AM169">
        <v>5.0000000000000004E-6</v>
      </c>
      <c r="AN169">
        <v>5.0000000000000004E-6</v>
      </c>
      <c r="AO169">
        <v>5.0000000000000004E-6</v>
      </c>
      <c r="AP169">
        <v>2.1999999999999999E-5</v>
      </c>
      <c r="AQ169">
        <v>2.1999999999999999E-5</v>
      </c>
      <c r="AR169">
        <v>2.1999999999999999E-5</v>
      </c>
      <c r="AS169">
        <v>2.1999999999999999E-5</v>
      </c>
      <c r="AT169">
        <v>2.1999999999999999E-5</v>
      </c>
      <c r="AU169">
        <v>2.8E-5</v>
      </c>
      <c r="AV169">
        <v>2.8E-5</v>
      </c>
      <c r="AW169">
        <v>2.8E-5</v>
      </c>
      <c r="AX169">
        <v>2.8E-5</v>
      </c>
      <c r="AY169">
        <v>2.8E-5</v>
      </c>
      <c r="AZ169">
        <v>3.6999999999999998E-5</v>
      </c>
      <c r="BA169">
        <v>3.6999999999999998E-5</v>
      </c>
      <c r="BB169">
        <v>3.6999999999999998E-5</v>
      </c>
      <c r="BC169">
        <v>3.6999999999999998E-5</v>
      </c>
      <c r="BD169">
        <v>3.6999999999999998E-5</v>
      </c>
      <c r="BE169">
        <v>5.0000000000000002E-5</v>
      </c>
      <c r="BF169">
        <v>5.0000000000000002E-5</v>
      </c>
      <c r="BG169">
        <v>5.0000000000000002E-5</v>
      </c>
      <c r="BH169">
        <v>5.0000000000000002E-5</v>
      </c>
      <c r="BI169">
        <v>5.0000000000000002E-5</v>
      </c>
      <c r="BJ169">
        <v>6.2000000000000003E-5</v>
      </c>
      <c r="BK169">
        <v>6.2000000000000003E-5</v>
      </c>
      <c r="BL169">
        <v>6.2000000000000003E-5</v>
      </c>
      <c r="BM169">
        <v>6.2000000000000003E-5</v>
      </c>
      <c r="BN169">
        <v>6.2000000000000003E-5</v>
      </c>
      <c r="BO169">
        <v>7.2999999999999999E-5</v>
      </c>
      <c r="BP169">
        <v>7.2999999999999999E-5</v>
      </c>
      <c r="BQ169">
        <v>7.2999999999999999E-5</v>
      </c>
      <c r="BR169">
        <v>7.2999999999999999E-5</v>
      </c>
      <c r="BS169">
        <v>7.2999999999999999E-5</v>
      </c>
      <c r="BT169">
        <v>9.7E-5</v>
      </c>
      <c r="BU169">
        <v>9.7E-5</v>
      </c>
      <c r="BV169">
        <v>9.7E-5</v>
      </c>
      <c r="BW169">
        <v>9.7E-5</v>
      </c>
      <c r="BX169">
        <v>9.7E-5</v>
      </c>
      <c r="BY169">
        <v>1.6100000000000001E-4</v>
      </c>
      <c r="BZ169">
        <v>1.6100000000000001E-4</v>
      </c>
      <c r="CA169">
        <v>1.6100000000000001E-4</v>
      </c>
      <c r="CB169">
        <v>1.6100000000000001E-4</v>
      </c>
      <c r="CC169">
        <v>1.6100000000000001E-4</v>
      </c>
      <c r="CD169">
        <v>1.6100000000000001E-4</v>
      </c>
      <c r="CE169">
        <v>1.6100000000000001E-4</v>
      </c>
      <c r="CF169">
        <v>1.6100000000000001E-4</v>
      </c>
      <c r="CG169">
        <v>1.6100000000000001E-4</v>
      </c>
      <c r="CH169">
        <v>1.6100000000000001E-4</v>
      </c>
      <c r="CI169">
        <v>1.6100000000000001E-4</v>
      </c>
      <c r="CJ169">
        <v>1.6100000000000001E-4</v>
      </c>
      <c r="CK169">
        <v>1.6100000000000001E-4</v>
      </c>
      <c r="CL169">
        <v>1.6100000000000001E-4</v>
      </c>
      <c r="CM169">
        <v>1.6100000000000001E-4</v>
      </c>
      <c r="CN169">
        <v>1.6100000000000001E-4</v>
      </c>
      <c r="CO169">
        <v>1.6100000000000001E-4</v>
      </c>
      <c r="CP169">
        <v>1.6100000000000001E-4</v>
      </c>
      <c r="CQ169">
        <v>1.6100000000000001E-4</v>
      </c>
      <c r="CR169">
        <v>1.6100000000000001E-4</v>
      </c>
      <c r="CS169">
        <v>1.6100000000000001E-4</v>
      </c>
      <c r="CT169">
        <v>1.6100000000000001E-4</v>
      </c>
      <c r="CU169">
        <v>1.6100000000000001E-4</v>
      </c>
      <c r="CV169">
        <v>1.6100000000000001E-4</v>
      </c>
      <c r="CW169">
        <v>1.6100000000000001E-4</v>
      </c>
      <c r="CX169">
        <v>1.6100000000000001E-4</v>
      </c>
    </row>
    <row r="170" spans="1:102" x14ac:dyDescent="0.25">
      <c r="A170" t="s">
        <v>405</v>
      </c>
      <c r="B170" t="e">
        <v>#VALUE!</v>
      </c>
      <c r="C170" t="e">
        <v>#VALUE!</v>
      </c>
      <c r="D170" t="e">
        <v>#VALUE!</v>
      </c>
      <c r="E170" t="e">
        <v>#VALUE!</v>
      </c>
      <c r="F170" t="e">
        <v>#VALUE!</v>
      </c>
      <c r="G170" t="e">
        <v>#VALUE!</v>
      </c>
      <c r="H170" t="e">
        <v>#VALUE!</v>
      </c>
      <c r="I170" t="e">
        <v>#VALUE!</v>
      </c>
      <c r="J170" t="e">
        <v>#VALUE!</v>
      </c>
      <c r="K170" t="e">
        <v>#VALUE!</v>
      </c>
      <c r="L170" t="e">
        <v>#VALUE!</v>
      </c>
      <c r="M170" t="e">
        <v>#VALUE!</v>
      </c>
      <c r="N170" t="e">
        <v>#VALUE!</v>
      </c>
      <c r="O170" t="e">
        <v>#VALUE!</v>
      </c>
      <c r="P170" t="e">
        <v>#VALUE!</v>
      </c>
      <c r="Q170">
        <v>1.9999999999999999E-6</v>
      </c>
      <c r="R170">
        <v>1.9999999999999999E-6</v>
      </c>
      <c r="S170">
        <v>1.9999999999999999E-6</v>
      </c>
      <c r="T170">
        <v>1.9999999999999999E-6</v>
      </c>
      <c r="U170">
        <v>1.9999999999999999E-6</v>
      </c>
      <c r="V170">
        <v>1.9999999999999999E-6</v>
      </c>
      <c r="W170">
        <v>1.9999999999999999E-6</v>
      </c>
      <c r="X170">
        <v>1.9999999999999999E-6</v>
      </c>
      <c r="Y170">
        <v>1.9999999999999999E-6</v>
      </c>
      <c r="Z170">
        <v>1.9999999999999999E-6</v>
      </c>
      <c r="AA170">
        <v>1.9999999999999999E-6</v>
      </c>
      <c r="AB170">
        <v>1.9999999999999999E-6</v>
      </c>
      <c r="AC170">
        <v>1.9999999999999999E-6</v>
      </c>
      <c r="AD170">
        <v>1.9999999999999999E-6</v>
      </c>
      <c r="AE170">
        <v>1.9999999999999999E-6</v>
      </c>
      <c r="AF170">
        <v>1.9999999999999999E-6</v>
      </c>
      <c r="AG170">
        <v>1.9999999999999999E-6</v>
      </c>
      <c r="AH170">
        <v>1.9999999999999999E-6</v>
      </c>
      <c r="AI170">
        <v>1.9999999999999999E-6</v>
      </c>
      <c r="AJ170">
        <v>1.9999999999999999E-6</v>
      </c>
      <c r="AK170">
        <v>1.9999999999999999E-6</v>
      </c>
      <c r="AL170">
        <v>1.9999999999999999E-6</v>
      </c>
      <c r="AM170">
        <v>1.9999999999999999E-6</v>
      </c>
      <c r="AN170">
        <v>1.9999999999999999E-6</v>
      </c>
      <c r="AO170">
        <v>1.9999999999999999E-6</v>
      </c>
      <c r="AP170">
        <v>1.2999999999999999E-5</v>
      </c>
      <c r="AQ170">
        <v>1.2999999999999999E-5</v>
      </c>
      <c r="AR170">
        <v>1.2999999999999999E-5</v>
      </c>
      <c r="AS170">
        <v>1.2999999999999999E-5</v>
      </c>
      <c r="AT170">
        <v>1.2999999999999999E-5</v>
      </c>
      <c r="AU170">
        <v>1.9000000000000001E-5</v>
      </c>
      <c r="AV170">
        <v>1.9000000000000001E-5</v>
      </c>
      <c r="AW170">
        <v>1.9000000000000001E-5</v>
      </c>
      <c r="AX170">
        <v>1.9000000000000001E-5</v>
      </c>
      <c r="AY170">
        <v>1.9000000000000001E-5</v>
      </c>
      <c r="AZ170">
        <v>2.5000000000000001E-5</v>
      </c>
      <c r="BA170">
        <v>2.5000000000000001E-5</v>
      </c>
      <c r="BB170">
        <v>2.5000000000000001E-5</v>
      </c>
      <c r="BC170">
        <v>2.5000000000000001E-5</v>
      </c>
      <c r="BD170">
        <v>2.5000000000000001E-5</v>
      </c>
      <c r="BE170">
        <v>3.3000000000000003E-5</v>
      </c>
      <c r="BF170">
        <v>3.3000000000000003E-5</v>
      </c>
      <c r="BG170">
        <v>3.3000000000000003E-5</v>
      </c>
      <c r="BH170">
        <v>3.3000000000000003E-5</v>
      </c>
      <c r="BI170">
        <v>3.3000000000000003E-5</v>
      </c>
      <c r="BJ170">
        <v>3.8000000000000002E-5</v>
      </c>
      <c r="BK170">
        <v>3.8000000000000002E-5</v>
      </c>
      <c r="BL170">
        <v>3.8000000000000002E-5</v>
      </c>
      <c r="BM170">
        <v>3.8000000000000002E-5</v>
      </c>
      <c r="BN170">
        <v>3.8000000000000002E-5</v>
      </c>
      <c r="BO170">
        <v>4.3999999999999999E-5</v>
      </c>
      <c r="BP170">
        <v>4.3999999999999999E-5</v>
      </c>
      <c r="BQ170">
        <v>4.3999999999999999E-5</v>
      </c>
      <c r="BR170">
        <v>4.3999999999999999E-5</v>
      </c>
      <c r="BS170">
        <v>4.3999999999999999E-5</v>
      </c>
      <c r="BT170">
        <v>5.3999999999999998E-5</v>
      </c>
      <c r="BU170">
        <v>5.3999999999999998E-5</v>
      </c>
      <c r="BV170">
        <v>5.3999999999999998E-5</v>
      </c>
      <c r="BW170">
        <v>5.3999999999999998E-5</v>
      </c>
      <c r="BX170">
        <v>5.3999999999999998E-5</v>
      </c>
      <c r="BY170">
        <v>9.8999999999999994E-5</v>
      </c>
      <c r="BZ170">
        <v>9.8999999999999994E-5</v>
      </c>
      <c r="CA170">
        <v>9.8999999999999994E-5</v>
      </c>
      <c r="CB170">
        <v>9.8999999999999994E-5</v>
      </c>
      <c r="CC170">
        <v>9.8999999999999994E-5</v>
      </c>
      <c r="CD170">
        <v>9.8999999999999994E-5</v>
      </c>
      <c r="CE170">
        <v>9.8999999999999994E-5</v>
      </c>
      <c r="CF170">
        <v>9.8999999999999994E-5</v>
      </c>
      <c r="CG170">
        <v>9.8999999999999994E-5</v>
      </c>
      <c r="CH170">
        <v>9.8999999999999994E-5</v>
      </c>
      <c r="CI170">
        <v>9.8999999999999994E-5</v>
      </c>
      <c r="CJ170">
        <v>9.8999999999999994E-5</v>
      </c>
      <c r="CK170">
        <v>9.8999999999999994E-5</v>
      </c>
      <c r="CL170">
        <v>9.8999999999999994E-5</v>
      </c>
      <c r="CM170">
        <v>9.8999999999999994E-5</v>
      </c>
      <c r="CN170">
        <v>9.8999999999999994E-5</v>
      </c>
      <c r="CO170">
        <v>9.8999999999999994E-5</v>
      </c>
      <c r="CP170">
        <v>9.8999999999999994E-5</v>
      </c>
      <c r="CQ170">
        <v>9.8999999999999994E-5</v>
      </c>
      <c r="CR170">
        <v>9.8999999999999994E-5</v>
      </c>
      <c r="CS170">
        <v>9.8999999999999994E-5</v>
      </c>
      <c r="CT170">
        <v>9.8999999999999994E-5</v>
      </c>
      <c r="CU170">
        <v>9.8999999999999994E-5</v>
      </c>
      <c r="CV170">
        <v>9.8999999999999994E-5</v>
      </c>
      <c r="CW170">
        <v>9.8999999999999994E-5</v>
      </c>
      <c r="CX170">
        <v>9.8999999999999994E-5</v>
      </c>
    </row>
    <row r="171" spans="1:102" x14ac:dyDescent="0.25">
      <c r="A171" t="s">
        <v>407</v>
      </c>
      <c r="B171" t="e">
        <v>#VALUE!</v>
      </c>
      <c r="C171" t="e">
        <v>#VALUE!</v>
      </c>
      <c r="D171" t="e">
        <v>#VALUE!</v>
      </c>
      <c r="E171" t="e">
        <v>#VALUE!</v>
      </c>
      <c r="F171" t="e">
        <v>#VALUE!</v>
      </c>
      <c r="G171" t="e">
        <v>#VALUE!</v>
      </c>
      <c r="H171" t="e">
        <v>#VALUE!</v>
      </c>
      <c r="I171" t="e">
        <v>#VALUE!</v>
      </c>
      <c r="J171" t="e">
        <v>#VALUE!</v>
      </c>
      <c r="K171" t="e">
        <v>#VALUE!</v>
      </c>
      <c r="L171" t="e">
        <v>#VALUE!</v>
      </c>
      <c r="M171" t="e">
        <v>#VALUE!</v>
      </c>
      <c r="N171" t="e">
        <v>#VALUE!</v>
      </c>
      <c r="O171" t="e">
        <v>#VALUE!</v>
      </c>
      <c r="P171" t="e">
        <v>#VALUE!</v>
      </c>
      <c r="Q171">
        <v>9.9999999999999995E-7</v>
      </c>
      <c r="R171">
        <v>9.9999999999999995E-7</v>
      </c>
      <c r="S171">
        <v>9.9999999999999995E-7</v>
      </c>
      <c r="T171">
        <v>9.9999999999999995E-7</v>
      </c>
      <c r="U171">
        <v>9.9999999999999995E-7</v>
      </c>
      <c r="V171">
        <v>9.9999999999999995E-7</v>
      </c>
      <c r="W171">
        <v>9.9999999999999995E-7</v>
      </c>
      <c r="X171">
        <v>9.9999999999999995E-7</v>
      </c>
      <c r="Y171">
        <v>9.9999999999999995E-7</v>
      </c>
      <c r="Z171">
        <v>9.9999999999999995E-7</v>
      </c>
      <c r="AA171">
        <v>9.9999999999999995E-7</v>
      </c>
      <c r="AB171">
        <v>9.9999999999999995E-7</v>
      </c>
      <c r="AC171">
        <v>9.9999999999999995E-7</v>
      </c>
      <c r="AD171">
        <v>9.9999999999999995E-7</v>
      </c>
      <c r="AE171">
        <v>9.9999999999999995E-7</v>
      </c>
      <c r="AF171">
        <v>9.9999999999999995E-7</v>
      </c>
      <c r="AG171">
        <v>9.9999999999999995E-7</v>
      </c>
      <c r="AH171">
        <v>9.9999999999999995E-7</v>
      </c>
      <c r="AI171">
        <v>9.9999999999999995E-7</v>
      </c>
      <c r="AJ171">
        <v>9.9999999999999995E-7</v>
      </c>
      <c r="AK171">
        <v>9.9999999999999995E-7</v>
      </c>
      <c r="AL171">
        <v>9.9999999999999995E-7</v>
      </c>
      <c r="AM171">
        <v>9.9999999999999995E-7</v>
      </c>
      <c r="AN171">
        <v>9.9999999999999995E-7</v>
      </c>
      <c r="AO171">
        <v>9.9999999999999995E-7</v>
      </c>
      <c r="AP171">
        <v>1.4E-5</v>
      </c>
      <c r="AQ171">
        <v>1.4E-5</v>
      </c>
      <c r="AR171">
        <v>1.4E-5</v>
      </c>
      <c r="AS171">
        <v>1.4E-5</v>
      </c>
      <c r="AT171">
        <v>1.4E-5</v>
      </c>
      <c r="AU171">
        <v>2.4000000000000001E-5</v>
      </c>
      <c r="AV171">
        <v>2.4000000000000001E-5</v>
      </c>
      <c r="AW171">
        <v>2.4000000000000001E-5</v>
      </c>
      <c r="AX171">
        <v>2.4000000000000001E-5</v>
      </c>
      <c r="AY171">
        <v>2.4000000000000001E-5</v>
      </c>
      <c r="AZ171">
        <v>3.1999999999999999E-5</v>
      </c>
      <c r="BA171">
        <v>3.1999999999999999E-5</v>
      </c>
      <c r="BB171">
        <v>3.1999999999999999E-5</v>
      </c>
      <c r="BC171">
        <v>3.1999999999999999E-5</v>
      </c>
      <c r="BD171">
        <v>3.1999999999999999E-5</v>
      </c>
      <c r="BE171">
        <v>4.0000000000000003E-5</v>
      </c>
      <c r="BF171">
        <v>4.0000000000000003E-5</v>
      </c>
      <c r="BG171">
        <v>4.0000000000000003E-5</v>
      </c>
      <c r="BH171">
        <v>4.0000000000000003E-5</v>
      </c>
      <c r="BI171">
        <v>4.0000000000000003E-5</v>
      </c>
      <c r="BJ171">
        <v>4.6999999999999997E-5</v>
      </c>
      <c r="BK171">
        <v>4.6999999999999997E-5</v>
      </c>
      <c r="BL171">
        <v>4.6999999999999997E-5</v>
      </c>
      <c r="BM171">
        <v>4.6999999999999997E-5</v>
      </c>
      <c r="BN171">
        <v>4.6999999999999997E-5</v>
      </c>
      <c r="BO171">
        <v>5.8999999999999998E-5</v>
      </c>
      <c r="BP171">
        <v>5.8999999999999998E-5</v>
      </c>
      <c r="BQ171">
        <v>5.8999999999999998E-5</v>
      </c>
      <c r="BR171">
        <v>5.8999999999999998E-5</v>
      </c>
      <c r="BS171">
        <v>5.8999999999999998E-5</v>
      </c>
      <c r="BT171">
        <v>6.3999999999999997E-5</v>
      </c>
      <c r="BU171">
        <v>6.3999999999999997E-5</v>
      </c>
      <c r="BV171">
        <v>6.3999999999999997E-5</v>
      </c>
      <c r="BW171">
        <v>6.3999999999999997E-5</v>
      </c>
      <c r="BX171">
        <v>6.3999999999999997E-5</v>
      </c>
      <c r="BY171">
        <v>7.4999999999999993E-5</v>
      </c>
      <c r="BZ171">
        <v>7.4999999999999993E-5</v>
      </c>
      <c r="CA171">
        <v>7.4999999999999993E-5</v>
      </c>
      <c r="CB171">
        <v>7.4999999999999993E-5</v>
      </c>
      <c r="CC171">
        <v>7.4999999999999993E-5</v>
      </c>
      <c r="CD171">
        <v>7.4999999999999993E-5</v>
      </c>
      <c r="CE171">
        <v>7.4999999999999993E-5</v>
      </c>
      <c r="CF171">
        <v>7.4999999999999993E-5</v>
      </c>
      <c r="CG171">
        <v>7.4999999999999993E-5</v>
      </c>
      <c r="CH171">
        <v>7.4999999999999993E-5</v>
      </c>
      <c r="CI171">
        <v>7.4999999999999993E-5</v>
      </c>
      <c r="CJ171">
        <v>7.4999999999999993E-5</v>
      </c>
      <c r="CK171">
        <v>7.4999999999999993E-5</v>
      </c>
      <c r="CL171">
        <v>7.4999999999999993E-5</v>
      </c>
      <c r="CM171">
        <v>7.4999999999999993E-5</v>
      </c>
      <c r="CN171">
        <v>7.4999999999999993E-5</v>
      </c>
      <c r="CO171">
        <v>7.4999999999999993E-5</v>
      </c>
      <c r="CP171">
        <v>7.4999999999999993E-5</v>
      </c>
      <c r="CQ171">
        <v>7.4999999999999993E-5</v>
      </c>
      <c r="CR171">
        <v>7.4999999999999993E-5</v>
      </c>
      <c r="CS171">
        <v>7.4999999999999993E-5</v>
      </c>
      <c r="CT171">
        <v>7.4999999999999993E-5</v>
      </c>
      <c r="CU171">
        <v>7.4999999999999993E-5</v>
      </c>
      <c r="CV171">
        <v>7.4999999999999993E-5</v>
      </c>
      <c r="CW171">
        <v>7.4999999999999993E-5</v>
      </c>
      <c r="CX171">
        <v>7.4999999999999993E-5</v>
      </c>
    </row>
    <row r="172" spans="1:102" x14ac:dyDescent="0.25">
      <c r="A172" t="s">
        <v>409</v>
      </c>
      <c r="B172" t="e">
        <v>#VALUE!</v>
      </c>
      <c r="C172" t="e">
        <v>#VALUE!</v>
      </c>
      <c r="D172" t="e">
        <v>#VALUE!</v>
      </c>
      <c r="E172" t="e">
        <v>#VALUE!</v>
      </c>
      <c r="F172" t="e">
        <v>#VALUE!</v>
      </c>
      <c r="G172" t="e">
        <v>#VALUE!</v>
      </c>
      <c r="H172" t="e">
        <v>#VALUE!</v>
      </c>
      <c r="I172" t="e">
        <v>#VALUE!</v>
      </c>
      <c r="J172" t="e">
        <v>#VALUE!</v>
      </c>
      <c r="K172" t="e">
        <v>#VALUE!</v>
      </c>
      <c r="L172" t="e">
        <v>#VALUE!</v>
      </c>
      <c r="M172" t="e">
        <v>#VALUE!</v>
      </c>
      <c r="N172" t="e">
        <v>#VALUE!</v>
      </c>
      <c r="O172" t="e">
        <v>#VALUE!</v>
      </c>
      <c r="P172" t="e">
        <v>#VALUE!</v>
      </c>
      <c r="Q172">
        <v>1.2999999999999999E-5</v>
      </c>
      <c r="R172">
        <v>1.2999999999999999E-5</v>
      </c>
      <c r="S172">
        <v>1.2999999999999999E-5</v>
      </c>
      <c r="T172">
        <v>1.2999999999999999E-5</v>
      </c>
      <c r="U172">
        <v>1.2999999999999999E-5</v>
      </c>
      <c r="V172">
        <v>1.2999999999999999E-5</v>
      </c>
      <c r="W172">
        <v>1.2999999999999999E-5</v>
      </c>
      <c r="X172">
        <v>1.2999999999999999E-5</v>
      </c>
      <c r="Y172">
        <v>1.2999999999999999E-5</v>
      </c>
      <c r="Z172">
        <v>1.2999999999999999E-5</v>
      </c>
      <c r="AA172">
        <v>1.2999999999999999E-5</v>
      </c>
      <c r="AB172">
        <v>1.2999999999999999E-5</v>
      </c>
      <c r="AC172">
        <v>1.2999999999999999E-5</v>
      </c>
      <c r="AD172">
        <v>1.2999999999999999E-5</v>
      </c>
      <c r="AE172">
        <v>1.2999999999999999E-5</v>
      </c>
      <c r="AF172">
        <v>1.2999999999999999E-5</v>
      </c>
      <c r="AG172">
        <v>1.2999999999999999E-5</v>
      </c>
      <c r="AH172">
        <v>1.2999999999999999E-5</v>
      </c>
      <c r="AI172">
        <v>1.2999999999999999E-5</v>
      </c>
      <c r="AJ172">
        <v>1.2999999999999999E-5</v>
      </c>
      <c r="AK172">
        <v>1.2999999999999999E-5</v>
      </c>
      <c r="AL172">
        <v>1.2999999999999999E-5</v>
      </c>
      <c r="AM172">
        <v>1.2999999999999999E-5</v>
      </c>
      <c r="AN172">
        <v>1.2999999999999999E-5</v>
      </c>
      <c r="AO172">
        <v>1.2999999999999999E-5</v>
      </c>
      <c r="AP172">
        <v>1.01E-4</v>
      </c>
      <c r="AQ172">
        <v>1.01E-4</v>
      </c>
      <c r="AR172">
        <v>1.01E-4</v>
      </c>
      <c r="AS172">
        <v>1.01E-4</v>
      </c>
      <c r="AT172">
        <v>1.01E-4</v>
      </c>
      <c r="AU172">
        <v>1.46E-4</v>
      </c>
      <c r="AV172">
        <v>1.46E-4</v>
      </c>
      <c r="AW172">
        <v>1.46E-4</v>
      </c>
      <c r="AX172">
        <v>1.46E-4</v>
      </c>
      <c r="AY172">
        <v>1.46E-4</v>
      </c>
      <c r="AZ172">
        <v>1.7100000000000001E-4</v>
      </c>
      <c r="BA172">
        <v>1.7100000000000001E-4</v>
      </c>
      <c r="BB172">
        <v>1.7100000000000001E-4</v>
      </c>
      <c r="BC172">
        <v>1.7100000000000001E-4</v>
      </c>
      <c r="BD172">
        <v>1.7100000000000001E-4</v>
      </c>
      <c r="BE172">
        <v>1.5899999999999999E-4</v>
      </c>
      <c r="BF172">
        <v>1.5899999999999999E-4</v>
      </c>
      <c r="BG172">
        <v>1.5899999999999999E-4</v>
      </c>
      <c r="BH172">
        <v>1.5899999999999999E-4</v>
      </c>
      <c r="BI172">
        <v>1.5899999999999999E-4</v>
      </c>
      <c r="BJ172">
        <v>1.2999999999999999E-4</v>
      </c>
      <c r="BK172">
        <v>1.2999999999999999E-4</v>
      </c>
      <c r="BL172">
        <v>1.2999999999999999E-4</v>
      </c>
      <c r="BM172">
        <v>1.2999999999999999E-4</v>
      </c>
      <c r="BN172">
        <v>1.2999999999999999E-4</v>
      </c>
      <c r="BO172">
        <v>1.1900000000000001E-4</v>
      </c>
      <c r="BP172">
        <v>1.1900000000000001E-4</v>
      </c>
      <c r="BQ172">
        <v>1.1900000000000001E-4</v>
      </c>
      <c r="BR172">
        <v>1.1900000000000001E-4</v>
      </c>
      <c r="BS172">
        <v>1.1900000000000001E-4</v>
      </c>
      <c r="BT172">
        <v>1.3200000000000001E-4</v>
      </c>
      <c r="BU172">
        <v>1.3200000000000001E-4</v>
      </c>
      <c r="BV172">
        <v>1.3200000000000001E-4</v>
      </c>
      <c r="BW172">
        <v>1.3200000000000001E-4</v>
      </c>
      <c r="BX172">
        <v>1.3200000000000001E-4</v>
      </c>
      <c r="BY172">
        <v>1.5300000000000001E-4</v>
      </c>
      <c r="BZ172">
        <v>1.5300000000000001E-4</v>
      </c>
      <c r="CA172">
        <v>1.5300000000000001E-4</v>
      </c>
      <c r="CB172">
        <v>1.5300000000000001E-4</v>
      </c>
      <c r="CC172">
        <v>1.5300000000000001E-4</v>
      </c>
      <c r="CD172">
        <v>1.5300000000000001E-4</v>
      </c>
      <c r="CE172">
        <v>1.5300000000000001E-4</v>
      </c>
      <c r="CF172">
        <v>1.5300000000000001E-4</v>
      </c>
      <c r="CG172">
        <v>1.5300000000000001E-4</v>
      </c>
      <c r="CH172">
        <v>1.5300000000000001E-4</v>
      </c>
      <c r="CI172">
        <v>1.5300000000000001E-4</v>
      </c>
      <c r="CJ172">
        <v>1.5300000000000001E-4</v>
      </c>
      <c r="CK172">
        <v>1.5300000000000001E-4</v>
      </c>
      <c r="CL172">
        <v>1.5300000000000001E-4</v>
      </c>
      <c r="CM172">
        <v>1.5300000000000001E-4</v>
      </c>
      <c r="CN172">
        <v>1.5300000000000001E-4</v>
      </c>
      <c r="CO172">
        <v>1.5300000000000001E-4</v>
      </c>
      <c r="CP172">
        <v>1.5300000000000001E-4</v>
      </c>
      <c r="CQ172">
        <v>1.5300000000000001E-4</v>
      </c>
      <c r="CR172">
        <v>1.5300000000000001E-4</v>
      </c>
      <c r="CS172">
        <v>1.5300000000000001E-4</v>
      </c>
      <c r="CT172">
        <v>1.5300000000000001E-4</v>
      </c>
      <c r="CU172">
        <v>1.5300000000000001E-4</v>
      </c>
      <c r="CV172">
        <v>1.5300000000000001E-4</v>
      </c>
      <c r="CW172">
        <v>1.5300000000000001E-4</v>
      </c>
      <c r="CX172">
        <v>1.5300000000000001E-4</v>
      </c>
    </row>
    <row r="173" spans="1:102" x14ac:dyDescent="0.25">
      <c r="A173" t="s">
        <v>411</v>
      </c>
      <c r="B173" t="e">
        <v>#VALUE!</v>
      </c>
      <c r="C173" t="e">
        <v>#VALUE!</v>
      </c>
      <c r="D173" t="e">
        <v>#VALUE!</v>
      </c>
      <c r="E173" t="e">
        <v>#VALUE!</v>
      </c>
      <c r="F173" t="e">
        <v>#VALUE!</v>
      </c>
      <c r="G173" t="e">
        <v>#VALUE!</v>
      </c>
      <c r="H173" t="e">
        <v>#VALUE!</v>
      </c>
      <c r="I173" t="e">
        <v>#VALUE!</v>
      </c>
      <c r="J173" t="e">
        <v>#VALUE!</v>
      </c>
      <c r="K173" t="e">
        <v>#VALUE!</v>
      </c>
      <c r="L173" t="e">
        <v>#VALUE!</v>
      </c>
      <c r="M173" t="e">
        <v>#VALUE!</v>
      </c>
      <c r="N173" t="e">
        <v>#VALUE!</v>
      </c>
      <c r="O173" t="e">
        <v>#VALUE!</v>
      </c>
      <c r="P173" t="e">
        <v>#VALUE!</v>
      </c>
      <c r="Q173">
        <v>5.3999999999999998E-5</v>
      </c>
      <c r="R173">
        <v>5.3999999999999998E-5</v>
      </c>
      <c r="S173">
        <v>5.3999999999999998E-5</v>
      </c>
      <c r="T173">
        <v>5.3999999999999998E-5</v>
      </c>
      <c r="U173">
        <v>5.3999999999999998E-5</v>
      </c>
      <c r="V173">
        <v>5.3999999999999998E-5</v>
      </c>
      <c r="W173">
        <v>5.3999999999999998E-5</v>
      </c>
      <c r="X173">
        <v>5.3999999999999998E-5</v>
      </c>
      <c r="Y173">
        <v>5.3999999999999998E-5</v>
      </c>
      <c r="Z173">
        <v>5.3999999999999998E-5</v>
      </c>
      <c r="AA173">
        <v>5.3999999999999998E-5</v>
      </c>
      <c r="AB173">
        <v>5.3999999999999998E-5</v>
      </c>
      <c r="AC173">
        <v>5.3999999999999998E-5</v>
      </c>
      <c r="AD173">
        <v>5.3999999999999998E-5</v>
      </c>
      <c r="AE173">
        <v>5.3999999999999998E-5</v>
      </c>
      <c r="AF173">
        <v>5.3999999999999998E-5</v>
      </c>
      <c r="AG173">
        <v>5.3999999999999998E-5</v>
      </c>
      <c r="AH173">
        <v>5.3999999999999998E-5</v>
      </c>
      <c r="AI173">
        <v>5.3999999999999998E-5</v>
      </c>
      <c r="AJ173">
        <v>5.3999999999999998E-5</v>
      </c>
      <c r="AK173">
        <v>5.3999999999999998E-5</v>
      </c>
      <c r="AL173">
        <v>5.3999999999999998E-5</v>
      </c>
      <c r="AM173">
        <v>5.3999999999999998E-5</v>
      </c>
      <c r="AN173">
        <v>5.3999999999999998E-5</v>
      </c>
      <c r="AO173">
        <v>5.3999999999999998E-5</v>
      </c>
      <c r="AP173">
        <v>3.4699999999999998E-4</v>
      </c>
      <c r="AQ173">
        <v>3.4699999999999998E-4</v>
      </c>
      <c r="AR173">
        <v>3.4699999999999998E-4</v>
      </c>
      <c r="AS173">
        <v>3.4699999999999998E-4</v>
      </c>
      <c r="AT173">
        <v>3.4699999999999998E-4</v>
      </c>
      <c r="AU173">
        <v>5.2800000000000004E-4</v>
      </c>
      <c r="AV173">
        <v>5.2800000000000004E-4</v>
      </c>
      <c r="AW173">
        <v>5.2800000000000004E-4</v>
      </c>
      <c r="AX173">
        <v>5.2800000000000004E-4</v>
      </c>
      <c r="AY173">
        <v>5.2800000000000004E-4</v>
      </c>
      <c r="AZ173">
        <v>7.36E-4</v>
      </c>
      <c r="BA173">
        <v>7.36E-4</v>
      </c>
      <c r="BB173">
        <v>7.36E-4</v>
      </c>
      <c r="BC173">
        <v>7.36E-4</v>
      </c>
      <c r="BD173">
        <v>7.36E-4</v>
      </c>
      <c r="BE173">
        <v>9.5200000000000005E-4</v>
      </c>
      <c r="BF173">
        <v>9.5200000000000005E-4</v>
      </c>
      <c r="BG173">
        <v>9.5200000000000005E-4</v>
      </c>
      <c r="BH173">
        <v>9.5200000000000005E-4</v>
      </c>
      <c r="BI173">
        <v>9.5200000000000005E-4</v>
      </c>
      <c r="BJ173">
        <v>1.206E-3</v>
      </c>
      <c r="BK173">
        <v>1.206E-3</v>
      </c>
      <c r="BL173">
        <v>1.206E-3</v>
      </c>
      <c r="BM173">
        <v>1.206E-3</v>
      </c>
      <c r="BN173">
        <v>1.206E-3</v>
      </c>
      <c r="BO173">
        <v>1.5120000000000001E-3</v>
      </c>
      <c r="BP173">
        <v>1.5120000000000001E-3</v>
      </c>
      <c r="BQ173">
        <v>1.5120000000000001E-3</v>
      </c>
      <c r="BR173">
        <v>1.5120000000000001E-3</v>
      </c>
      <c r="BS173">
        <v>1.5120000000000001E-3</v>
      </c>
      <c r="BT173">
        <v>1.864E-3</v>
      </c>
      <c r="BU173">
        <v>1.864E-3</v>
      </c>
      <c r="BV173">
        <v>1.864E-3</v>
      </c>
      <c r="BW173">
        <v>1.864E-3</v>
      </c>
      <c r="BX173">
        <v>1.864E-3</v>
      </c>
      <c r="BY173">
        <v>2.2669999999999999E-3</v>
      </c>
      <c r="BZ173">
        <v>2.2669999999999999E-3</v>
      </c>
      <c r="CA173">
        <v>2.2669999999999999E-3</v>
      </c>
      <c r="CB173">
        <v>2.2669999999999999E-3</v>
      </c>
      <c r="CC173">
        <v>2.2669999999999999E-3</v>
      </c>
      <c r="CD173">
        <v>2.2669999999999999E-3</v>
      </c>
      <c r="CE173">
        <v>2.2669999999999999E-3</v>
      </c>
      <c r="CF173">
        <v>2.2669999999999999E-3</v>
      </c>
      <c r="CG173">
        <v>2.2669999999999999E-3</v>
      </c>
      <c r="CH173">
        <v>2.2669999999999999E-3</v>
      </c>
      <c r="CI173">
        <v>2.2669999999999999E-3</v>
      </c>
      <c r="CJ173">
        <v>2.2669999999999999E-3</v>
      </c>
      <c r="CK173">
        <v>2.2669999999999999E-3</v>
      </c>
      <c r="CL173">
        <v>2.2669999999999999E-3</v>
      </c>
      <c r="CM173">
        <v>2.2669999999999999E-3</v>
      </c>
      <c r="CN173">
        <v>2.2669999999999999E-3</v>
      </c>
      <c r="CO173">
        <v>2.2669999999999999E-3</v>
      </c>
      <c r="CP173">
        <v>2.2669999999999999E-3</v>
      </c>
      <c r="CQ173">
        <v>2.2669999999999999E-3</v>
      </c>
      <c r="CR173">
        <v>2.2669999999999999E-3</v>
      </c>
      <c r="CS173">
        <v>2.2669999999999999E-3</v>
      </c>
      <c r="CT173">
        <v>2.2669999999999999E-3</v>
      </c>
      <c r="CU173">
        <v>2.2669999999999999E-3</v>
      </c>
      <c r="CV173">
        <v>2.2669999999999999E-3</v>
      </c>
      <c r="CW173">
        <v>2.2669999999999999E-3</v>
      </c>
      <c r="CX173">
        <v>2.2669999999999999E-3</v>
      </c>
    </row>
    <row r="174" spans="1:102" x14ac:dyDescent="0.25">
      <c r="A174" t="s">
        <v>413</v>
      </c>
      <c r="B174" t="e">
        <v>#VALUE!</v>
      </c>
      <c r="C174" t="e">
        <v>#VALUE!</v>
      </c>
      <c r="D174" t="e">
        <v>#VALUE!</v>
      </c>
      <c r="E174" t="e">
        <v>#VALUE!</v>
      </c>
      <c r="F174" t="e">
        <v>#VALUE!</v>
      </c>
      <c r="G174" t="e">
        <v>#VALUE!</v>
      </c>
      <c r="H174" t="e">
        <v>#VALUE!</v>
      </c>
      <c r="I174" t="e">
        <v>#VALUE!</v>
      </c>
      <c r="J174" t="e">
        <v>#VALUE!</v>
      </c>
      <c r="K174" t="e">
        <v>#VALUE!</v>
      </c>
      <c r="L174" t="e">
        <v>#VALUE!</v>
      </c>
      <c r="M174" t="e">
        <v>#VALUE!</v>
      </c>
      <c r="N174" t="e">
        <v>#VALUE!</v>
      </c>
      <c r="O174" t="e">
        <v>#VALUE!</v>
      </c>
      <c r="P174" t="e">
        <v>#VALUE!</v>
      </c>
      <c r="Q174">
        <v>5.3999999999999998E-5</v>
      </c>
      <c r="R174">
        <v>5.3999999999999998E-5</v>
      </c>
      <c r="S174">
        <v>5.3999999999999998E-5</v>
      </c>
      <c r="T174">
        <v>5.3999999999999998E-5</v>
      </c>
      <c r="U174">
        <v>5.3999999999999998E-5</v>
      </c>
      <c r="V174">
        <v>5.3999999999999998E-5</v>
      </c>
      <c r="W174">
        <v>5.3999999999999998E-5</v>
      </c>
      <c r="X174">
        <v>5.3999999999999998E-5</v>
      </c>
      <c r="Y174">
        <v>5.3999999999999998E-5</v>
      </c>
      <c r="Z174">
        <v>5.3999999999999998E-5</v>
      </c>
      <c r="AA174">
        <v>5.3999999999999998E-5</v>
      </c>
      <c r="AB174">
        <v>5.3999999999999998E-5</v>
      </c>
      <c r="AC174">
        <v>5.3999999999999998E-5</v>
      </c>
      <c r="AD174">
        <v>5.3999999999999998E-5</v>
      </c>
      <c r="AE174">
        <v>5.3999999999999998E-5</v>
      </c>
      <c r="AF174">
        <v>5.3999999999999998E-5</v>
      </c>
      <c r="AG174">
        <v>5.3999999999999998E-5</v>
      </c>
      <c r="AH174">
        <v>5.3999999999999998E-5</v>
      </c>
      <c r="AI174">
        <v>5.3999999999999998E-5</v>
      </c>
      <c r="AJ174">
        <v>5.3999999999999998E-5</v>
      </c>
      <c r="AK174">
        <v>5.3999999999999998E-5</v>
      </c>
      <c r="AL174">
        <v>5.3999999999999998E-5</v>
      </c>
      <c r="AM174">
        <v>5.3999999999999998E-5</v>
      </c>
      <c r="AN174">
        <v>5.3999999999999998E-5</v>
      </c>
      <c r="AO174">
        <v>5.3999999999999998E-5</v>
      </c>
      <c r="AP174">
        <v>1.6699999999999999E-4</v>
      </c>
      <c r="AQ174">
        <v>1.6699999999999999E-4</v>
      </c>
      <c r="AR174">
        <v>1.6699999999999999E-4</v>
      </c>
      <c r="AS174">
        <v>1.6699999999999999E-4</v>
      </c>
      <c r="AT174">
        <v>1.6699999999999999E-4</v>
      </c>
      <c r="AU174">
        <v>2.0799999999999999E-4</v>
      </c>
      <c r="AV174">
        <v>2.0799999999999999E-4</v>
      </c>
      <c r="AW174">
        <v>2.0799999999999999E-4</v>
      </c>
      <c r="AX174">
        <v>2.0799999999999999E-4</v>
      </c>
      <c r="AY174">
        <v>2.0799999999999999E-4</v>
      </c>
      <c r="AZ174">
        <v>2.3000000000000001E-4</v>
      </c>
      <c r="BA174">
        <v>2.3000000000000001E-4</v>
      </c>
      <c r="BB174">
        <v>2.3000000000000001E-4</v>
      </c>
      <c r="BC174">
        <v>2.3000000000000001E-4</v>
      </c>
      <c r="BD174">
        <v>2.3000000000000001E-4</v>
      </c>
      <c r="BE174">
        <v>2.4499999999999999E-4</v>
      </c>
      <c r="BF174">
        <v>2.4499999999999999E-4</v>
      </c>
      <c r="BG174">
        <v>2.4499999999999999E-4</v>
      </c>
      <c r="BH174">
        <v>2.4499999999999999E-4</v>
      </c>
      <c r="BI174">
        <v>2.4499999999999999E-4</v>
      </c>
      <c r="BJ174">
        <v>2.7999999999999998E-4</v>
      </c>
      <c r="BK174">
        <v>2.7999999999999998E-4</v>
      </c>
      <c r="BL174">
        <v>2.7999999999999998E-4</v>
      </c>
      <c r="BM174">
        <v>2.7999999999999998E-4</v>
      </c>
      <c r="BN174">
        <v>2.7999999999999998E-4</v>
      </c>
      <c r="BO174">
        <v>3.0499999999999999E-4</v>
      </c>
      <c r="BP174">
        <v>3.0499999999999999E-4</v>
      </c>
      <c r="BQ174">
        <v>3.0499999999999999E-4</v>
      </c>
      <c r="BR174">
        <v>3.0499999999999999E-4</v>
      </c>
      <c r="BS174">
        <v>3.0499999999999999E-4</v>
      </c>
      <c r="BT174">
        <v>3.2299999999999999E-4</v>
      </c>
      <c r="BU174">
        <v>3.2299999999999999E-4</v>
      </c>
      <c r="BV174">
        <v>3.2299999999999999E-4</v>
      </c>
      <c r="BW174">
        <v>3.2299999999999999E-4</v>
      </c>
      <c r="BX174">
        <v>3.2299999999999999E-4</v>
      </c>
      <c r="BY174">
        <v>3.3399999999999999E-4</v>
      </c>
      <c r="BZ174">
        <v>3.3399999999999999E-4</v>
      </c>
      <c r="CA174">
        <v>3.3399999999999999E-4</v>
      </c>
      <c r="CB174">
        <v>3.3399999999999999E-4</v>
      </c>
      <c r="CC174">
        <v>3.3399999999999999E-4</v>
      </c>
      <c r="CD174">
        <v>3.3399999999999999E-4</v>
      </c>
      <c r="CE174">
        <v>3.3399999999999999E-4</v>
      </c>
      <c r="CF174">
        <v>3.3399999999999999E-4</v>
      </c>
      <c r="CG174">
        <v>3.3399999999999999E-4</v>
      </c>
      <c r="CH174">
        <v>3.3399999999999999E-4</v>
      </c>
      <c r="CI174">
        <v>3.3399999999999999E-4</v>
      </c>
      <c r="CJ174">
        <v>3.3399999999999999E-4</v>
      </c>
      <c r="CK174">
        <v>3.3399999999999999E-4</v>
      </c>
      <c r="CL174">
        <v>3.3399999999999999E-4</v>
      </c>
      <c r="CM174">
        <v>3.3399999999999999E-4</v>
      </c>
      <c r="CN174">
        <v>3.3399999999999999E-4</v>
      </c>
      <c r="CO174">
        <v>3.3399999999999999E-4</v>
      </c>
      <c r="CP174">
        <v>3.3399999999999999E-4</v>
      </c>
      <c r="CQ174">
        <v>3.3399999999999999E-4</v>
      </c>
      <c r="CR174">
        <v>3.3399999999999999E-4</v>
      </c>
      <c r="CS174">
        <v>3.3399999999999999E-4</v>
      </c>
      <c r="CT174">
        <v>3.3399999999999999E-4</v>
      </c>
      <c r="CU174">
        <v>3.3399999999999999E-4</v>
      </c>
      <c r="CV174">
        <v>3.3399999999999999E-4</v>
      </c>
      <c r="CW174">
        <v>3.3399999999999999E-4</v>
      </c>
      <c r="CX174">
        <v>3.3399999999999999E-4</v>
      </c>
    </row>
    <row r="175" spans="1:102" x14ac:dyDescent="0.25">
      <c r="A175" t="s">
        <v>466</v>
      </c>
      <c r="B175" t="e">
        <v>#VALUE!</v>
      </c>
      <c r="C175" t="e">
        <v>#VALUE!</v>
      </c>
      <c r="D175" t="e">
        <v>#VALUE!</v>
      </c>
      <c r="E175" t="e">
        <v>#VALUE!</v>
      </c>
      <c r="F175" t="e">
        <v>#VALUE!</v>
      </c>
      <c r="G175" t="e">
        <v>#VALUE!</v>
      </c>
      <c r="H175" t="e">
        <v>#VALUE!</v>
      </c>
      <c r="I175" t="e">
        <v>#VALUE!</v>
      </c>
      <c r="J175" t="e">
        <v>#VALUE!</v>
      </c>
      <c r="K175" t="e">
        <v>#VALUE!</v>
      </c>
      <c r="L175" t="e">
        <v>#VALUE!</v>
      </c>
      <c r="M175" t="e">
        <v>#VALUE!</v>
      </c>
      <c r="N175" t="e">
        <v>#VALUE!</v>
      </c>
      <c r="O175" t="e">
        <v>#VALUE!</v>
      </c>
      <c r="P175" t="e">
        <v>#VALUE!</v>
      </c>
      <c r="Q175">
        <v>5.0000000000000004E-6</v>
      </c>
      <c r="R175">
        <v>5.0000000000000004E-6</v>
      </c>
      <c r="S175">
        <v>5.0000000000000004E-6</v>
      </c>
      <c r="T175">
        <v>5.0000000000000004E-6</v>
      </c>
      <c r="U175">
        <v>5.0000000000000004E-6</v>
      </c>
      <c r="V175">
        <v>5.0000000000000004E-6</v>
      </c>
      <c r="W175">
        <v>5.0000000000000004E-6</v>
      </c>
      <c r="X175">
        <v>5.0000000000000004E-6</v>
      </c>
      <c r="Y175">
        <v>5.0000000000000004E-6</v>
      </c>
      <c r="Z175">
        <v>5.0000000000000004E-6</v>
      </c>
      <c r="AA175">
        <v>5.0000000000000004E-6</v>
      </c>
      <c r="AB175">
        <v>5.0000000000000004E-6</v>
      </c>
      <c r="AC175">
        <v>5.0000000000000004E-6</v>
      </c>
      <c r="AD175">
        <v>5.0000000000000004E-6</v>
      </c>
      <c r="AE175">
        <v>5.0000000000000004E-6</v>
      </c>
      <c r="AF175">
        <v>5.0000000000000004E-6</v>
      </c>
      <c r="AG175">
        <v>5.0000000000000004E-6</v>
      </c>
      <c r="AH175">
        <v>5.0000000000000004E-6</v>
      </c>
      <c r="AI175">
        <v>5.0000000000000004E-6</v>
      </c>
      <c r="AJ175">
        <v>5.0000000000000004E-6</v>
      </c>
      <c r="AK175">
        <v>5.0000000000000004E-6</v>
      </c>
      <c r="AL175">
        <v>5.0000000000000004E-6</v>
      </c>
      <c r="AM175">
        <v>5.0000000000000004E-6</v>
      </c>
      <c r="AN175">
        <v>5.0000000000000004E-6</v>
      </c>
      <c r="AO175">
        <v>5.0000000000000004E-6</v>
      </c>
      <c r="AP175">
        <v>4.5000000000000003E-5</v>
      </c>
      <c r="AQ175">
        <v>4.5000000000000003E-5</v>
      </c>
      <c r="AR175">
        <v>4.5000000000000003E-5</v>
      </c>
      <c r="AS175">
        <v>4.5000000000000003E-5</v>
      </c>
      <c r="AT175">
        <v>4.5000000000000003E-5</v>
      </c>
      <c r="AU175">
        <v>1.5100000000000001E-4</v>
      </c>
      <c r="AV175">
        <v>1.5100000000000001E-4</v>
      </c>
      <c r="AW175">
        <v>1.5100000000000001E-4</v>
      </c>
      <c r="AX175">
        <v>1.5100000000000001E-4</v>
      </c>
      <c r="AY175">
        <v>1.5100000000000001E-4</v>
      </c>
      <c r="AZ175">
        <v>1.1400000000000001E-4</v>
      </c>
      <c r="BA175">
        <v>1.1400000000000001E-4</v>
      </c>
      <c r="BB175">
        <v>1.1400000000000001E-4</v>
      </c>
      <c r="BC175">
        <v>1.1400000000000001E-4</v>
      </c>
      <c r="BD175">
        <v>1.1400000000000001E-4</v>
      </c>
      <c r="BE175">
        <v>2.1499999999999999E-4</v>
      </c>
      <c r="BF175">
        <v>2.1499999999999999E-4</v>
      </c>
      <c r="BG175">
        <v>2.1499999999999999E-4</v>
      </c>
      <c r="BH175">
        <v>2.1499999999999999E-4</v>
      </c>
      <c r="BI175">
        <v>2.1499999999999999E-4</v>
      </c>
      <c r="BJ175">
        <v>1.75E-4</v>
      </c>
      <c r="BK175">
        <v>1.75E-4</v>
      </c>
      <c r="BL175">
        <v>1.75E-4</v>
      </c>
      <c r="BM175">
        <v>1.75E-4</v>
      </c>
      <c r="BN175">
        <v>1.75E-4</v>
      </c>
      <c r="BO175">
        <v>3.4900000000000003E-4</v>
      </c>
      <c r="BP175">
        <v>3.4900000000000003E-4</v>
      </c>
      <c r="BQ175">
        <v>3.4900000000000003E-4</v>
      </c>
      <c r="BR175">
        <v>3.4900000000000003E-4</v>
      </c>
      <c r="BS175">
        <v>3.4900000000000003E-4</v>
      </c>
      <c r="BT175">
        <v>5.3600000000000002E-4</v>
      </c>
      <c r="BU175">
        <v>5.3600000000000002E-4</v>
      </c>
      <c r="BV175">
        <v>5.3600000000000002E-4</v>
      </c>
      <c r="BW175">
        <v>5.3600000000000002E-4</v>
      </c>
      <c r="BX175">
        <v>5.3600000000000002E-4</v>
      </c>
      <c r="BY175">
        <v>1.23E-3</v>
      </c>
      <c r="BZ175">
        <v>1.23E-3</v>
      </c>
      <c r="CA175">
        <v>1.23E-3</v>
      </c>
      <c r="CB175">
        <v>1.23E-3</v>
      </c>
      <c r="CC175">
        <v>1.23E-3</v>
      </c>
      <c r="CD175">
        <v>1.23E-3</v>
      </c>
      <c r="CE175">
        <v>1.23E-3</v>
      </c>
      <c r="CF175">
        <v>1.23E-3</v>
      </c>
      <c r="CG175">
        <v>1.23E-3</v>
      </c>
      <c r="CH175">
        <v>1.23E-3</v>
      </c>
      <c r="CI175">
        <v>1.23E-3</v>
      </c>
      <c r="CJ175">
        <v>1.23E-3</v>
      </c>
      <c r="CK175">
        <v>1.23E-3</v>
      </c>
      <c r="CL175">
        <v>1.23E-3</v>
      </c>
      <c r="CM175">
        <v>1.23E-3</v>
      </c>
      <c r="CN175">
        <v>1.23E-3</v>
      </c>
      <c r="CO175">
        <v>1.23E-3</v>
      </c>
      <c r="CP175">
        <v>1.23E-3</v>
      </c>
      <c r="CQ175">
        <v>1.23E-3</v>
      </c>
      <c r="CR175">
        <v>1.23E-3</v>
      </c>
      <c r="CS175">
        <v>1.23E-3</v>
      </c>
      <c r="CT175">
        <v>1.23E-3</v>
      </c>
      <c r="CU175">
        <v>1.23E-3</v>
      </c>
      <c r="CV175">
        <v>1.23E-3</v>
      </c>
      <c r="CW175">
        <v>1.23E-3</v>
      </c>
      <c r="CX175">
        <v>1.23E-3</v>
      </c>
    </row>
    <row r="176" spans="1:102" x14ac:dyDescent="0.25">
      <c r="A176" t="s">
        <v>417</v>
      </c>
      <c r="B176" t="e">
        <v>#VALUE!</v>
      </c>
      <c r="C176" t="e">
        <v>#VALUE!</v>
      </c>
      <c r="D176" t="e">
        <v>#VALUE!</v>
      </c>
      <c r="E176" t="e">
        <v>#VALUE!</v>
      </c>
      <c r="F176" t="e">
        <v>#VALUE!</v>
      </c>
      <c r="G176" t="e">
        <v>#VALUE!</v>
      </c>
      <c r="H176" t="e">
        <v>#VALUE!</v>
      </c>
      <c r="I176" t="e">
        <v>#VALUE!</v>
      </c>
      <c r="J176" t="e">
        <v>#VALUE!</v>
      </c>
      <c r="K176" t="e">
        <v>#VALUE!</v>
      </c>
      <c r="L176" t="e">
        <v>#VALUE!</v>
      </c>
      <c r="M176" t="e">
        <v>#VALUE!</v>
      </c>
      <c r="N176" t="e">
        <v>#VALUE!</v>
      </c>
      <c r="O176" t="e">
        <v>#VALUE!</v>
      </c>
      <c r="P176" t="e">
        <v>#VALUE!</v>
      </c>
      <c r="Q176">
        <v>2.1999999999999999E-5</v>
      </c>
      <c r="R176">
        <v>2.1999999999999999E-5</v>
      </c>
      <c r="S176">
        <v>2.1999999999999999E-5</v>
      </c>
      <c r="T176">
        <v>2.1999999999999999E-5</v>
      </c>
      <c r="U176">
        <v>2.1999999999999999E-5</v>
      </c>
      <c r="V176">
        <v>2.1999999999999999E-5</v>
      </c>
      <c r="W176">
        <v>2.1999999999999999E-5</v>
      </c>
      <c r="X176">
        <v>2.1999999999999999E-5</v>
      </c>
      <c r="Y176">
        <v>2.1999999999999999E-5</v>
      </c>
      <c r="Z176">
        <v>2.1999999999999999E-5</v>
      </c>
      <c r="AA176">
        <v>2.1999999999999999E-5</v>
      </c>
      <c r="AB176">
        <v>2.1999999999999999E-5</v>
      </c>
      <c r="AC176">
        <v>2.1999999999999999E-5</v>
      </c>
      <c r="AD176">
        <v>2.1999999999999999E-5</v>
      </c>
      <c r="AE176">
        <v>2.1999999999999999E-5</v>
      </c>
      <c r="AF176">
        <v>2.1999999999999999E-5</v>
      </c>
      <c r="AG176">
        <v>2.1999999999999999E-5</v>
      </c>
      <c r="AH176">
        <v>2.1999999999999999E-5</v>
      </c>
      <c r="AI176">
        <v>2.1999999999999999E-5</v>
      </c>
      <c r="AJ176">
        <v>2.1999999999999999E-5</v>
      </c>
      <c r="AK176">
        <v>2.1999999999999999E-5</v>
      </c>
      <c r="AL176">
        <v>2.1999999999999999E-5</v>
      </c>
      <c r="AM176">
        <v>2.1999999999999999E-5</v>
      </c>
      <c r="AN176">
        <v>2.1999999999999999E-5</v>
      </c>
      <c r="AO176">
        <v>2.1999999999999999E-5</v>
      </c>
      <c r="AP176">
        <v>1.3100000000000001E-4</v>
      </c>
      <c r="AQ176">
        <v>1.3100000000000001E-4</v>
      </c>
      <c r="AR176">
        <v>1.3100000000000001E-4</v>
      </c>
      <c r="AS176">
        <v>1.3100000000000001E-4</v>
      </c>
      <c r="AT176">
        <v>1.3100000000000001E-4</v>
      </c>
      <c r="AU176">
        <v>2.04E-4</v>
      </c>
      <c r="AV176">
        <v>2.04E-4</v>
      </c>
      <c r="AW176">
        <v>2.04E-4</v>
      </c>
      <c r="AX176">
        <v>2.04E-4</v>
      </c>
      <c r="AY176">
        <v>2.04E-4</v>
      </c>
      <c r="AZ176">
        <v>2.9100000000000003E-4</v>
      </c>
      <c r="BA176">
        <v>2.9100000000000003E-4</v>
      </c>
      <c r="BB176">
        <v>2.9100000000000003E-4</v>
      </c>
      <c r="BC176">
        <v>2.9100000000000003E-4</v>
      </c>
      <c r="BD176">
        <v>2.9100000000000003E-4</v>
      </c>
      <c r="BE176">
        <v>3.7300000000000001E-4</v>
      </c>
      <c r="BF176">
        <v>3.7300000000000001E-4</v>
      </c>
      <c r="BG176">
        <v>3.7300000000000001E-4</v>
      </c>
      <c r="BH176">
        <v>3.7300000000000001E-4</v>
      </c>
      <c r="BI176">
        <v>3.7300000000000001E-4</v>
      </c>
      <c r="BJ176">
        <v>4.86E-4</v>
      </c>
      <c r="BK176">
        <v>4.86E-4</v>
      </c>
      <c r="BL176">
        <v>4.86E-4</v>
      </c>
      <c r="BM176">
        <v>4.86E-4</v>
      </c>
      <c r="BN176">
        <v>4.86E-4</v>
      </c>
      <c r="BO176">
        <v>6.5499999999999998E-4</v>
      </c>
      <c r="BP176">
        <v>6.5499999999999998E-4</v>
      </c>
      <c r="BQ176">
        <v>6.5499999999999998E-4</v>
      </c>
      <c r="BR176">
        <v>6.5499999999999998E-4</v>
      </c>
      <c r="BS176">
        <v>6.5499999999999998E-4</v>
      </c>
      <c r="BT176">
        <v>8.8900000000000003E-4</v>
      </c>
      <c r="BU176">
        <v>8.8900000000000003E-4</v>
      </c>
      <c r="BV176">
        <v>8.8900000000000003E-4</v>
      </c>
      <c r="BW176">
        <v>8.8900000000000003E-4</v>
      </c>
      <c r="BX176">
        <v>8.8900000000000003E-4</v>
      </c>
      <c r="BY176">
        <v>1.1850000000000001E-3</v>
      </c>
      <c r="BZ176">
        <v>1.1850000000000001E-3</v>
      </c>
      <c r="CA176">
        <v>1.1850000000000001E-3</v>
      </c>
      <c r="CB176">
        <v>1.1850000000000001E-3</v>
      </c>
      <c r="CC176">
        <v>1.1850000000000001E-3</v>
      </c>
      <c r="CD176">
        <v>1.1850000000000001E-3</v>
      </c>
      <c r="CE176">
        <v>1.1850000000000001E-3</v>
      </c>
      <c r="CF176">
        <v>1.1850000000000001E-3</v>
      </c>
      <c r="CG176">
        <v>1.1850000000000001E-3</v>
      </c>
      <c r="CH176">
        <v>1.1850000000000001E-3</v>
      </c>
      <c r="CI176">
        <v>1.1850000000000001E-3</v>
      </c>
      <c r="CJ176">
        <v>1.1850000000000001E-3</v>
      </c>
      <c r="CK176">
        <v>1.1850000000000001E-3</v>
      </c>
      <c r="CL176">
        <v>1.1850000000000001E-3</v>
      </c>
      <c r="CM176">
        <v>1.1850000000000001E-3</v>
      </c>
      <c r="CN176">
        <v>1.1850000000000001E-3</v>
      </c>
      <c r="CO176">
        <v>1.1850000000000001E-3</v>
      </c>
      <c r="CP176">
        <v>1.1850000000000001E-3</v>
      </c>
      <c r="CQ176">
        <v>1.1850000000000001E-3</v>
      </c>
      <c r="CR176">
        <v>1.1850000000000001E-3</v>
      </c>
      <c r="CS176">
        <v>1.1850000000000001E-3</v>
      </c>
      <c r="CT176">
        <v>1.1850000000000001E-3</v>
      </c>
      <c r="CU176">
        <v>1.1850000000000001E-3</v>
      </c>
      <c r="CV176">
        <v>1.1850000000000001E-3</v>
      </c>
      <c r="CW176">
        <v>1.1850000000000001E-3</v>
      </c>
      <c r="CX176">
        <v>1.1850000000000001E-3</v>
      </c>
    </row>
    <row r="177" spans="1:102" x14ac:dyDescent="0.25">
      <c r="A177" t="s">
        <v>419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1.2999999999999999E-5</v>
      </c>
      <c r="R177">
        <v>1.2999999999999999E-5</v>
      </c>
      <c r="S177">
        <v>1.2999999999999999E-5</v>
      </c>
      <c r="T177">
        <v>1.2999999999999999E-5</v>
      </c>
      <c r="U177">
        <v>1.2999999999999999E-5</v>
      </c>
      <c r="V177">
        <v>1.2999999999999999E-5</v>
      </c>
      <c r="W177">
        <v>1.2999999999999999E-5</v>
      </c>
      <c r="X177">
        <v>1.2999999999999999E-5</v>
      </c>
      <c r="Y177">
        <v>1.2999999999999999E-5</v>
      </c>
      <c r="Z177">
        <v>1.2999999999999999E-5</v>
      </c>
      <c r="AA177">
        <v>1.2999999999999999E-5</v>
      </c>
      <c r="AB177">
        <v>1.2999999999999999E-5</v>
      </c>
      <c r="AC177">
        <v>1.2999999999999999E-5</v>
      </c>
      <c r="AD177">
        <v>1.2999999999999999E-5</v>
      </c>
      <c r="AE177">
        <v>1.2999999999999999E-5</v>
      </c>
      <c r="AF177">
        <v>1.2999999999999999E-5</v>
      </c>
      <c r="AG177">
        <v>1.2999999999999999E-5</v>
      </c>
      <c r="AH177">
        <v>1.2999999999999999E-5</v>
      </c>
      <c r="AI177">
        <v>1.2999999999999999E-5</v>
      </c>
      <c r="AJ177">
        <v>1.2999999999999999E-5</v>
      </c>
      <c r="AK177">
        <v>1.2999999999999999E-5</v>
      </c>
      <c r="AL177">
        <v>1.2999999999999999E-5</v>
      </c>
      <c r="AM177">
        <v>1.2999999999999999E-5</v>
      </c>
      <c r="AN177">
        <v>1.2999999999999999E-5</v>
      </c>
      <c r="AO177">
        <v>1.2999999999999999E-5</v>
      </c>
      <c r="AP177">
        <v>5.1E-5</v>
      </c>
      <c r="AQ177">
        <v>5.1E-5</v>
      </c>
      <c r="AR177">
        <v>5.1E-5</v>
      </c>
      <c r="AS177">
        <v>5.1E-5</v>
      </c>
      <c r="AT177">
        <v>5.1E-5</v>
      </c>
      <c r="AU177">
        <v>6.9999999999999994E-5</v>
      </c>
      <c r="AV177">
        <v>6.9999999999999994E-5</v>
      </c>
      <c r="AW177">
        <v>6.9999999999999994E-5</v>
      </c>
      <c r="AX177">
        <v>6.9999999999999994E-5</v>
      </c>
      <c r="AY177">
        <v>6.9999999999999994E-5</v>
      </c>
      <c r="AZ177">
        <v>8.7999999999999998E-5</v>
      </c>
      <c r="BA177">
        <v>8.7999999999999998E-5</v>
      </c>
      <c r="BB177">
        <v>8.7999999999999998E-5</v>
      </c>
      <c r="BC177">
        <v>8.7999999999999998E-5</v>
      </c>
      <c r="BD177">
        <v>8.7999999999999998E-5</v>
      </c>
      <c r="BE177">
        <v>9.7E-5</v>
      </c>
      <c r="BF177">
        <v>9.7E-5</v>
      </c>
      <c r="BG177">
        <v>9.7E-5</v>
      </c>
      <c r="BH177">
        <v>9.7E-5</v>
      </c>
      <c r="BI177">
        <v>9.7E-5</v>
      </c>
      <c r="BJ177">
        <v>1.06E-4</v>
      </c>
      <c r="BK177">
        <v>1.06E-4</v>
      </c>
      <c r="BL177">
        <v>1.06E-4</v>
      </c>
      <c r="BM177">
        <v>1.06E-4</v>
      </c>
      <c r="BN177">
        <v>1.06E-4</v>
      </c>
      <c r="BO177">
        <v>1.2E-4</v>
      </c>
      <c r="BP177">
        <v>1.2E-4</v>
      </c>
      <c r="BQ177">
        <v>1.2E-4</v>
      </c>
      <c r="BR177">
        <v>1.2E-4</v>
      </c>
      <c r="BS177">
        <v>1.2E-4</v>
      </c>
      <c r="BT177">
        <v>1.4300000000000001E-4</v>
      </c>
      <c r="BU177">
        <v>1.4300000000000001E-4</v>
      </c>
      <c r="BV177">
        <v>1.4300000000000001E-4</v>
      </c>
      <c r="BW177">
        <v>1.4300000000000001E-4</v>
      </c>
      <c r="BX177">
        <v>1.4300000000000001E-4</v>
      </c>
      <c r="BY177">
        <v>2.2100000000000001E-4</v>
      </c>
      <c r="BZ177">
        <v>2.2100000000000001E-4</v>
      </c>
      <c r="CA177">
        <v>2.2100000000000001E-4</v>
      </c>
      <c r="CB177">
        <v>2.2100000000000001E-4</v>
      </c>
      <c r="CC177">
        <v>2.2100000000000001E-4</v>
      </c>
      <c r="CD177">
        <v>2.2100000000000001E-4</v>
      </c>
      <c r="CE177">
        <v>2.2100000000000001E-4</v>
      </c>
      <c r="CF177">
        <v>2.2100000000000001E-4</v>
      </c>
      <c r="CG177">
        <v>2.2100000000000001E-4</v>
      </c>
      <c r="CH177">
        <v>2.2100000000000001E-4</v>
      </c>
      <c r="CI177">
        <v>2.2100000000000001E-4</v>
      </c>
      <c r="CJ177">
        <v>2.2100000000000001E-4</v>
      </c>
      <c r="CK177">
        <v>2.2100000000000001E-4</v>
      </c>
      <c r="CL177">
        <v>2.2100000000000001E-4</v>
      </c>
      <c r="CM177">
        <v>2.2100000000000001E-4</v>
      </c>
      <c r="CN177">
        <v>2.2100000000000001E-4</v>
      </c>
      <c r="CO177">
        <v>2.2100000000000001E-4</v>
      </c>
      <c r="CP177">
        <v>2.2100000000000001E-4</v>
      </c>
      <c r="CQ177">
        <v>2.2100000000000001E-4</v>
      </c>
      <c r="CR177">
        <v>2.2100000000000001E-4</v>
      </c>
      <c r="CS177">
        <v>2.2100000000000001E-4</v>
      </c>
      <c r="CT177">
        <v>2.2100000000000001E-4</v>
      </c>
      <c r="CU177">
        <v>2.2100000000000001E-4</v>
      </c>
      <c r="CV177">
        <v>2.2100000000000001E-4</v>
      </c>
      <c r="CW177">
        <v>2.2100000000000001E-4</v>
      </c>
      <c r="CX177">
        <v>2.2100000000000001E-4</v>
      </c>
    </row>
    <row r="178" spans="1:102" x14ac:dyDescent="0.25">
      <c r="A178" t="s">
        <v>421</v>
      </c>
      <c r="B178" t="e">
        <v>#VALUE!</v>
      </c>
      <c r="C178" t="e">
        <v>#VALUE!</v>
      </c>
      <c r="D178" t="e">
        <v>#VALUE!</v>
      </c>
      <c r="E178" t="e">
        <v>#VALUE!</v>
      </c>
      <c r="F178" t="e">
        <v>#VALUE!</v>
      </c>
      <c r="G178" t="e">
        <v>#VALUE!</v>
      </c>
      <c r="H178" t="e">
        <v>#VALUE!</v>
      </c>
      <c r="I178" t="e">
        <v>#VALUE!</v>
      </c>
      <c r="J178" t="e">
        <v>#VALUE!</v>
      </c>
      <c r="K178" t="e">
        <v>#VALUE!</v>
      </c>
      <c r="L178" t="e">
        <v>#VALUE!</v>
      </c>
      <c r="M178" t="e">
        <v>#VALUE!</v>
      </c>
      <c r="N178" t="e">
        <v>#VALUE!</v>
      </c>
      <c r="O178" t="e">
        <v>#VALUE!</v>
      </c>
      <c r="P178" t="e">
        <v>#VALUE!</v>
      </c>
      <c r="Q178">
        <v>2.4000000000000001E-5</v>
      </c>
      <c r="R178">
        <v>2.4000000000000001E-5</v>
      </c>
      <c r="S178">
        <v>2.4000000000000001E-5</v>
      </c>
      <c r="T178">
        <v>2.4000000000000001E-5</v>
      </c>
      <c r="U178">
        <v>2.4000000000000001E-5</v>
      </c>
      <c r="V178">
        <v>2.4000000000000001E-5</v>
      </c>
      <c r="W178">
        <v>2.4000000000000001E-5</v>
      </c>
      <c r="X178">
        <v>2.4000000000000001E-5</v>
      </c>
      <c r="Y178">
        <v>2.4000000000000001E-5</v>
      </c>
      <c r="Z178">
        <v>2.4000000000000001E-5</v>
      </c>
      <c r="AA178">
        <v>2.4000000000000001E-5</v>
      </c>
      <c r="AB178">
        <v>2.4000000000000001E-5</v>
      </c>
      <c r="AC178">
        <v>2.4000000000000001E-5</v>
      </c>
      <c r="AD178">
        <v>2.4000000000000001E-5</v>
      </c>
      <c r="AE178">
        <v>2.4000000000000001E-5</v>
      </c>
      <c r="AF178">
        <v>2.4000000000000001E-5</v>
      </c>
      <c r="AG178">
        <v>2.4000000000000001E-5</v>
      </c>
      <c r="AH178">
        <v>2.4000000000000001E-5</v>
      </c>
      <c r="AI178">
        <v>2.4000000000000001E-5</v>
      </c>
      <c r="AJ178">
        <v>2.4000000000000001E-5</v>
      </c>
      <c r="AK178">
        <v>2.4000000000000001E-5</v>
      </c>
      <c r="AL178">
        <v>2.4000000000000001E-5</v>
      </c>
      <c r="AM178">
        <v>2.4000000000000001E-5</v>
      </c>
      <c r="AN178">
        <v>2.4000000000000001E-5</v>
      </c>
      <c r="AO178">
        <v>2.4000000000000001E-5</v>
      </c>
      <c r="AP178">
        <v>1.27E-4</v>
      </c>
      <c r="AQ178">
        <v>1.27E-4</v>
      </c>
      <c r="AR178">
        <v>1.27E-4</v>
      </c>
      <c r="AS178">
        <v>1.27E-4</v>
      </c>
      <c r="AT178">
        <v>1.27E-4</v>
      </c>
      <c r="AU178">
        <v>1.76E-4</v>
      </c>
      <c r="AV178">
        <v>1.76E-4</v>
      </c>
      <c r="AW178">
        <v>1.76E-4</v>
      </c>
      <c r="AX178">
        <v>1.76E-4</v>
      </c>
      <c r="AY178">
        <v>1.76E-4</v>
      </c>
      <c r="AZ178">
        <v>2.31E-4</v>
      </c>
      <c r="BA178">
        <v>2.31E-4</v>
      </c>
      <c r="BB178">
        <v>2.31E-4</v>
      </c>
      <c r="BC178">
        <v>2.31E-4</v>
      </c>
      <c r="BD178">
        <v>2.31E-4</v>
      </c>
      <c r="BE178">
        <v>3.5100000000000002E-4</v>
      </c>
      <c r="BF178">
        <v>3.5100000000000002E-4</v>
      </c>
      <c r="BG178">
        <v>3.5100000000000002E-4</v>
      </c>
      <c r="BH178">
        <v>3.5100000000000002E-4</v>
      </c>
      <c r="BI178">
        <v>3.5100000000000002E-4</v>
      </c>
      <c r="BJ178">
        <v>4.1800000000000002E-4</v>
      </c>
      <c r="BK178">
        <v>4.1800000000000002E-4</v>
      </c>
      <c r="BL178">
        <v>4.1800000000000002E-4</v>
      </c>
      <c r="BM178">
        <v>4.1800000000000002E-4</v>
      </c>
      <c r="BN178">
        <v>4.1800000000000002E-4</v>
      </c>
      <c r="BO178">
        <v>5.5400000000000002E-4</v>
      </c>
      <c r="BP178">
        <v>5.5400000000000002E-4</v>
      </c>
      <c r="BQ178">
        <v>5.5400000000000002E-4</v>
      </c>
      <c r="BR178">
        <v>5.5400000000000002E-4</v>
      </c>
      <c r="BS178">
        <v>5.5400000000000002E-4</v>
      </c>
      <c r="BT178">
        <v>7.5199999999999996E-4</v>
      </c>
      <c r="BU178">
        <v>7.5199999999999996E-4</v>
      </c>
      <c r="BV178">
        <v>7.5199999999999996E-4</v>
      </c>
      <c r="BW178">
        <v>7.5199999999999996E-4</v>
      </c>
      <c r="BX178">
        <v>7.5199999999999996E-4</v>
      </c>
      <c r="BY178">
        <v>9.59E-4</v>
      </c>
      <c r="BZ178">
        <v>9.59E-4</v>
      </c>
      <c r="CA178">
        <v>9.59E-4</v>
      </c>
      <c r="CB178">
        <v>9.59E-4</v>
      </c>
      <c r="CC178">
        <v>9.59E-4</v>
      </c>
      <c r="CD178">
        <v>9.59E-4</v>
      </c>
      <c r="CE178">
        <v>9.59E-4</v>
      </c>
      <c r="CF178">
        <v>9.59E-4</v>
      </c>
      <c r="CG178">
        <v>9.59E-4</v>
      </c>
      <c r="CH178">
        <v>9.59E-4</v>
      </c>
      <c r="CI178">
        <v>9.59E-4</v>
      </c>
      <c r="CJ178">
        <v>9.59E-4</v>
      </c>
      <c r="CK178">
        <v>9.59E-4</v>
      </c>
      <c r="CL178">
        <v>9.59E-4</v>
      </c>
      <c r="CM178">
        <v>9.59E-4</v>
      </c>
      <c r="CN178">
        <v>9.59E-4</v>
      </c>
      <c r="CO178">
        <v>9.59E-4</v>
      </c>
      <c r="CP178">
        <v>9.59E-4</v>
      </c>
      <c r="CQ178">
        <v>9.59E-4</v>
      </c>
      <c r="CR178">
        <v>9.59E-4</v>
      </c>
      <c r="CS178">
        <v>9.59E-4</v>
      </c>
      <c r="CT178">
        <v>9.59E-4</v>
      </c>
      <c r="CU178">
        <v>9.59E-4</v>
      </c>
      <c r="CV178">
        <v>9.59E-4</v>
      </c>
      <c r="CW178">
        <v>9.59E-4</v>
      </c>
      <c r="CX178">
        <v>9.59E-4</v>
      </c>
    </row>
    <row r="179" spans="1:102" x14ac:dyDescent="0.25">
      <c r="A179" t="s">
        <v>423</v>
      </c>
      <c r="B179" t="e">
        <v>#VALUE!</v>
      </c>
      <c r="C179" t="e">
        <v>#VALUE!</v>
      </c>
      <c r="D179" t="e">
        <v>#VALUE!</v>
      </c>
      <c r="E179" t="e">
        <v>#VALUE!</v>
      </c>
      <c r="F179" t="e">
        <v>#VALUE!</v>
      </c>
      <c r="G179" t="e">
        <v>#VALUE!</v>
      </c>
      <c r="H179" t="e">
        <v>#VALUE!</v>
      </c>
      <c r="I179" t="e">
        <v>#VALUE!</v>
      </c>
      <c r="J179" t="e">
        <v>#VALUE!</v>
      </c>
      <c r="K179" t="e">
        <v>#VALUE!</v>
      </c>
      <c r="L179" t="e">
        <v>#VALUE!</v>
      </c>
      <c r="M179" t="e">
        <v>#VALUE!</v>
      </c>
      <c r="N179" t="e">
        <v>#VALUE!</v>
      </c>
      <c r="O179" t="e">
        <v>#VALUE!</v>
      </c>
      <c r="P179" t="e">
        <v>#VALUE!</v>
      </c>
      <c r="Q179">
        <v>9.9999999999999995E-7</v>
      </c>
      <c r="R179">
        <v>9.9999999999999995E-7</v>
      </c>
      <c r="S179">
        <v>9.9999999999999995E-7</v>
      </c>
      <c r="T179">
        <v>9.9999999999999995E-7</v>
      </c>
      <c r="U179">
        <v>9.9999999999999995E-7</v>
      </c>
      <c r="V179">
        <v>9.9999999999999995E-7</v>
      </c>
      <c r="W179">
        <v>9.9999999999999995E-7</v>
      </c>
      <c r="X179">
        <v>9.9999999999999995E-7</v>
      </c>
      <c r="Y179">
        <v>9.9999999999999995E-7</v>
      </c>
      <c r="Z179">
        <v>9.9999999999999995E-7</v>
      </c>
      <c r="AA179">
        <v>9.9999999999999995E-7</v>
      </c>
      <c r="AB179">
        <v>9.9999999999999995E-7</v>
      </c>
      <c r="AC179">
        <v>9.9999999999999995E-7</v>
      </c>
      <c r="AD179">
        <v>9.9999999999999995E-7</v>
      </c>
      <c r="AE179">
        <v>9.9999999999999995E-7</v>
      </c>
      <c r="AF179">
        <v>9.9999999999999995E-7</v>
      </c>
      <c r="AG179">
        <v>9.9999999999999995E-7</v>
      </c>
      <c r="AH179">
        <v>9.9999999999999995E-7</v>
      </c>
      <c r="AI179">
        <v>9.9999999999999995E-7</v>
      </c>
      <c r="AJ179">
        <v>9.9999999999999995E-7</v>
      </c>
      <c r="AK179">
        <v>9.9999999999999995E-7</v>
      </c>
      <c r="AL179">
        <v>9.9999999999999995E-7</v>
      </c>
      <c r="AM179">
        <v>9.9999999999999995E-7</v>
      </c>
      <c r="AN179">
        <v>9.9999999999999995E-7</v>
      </c>
      <c r="AO179">
        <v>9.9999999999999995E-7</v>
      </c>
      <c r="AP179">
        <v>1.1E-5</v>
      </c>
      <c r="AQ179">
        <v>1.1E-5</v>
      </c>
      <c r="AR179">
        <v>1.1E-5</v>
      </c>
      <c r="AS179">
        <v>1.1E-5</v>
      </c>
      <c r="AT179">
        <v>1.1E-5</v>
      </c>
      <c r="AU179">
        <v>2.4000000000000001E-5</v>
      </c>
      <c r="AV179">
        <v>2.4000000000000001E-5</v>
      </c>
      <c r="AW179">
        <v>2.4000000000000001E-5</v>
      </c>
      <c r="AX179">
        <v>2.4000000000000001E-5</v>
      </c>
      <c r="AY179">
        <v>2.4000000000000001E-5</v>
      </c>
      <c r="AZ179">
        <v>4.3999999999999999E-5</v>
      </c>
      <c r="BA179">
        <v>4.3999999999999999E-5</v>
      </c>
      <c r="BB179">
        <v>4.3999999999999999E-5</v>
      </c>
      <c r="BC179">
        <v>4.3999999999999999E-5</v>
      </c>
      <c r="BD179">
        <v>4.3999999999999999E-5</v>
      </c>
      <c r="BE179">
        <v>6.6000000000000005E-5</v>
      </c>
      <c r="BF179">
        <v>6.6000000000000005E-5</v>
      </c>
      <c r="BG179">
        <v>6.6000000000000005E-5</v>
      </c>
      <c r="BH179">
        <v>6.6000000000000005E-5</v>
      </c>
      <c r="BI179">
        <v>6.6000000000000005E-5</v>
      </c>
      <c r="BJ179">
        <v>9.0000000000000006E-5</v>
      </c>
      <c r="BK179">
        <v>9.0000000000000006E-5</v>
      </c>
      <c r="BL179">
        <v>9.0000000000000006E-5</v>
      </c>
      <c r="BM179">
        <v>9.0000000000000006E-5</v>
      </c>
      <c r="BN179">
        <v>9.0000000000000006E-5</v>
      </c>
      <c r="BO179">
        <v>1.11E-4</v>
      </c>
      <c r="BP179">
        <v>1.11E-4</v>
      </c>
      <c r="BQ179">
        <v>1.11E-4</v>
      </c>
      <c r="BR179">
        <v>1.11E-4</v>
      </c>
      <c r="BS179">
        <v>1.11E-4</v>
      </c>
      <c r="BT179">
        <v>1.17E-4</v>
      </c>
      <c r="BU179">
        <v>1.17E-4</v>
      </c>
      <c r="BV179">
        <v>1.17E-4</v>
      </c>
      <c r="BW179">
        <v>1.17E-4</v>
      </c>
      <c r="BX179">
        <v>1.17E-4</v>
      </c>
      <c r="BY179">
        <v>9.8999999999999994E-5</v>
      </c>
      <c r="BZ179">
        <v>9.8999999999999994E-5</v>
      </c>
      <c r="CA179">
        <v>9.8999999999999994E-5</v>
      </c>
      <c r="CB179">
        <v>9.8999999999999994E-5</v>
      </c>
      <c r="CC179">
        <v>9.8999999999999994E-5</v>
      </c>
      <c r="CD179">
        <v>9.8999999999999994E-5</v>
      </c>
      <c r="CE179">
        <v>9.8999999999999994E-5</v>
      </c>
      <c r="CF179">
        <v>9.8999999999999994E-5</v>
      </c>
      <c r="CG179">
        <v>9.8999999999999994E-5</v>
      </c>
      <c r="CH179">
        <v>9.8999999999999994E-5</v>
      </c>
      <c r="CI179">
        <v>9.8999999999999994E-5</v>
      </c>
      <c r="CJ179">
        <v>9.8999999999999994E-5</v>
      </c>
      <c r="CK179">
        <v>9.8999999999999994E-5</v>
      </c>
      <c r="CL179">
        <v>9.8999999999999994E-5</v>
      </c>
      <c r="CM179">
        <v>9.8999999999999994E-5</v>
      </c>
      <c r="CN179">
        <v>9.8999999999999994E-5</v>
      </c>
      <c r="CO179">
        <v>9.8999999999999994E-5</v>
      </c>
      <c r="CP179">
        <v>9.8999999999999994E-5</v>
      </c>
      <c r="CQ179">
        <v>9.8999999999999994E-5</v>
      </c>
      <c r="CR179">
        <v>9.8999999999999994E-5</v>
      </c>
      <c r="CS179">
        <v>9.8999999999999994E-5</v>
      </c>
      <c r="CT179">
        <v>9.8999999999999994E-5</v>
      </c>
      <c r="CU179">
        <v>9.8999999999999994E-5</v>
      </c>
      <c r="CV179">
        <v>9.8999999999999994E-5</v>
      </c>
      <c r="CW179">
        <v>9.8999999999999994E-5</v>
      </c>
      <c r="CX179">
        <v>9.8999999999999994E-5</v>
      </c>
    </row>
    <row r="180" spans="1:102" x14ac:dyDescent="0.25">
      <c r="A180" t="s">
        <v>425</v>
      </c>
      <c r="B180" t="e">
        <v>#VALUE!</v>
      </c>
      <c r="C180" t="e">
        <v>#VALUE!</v>
      </c>
      <c r="D180" t="e">
        <v>#VALUE!</v>
      </c>
      <c r="E180" t="e">
        <v>#VALUE!</v>
      </c>
      <c r="F180" t="e">
        <v>#VALUE!</v>
      </c>
      <c r="G180" t="e">
        <v>#VALUE!</v>
      </c>
      <c r="H180" t="e">
        <v>#VALUE!</v>
      </c>
      <c r="I180" t="e">
        <v>#VALUE!</v>
      </c>
      <c r="J180" t="e">
        <v>#VALUE!</v>
      </c>
      <c r="K180" t="e">
        <v>#VALUE!</v>
      </c>
      <c r="L180" t="e">
        <v>#VALUE!</v>
      </c>
      <c r="M180" t="e">
        <v>#VALUE!</v>
      </c>
      <c r="N180" t="e">
        <v>#VALUE!</v>
      </c>
      <c r="O180" t="e">
        <v>#VALUE!</v>
      </c>
      <c r="P180" t="e">
        <v>#VALUE!</v>
      </c>
      <c r="Q180">
        <v>3.0000000000000001E-6</v>
      </c>
      <c r="R180">
        <v>3.0000000000000001E-6</v>
      </c>
      <c r="S180">
        <v>3.0000000000000001E-6</v>
      </c>
      <c r="T180">
        <v>3.0000000000000001E-6</v>
      </c>
      <c r="U180">
        <v>3.0000000000000001E-6</v>
      </c>
      <c r="V180">
        <v>3.0000000000000001E-6</v>
      </c>
      <c r="W180">
        <v>3.0000000000000001E-6</v>
      </c>
      <c r="X180">
        <v>3.0000000000000001E-6</v>
      </c>
      <c r="Y180">
        <v>3.0000000000000001E-6</v>
      </c>
      <c r="Z180">
        <v>3.0000000000000001E-6</v>
      </c>
      <c r="AA180">
        <v>3.0000000000000001E-6</v>
      </c>
      <c r="AB180">
        <v>3.0000000000000001E-6</v>
      </c>
      <c r="AC180">
        <v>3.0000000000000001E-6</v>
      </c>
      <c r="AD180">
        <v>3.0000000000000001E-6</v>
      </c>
      <c r="AE180">
        <v>3.0000000000000001E-6</v>
      </c>
      <c r="AF180">
        <v>3.0000000000000001E-6</v>
      </c>
      <c r="AG180">
        <v>3.0000000000000001E-6</v>
      </c>
      <c r="AH180">
        <v>3.0000000000000001E-6</v>
      </c>
      <c r="AI180">
        <v>3.0000000000000001E-6</v>
      </c>
      <c r="AJ180">
        <v>3.0000000000000001E-6</v>
      </c>
      <c r="AK180">
        <v>3.0000000000000001E-6</v>
      </c>
      <c r="AL180">
        <v>3.0000000000000001E-6</v>
      </c>
      <c r="AM180">
        <v>3.0000000000000001E-6</v>
      </c>
      <c r="AN180">
        <v>3.0000000000000001E-6</v>
      </c>
      <c r="AO180">
        <v>3.0000000000000001E-6</v>
      </c>
      <c r="AP180">
        <v>2.0000000000000002E-5</v>
      </c>
      <c r="AQ180">
        <v>2.0000000000000002E-5</v>
      </c>
      <c r="AR180">
        <v>2.0000000000000002E-5</v>
      </c>
      <c r="AS180">
        <v>2.0000000000000002E-5</v>
      </c>
      <c r="AT180">
        <v>2.0000000000000002E-5</v>
      </c>
      <c r="AU180">
        <v>3.1000000000000001E-5</v>
      </c>
      <c r="AV180">
        <v>3.1000000000000001E-5</v>
      </c>
      <c r="AW180">
        <v>3.1000000000000001E-5</v>
      </c>
      <c r="AX180">
        <v>3.1000000000000001E-5</v>
      </c>
      <c r="AY180">
        <v>3.1000000000000001E-5</v>
      </c>
      <c r="AZ180">
        <v>4.1999999999999998E-5</v>
      </c>
      <c r="BA180">
        <v>4.1999999999999998E-5</v>
      </c>
      <c r="BB180">
        <v>4.1999999999999998E-5</v>
      </c>
      <c r="BC180">
        <v>4.1999999999999998E-5</v>
      </c>
      <c r="BD180">
        <v>4.1999999999999998E-5</v>
      </c>
      <c r="BE180">
        <v>5.3000000000000001E-5</v>
      </c>
      <c r="BF180">
        <v>5.3000000000000001E-5</v>
      </c>
      <c r="BG180">
        <v>5.3000000000000001E-5</v>
      </c>
      <c r="BH180">
        <v>5.3000000000000001E-5</v>
      </c>
      <c r="BI180">
        <v>5.3000000000000001E-5</v>
      </c>
      <c r="BJ180">
        <v>6.3999999999999997E-5</v>
      </c>
      <c r="BK180">
        <v>6.3999999999999997E-5</v>
      </c>
      <c r="BL180">
        <v>6.3999999999999997E-5</v>
      </c>
      <c r="BM180">
        <v>6.3999999999999997E-5</v>
      </c>
      <c r="BN180">
        <v>6.3999999999999997E-5</v>
      </c>
      <c r="BO180">
        <v>7.7999999999999999E-5</v>
      </c>
      <c r="BP180">
        <v>7.7999999999999999E-5</v>
      </c>
      <c r="BQ180">
        <v>7.7999999999999999E-5</v>
      </c>
      <c r="BR180">
        <v>7.7999999999999999E-5</v>
      </c>
      <c r="BS180">
        <v>7.7999999999999999E-5</v>
      </c>
      <c r="BT180">
        <v>9.2999999999999997E-5</v>
      </c>
      <c r="BU180">
        <v>9.2999999999999997E-5</v>
      </c>
      <c r="BV180">
        <v>9.2999999999999997E-5</v>
      </c>
      <c r="BW180">
        <v>9.2999999999999997E-5</v>
      </c>
      <c r="BX180">
        <v>9.2999999999999997E-5</v>
      </c>
      <c r="BY180">
        <v>1.07E-4</v>
      </c>
      <c r="BZ180">
        <v>1.07E-4</v>
      </c>
      <c r="CA180">
        <v>1.07E-4</v>
      </c>
      <c r="CB180">
        <v>1.07E-4</v>
      </c>
      <c r="CC180">
        <v>1.07E-4</v>
      </c>
      <c r="CD180">
        <v>1.07E-4</v>
      </c>
      <c r="CE180">
        <v>1.07E-4</v>
      </c>
      <c r="CF180">
        <v>1.07E-4</v>
      </c>
      <c r="CG180">
        <v>1.07E-4</v>
      </c>
      <c r="CH180">
        <v>1.07E-4</v>
      </c>
      <c r="CI180">
        <v>1.07E-4</v>
      </c>
      <c r="CJ180">
        <v>1.07E-4</v>
      </c>
      <c r="CK180">
        <v>1.07E-4</v>
      </c>
      <c r="CL180">
        <v>1.07E-4</v>
      </c>
      <c r="CM180">
        <v>1.07E-4</v>
      </c>
      <c r="CN180">
        <v>1.07E-4</v>
      </c>
      <c r="CO180">
        <v>1.07E-4</v>
      </c>
      <c r="CP180">
        <v>1.07E-4</v>
      </c>
      <c r="CQ180">
        <v>1.07E-4</v>
      </c>
      <c r="CR180">
        <v>1.07E-4</v>
      </c>
      <c r="CS180">
        <v>1.07E-4</v>
      </c>
      <c r="CT180">
        <v>1.07E-4</v>
      </c>
      <c r="CU180">
        <v>1.07E-4</v>
      </c>
      <c r="CV180">
        <v>1.07E-4</v>
      </c>
      <c r="CW180">
        <v>1.07E-4</v>
      </c>
      <c r="CX180">
        <v>1.07E-4</v>
      </c>
    </row>
    <row r="181" spans="1:102" x14ac:dyDescent="0.25">
      <c r="A181" t="s">
        <v>427</v>
      </c>
      <c r="B181" t="e">
        <v>#VALUE!</v>
      </c>
      <c r="C181" t="e">
        <v>#VALUE!</v>
      </c>
      <c r="D181" t="e">
        <v>#VALUE!</v>
      </c>
      <c r="E181" t="e">
        <v>#VALUE!</v>
      </c>
      <c r="F181" t="e">
        <v>#VALUE!</v>
      </c>
      <c r="G181" t="e">
        <v>#VALUE!</v>
      </c>
      <c r="H181" t="e">
        <v>#VALUE!</v>
      </c>
      <c r="I181" t="e">
        <v>#VALUE!</v>
      </c>
      <c r="J181" t="e">
        <v>#VALUE!</v>
      </c>
      <c r="K181" t="e">
        <v>#VALUE!</v>
      </c>
      <c r="L181" t="e">
        <v>#VALUE!</v>
      </c>
      <c r="M181" t="e">
        <v>#VALUE!</v>
      </c>
      <c r="N181" t="e">
        <v>#VALUE!</v>
      </c>
      <c r="O181" t="e">
        <v>#VALUE!</v>
      </c>
      <c r="P181" t="e">
        <v>#VALUE!</v>
      </c>
      <c r="Q181">
        <v>1.2999999999999999E-5</v>
      </c>
      <c r="R181">
        <v>1.2999999999999999E-5</v>
      </c>
      <c r="S181">
        <v>1.2999999999999999E-5</v>
      </c>
      <c r="T181">
        <v>1.2999999999999999E-5</v>
      </c>
      <c r="U181">
        <v>1.2999999999999999E-5</v>
      </c>
      <c r="V181">
        <v>1.2999999999999999E-5</v>
      </c>
      <c r="W181">
        <v>1.2999999999999999E-5</v>
      </c>
      <c r="X181">
        <v>1.2999999999999999E-5</v>
      </c>
      <c r="Y181">
        <v>1.2999999999999999E-5</v>
      </c>
      <c r="Z181">
        <v>1.2999999999999999E-5</v>
      </c>
      <c r="AA181">
        <v>1.2999999999999999E-5</v>
      </c>
      <c r="AB181">
        <v>1.2999999999999999E-5</v>
      </c>
      <c r="AC181">
        <v>1.2999999999999999E-5</v>
      </c>
      <c r="AD181">
        <v>1.2999999999999999E-5</v>
      </c>
      <c r="AE181">
        <v>1.2999999999999999E-5</v>
      </c>
      <c r="AF181">
        <v>1.2999999999999999E-5</v>
      </c>
      <c r="AG181">
        <v>1.2999999999999999E-5</v>
      </c>
      <c r="AH181">
        <v>1.2999999999999999E-5</v>
      </c>
      <c r="AI181">
        <v>1.2999999999999999E-5</v>
      </c>
      <c r="AJ181">
        <v>1.2999999999999999E-5</v>
      </c>
      <c r="AK181">
        <v>1.2999999999999999E-5</v>
      </c>
      <c r="AL181">
        <v>1.2999999999999999E-5</v>
      </c>
      <c r="AM181">
        <v>1.2999999999999999E-5</v>
      </c>
      <c r="AN181">
        <v>1.2999999999999999E-5</v>
      </c>
      <c r="AO181">
        <v>1.2999999999999999E-5</v>
      </c>
      <c r="AP181">
        <v>6.3999999999999997E-5</v>
      </c>
      <c r="AQ181">
        <v>6.3999999999999997E-5</v>
      </c>
      <c r="AR181">
        <v>6.3999999999999997E-5</v>
      </c>
      <c r="AS181">
        <v>6.3999999999999997E-5</v>
      </c>
      <c r="AT181">
        <v>6.3999999999999997E-5</v>
      </c>
      <c r="AU181">
        <v>1.06E-4</v>
      </c>
      <c r="AV181">
        <v>1.06E-4</v>
      </c>
      <c r="AW181">
        <v>1.06E-4</v>
      </c>
      <c r="AX181">
        <v>1.06E-4</v>
      </c>
      <c r="AY181">
        <v>1.06E-4</v>
      </c>
      <c r="AZ181">
        <v>1.4799999999999999E-4</v>
      </c>
      <c r="BA181">
        <v>1.4799999999999999E-4</v>
      </c>
      <c r="BB181">
        <v>1.4799999999999999E-4</v>
      </c>
      <c r="BC181">
        <v>1.4799999999999999E-4</v>
      </c>
      <c r="BD181">
        <v>1.4799999999999999E-4</v>
      </c>
      <c r="BE181">
        <v>1.7100000000000001E-4</v>
      </c>
      <c r="BF181">
        <v>1.7100000000000001E-4</v>
      </c>
      <c r="BG181">
        <v>1.7100000000000001E-4</v>
      </c>
      <c r="BH181">
        <v>1.7100000000000001E-4</v>
      </c>
      <c r="BI181">
        <v>1.7100000000000001E-4</v>
      </c>
      <c r="BJ181">
        <v>2.04E-4</v>
      </c>
      <c r="BK181">
        <v>2.04E-4</v>
      </c>
      <c r="BL181">
        <v>2.04E-4</v>
      </c>
      <c r="BM181">
        <v>2.04E-4</v>
      </c>
      <c r="BN181">
        <v>2.04E-4</v>
      </c>
      <c r="BO181">
        <v>2.5399999999999999E-4</v>
      </c>
      <c r="BP181">
        <v>2.5399999999999999E-4</v>
      </c>
      <c r="BQ181">
        <v>2.5399999999999999E-4</v>
      </c>
      <c r="BR181">
        <v>2.5399999999999999E-4</v>
      </c>
      <c r="BS181">
        <v>2.5399999999999999E-4</v>
      </c>
      <c r="BT181">
        <v>2.9300000000000002E-4</v>
      </c>
      <c r="BU181">
        <v>2.9300000000000002E-4</v>
      </c>
      <c r="BV181">
        <v>2.9300000000000002E-4</v>
      </c>
      <c r="BW181">
        <v>2.9300000000000002E-4</v>
      </c>
      <c r="BX181">
        <v>2.9300000000000002E-4</v>
      </c>
      <c r="BY181">
        <v>3.4099999999999999E-4</v>
      </c>
      <c r="BZ181">
        <v>3.4099999999999999E-4</v>
      </c>
      <c r="CA181">
        <v>3.4099999999999999E-4</v>
      </c>
      <c r="CB181">
        <v>3.4099999999999999E-4</v>
      </c>
      <c r="CC181">
        <v>3.4099999999999999E-4</v>
      </c>
      <c r="CD181">
        <v>3.4099999999999999E-4</v>
      </c>
      <c r="CE181">
        <v>3.4099999999999999E-4</v>
      </c>
      <c r="CF181">
        <v>3.4099999999999999E-4</v>
      </c>
      <c r="CG181">
        <v>3.4099999999999999E-4</v>
      </c>
      <c r="CH181">
        <v>3.4099999999999999E-4</v>
      </c>
      <c r="CI181">
        <v>3.4099999999999999E-4</v>
      </c>
      <c r="CJ181">
        <v>3.4099999999999999E-4</v>
      </c>
      <c r="CK181">
        <v>3.4099999999999999E-4</v>
      </c>
      <c r="CL181">
        <v>3.4099999999999999E-4</v>
      </c>
      <c r="CM181">
        <v>3.4099999999999999E-4</v>
      </c>
      <c r="CN181">
        <v>3.4099999999999999E-4</v>
      </c>
      <c r="CO181">
        <v>3.4099999999999999E-4</v>
      </c>
      <c r="CP181">
        <v>3.4099999999999999E-4</v>
      </c>
      <c r="CQ181">
        <v>3.4099999999999999E-4</v>
      </c>
      <c r="CR181">
        <v>3.4099999999999999E-4</v>
      </c>
      <c r="CS181">
        <v>3.4099999999999999E-4</v>
      </c>
      <c r="CT181">
        <v>3.4099999999999999E-4</v>
      </c>
      <c r="CU181">
        <v>3.4099999999999999E-4</v>
      </c>
      <c r="CV181">
        <v>3.4099999999999999E-4</v>
      </c>
      <c r="CW181">
        <v>3.4099999999999999E-4</v>
      </c>
      <c r="CX181">
        <v>3.4099999999999999E-4</v>
      </c>
    </row>
    <row r="182" spans="1:102" x14ac:dyDescent="0.25">
      <c r="A182" t="s">
        <v>429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1.2999999999999999E-5</v>
      </c>
      <c r="R182">
        <v>1.2999999999999999E-5</v>
      </c>
      <c r="S182">
        <v>1.2999999999999999E-5</v>
      </c>
      <c r="T182">
        <v>1.2999999999999999E-5</v>
      </c>
      <c r="U182">
        <v>1.2999999999999999E-5</v>
      </c>
      <c r="V182">
        <v>1.2999999999999999E-5</v>
      </c>
      <c r="W182">
        <v>1.2999999999999999E-5</v>
      </c>
      <c r="X182">
        <v>1.2999999999999999E-5</v>
      </c>
      <c r="Y182">
        <v>1.2999999999999999E-5</v>
      </c>
      <c r="Z182">
        <v>1.2999999999999999E-5</v>
      </c>
      <c r="AA182">
        <v>1.2999999999999999E-5</v>
      </c>
      <c r="AB182">
        <v>1.2999999999999999E-5</v>
      </c>
      <c r="AC182">
        <v>1.2999999999999999E-5</v>
      </c>
      <c r="AD182">
        <v>1.2999999999999999E-5</v>
      </c>
      <c r="AE182">
        <v>1.2999999999999999E-5</v>
      </c>
      <c r="AF182">
        <v>1.2999999999999999E-5</v>
      </c>
      <c r="AG182">
        <v>1.2999999999999999E-5</v>
      </c>
      <c r="AH182">
        <v>1.2999999999999999E-5</v>
      </c>
      <c r="AI182">
        <v>1.2999999999999999E-5</v>
      </c>
      <c r="AJ182">
        <v>1.2999999999999999E-5</v>
      </c>
      <c r="AK182">
        <v>1.2999999999999999E-5</v>
      </c>
      <c r="AL182">
        <v>1.2999999999999999E-5</v>
      </c>
      <c r="AM182">
        <v>1.2999999999999999E-5</v>
      </c>
      <c r="AN182">
        <v>1.2999999999999999E-5</v>
      </c>
      <c r="AO182">
        <v>1.2999999999999999E-5</v>
      </c>
      <c r="AP182">
        <v>5.1E-5</v>
      </c>
      <c r="AQ182">
        <v>5.1E-5</v>
      </c>
      <c r="AR182">
        <v>5.1E-5</v>
      </c>
      <c r="AS182">
        <v>5.1E-5</v>
      </c>
      <c r="AT182">
        <v>5.1E-5</v>
      </c>
      <c r="AU182">
        <v>6.9999999999999994E-5</v>
      </c>
      <c r="AV182">
        <v>6.9999999999999994E-5</v>
      </c>
      <c r="AW182">
        <v>6.9999999999999994E-5</v>
      </c>
      <c r="AX182">
        <v>6.9999999999999994E-5</v>
      </c>
      <c r="AY182">
        <v>6.9999999999999994E-5</v>
      </c>
      <c r="AZ182">
        <v>8.7999999999999998E-5</v>
      </c>
      <c r="BA182">
        <v>8.7999999999999998E-5</v>
      </c>
      <c r="BB182">
        <v>8.7999999999999998E-5</v>
      </c>
      <c r="BC182">
        <v>8.7999999999999998E-5</v>
      </c>
      <c r="BD182">
        <v>8.7999999999999998E-5</v>
      </c>
      <c r="BE182">
        <v>9.7E-5</v>
      </c>
      <c r="BF182">
        <v>9.7E-5</v>
      </c>
      <c r="BG182">
        <v>9.7E-5</v>
      </c>
      <c r="BH182">
        <v>9.7E-5</v>
      </c>
      <c r="BI182">
        <v>9.7E-5</v>
      </c>
      <c r="BJ182">
        <v>1.06E-4</v>
      </c>
      <c r="BK182">
        <v>1.06E-4</v>
      </c>
      <c r="BL182">
        <v>1.06E-4</v>
      </c>
      <c r="BM182">
        <v>1.06E-4</v>
      </c>
      <c r="BN182">
        <v>1.06E-4</v>
      </c>
      <c r="BO182">
        <v>1.2E-4</v>
      </c>
      <c r="BP182">
        <v>1.2E-4</v>
      </c>
      <c r="BQ182">
        <v>1.2E-4</v>
      </c>
      <c r="BR182">
        <v>1.2E-4</v>
      </c>
      <c r="BS182">
        <v>1.2E-4</v>
      </c>
      <c r="BT182">
        <v>1.4300000000000001E-4</v>
      </c>
      <c r="BU182">
        <v>1.4300000000000001E-4</v>
      </c>
      <c r="BV182">
        <v>1.4300000000000001E-4</v>
      </c>
      <c r="BW182">
        <v>1.4300000000000001E-4</v>
      </c>
      <c r="BX182">
        <v>1.4300000000000001E-4</v>
      </c>
      <c r="BY182">
        <v>2.2100000000000001E-4</v>
      </c>
      <c r="BZ182">
        <v>2.2100000000000001E-4</v>
      </c>
      <c r="CA182">
        <v>2.2100000000000001E-4</v>
      </c>
      <c r="CB182">
        <v>2.2100000000000001E-4</v>
      </c>
      <c r="CC182">
        <v>2.2100000000000001E-4</v>
      </c>
      <c r="CD182">
        <v>2.2100000000000001E-4</v>
      </c>
      <c r="CE182">
        <v>2.2100000000000001E-4</v>
      </c>
      <c r="CF182">
        <v>2.2100000000000001E-4</v>
      </c>
      <c r="CG182">
        <v>2.2100000000000001E-4</v>
      </c>
      <c r="CH182">
        <v>2.2100000000000001E-4</v>
      </c>
      <c r="CI182">
        <v>2.2100000000000001E-4</v>
      </c>
      <c r="CJ182">
        <v>2.2100000000000001E-4</v>
      </c>
      <c r="CK182">
        <v>2.2100000000000001E-4</v>
      </c>
      <c r="CL182">
        <v>2.2100000000000001E-4</v>
      </c>
      <c r="CM182">
        <v>2.2100000000000001E-4</v>
      </c>
      <c r="CN182">
        <v>2.2100000000000001E-4</v>
      </c>
      <c r="CO182">
        <v>2.2100000000000001E-4</v>
      </c>
      <c r="CP182">
        <v>2.2100000000000001E-4</v>
      </c>
      <c r="CQ182">
        <v>2.2100000000000001E-4</v>
      </c>
      <c r="CR182">
        <v>2.2100000000000001E-4</v>
      </c>
      <c r="CS182">
        <v>2.2100000000000001E-4</v>
      </c>
      <c r="CT182">
        <v>2.2100000000000001E-4</v>
      </c>
      <c r="CU182">
        <v>2.2100000000000001E-4</v>
      </c>
      <c r="CV182">
        <v>2.2100000000000001E-4</v>
      </c>
      <c r="CW182">
        <v>2.2100000000000001E-4</v>
      </c>
      <c r="CX182">
        <v>2.2100000000000001E-4</v>
      </c>
    </row>
    <row r="183" spans="1:102" x14ac:dyDescent="0.25">
      <c r="A183" t="s">
        <v>431</v>
      </c>
      <c r="B183" t="e">
        <v>#VALUE!</v>
      </c>
      <c r="C183" t="e">
        <v>#VALUE!</v>
      </c>
      <c r="D183" t="e">
        <v>#VALUE!</v>
      </c>
      <c r="E183" t="e">
        <v>#VALUE!</v>
      </c>
      <c r="F183" t="e">
        <v>#VALUE!</v>
      </c>
      <c r="G183" t="e">
        <v>#VALUE!</v>
      </c>
      <c r="H183" t="e">
        <v>#VALUE!</v>
      </c>
      <c r="I183" t="e">
        <v>#VALUE!</v>
      </c>
      <c r="J183" t="e">
        <v>#VALUE!</v>
      </c>
      <c r="K183" t="e">
        <v>#VALUE!</v>
      </c>
      <c r="L183" t="e">
        <v>#VALUE!</v>
      </c>
      <c r="M183" t="e">
        <v>#VALUE!</v>
      </c>
      <c r="N183" t="e">
        <v>#VALUE!</v>
      </c>
      <c r="O183" t="e">
        <v>#VALUE!</v>
      </c>
      <c r="P183" t="e">
        <v>#VALUE!</v>
      </c>
      <c r="Q183">
        <v>6.0999999999999999E-5</v>
      </c>
      <c r="R183">
        <v>6.0999999999999999E-5</v>
      </c>
      <c r="S183">
        <v>6.0999999999999999E-5</v>
      </c>
      <c r="T183">
        <v>6.0999999999999999E-5</v>
      </c>
      <c r="U183">
        <v>6.0999999999999999E-5</v>
      </c>
      <c r="V183">
        <v>6.0999999999999999E-5</v>
      </c>
      <c r="W183">
        <v>6.0999999999999999E-5</v>
      </c>
      <c r="X183">
        <v>6.0999999999999999E-5</v>
      </c>
      <c r="Y183">
        <v>6.0999999999999999E-5</v>
      </c>
      <c r="Z183">
        <v>6.0999999999999999E-5</v>
      </c>
      <c r="AA183">
        <v>6.0999999999999999E-5</v>
      </c>
      <c r="AB183">
        <v>6.0999999999999999E-5</v>
      </c>
      <c r="AC183">
        <v>6.0999999999999999E-5</v>
      </c>
      <c r="AD183">
        <v>6.0999999999999999E-5</v>
      </c>
      <c r="AE183">
        <v>6.0999999999999999E-5</v>
      </c>
      <c r="AF183">
        <v>6.0999999999999999E-5</v>
      </c>
      <c r="AG183">
        <v>6.0999999999999999E-5</v>
      </c>
      <c r="AH183">
        <v>6.0999999999999999E-5</v>
      </c>
      <c r="AI183">
        <v>6.0999999999999999E-5</v>
      </c>
      <c r="AJ183">
        <v>6.0999999999999999E-5</v>
      </c>
      <c r="AK183">
        <v>6.0999999999999999E-5</v>
      </c>
      <c r="AL183">
        <v>6.0999999999999999E-5</v>
      </c>
      <c r="AM183">
        <v>6.0999999999999999E-5</v>
      </c>
      <c r="AN183">
        <v>6.0999999999999999E-5</v>
      </c>
      <c r="AO183">
        <v>6.0999999999999999E-5</v>
      </c>
      <c r="AP183">
        <v>3.8900000000000002E-4</v>
      </c>
      <c r="AQ183">
        <v>3.8900000000000002E-4</v>
      </c>
      <c r="AR183">
        <v>3.8900000000000002E-4</v>
      </c>
      <c r="AS183">
        <v>3.8900000000000002E-4</v>
      </c>
      <c r="AT183">
        <v>3.8900000000000002E-4</v>
      </c>
      <c r="AU183">
        <v>5.6700000000000001E-4</v>
      </c>
      <c r="AV183">
        <v>5.6700000000000001E-4</v>
      </c>
      <c r="AW183">
        <v>5.6700000000000001E-4</v>
      </c>
      <c r="AX183">
        <v>5.6700000000000001E-4</v>
      </c>
      <c r="AY183">
        <v>5.6700000000000001E-4</v>
      </c>
      <c r="AZ183">
        <v>7.3499999999999998E-4</v>
      </c>
      <c r="BA183">
        <v>7.3499999999999998E-4</v>
      </c>
      <c r="BB183">
        <v>7.3499999999999998E-4</v>
      </c>
      <c r="BC183">
        <v>7.3499999999999998E-4</v>
      </c>
      <c r="BD183">
        <v>7.3499999999999998E-4</v>
      </c>
      <c r="BE183">
        <v>8.7900000000000001E-4</v>
      </c>
      <c r="BF183">
        <v>8.7900000000000001E-4</v>
      </c>
      <c r="BG183">
        <v>8.7900000000000001E-4</v>
      </c>
      <c r="BH183">
        <v>8.7900000000000001E-4</v>
      </c>
      <c r="BI183">
        <v>8.7900000000000001E-4</v>
      </c>
      <c r="BJ183">
        <v>1.0070000000000001E-3</v>
      </c>
      <c r="BK183">
        <v>1.0070000000000001E-3</v>
      </c>
      <c r="BL183">
        <v>1.0070000000000001E-3</v>
      </c>
      <c r="BM183">
        <v>1.0070000000000001E-3</v>
      </c>
      <c r="BN183">
        <v>1.0070000000000001E-3</v>
      </c>
      <c r="BO183">
        <v>1.0989999999999999E-3</v>
      </c>
      <c r="BP183">
        <v>1.0989999999999999E-3</v>
      </c>
      <c r="BQ183">
        <v>1.0989999999999999E-3</v>
      </c>
      <c r="BR183">
        <v>1.0989999999999999E-3</v>
      </c>
      <c r="BS183">
        <v>1.0989999999999999E-3</v>
      </c>
      <c r="BT183">
        <v>1.16E-3</v>
      </c>
      <c r="BU183">
        <v>1.16E-3</v>
      </c>
      <c r="BV183">
        <v>1.16E-3</v>
      </c>
      <c r="BW183">
        <v>1.16E-3</v>
      </c>
      <c r="BX183">
        <v>1.16E-3</v>
      </c>
      <c r="BY183">
        <v>1.189E-3</v>
      </c>
      <c r="BZ183">
        <v>1.189E-3</v>
      </c>
      <c r="CA183">
        <v>1.189E-3</v>
      </c>
      <c r="CB183">
        <v>1.189E-3</v>
      </c>
      <c r="CC183">
        <v>1.189E-3</v>
      </c>
      <c r="CD183">
        <v>1.189E-3</v>
      </c>
      <c r="CE183">
        <v>1.189E-3</v>
      </c>
      <c r="CF183">
        <v>1.189E-3</v>
      </c>
      <c r="CG183">
        <v>1.189E-3</v>
      </c>
      <c r="CH183">
        <v>1.189E-3</v>
      </c>
      <c r="CI183">
        <v>1.189E-3</v>
      </c>
      <c r="CJ183">
        <v>1.189E-3</v>
      </c>
      <c r="CK183">
        <v>1.189E-3</v>
      </c>
      <c r="CL183">
        <v>1.189E-3</v>
      </c>
      <c r="CM183">
        <v>1.189E-3</v>
      </c>
      <c r="CN183">
        <v>1.189E-3</v>
      </c>
      <c r="CO183">
        <v>1.189E-3</v>
      </c>
      <c r="CP183">
        <v>1.189E-3</v>
      </c>
      <c r="CQ183">
        <v>1.189E-3</v>
      </c>
      <c r="CR183">
        <v>1.189E-3</v>
      </c>
      <c r="CS183">
        <v>1.189E-3</v>
      </c>
      <c r="CT183">
        <v>1.189E-3</v>
      </c>
      <c r="CU183">
        <v>1.189E-3</v>
      </c>
      <c r="CV183">
        <v>1.189E-3</v>
      </c>
      <c r="CW183">
        <v>1.189E-3</v>
      </c>
      <c r="CX183">
        <v>1.189E-3</v>
      </c>
    </row>
    <row r="184" spans="1:102" x14ac:dyDescent="0.25">
      <c r="A184" t="s">
        <v>433</v>
      </c>
      <c r="B184" t="e">
        <v>#VALUE!</v>
      </c>
      <c r="C184" t="e">
        <v>#VALUE!</v>
      </c>
      <c r="D184" t="e">
        <v>#VALUE!</v>
      </c>
      <c r="E184" t="e">
        <v>#VALUE!</v>
      </c>
      <c r="F184" t="e">
        <v>#VALUE!</v>
      </c>
      <c r="G184" t="e">
        <v>#VALUE!</v>
      </c>
      <c r="H184" t="e">
        <v>#VALUE!</v>
      </c>
      <c r="I184" t="e">
        <v>#VALUE!</v>
      </c>
      <c r="J184" t="e">
        <v>#VALUE!</v>
      </c>
      <c r="K184" t="e">
        <v>#VALUE!</v>
      </c>
      <c r="L184" t="e">
        <v>#VALUE!</v>
      </c>
      <c r="M184" t="e">
        <v>#VALUE!</v>
      </c>
      <c r="N184" t="e">
        <v>#VALUE!</v>
      </c>
      <c r="O184" t="e">
        <v>#VALUE!</v>
      </c>
      <c r="P184" t="e">
        <v>#VALUE!</v>
      </c>
      <c r="Q184">
        <v>4.5000000000000003E-5</v>
      </c>
      <c r="R184">
        <v>4.5000000000000003E-5</v>
      </c>
      <c r="S184">
        <v>4.5000000000000003E-5</v>
      </c>
      <c r="T184">
        <v>4.5000000000000003E-5</v>
      </c>
      <c r="U184">
        <v>4.5000000000000003E-5</v>
      </c>
      <c r="V184">
        <v>4.5000000000000003E-5</v>
      </c>
      <c r="W184">
        <v>4.5000000000000003E-5</v>
      </c>
      <c r="X184">
        <v>4.5000000000000003E-5</v>
      </c>
      <c r="Y184">
        <v>4.5000000000000003E-5</v>
      </c>
      <c r="Z184">
        <v>4.5000000000000003E-5</v>
      </c>
      <c r="AA184">
        <v>4.5000000000000003E-5</v>
      </c>
      <c r="AB184">
        <v>4.5000000000000003E-5</v>
      </c>
      <c r="AC184">
        <v>4.5000000000000003E-5</v>
      </c>
      <c r="AD184">
        <v>4.5000000000000003E-5</v>
      </c>
      <c r="AE184">
        <v>4.5000000000000003E-5</v>
      </c>
      <c r="AF184">
        <v>4.5000000000000003E-5</v>
      </c>
      <c r="AG184">
        <v>4.5000000000000003E-5</v>
      </c>
      <c r="AH184">
        <v>4.5000000000000003E-5</v>
      </c>
      <c r="AI184">
        <v>4.5000000000000003E-5</v>
      </c>
      <c r="AJ184">
        <v>4.5000000000000003E-5</v>
      </c>
      <c r="AK184">
        <v>4.5000000000000003E-5</v>
      </c>
      <c r="AL184">
        <v>4.5000000000000003E-5</v>
      </c>
      <c r="AM184">
        <v>4.5000000000000003E-5</v>
      </c>
      <c r="AN184">
        <v>4.5000000000000003E-5</v>
      </c>
      <c r="AO184">
        <v>4.5000000000000003E-5</v>
      </c>
      <c r="AP184">
        <v>1.2999999999999999E-4</v>
      </c>
      <c r="AQ184">
        <v>1.2999999999999999E-4</v>
      </c>
      <c r="AR184">
        <v>1.2999999999999999E-4</v>
      </c>
      <c r="AS184">
        <v>1.2999999999999999E-4</v>
      </c>
      <c r="AT184">
        <v>1.2999999999999999E-4</v>
      </c>
      <c r="AU184">
        <v>1.47E-4</v>
      </c>
      <c r="AV184">
        <v>1.47E-4</v>
      </c>
      <c r="AW184">
        <v>1.47E-4</v>
      </c>
      <c r="AX184">
        <v>1.47E-4</v>
      </c>
      <c r="AY184">
        <v>1.47E-4</v>
      </c>
      <c r="AZ184">
        <v>1.5100000000000001E-4</v>
      </c>
      <c r="BA184">
        <v>1.5100000000000001E-4</v>
      </c>
      <c r="BB184">
        <v>1.5100000000000001E-4</v>
      </c>
      <c r="BC184">
        <v>1.5100000000000001E-4</v>
      </c>
      <c r="BD184">
        <v>1.5100000000000001E-4</v>
      </c>
      <c r="BE184">
        <v>1.5100000000000001E-4</v>
      </c>
      <c r="BF184">
        <v>1.5100000000000001E-4</v>
      </c>
      <c r="BG184">
        <v>1.5100000000000001E-4</v>
      </c>
      <c r="BH184">
        <v>1.5100000000000001E-4</v>
      </c>
      <c r="BI184">
        <v>1.5100000000000001E-4</v>
      </c>
      <c r="BJ184">
        <v>1.4899999999999999E-4</v>
      </c>
      <c r="BK184">
        <v>1.4899999999999999E-4</v>
      </c>
      <c r="BL184">
        <v>1.4899999999999999E-4</v>
      </c>
      <c r="BM184">
        <v>1.4899999999999999E-4</v>
      </c>
      <c r="BN184">
        <v>1.4899999999999999E-4</v>
      </c>
      <c r="BO184">
        <v>1.55E-4</v>
      </c>
      <c r="BP184">
        <v>1.55E-4</v>
      </c>
      <c r="BQ184">
        <v>1.55E-4</v>
      </c>
      <c r="BR184">
        <v>1.55E-4</v>
      </c>
      <c r="BS184">
        <v>1.55E-4</v>
      </c>
      <c r="BT184">
        <v>1.5699999999999999E-4</v>
      </c>
      <c r="BU184">
        <v>1.5699999999999999E-4</v>
      </c>
      <c r="BV184">
        <v>1.5699999999999999E-4</v>
      </c>
      <c r="BW184">
        <v>1.5699999999999999E-4</v>
      </c>
      <c r="BX184">
        <v>1.5699999999999999E-4</v>
      </c>
      <c r="BY184">
        <v>1.36E-4</v>
      </c>
      <c r="BZ184">
        <v>1.36E-4</v>
      </c>
      <c r="CA184">
        <v>1.36E-4</v>
      </c>
      <c r="CB184">
        <v>1.36E-4</v>
      </c>
      <c r="CC184">
        <v>1.36E-4</v>
      </c>
      <c r="CD184">
        <v>1.36E-4</v>
      </c>
      <c r="CE184">
        <v>1.36E-4</v>
      </c>
      <c r="CF184">
        <v>1.36E-4</v>
      </c>
      <c r="CG184">
        <v>1.36E-4</v>
      </c>
      <c r="CH184">
        <v>1.36E-4</v>
      </c>
      <c r="CI184">
        <v>1.36E-4</v>
      </c>
      <c r="CJ184">
        <v>1.36E-4</v>
      </c>
      <c r="CK184">
        <v>1.36E-4</v>
      </c>
      <c r="CL184">
        <v>1.36E-4</v>
      </c>
      <c r="CM184">
        <v>1.36E-4</v>
      </c>
      <c r="CN184">
        <v>1.36E-4</v>
      </c>
      <c r="CO184">
        <v>1.36E-4</v>
      </c>
      <c r="CP184">
        <v>1.36E-4</v>
      </c>
      <c r="CQ184">
        <v>1.36E-4</v>
      </c>
      <c r="CR184">
        <v>1.36E-4</v>
      </c>
      <c r="CS184">
        <v>1.36E-4</v>
      </c>
      <c r="CT184">
        <v>1.36E-4</v>
      </c>
      <c r="CU184">
        <v>1.36E-4</v>
      </c>
      <c r="CV184">
        <v>1.36E-4</v>
      </c>
      <c r="CW184">
        <v>1.36E-4</v>
      </c>
      <c r="CX184">
        <v>1.36E-4</v>
      </c>
    </row>
    <row r="185" spans="1:102" x14ac:dyDescent="0.25">
      <c r="A185" t="s">
        <v>435</v>
      </c>
      <c r="B185" t="e">
        <v>#VALUE!</v>
      </c>
      <c r="C185" t="e">
        <v>#VALUE!</v>
      </c>
      <c r="D185" t="e">
        <v>#VALUE!</v>
      </c>
      <c r="E185" t="e">
        <v>#VALUE!</v>
      </c>
      <c r="F185" t="e">
        <v>#VALUE!</v>
      </c>
      <c r="G185" t="e">
        <v>#VALUE!</v>
      </c>
      <c r="H185" t="e">
        <v>#VALUE!</v>
      </c>
      <c r="I185" t="e">
        <v>#VALUE!</v>
      </c>
      <c r="J185" t="e">
        <v>#VALUE!</v>
      </c>
      <c r="K185" t="e">
        <v>#VALUE!</v>
      </c>
      <c r="L185" t="e">
        <v>#VALUE!</v>
      </c>
      <c r="M185" t="e">
        <v>#VALUE!</v>
      </c>
      <c r="N185" t="e">
        <v>#VALUE!</v>
      </c>
      <c r="O185" t="e">
        <v>#VALUE!</v>
      </c>
      <c r="P185" t="e">
        <v>#VALUE!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2.1999999999999999E-5</v>
      </c>
      <c r="AQ185">
        <v>2.1999999999999999E-5</v>
      </c>
      <c r="AR185">
        <v>2.1999999999999999E-5</v>
      </c>
      <c r="AS185">
        <v>2.1999999999999999E-5</v>
      </c>
      <c r="AT185">
        <v>2.1999999999999999E-5</v>
      </c>
      <c r="AU185">
        <v>4.1999999999999998E-5</v>
      </c>
      <c r="AV185">
        <v>4.1999999999999998E-5</v>
      </c>
      <c r="AW185">
        <v>4.1999999999999998E-5</v>
      </c>
      <c r="AX185">
        <v>4.1999999999999998E-5</v>
      </c>
      <c r="AY185">
        <v>4.1999999999999998E-5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</row>
    <row r="186" spans="1:102" x14ac:dyDescent="0.25">
      <c r="A186" t="s">
        <v>437</v>
      </c>
      <c r="B186" t="e">
        <v>#VALUE!</v>
      </c>
      <c r="C186" t="e">
        <v>#VALUE!</v>
      </c>
      <c r="D186" t="e">
        <v>#VALUE!</v>
      </c>
      <c r="E186" t="e">
        <v>#VALUE!</v>
      </c>
      <c r="F186" t="e">
        <v>#VALUE!</v>
      </c>
      <c r="G186" t="e">
        <v>#VALUE!</v>
      </c>
      <c r="H186" t="e">
        <v>#VALUE!</v>
      </c>
      <c r="I186" t="e">
        <v>#VALUE!</v>
      </c>
      <c r="J186" t="e">
        <v>#VALUE!</v>
      </c>
      <c r="K186" t="e">
        <v>#VALUE!</v>
      </c>
      <c r="L186" t="e">
        <v>#VALUE!</v>
      </c>
      <c r="M186" t="e">
        <v>#VALUE!</v>
      </c>
      <c r="N186" t="e">
        <v>#VALUE!</v>
      </c>
      <c r="O186" t="e">
        <v>#VALUE!</v>
      </c>
      <c r="P186" t="e">
        <v>#VALUE!</v>
      </c>
      <c r="Q186">
        <v>1.0000000000000001E-5</v>
      </c>
      <c r="R186">
        <v>1.0000000000000001E-5</v>
      </c>
      <c r="S186">
        <v>1.0000000000000001E-5</v>
      </c>
      <c r="T186">
        <v>1.0000000000000001E-5</v>
      </c>
      <c r="U186">
        <v>1.0000000000000001E-5</v>
      </c>
      <c r="V186">
        <v>1.0000000000000001E-5</v>
      </c>
      <c r="W186">
        <v>1.0000000000000001E-5</v>
      </c>
      <c r="X186">
        <v>1.0000000000000001E-5</v>
      </c>
      <c r="Y186">
        <v>1.0000000000000001E-5</v>
      </c>
      <c r="Z186">
        <v>1.0000000000000001E-5</v>
      </c>
      <c r="AA186">
        <v>1.0000000000000001E-5</v>
      </c>
      <c r="AB186">
        <v>1.0000000000000001E-5</v>
      </c>
      <c r="AC186">
        <v>1.0000000000000001E-5</v>
      </c>
      <c r="AD186">
        <v>1.0000000000000001E-5</v>
      </c>
      <c r="AE186">
        <v>1.0000000000000001E-5</v>
      </c>
      <c r="AF186">
        <v>1.0000000000000001E-5</v>
      </c>
      <c r="AG186">
        <v>1.0000000000000001E-5</v>
      </c>
      <c r="AH186">
        <v>1.0000000000000001E-5</v>
      </c>
      <c r="AI186">
        <v>1.0000000000000001E-5</v>
      </c>
      <c r="AJ186">
        <v>1.0000000000000001E-5</v>
      </c>
      <c r="AK186">
        <v>1.0000000000000001E-5</v>
      </c>
      <c r="AL186">
        <v>1.0000000000000001E-5</v>
      </c>
      <c r="AM186">
        <v>1.0000000000000001E-5</v>
      </c>
      <c r="AN186">
        <v>1.0000000000000001E-5</v>
      </c>
      <c r="AO186">
        <v>1.0000000000000001E-5</v>
      </c>
      <c r="AP186">
        <v>2.5999999999999998E-5</v>
      </c>
      <c r="AQ186">
        <v>2.5999999999999998E-5</v>
      </c>
      <c r="AR186">
        <v>2.5999999999999998E-5</v>
      </c>
      <c r="AS186">
        <v>2.5999999999999998E-5</v>
      </c>
      <c r="AT186">
        <v>2.5999999999999998E-5</v>
      </c>
      <c r="AU186">
        <v>2.9E-5</v>
      </c>
      <c r="AV186">
        <v>2.9E-5</v>
      </c>
      <c r="AW186">
        <v>2.9E-5</v>
      </c>
      <c r="AX186">
        <v>2.9E-5</v>
      </c>
      <c r="AY186">
        <v>2.9E-5</v>
      </c>
      <c r="AZ186">
        <v>3.6000000000000001E-5</v>
      </c>
      <c r="BA186">
        <v>3.6000000000000001E-5</v>
      </c>
      <c r="BB186">
        <v>3.6000000000000001E-5</v>
      </c>
      <c r="BC186">
        <v>3.6000000000000001E-5</v>
      </c>
      <c r="BD186">
        <v>3.6000000000000001E-5</v>
      </c>
      <c r="BE186">
        <v>4.3000000000000002E-5</v>
      </c>
      <c r="BF186">
        <v>4.3000000000000002E-5</v>
      </c>
      <c r="BG186">
        <v>4.3000000000000002E-5</v>
      </c>
      <c r="BH186">
        <v>4.3000000000000002E-5</v>
      </c>
      <c r="BI186">
        <v>4.3000000000000002E-5</v>
      </c>
      <c r="BJ186">
        <v>5.0000000000000002E-5</v>
      </c>
      <c r="BK186">
        <v>5.0000000000000002E-5</v>
      </c>
      <c r="BL186">
        <v>5.0000000000000002E-5</v>
      </c>
      <c r="BM186">
        <v>5.0000000000000002E-5</v>
      </c>
      <c r="BN186">
        <v>5.0000000000000002E-5</v>
      </c>
      <c r="BO186">
        <v>5.7000000000000003E-5</v>
      </c>
      <c r="BP186">
        <v>5.7000000000000003E-5</v>
      </c>
      <c r="BQ186">
        <v>5.7000000000000003E-5</v>
      </c>
      <c r="BR186">
        <v>5.7000000000000003E-5</v>
      </c>
      <c r="BS186">
        <v>5.7000000000000003E-5</v>
      </c>
      <c r="BT186">
        <v>6.8999999999999997E-5</v>
      </c>
      <c r="BU186">
        <v>6.8999999999999997E-5</v>
      </c>
      <c r="BV186">
        <v>6.8999999999999997E-5</v>
      </c>
      <c r="BW186">
        <v>6.8999999999999997E-5</v>
      </c>
      <c r="BX186">
        <v>6.8999999999999997E-5</v>
      </c>
      <c r="BY186">
        <v>1.0399999999999999E-4</v>
      </c>
      <c r="BZ186">
        <v>1.0399999999999999E-4</v>
      </c>
      <c r="CA186">
        <v>1.0399999999999999E-4</v>
      </c>
      <c r="CB186">
        <v>1.0399999999999999E-4</v>
      </c>
      <c r="CC186">
        <v>1.0399999999999999E-4</v>
      </c>
      <c r="CD186">
        <v>1.0399999999999999E-4</v>
      </c>
      <c r="CE186">
        <v>1.0399999999999999E-4</v>
      </c>
      <c r="CF186">
        <v>1.0399999999999999E-4</v>
      </c>
      <c r="CG186">
        <v>1.0399999999999999E-4</v>
      </c>
      <c r="CH186">
        <v>1.0399999999999999E-4</v>
      </c>
      <c r="CI186">
        <v>1.0399999999999999E-4</v>
      </c>
      <c r="CJ186">
        <v>1.0399999999999999E-4</v>
      </c>
      <c r="CK186">
        <v>1.0399999999999999E-4</v>
      </c>
      <c r="CL186">
        <v>1.0399999999999999E-4</v>
      </c>
      <c r="CM186">
        <v>1.0399999999999999E-4</v>
      </c>
      <c r="CN186">
        <v>1.0399999999999999E-4</v>
      </c>
      <c r="CO186">
        <v>1.0399999999999999E-4</v>
      </c>
      <c r="CP186">
        <v>1.0399999999999999E-4</v>
      </c>
      <c r="CQ186">
        <v>1.0399999999999999E-4</v>
      </c>
      <c r="CR186">
        <v>1.0399999999999999E-4</v>
      </c>
      <c r="CS186">
        <v>1.0399999999999999E-4</v>
      </c>
      <c r="CT186">
        <v>1.0399999999999999E-4</v>
      </c>
      <c r="CU186">
        <v>1.0399999999999999E-4</v>
      </c>
      <c r="CV186">
        <v>1.0399999999999999E-4</v>
      </c>
      <c r="CW186">
        <v>1.0399999999999999E-4</v>
      </c>
      <c r="CX186">
        <v>1.0399999999999999E-4</v>
      </c>
    </row>
    <row r="187" spans="1:102" x14ac:dyDescent="0.25">
      <c r="A187" t="s">
        <v>439</v>
      </c>
      <c r="B187" t="e">
        <v>#VALUE!</v>
      </c>
      <c r="C187" t="e">
        <v>#VALUE!</v>
      </c>
      <c r="D187" t="e">
        <v>#VALUE!</v>
      </c>
      <c r="E187" t="e">
        <v>#VALUE!</v>
      </c>
      <c r="F187" t="e">
        <v>#VALUE!</v>
      </c>
      <c r="G187" t="e">
        <v>#VALUE!</v>
      </c>
      <c r="H187" t="e">
        <v>#VALUE!</v>
      </c>
      <c r="I187" t="e">
        <v>#VALUE!</v>
      </c>
      <c r="J187" t="e">
        <v>#VALUE!</v>
      </c>
      <c r="K187" t="e">
        <v>#VALUE!</v>
      </c>
      <c r="L187" t="e">
        <v>#VALUE!</v>
      </c>
      <c r="M187" t="e">
        <v>#VALUE!</v>
      </c>
      <c r="N187" t="e">
        <v>#VALUE!</v>
      </c>
      <c r="O187" t="e">
        <v>#VALUE!</v>
      </c>
      <c r="P187" t="e">
        <v>#VALUE!</v>
      </c>
      <c r="Q187">
        <v>1.0000000000000001E-5</v>
      </c>
      <c r="R187">
        <v>1.0000000000000001E-5</v>
      </c>
      <c r="S187">
        <v>1.0000000000000001E-5</v>
      </c>
      <c r="T187">
        <v>1.0000000000000001E-5</v>
      </c>
      <c r="U187">
        <v>1.0000000000000001E-5</v>
      </c>
      <c r="V187">
        <v>1.0000000000000001E-5</v>
      </c>
      <c r="W187">
        <v>1.0000000000000001E-5</v>
      </c>
      <c r="X187">
        <v>1.0000000000000001E-5</v>
      </c>
      <c r="Y187">
        <v>1.0000000000000001E-5</v>
      </c>
      <c r="Z187">
        <v>1.0000000000000001E-5</v>
      </c>
      <c r="AA187">
        <v>1.0000000000000001E-5</v>
      </c>
      <c r="AB187">
        <v>1.0000000000000001E-5</v>
      </c>
      <c r="AC187">
        <v>1.0000000000000001E-5</v>
      </c>
      <c r="AD187">
        <v>1.0000000000000001E-5</v>
      </c>
      <c r="AE187">
        <v>1.0000000000000001E-5</v>
      </c>
      <c r="AF187">
        <v>1.0000000000000001E-5</v>
      </c>
      <c r="AG187">
        <v>1.0000000000000001E-5</v>
      </c>
      <c r="AH187">
        <v>1.0000000000000001E-5</v>
      </c>
      <c r="AI187">
        <v>1.0000000000000001E-5</v>
      </c>
      <c r="AJ187">
        <v>1.0000000000000001E-5</v>
      </c>
      <c r="AK187">
        <v>1.0000000000000001E-5</v>
      </c>
      <c r="AL187">
        <v>1.0000000000000001E-5</v>
      </c>
      <c r="AM187">
        <v>1.0000000000000001E-5</v>
      </c>
      <c r="AN187">
        <v>1.0000000000000001E-5</v>
      </c>
      <c r="AO187">
        <v>1.0000000000000001E-5</v>
      </c>
      <c r="AP187">
        <v>4.0000000000000003E-5</v>
      </c>
      <c r="AQ187">
        <v>4.0000000000000003E-5</v>
      </c>
      <c r="AR187">
        <v>4.0000000000000003E-5</v>
      </c>
      <c r="AS187">
        <v>4.0000000000000003E-5</v>
      </c>
      <c r="AT187">
        <v>4.0000000000000003E-5</v>
      </c>
      <c r="AU187">
        <v>5.3999999999999998E-5</v>
      </c>
      <c r="AV187">
        <v>5.3999999999999998E-5</v>
      </c>
      <c r="AW187">
        <v>5.3999999999999998E-5</v>
      </c>
      <c r="AX187">
        <v>5.3999999999999998E-5</v>
      </c>
      <c r="AY187">
        <v>5.3999999999999998E-5</v>
      </c>
      <c r="AZ187">
        <v>6.6000000000000005E-5</v>
      </c>
      <c r="BA187">
        <v>6.6000000000000005E-5</v>
      </c>
      <c r="BB187">
        <v>6.6000000000000005E-5</v>
      </c>
      <c r="BC187">
        <v>6.6000000000000005E-5</v>
      </c>
      <c r="BD187">
        <v>6.6000000000000005E-5</v>
      </c>
      <c r="BE187">
        <v>7.7999999999999999E-5</v>
      </c>
      <c r="BF187">
        <v>7.7999999999999999E-5</v>
      </c>
      <c r="BG187">
        <v>7.7999999999999999E-5</v>
      </c>
      <c r="BH187">
        <v>7.7999999999999999E-5</v>
      </c>
      <c r="BI187">
        <v>7.7999999999999999E-5</v>
      </c>
      <c r="BJ187">
        <v>8.8999999999999995E-5</v>
      </c>
      <c r="BK187">
        <v>8.8999999999999995E-5</v>
      </c>
      <c r="BL187">
        <v>8.8999999999999995E-5</v>
      </c>
      <c r="BM187">
        <v>8.8999999999999995E-5</v>
      </c>
      <c r="BN187">
        <v>8.8999999999999995E-5</v>
      </c>
      <c r="BO187">
        <v>9.8999999999999994E-5</v>
      </c>
      <c r="BP187">
        <v>9.8999999999999994E-5</v>
      </c>
      <c r="BQ187">
        <v>9.8999999999999994E-5</v>
      </c>
      <c r="BR187">
        <v>9.8999999999999994E-5</v>
      </c>
      <c r="BS187">
        <v>9.8999999999999994E-5</v>
      </c>
      <c r="BT187">
        <v>1.0399999999999999E-4</v>
      </c>
      <c r="BU187">
        <v>1.0399999999999999E-4</v>
      </c>
      <c r="BV187">
        <v>1.0399999999999999E-4</v>
      </c>
      <c r="BW187">
        <v>1.0399999999999999E-4</v>
      </c>
      <c r="BX187">
        <v>1.0399999999999999E-4</v>
      </c>
      <c r="BY187">
        <v>1.18E-4</v>
      </c>
      <c r="BZ187">
        <v>1.18E-4</v>
      </c>
      <c r="CA187">
        <v>1.18E-4</v>
      </c>
      <c r="CB187">
        <v>1.18E-4</v>
      </c>
      <c r="CC187">
        <v>1.18E-4</v>
      </c>
      <c r="CD187">
        <v>1.18E-4</v>
      </c>
      <c r="CE187">
        <v>1.18E-4</v>
      </c>
      <c r="CF187">
        <v>1.18E-4</v>
      </c>
      <c r="CG187">
        <v>1.18E-4</v>
      </c>
      <c r="CH187">
        <v>1.18E-4</v>
      </c>
      <c r="CI187">
        <v>1.18E-4</v>
      </c>
      <c r="CJ187">
        <v>1.18E-4</v>
      </c>
      <c r="CK187">
        <v>1.18E-4</v>
      </c>
      <c r="CL187">
        <v>1.18E-4</v>
      </c>
      <c r="CM187">
        <v>1.18E-4</v>
      </c>
      <c r="CN187">
        <v>1.18E-4</v>
      </c>
      <c r="CO187">
        <v>1.18E-4</v>
      </c>
      <c r="CP187">
        <v>1.18E-4</v>
      </c>
      <c r="CQ187">
        <v>1.18E-4</v>
      </c>
      <c r="CR187">
        <v>1.18E-4</v>
      </c>
      <c r="CS187">
        <v>1.18E-4</v>
      </c>
      <c r="CT187">
        <v>1.18E-4</v>
      </c>
      <c r="CU187">
        <v>1.18E-4</v>
      </c>
      <c r="CV187">
        <v>1.18E-4</v>
      </c>
      <c r="CW187">
        <v>1.18E-4</v>
      </c>
      <c r="CX187">
        <v>1.18E-4</v>
      </c>
    </row>
    <row r="188" spans="1:102" x14ac:dyDescent="0.25">
      <c r="A188" t="s">
        <v>441</v>
      </c>
      <c r="B188" t="e">
        <v>#VALUE!</v>
      </c>
      <c r="C188" t="e">
        <v>#VALUE!</v>
      </c>
      <c r="D188" t="e">
        <v>#VALUE!</v>
      </c>
      <c r="E188" t="e">
        <v>#VALUE!</v>
      </c>
      <c r="F188" t="e">
        <v>#VALUE!</v>
      </c>
      <c r="G188" t="e">
        <v>#VALUE!</v>
      </c>
      <c r="H188" t="e">
        <v>#VALUE!</v>
      </c>
      <c r="I188" t="e">
        <v>#VALUE!</v>
      </c>
      <c r="J188" t="e">
        <v>#VALUE!</v>
      </c>
      <c r="K188" t="e">
        <v>#VALUE!</v>
      </c>
      <c r="L188" t="e">
        <v>#VALUE!</v>
      </c>
      <c r="M188" t="e">
        <v>#VALUE!</v>
      </c>
      <c r="N188" t="e">
        <v>#VALUE!</v>
      </c>
      <c r="O188" t="e">
        <v>#VALUE!</v>
      </c>
      <c r="P188" t="e">
        <v>#VALUE!</v>
      </c>
      <c r="Q188">
        <v>3.4999999999999997E-5</v>
      </c>
      <c r="R188">
        <v>3.4999999999999997E-5</v>
      </c>
      <c r="S188">
        <v>3.4999999999999997E-5</v>
      </c>
      <c r="T188">
        <v>3.4999999999999997E-5</v>
      </c>
      <c r="U188">
        <v>3.4999999999999997E-5</v>
      </c>
      <c r="V188">
        <v>3.4999999999999997E-5</v>
      </c>
      <c r="W188">
        <v>3.4999999999999997E-5</v>
      </c>
      <c r="X188">
        <v>3.4999999999999997E-5</v>
      </c>
      <c r="Y188">
        <v>3.4999999999999997E-5</v>
      </c>
      <c r="Z188">
        <v>3.4999999999999997E-5</v>
      </c>
      <c r="AA188">
        <v>3.4999999999999997E-5</v>
      </c>
      <c r="AB188">
        <v>3.4999999999999997E-5</v>
      </c>
      <c r="AC188">
        <v>3.4999999999999997E-5</v>
      </c>
      <c r="AD188">
        <v>3.4999999999999997E-5</v>
      </c>
      <c r="AE188">
        <v>3.4999999999999997E-5</v>
      </c>
      <c r="AF188">
        <v>3.4999999999999997E-5</v>
      </c>
      <c r="AG188">
        <v>3.4999999999999997E-5</v>
      </c>
      <c r="AH188">
        <v>3.4999999999999997E-5</v>
      </c>
      <c r="AI188">
        <v>3.4999999999999997E-5</v>
      </c>
      <c r="AJ188">
        <v>3.4999999999999997E-5</v>
      </c>
      <c r="AK188">
        <v>3.4999999999999997E-5</v>
      </c>
      <c r="AL188">
        <v>3.4999999999999997E-5</v>
      </c>
      <c r="AM188">
        <v>3.4999999999999997E-5</v>
      </c>
      <c r="AN188">
        <v>3.4999999999999997E-5</v>
      </c>
      <c r="AO188">
        <v>3.4999999999999997E-5</v>
      </c>
      <c r="AP188">
        <v>1.2999999999999999E-4</v>
      </c>
      <c r="AQ188">
        <v>1.2999999999999999E-4</v>
      </c>
      <c r="AR188">
        <v>1.2999999999999999E-4</v>
      </c>
      <c r="AS188">
        <v>1.2999999999999999E-4</v>
      </c>
      <c r="AT188">
        <v>1.2999999999999999E-4</v>
      </c>
      <c r="AU188">
        <v>1.6200000000000001E-4</v>
      </c>
      <c r="AV188">
        <v>1.6200000000000001E-4</v>
      </c>
      <c r="AW188">
        <v>1.6200000000000001E-4</v>
      </c>
      <c r="AX188">
        <v>1.6200000000000001E-4</v>
      </c>
      <c r="AY188">
        <v>1.6200000000000001E-4</v>
      </c>
      <c r="AZ188">
        <v>1.7200000000000001E-4</v>
      </c>
      <c r="BA188">
        <v>1.7200000000000001E-4</v>
      </c>
      <c r="BB188">
        <v>1.7200000000000001E-4</v>
      </c>
      <c r="BC188">
        <v>1.7200000000000001E-4</v>
      </c>
      <c r="BD188">
        <v>1.7200000000000001E-4</v>
      </c>
      <c r="BE188">
        <v>1.92E-4</v>
      </c>
      <c r="BF188">
        <v>1.92E-4</v>
      </c>
      <c r="BG188">
        <v>1.92E-4</v>
      </c>
      <c r="BH188">
        <v>1.92E-4</v>
      </c>
      <c r="BI188">
        <v>1.92E-4</v>
      </c>
      <c r="BJ188">
        <v>2.03E-4</v>
      </c>
      <c r="BK188">
        <v>2.03E-4</v>
      </c>
      <c r="BL188">
        <v>2.03E-4</v>
      </c>
      <c r="BM188">
        <v>2.03E-4</v>
      </c>
      <c r="BN188">
        <v>2.03E-4</v>
      </c>
      <c r="BO188">
        <v>2.12E-4</v>
      </c>
      <c r="BP188">
        <v>2.12E-4</v>
      </c>
      <c r="BQ188">
        <v>2.12E-4</v>
      </c>
      <c r="BR188">
        <v>2.12E-4</v>
      </c>
      <c r="BS188">
        <v>2.12E-4</v>
      </c>
      <c r="BT188">
        <v>2.2599999999999999E-4</v>
      </c>
      <c r="BU188">
        <v>2.2599999999999999E-4</v>
      </c>
      <c r="BV188">
        <v>2.2599999999999999E-4</v>
      </c>
      <c r="BW188">
        <v>2.2599999999999999E-4</v>
      </c>
      <c r="BX188">
        <v>2.2599999999999999E-4</v>
      </c>
      <c r="BY188">
        <v>2.6899999999999998E-4</v>
      </c>
      <c r="BZ188">
        <v>2.6899999999999998E-4</v>
      </c>
      <c r="CA188">
        <v>2.6899999999999998E-4</v>
      </c>
      <c r="CB188">
        <v>2.6899999999999998E-4</v>
      </c>
      <c r="CC188">
        <v>2.6899999999999998E-4</v>
      </c>
      <c r="CD188">
        <v>2.6899999999999998E-4</v>
      </c>
      <c r="CE188">
        <v>2.6899999999999998E-4</v>
      </c>
      <c r="CF188">
        <v>2.6899999999999998E-4</v>
      </c>
      <c r="CG188">
        <v>2.6899999999999998E-4</v>
      </c>
      <c r="CH188">
        <v>2.6899999999999998E-4</v>
      </c>
      <c r="CI188">
        <v>2.6899999999999998E-4</v>
      </c>
      <c r="CJ188">
        <v>2.6899999999999998E-4</v>
      </c>
      <c r="CK188">
        <v>2.6899999999999998E-4</v>
      </c>
      <c r="CL188">
        <v>2.6899999999999998E-4</v>
      </c>
      <c r="CM188">
        <v>2.6899999999999998E-4</v>
      </c>
      <c r="CN188">
        <v>2.6899999999999998E-4</v>
      </c>
      <c r="CO188">
        <v>2.6899999999999998E-4</v>
      </c>
      <c r="CP188">
        <v>2.6899999999999998E-4</v>
      </c>
      <c r="CQ188">
        <v>2.6899999999999998E-4</v>
      </c>
      <c r="CR188">
        <v>2.6899999999999998E-4</v>
      </c>
      <c r="CS188">
        <v>2.6899999999999998E-4</v>
      </c>
      <c r="CT188">
        <v>2.6899999999999998E-4</v>
      </c>
      <c r="CU188">
        <v>2.6899999999999998E-4</v>
      </c>
      <c r="CV188">
        <v>2.6899999999999998E-4</v>
      </c>
      <c r="CW188">
        <v>2.6899999999999998E-4</v>
      </c>
      <c r="CX188">
        <v>2.6899999999999998E-4</v>
      </c>
    </row>
    <row r="189" spans="1:102" x14ac:dyDescent="0.25">
      <c r="A189" t="s">
        <v>443</v>
      </c>
      <c r="B189">
        <v>9.9999999999999995E-7</v>
      </c>
      <c r="C189">
        <v>9.9999999999999995E-7</v>
      </c>
      <c r="D189">
        <v>9.9999999999999995E-7</v>
      </c>
      <c r="E189">
        <v>9.9999999999999995E-7</v>
      </c>
      <c r="F189">
        <v>9.9999999999999995E-7</v>
      </c>
      <c r="G189">
        <v>9.9999999999999995E-7</v>
      </c>
      <c r="H189">
        <v>9.9999999999999995E-7</v>
      </c>
      <c r="I189">
        <v>9.9999999999999995E-7</v>
      </c>
      <c r="J189">
        <v>9.9999999999999995E-7</v>
      </c>
      <c r="K189">
        <v>9.9999999999999995E-7</v>
      </c>
      <c r="L189">
        <v>9.9999999999999995E-7</v>
      </c>
      <c r="M189">
        <v>9.9999999999999995E-7</v>
      </c>
      <c r="N189">
        <v>9.9999999999999995E-7</v>
      </c>
      <c r="O189">
        <v>9.9999999999999995E-7</v>
      </c>
      <c r="P189">
        <v>9.9999999999999995E-7</v>
      </c>
      <c r="Q189">
        <v>1.5999999999999999E-5</v>
      </c>
      <c r="R189">
        <v>1.5999999999999999E-5</v>
      </c>
      <c r="S189">
        <v>1.5999999999999999E-5</v>
      </c>
      <c r="T189">
        <v>1.5999999999999999E-5</v>
      </c>
      <c r="U189">
        <v>1.5999999999999999E-5</v>
      </c>
      <c r="V189">
        <v>1.5999999999999999E-5</v>
      </c>
      <c r="W189">
        <v>1.5999999999999999E-5</v>
      </c>
      <c r="X189">
        <v>1.5999999999999999E-5</v>
      </c>
      <c r="Y189">
        <v>1.5999999999999999E-5</v>
      </c>
      <c r="Z189">
        <v>1.5999999999999999E-5</v>
      </c>
      <c r="AA189">
        <v>1.5999999999999999E-5</v>
      </c>
      <c r="AB189">
        <v>1.5999999999999999E-5</v>
      </c>
      <c r="AC189">
        <v>1.5999999999999999E-5</v>
      </c>
      <c r="AD189">
        <v>1.5999999999999999E-5</v>
      </c>
      <c r="AE189">
        <v>1.5999999999999999E-5</v>
      </c>
      <c r="AF189">
        <v>1.5999999999999999E-5</v>
      </c>
      <c r="AG189">
        <v>1.5999999999999999E-5</v>
      </c>
      <c r="AH189">
        <v>1.5999999999999999E-5</v>
      </c>
      <c r="AI189">
        <v>1.5999999999999999E-5</v>
      </c>
      <c r="AJ189">
        <v>1.5999999999999999E-5</v>
      </c>
      <c r="AK189">
        <v>1.5999999999999999E-5</v>
      </c>
      <c r="AL189">
        <v>1.5999999999999999E-5</v>
      </c>
      <c r="AM189">
        <v>1.5999999999999999E-5</v>
      </c>
      <c r="AN189">
        <v>1.5999999999999999E-5</v>
      </c>
      <c r="AO189">
        <v>1.5999999999999999E-5</v>
      </c>
      <c r="AP189">
        <v>9.3999999999999994E-5</v>
      </c>
      <c r="AQ189">
        <v>9.3999999999999994E-5</v>
      </c>
      <c r="AR189">
        <v>9.3999999999999994E-5</v>
      </c>
      <c r="AS189">
        <v>9.3999999999999994E-5</v>
      </c>
      <c r="AT189">
        <v>9.3999999999999994E-5</v>
      </c>
      <c r="AU189">
        <v>1.3999999999999999E-4</v>
      </c>
      <c r="AV189">
        <v>1.3999999999999999E-4</v>
      </c>
      <c r="AW189">
        <v>1.3999999999999999E-4</v>
      </c>
      <c r="AX189">
        <v>1.3999999999999999E-4</v>
      </c>
      <c r="AY189">
        <v>1.3999999999999999E-4</v>
      </c>
      <c r="AZ189">
        <v>1.85E-4</v>
      </c>
      <c r="BA189">
        <v>1.85E-4</v>
      </c>
      <c r="BB189">
        <v>1.85E-4</v>
      </c>
      <c r="BC189">
        <v>1.85E-4</v>
      </c>
      <c r="BD189">
        <v>1.85E-4</v>
      </c>
      <c r="BE189">
        <v>2.1800000000000001E-4</v>
      </c>
      <c r="BF189">
        <v>2.1800000000000001E-4</v>
      </c>
      <c r="BG189">
        <v>2.1800000000000001E-4</v>
      </c>
      <c r="BH189">
        <v>2.1800000000000001E-4</v>
      </c>
      <c r="BI189">
        <v>2.1800000000000001E-4</v>
      </c>
      <c r="BJ189">
        <v>2.3699999999999999E-4</v>
      </c>
      <c r="BK189">
        <v>2.3699999999999999E-4</v>
      </c>
      <c r="BL189">
        <v>2.3699999999999999E-4</v>
      </c>
      <c r="BM189">
        <v>2.3699999999999999E-4</v>
      </c>
      <c r="BN189">
        <v>2.3699999999999999E-4</v>
      </c>
      <c r="BO189">
        <v>2.42E-4</v>
      </c>
      <c r="BP189">
        <v>2.42E-4</v>
      </c>
      <c r="BQ189">
        <v>2.42E-4</v>
      </c>
      <c r="BR189">
        <v>2.42E-4</v>
      </c>
      <c r="BS189">
        <v>2.42E-4</v>
      </c>
      <c r="BT189">
        <v>2.34E-4</v>
      </c>
      <c r="BU189">
        <v>2.34E-4</v>
      </c>
      <c r="BV189">
        <v>2.34E-4</v>
      </c>
      <c r="BW189">
        <v>2.34E-4</v>
      </c>
      <c r="BX189">
        <v>2.34E-4</v>
      </c>
      <c r="BY189">
        <v>2.1100000000000001E-4</v>
      </c>
      <c r="BZ189">
        <v>2.1100000000000001E-4</v>
      </c>
      <c r="CA189">
        <v>2.1100000000000001E-4</v>
      </c>
      <c r="CB189">
        <v>2.1100000000000001E-4</v>
      </c>
      <c r="CC189">
        <v>2.1100000000000001E-4</v>
      </c>
      <c r="CD189">
        <v>2.1100000000000001E-4</v>
      </c>
      <c r="CE189">
        <v>2.1100000000000001E-4</v>
      </c>
      <c r="CF189">
        <v>2.1100000000000001E-4</v>
      </c>
      <c r="CG189">
        <v>2.1100000000000001E-4</v>
      </c>
      <c r="CH189">
        <v>2.1100000000000001E-4</v>
      </c>
      <c r="CI189">
        <v>2.1100000000000001E-4</v>
      </c>
      <c r="CJ189">
        <v>2.1100000000000001E-4</v>
      </c>
      <c r="CK189">
        <v>2.1100000000000001E-4</v>
      </c>
      <c r="CL189">
        <v>2.1100000000000001E-4</v>
      </c>
      <c r="CM189">
        <v>2.1100000000000001E-4</v>
      </c>
      <c r="CN189">
        <v>2.1100000000000001E-4</v>
      </c>
      <c r="CO189">
        <v>2.1100000000000001E-4</v>
      </c>
      <c r="CP189">
        <v>2.1100000000000001E-4</v>
      </c>
      <c r="CQ189">
        <v>2.1100000000000001E-4</v>
      </c>
      <c r="CR189">
        <v>2.1100000000000001E-4</v>
      </c>
      <c r="CS189">
        <v>2.1100000000000001E-4</v>
      </c>
      <c r="CT189">
        <v>2.1100000000000001E-4</v>
      </c>
      <c r="CU189">
        <v>2.1100000000000001E-4</v>
      </c>
      <c r="CV189">
        <v>2.1100000000000001E-4</v>
      </c>
      <c r="CW189">
        <v>2.1100000000000001E-4</v>
      </c>
      <c r="CX189">
        <v>2.1100000000000001E-4</v>
      </c>
    </row>
    <row r="190" spans="1:102" x14ac:dyDescent="0.25">
      <c r="A190" t="s">
        <v>445</v>
      </c>
      <c r="B190" t="e">
        <v>#VALUE!</v>
      </c>
      <c r="C190" t="e">
        <v>#VALUE!</v>
      </c>
      <c r="D190" t="e">
        <v>#VALUE!</v>
      </c>
      <c r="E190" t="e">
        <v>#VALUE!</v>
      </c>
      <c r="F190" t="e">
        <v>#VALUE!</v>
      </c>
      <c r="G190" t="e">
        <v>#VALUE!</v>
      </c>
      <c r="H190" t="e">
        <v>#VALUE!</v>
      </c>
      <c r="I190" t="e">
        <v>#VALUE!</v>
      </c>
      <c r="J190" t="e">
        <v>#VALUE!</v>
      </c>
      <c r="K190" t="e">
        <v>#VALUE!</v>
      </c>
      <c r="L190" t="e">
        <v>#VALUE!</v>
      </c>
      <c r="M190" t="e">
        <v>#VALUE!</v>
      </c>
      <c r="N190" t="e">
        <v>#VALUE!</v>
      </c>
      <c r="O190" t="e">
        <v>#VALUE!</v>
      </c>
      <c r="P190" t="e">
        <v>#VALUE!</v>
      </c>
      <c r="Q190">
        <v>2.0000000000000002E-5</v>
      </c>
      <c r="R190">
        <v>2.0000000000000002E-5</v>
      </c>
      <c r="S190">
        <v>2.0000000000000002E-5</v>
      </c>
      <c r="T190">
        <v>2.0000000000000002E-5</v>
      </c>
      <c r="U190">
        <v>2.0000000000000002E-5</v>
      </c>
      <c r="V190">
        <v>2.0000000000000002E-5</v>
      </c>
      <c r="W190">
        <v>2.0000000000000002E-5</v>
      </c>
      <c r="X190">
        <v>2.0000000000000002E-5</v>
      </c>
      <c r="Y190">
        <v>2.0000000000000002E-5</v>
      </c>
      <c r="Z190">
        <v>2.0000000000000002E-5</v>
      </c>
      <c r="AA190">
        <v>2.0000000000000002E-5</v>
      </c>
      <c r="AB190">
        <v>2.0000000000000002E-5</v>
      </c>
      <c r="AC190">
        <v>2.0000000000000002E-5</v>
      </c>
      <c r="AD190">
        <v>2.0000000000000002E-5</v>
      </c>
      <c r="AE190">
        <v>2.0000000000000002E-5</v>
      </c>
      <c r="AF190">
        <v>2.0000000000000002E-5</v>
      </c>
      <c r="AG190">
        <v>2.0000000000000002E-5</v>
      </c>
      <c r="AH190">
        <v>2.0000000000000002E-5</v>
      </c>
      <c r="AI190">
        <v>2.0000000000000002E-5</v>
      </c>
      <c r="AJ190">
        <v>2.0000000000000002E-5</v>
      </c>
      <c r="AK190">
        <v>2.0000000000000002E-5</v>
      </c>
      <c r="AL190">
        <v>2.0000000000000002E-5</v>
      </c>
      <c r="AM190">
        <v>2.0000000000000002E-5</v>
      </c>
      <c r="AN190">
        <v>2.0000000000000002E-5</v>
      </c>
      <c r="AO190">
        <v>2.0000000000000002E-5</v>
      </c>
      <c r="AP190">
        <v>1.54E-4</v>
      </c>
      <c r="AQ190">
        <v>1.54E-4</v>
      </c>
      <c r="AR190">
        <v>1.54E-4</v>
      </c>
      <c r="AS190">
        <v>1.54E-4</v>
      </c>
      <c r="AT190">
        <v>1.54E-4</v>
      </c>
      <c r="AU190">
        <v>1.74E-4</v>
      </c>
      <c r="AV190">
        <v>1.74E-4</v>
      </c>
      <c r="AW190">
        <v>1.74E-4</v>
      </c>
      <c r="AX190">
        <v>1.74E-4</v>
      </c>
      <c r="AY190">
        <v>1.74E-4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2.9300000000000002E-4</v>
      </c>
      <c r="BF190">
        <v>2.9300000000000002E-4</v>
      </c>
      <c r="BG190">
        <v>2.9300000000000002E-4</v>
      </c>
      <c r="BH190">
        <v>2.9300000000000002E-4</v>
      </c>
      <c r="BI190">
        <v>2.9300000000000002E-4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 t="e">
        <v>#VALUE!</v>
      </c>
      <c r="BU190" t="e">
        <v>#VALUE!</v>
      </c>
      <c r="BV190" t="e">
        <v>#VALUE!</v>
      </c>
      <c r="BW190" t="e">
        <v>#VALUE!</v>
      </c>
      <c r="BX190" t="e">
        <v>#VALUE!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</row>
    <row r="191" spans="1:102" x14ac:dyDescent="0.25">
      <c r="A191" t="s">
        <v>447</v>
      </c>
      <c r="B191" t="e">
        <v>#VALUE!</v>
      </c>
      <c r="C191" t="e">
        <v>#VALUE!</v>
      </c>
      <c r="D191" t="e">
        <v>#VALUE!</v>
      </c>
      <c r="E191" t="e">
        <v>#VALUE!</v>
      </c>
      <c r="F191" t="e">
        <v>#VALUE!</v>
      </c>
      <c r="G191" t="e">
        <v>#VALUE!</v>
      </c>
      <c r="H191" t="e">
        <v>#VALUE!</v>
      </c>
      <c r="I191" t="e">
        <v>#VALUE!</v>
      </c>
      <c r="J191" t="e">
        <v>#VALUE!</v>
      </c>
      <c r="K191" t="e">
        <v>#VALUE!</v>
      </c>
      <c r="L191" t="e">
        <v>#VALUE!</v>
      </c>
      <c r="M191" t="e">
        <v>#VALUE!</v>
      </c>
      <c r="N191" t="e">
        <v>#VALUE!</v>
      </c>
      <c r="O191" t="e">
        <v>#VALUE!</v>
      </c>
      <c r="P191" t="e">
        <v>#VALUE!</v>
      </c>
      <c r="Q191">
        <v>4.6E-5</v>
      </c>
      <c r="R191">
        <v>4.6E-5</v>
      </c>
      <c r="S191">
        <v>4.6E-5</v>
      </c>
      <c r="T191">
        <v>4.6E-5</v>
      </c>
      <c r="U191">
        <v>4.6E-5</v>
      </c>
      <c r="V191">
        <v>4.6E-5</v>
      </c>
      <c r="W191">
        <v>4.6E-5</v>
      </c>
      <c r="X191">
        <v>4.6E-5</v>
      </c>
      <c r="Y191">
        <v>4.6E-5</v>
      </c>
      <c r="Z191">
        <v>4.6E-5</v>
      </c>
      <c r="AA191">
        <v>4.6E-5</v>
      </c>
      <c r="AB191">
        <v>4.6E-5</v>
      </c>
      <c r="AC191">
        <v>4.6E-5</v>
      </c>
      <c r="AD191">
        <v>4.6E-5</v>
      </c>
      <c r="AE191">
        <v>4.6E-5</v>
      </c>
      <c r="AF191">
        <v>4.6E-5</v>
      </c>
      <c r="AG191">
        <v>4.6E-5</v>
      </c>
      <c r="AH191">
        <v>4.6E-5</v>
      </c>
      <c r="AI191">
        <v>4.6E-5</v>
      </c>
      <c r="AJ191">
        <v>4.6E-5</v>
      </c>
      <c r="AK191">
        <v>4.6E-5</v>
      </c>
      <c r="AL191">
        <v>4.6E-5</v>
      </c>
      <c r="AM191">
        <v>4.6E-5</v>
      </c>
      <c r="AN191">
        <v>4.6E-5</v>
      </c>
      <c r="AO191">
        <v>4.6E-5</v>
      </c>
      <c r="AP191">
        <v>1.8699999999999999E-4</v>
      </c>
      <c r="AQ191">
        <v>1.8699999999999999E-4</v>
      </c>
      <c r="AR191">
        <v>1.8699999999999999E-4</v>
      </c>
      <c r="AS191">
        <v>1.8699999999999999E-4</v>
      </c>
      <c r="AT191">
        <v>1.8699999999999999E-4</v>
      </c>
      <c r="AU191">
        <v>2.4600000000000002E-4</v>
      </c>
      <c r="AV191">
        <v>2.4600000000000002E-4</v>
      </c>
      <c r="AW191">
        <v>2.4600000000000002E-4</v>
      </c>
      <c r="AX191">
        <v>2.4600000000000002E-4</v>
      </c>
      <c r="AY191">
        <v>2.4600000000000002E-4</v>
      </c>
      <c r="AZ191">
        <v>2.8600000000000001E-4</v>
      </c>
      <c r="BA191">
        <v>2.8600000000000001E-4</v>
      </c>
      <c r="BB191">
        <v>2.8600000000000001E-4</v>
      </c>
      <c r="BC191">
        <v>2.8600000000000001E-4</v>
      </c>
      <c r="BD191">
        <v>2.8600000000000001E-4</v>
      </c>
      <c r="BE191">
        <v>3.1599999999999998E-4</v>
      </c>
      <c r="BF191">
        <v>3.1599999999999998E-4</v>
      </c>
      <c r="BG191">
        <v>3.1599999999999998E-4</v>
      </c>
      <c r="BH191">
        <v>3.1599999999999998E-4</v>
      </c>
      <c r="BI191">
        <v>3.1599999999999998E-4</v>
      </c>
      <c r="BJ191">
        <v>3.5300000000000002E-4</v>
      </c>
      <c r="BK191">
        <v>3.5300000000000002E-4</v>
      </c>
      <c r="BL191">
        <v>3.5300000000000002E-4</v>
      </c>
      <c r="BM191">
        <v>3.5300000000000002E-4</v>
      </c>
      <c r="BN191">
        <v>3.5300000000000002E-4</v>
      </c>
      <c r="BO191">
        <v>4.3399999999999998E-4</v>
      </c>
      <c r="BP191">
        <v>4.3399999999999998E-4</v>
      </c>
      <c r="BQ191">
        <v>4.3399999999999998E-4</v>
      </c>
      <c r="BR191">
        <v>4.3399999999999998E-4</v>
      </c>
      <c r="BS191">
        <v>4.3399999999999998E-4</v>
      </c>
      <c r="BT191">
        <v>5.5500000000000005E-4</v>
      </c>
      <c r="BU191">
        <v>5.5500000000000005E-4</v>
      </c>
      <c r="BV191">
        <v>5.5500000000000005E-4</v>
      </c>
      <c r="BW191">
        <v>5.5500000000000005E-4</v>
      </c>
      <c r="BX191">
        <v>5.5500000000000005E-4</v>
      </c>
      <c r="BY191">
        <v>7.1100000000000004E-4</v>
      </c>
      <c r="BZ191">
        <v>7.1100000000000004E-4</v>
      </c>
      <c r="CA191">
        <v>7.1100000000000004E-4</v>
      </c>
      <c r="CB191">
        <v>7.1100000000000004E-4</v>
      </c>
      <c r="CC191">
        <v>7.1100000000000004E-4</v>
      </c>
      <c r="CD191">
        <v>7.1100000000000004E-4</v>
      </c>
      <c r="CE191">
        <v>7.1100000000000004E-4</v>
      </c>
      <c r="CF191">
        <v>7.1100000000000004E-4</v>
      </c>
      <c r="CG191">
        <v>7.1100000000000004E-4</v>
      </c>
      <c r="CH191">
        <v>7.1100000000000004E-4</v>
      </c>
      <c r="CI191">
        <v>7.1100000000000004E-4</v>
      </c>
      <c r="CJ191">
        <v>7.1100000000000004E-4</v>
      </c>
      <c r="CK191">
        <v>7.1100000000000004E-4</v>
      </c>
      <c r="CL191">
        <v>7.1100000000000004E-4</v>
      </c>
      <c r="CM191">
        <v>7.1100000000000004E-4</v>
      </c>
      <c r="CN191">
        <v>7.1100000000000004E-4</v>
      </c>
      <c r="CO191">
        <v>7.1100000000000004E-4</v>
      </c>
      <c r="CP191">
        <v>7.1100000000000004E-4</v>
      </c>
      <c r="CQ191">
        <v>7.1100000000000004E-4</v>
      </c>
      <c r="CR191">
        <v>7.1100000000000004E-4</v>
      </c>
      <c r="CS191">
        <v>7.1100000000000004E-4</v>
      </c>
      <c r="CT191">
        <v>7.1100000000000004E-4</v>
      </c>
      <c r="CU191">
        <v>7.1100000000000004E-4</v>
      </c>
      <c r="CV191">
        <v>7.1100000000000004E-4</v>
      </c>
      <c r="CW191">
        <v>7.1100000000000004E-4</v>
      </c>
      <c r="CX191">
        <v>7.1100000000000004E-4</v>
      </c>
    </row>
    <row r="192" spans="1:102" x14ac:dyDescent="0.25">
      <c r="A192" t="s">
        <v>449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1.1E-5</v>
      </c>
      <c r="R192">
        <v>1.1E-5</v>
      </c>
      <c r="S192">
        <v>1.1E-5</v>
      </c>
      <c r="T192">
        <v>1.1E-5</v>
      </c>
      <c r="U192">
        <v>1.1E-5</v>
      </c>
      <c r="V192">
        <v>1.1E-5</v>
      </c>
      <c r="W192">
        <v>1.1E-5</v>
      </c>
      <c r="X192">
        <v>1.1E-5</v>
      </c>
      <c r="Y192">
        <v>1.1E-5</v>
      </c>
      <c r="Z192">
        <v>1.1E-5</v>
      </c>
      <c r="AA192">
        <v>1.1E-5</v>
      </c>
      <c r="AB192">
        <v>1.1E-5</v>
      </c>
      <c r="AC192">
        <v>1.1E-5</v>
      </c>
      <c r="AD192">
        <v>1.1E-5</v>
      </c>
      <c r="AE192">
        <v>1.1E-5</v>
      </c>
      <c r="AF192">
        <v>1.1E-5</v>
      </c>
      <c r="AG192">
        <v>1.1E-5</v>
      </c>
      <c r="AH192">
        <v>1.1E-5</v>
      </c>
      <c r="AI192">
        <v>1.1E-5</v>
      </c>
      <c r="AJ192">
        <v>1.1E-5</v>
      </c>
      <c r="AK192">
        <v>1.1E-5</v>
      </c>
      <c r="AL192">
        <v>1.1E-5</v>
      </c>
      <c r="AM192">
        <v>1.1E-5</v>
      </c>
      <c r="AN192">
        <v>1.1E-5</v>
      </c>
      <c r="AO192">
        <v>1.1E-5</v>
      </c>
      <c r="AP192">
        <v>6.4999999999999994E-5</v>
      </c>
      <c r="AQ192">
        <v>6.4999999999999994E-5</v>
      </c>
      <c r="AR192">
        <v>6.4999999999999994E-5</v>
      </c>
      <c r="AS192">
        <v>6.4999999999999994E-5</v>
      </c>
      <c r="AT192">
        <v>6.4999999999999994E-5</v>
      </c>
      <c r="AU192">
        <v>1.07E-4</v>
      </c>
      <c r="AV192">
        <v>1.07E-4</v>
      </c>
      <c r="AW192">
        <v>1.07E-4</v>
      </c>
      <c r="AX192">
        <v>1.07E-4</v>
      </c>
      <c r="AY192">
        <v>1.07E-4</v>
      </c>
      <c r="AZ192">
        <v>1.5100000000000001E-4</v>
      </c>
      <c r="BA192">
        <v>1.5100000000000001E-4</v>
      </c>
      <c r="BB192">
        <v>1.5100000000000001E-4</v>
      </c>
      <c r="BC192">
        <v>1.5100000000000001E-4</v>
      </c>
      <c r="BD192">
        <v>1.5100000000000001E-4</v>
      </c>
      <c r="BE192">
        <v>1.8799999999999999E-4</v>
      </c>
      <c r="BF192">
        <v>1.8799999999999999E-4</v>
      </c>
      <c r="BG192">
        <v>1.8799999999999999E-4</v>
      </c>
      <c r="BH192">
        <v>1.8799999999999999E-4</v>
      </c>
      <c r="BI192">
        <v>1.8799999999999999E-4</v>
      </c>
      <c r="BJ192">
        <v>2.13E-4</v>
      </c>
      <c r="BK192">
        <v>2.13E-4</v>
      </c>
      <c r="BL192">
        <v>2.13E-4</v>
      </c>
      <c r="BM192">
        <v>2.13E-4</v>
      </c>
      <c r="BN192">
        <v>2.13E-4</v>
      </c>
      <c r="BO192">
        <v>2.1800000000000001E-4</v>
      </c>
      <c r="BP192">
        <v>2.1800000000000001E-4</v>
      </c>
      <c r="BQ192">
        <v>2.1800000000000001E-4</v>
      </c>
      <c r="BR192">
        <v>2.1800000000000001E-4</v>
      </c>
      <c r="BS192">
        <v>2.1800000000000001E-4</v>
      </c>
      <c r="BT192">
        <v>2.0000000000000001E-4</v>
      </c>
      <c r="BU192">
        <v>2.0000000000000001E-4</v>
      </c>
      <c r="BV192">
        <v>2.0000000000000001E-4</v>
      </c>
      <c r="BW192">
        <v>2.0000000000000001E-4</v>
      </c>
      <c r="BX192">
        <v>2.0000000000000001E-4</v>
      </c>
      <c r="BY192">
        <v>1.6100000000000001E-4</v>
      </c>
      <c r="BZ192">
        <v>1.6100000000000001E-4</v>
      </c>
      <c r="CA192">
        <v>1.6100000000000001E-4</v>
      </c>
      <c r="CB192">
        <v>1.6100000000000001E-4</v>
      </c>
      <c r="CC192">
        <v>1.6100000000000001E-4</v>
      </c>
      <c r="CD192">
        <v>1.6100000000000001E-4</v>
      </c>
      <c r="CE192">
        <v>1.6100000000000001E-4</v>
      </c>
      <c r="CF192">
        <v>1.6100000000000001E-4</v>
      </c>
      <c r="CG192">
        <v>1.6100000000000001E-4</v>
      </c>
      <c r="CH192">
        <v>1.6100000000000001E-4</v>
      </c>
      <c r="CI192">
        <v>1.6100000000000001E-4</v>
      </c>
      <c r="CJ192">
        <v>1.6100000000000001E-4</v>
      </c>
      <c r="CK192">
        <v>1.6100000000000001E-4</v>
      </c>
      <c r="CL192">
        <v>1.6100000000000001E-4</v>
      </c>
      <c r="CM192">
        <v>1.6100000000000001E-4</v>
      </c>
      <c r="CN192">
        <v>1.6100000000000001E-4</v>
      </c>
      <c r="CO192">
        <v>1.6100000000000001E-4</v>
      </c>
      <c r="CP192">
        <v>1.6100000000000001E-4</v>
      </c>
      <c r="CQ192">
        <v>1.6100000000000001E-4</v>
      </c>
      <c r="CR192">
        <v>1.6100000000000001E-4</v>
      </c>
      <c r="CS192">
        <v>1.6100000000000001E-4</v>
      </c>
      <c r="CT192">
        <v>1.6100000000000001E-4</v>
      </c>
      <c r="CU192">
        <v>1.6100000000000001E-4</v>
      </c>
      <c r="CV192">
        <v>1.6100000000000001E-4</v>
      </c>
      <c r="CW192">
        <v>1.6100000000000001E-4</v>
      </c>
      <c r="CX192">
        <v>1.6100000000000001E-4</v>
      </c>
    </row>
    <row r="193" spans="1:102" x14ac:dyDescent="0.25">
      <c r="A193" t="s">
        <v>451</v>
      </c>
      <c r="B193" t="e">
        <v>#VALUE!</v>
      </c>
      <c r="C193" t="e">
        <v>#VALUE!</v>
      </c>
      <c r="D193" t="e">
        <v>#VALUE!</v>
      </c>
      <c r="E193" t="e">
        <v>#VALUE!</v>
      </c>
      <c r="F193" t="e">
        <v>#VALUE!</v>
      </c>
      <c r="G193" t="e">
        <v>#VALUE!</v>
      </c>
      <c r="H193" t="e">
        <v>#VALUE!</v>
      </c>
      <c r="I193" t="e">
        <v>#VALUE!</v>
      </c>
      <c r="J193" t="e">
        <v>#VALUE!</v>
      </c>
      <c r="K193" t="e">
        <v>#VALUE!</v>
      </c>
      <c r="L193" t="e">
        <v>#VALUE!</v>
      </c>
      <c r="M193" t="e">
        <v>#VALUE!</v>
      </c>
      <c r="N193" t="e">
        <v>#VALUE!</v>
      </c>
      <c r="O193" t="e">
        <v>#VALUE!</v>
      </c>
      <c r="P193" t="e">
        <v>#VALUE!</v>
      </c>
      <c r="Q193">
        <v>9.9999999999999995E-7</v>
      </c>
      <c r="R193">
        <v>9.9999999999999995E-7</v>
      </c>
      <c r="S193">
        <v>9.9999999999999995E-7</v>
      </c>
      <c r="T193">
        <v>9.9999999999999995E-7</v>
      </c>
      <c r="U193">
        <v>9.9999999999999995E-7</v>
      </c>
      <c r="V193">
        <v>9.9999999999999995E-7</v>
      </c>
      <c r="W193">
        <v>9.9999999999999995E-7</v>
      </c>
      <c r="X193">
        <v>9.9999999999999995E-7</v>
      </c>
      <c r="Y193">
        <v>9.9999999999999995E-7</v>
      </c>
      <c r="Z193">
        <v>9.9999999999999995E-7</v>
      </c>
      <c r="AA193">
        <v>9.9999999999999995E-7</v>
      </c>
      <c r="AB193">
        <v>9.9999999999999995E-7</v>
      </c>
      <c r="AC193">
        <v>9.9999999999999995E-7</v>
      </c>
      <c r="AD193">
        <v>9.9999999999999995E-7</v>
      </c>
      <c r="AE193">
        <v>9.9999999999999995E-7</v>
      </c>
      <c r="AF193">
        <v>9.9999999999999995E-7</v>
      </c>
      <c r="AG193">
        <v>9.9999999999999995E-7</v>
      </c>
      <c r="AH193">
        <v>9.9999999999999995E-7</v>
      </c>
      <c r="AI193">
        <v>9.9999999999999995E-7</v>
      </c>
      <c r="AJ193">
        <v>9.9999999999999995E-7</v>
      </c>
      <c r="AK193">
        <v>9.9999999999999995E-7</v>
      </c>
      <c r="AL193">
        <v>9.9999999999999995E-7</v>
      </c>
      <c r="AM193">
        <v>9.9999999999999995E-7</v>
      </c>
      <c r="AN193">
        <v>9.9999999999999995E-7</v>
      </c>
      <c r="AO193">
        <v>9.9999999999999995E-7</v>
      </c>
      <c r="AP193">
        <v>1.5999999999999999E-5</v>
      </c>
      <c r="AQ193">
        <v>1.5999999999999999E-5</v>
      </c>
      <c r="AR193">
        <v>1.5999999999999999E-5</v>
      </c>
      <c r="AS193">
        <v>1.5999999999999999E-5</v>
      </c>
      <c r="AT193">
        <v>1.5999999999999999E-5</v>
      </c>
      <c r="AU193">
        <v>3.0000000000000001E-5</v>
      </c>
      <c r="AV193">
        <v>3.0000000000000001E-5</v>
      </c>
      <c r="AW193">
        <v>3.0000000000000001E-5</v>
      </c>
      <c r="AX193">
        <v>3.0000000000000001E-5</v>
      </c>
      <c r="AY193">
        <v>3.0000000000000001E-5</v>
      </c>
      <c r="AZ193">
        <v>4.5000000000000003E-5</v>
      </c>
      <c r="BA193">
        <v>4.5000000000000003E-5</v>
      </c>
      <c r="BB193">
        <v>4.5000000000000003E-5</v>
      </c>
      <c r="BC193">
        <v>4.5000000000000003E-5</v>
      </c>
      <c r="BD193">
        <v>4.5000000000000003E-5</v>
      </c>
      <c r="BE193">
        <v>5.3999999999999998E-5</v>
      </c>
      <c r="BF193">
        <v>5.3999999999999998E-5</v>
      </c>
      <c r="BG193">
        <v>5.3999999999999998E-5</v>
      </c>
      <c r="BH193">
        <v>5.3999999999999998E-5</v>
      </c>
      <c r="BI193">
        <v>5.3999999999999998E-5</v>
      </c>
      <c r="BJ193">
        <v>6.7999999999999999E-5</v>
      </c>
      <c r="BK193">
        <v>6.7999999999999999E-5</v>
      </c>
      <c r="BL193">
        <v>6.7999999999999999E-5</v>
      </c>
      <c r="BM193">
        <v>6.7999999999999999E-5</v>
      </c>
      <c r="BN193">
        <v>6.7999999999999999E-5</v>
      </c>
      <c r="BO193">
        <v>9.7E-5</v>
      </c>
      <c r="BP193">
        <v>9.7E-5</v>
      </c>
      <c r="BQ193">
        <v>9.7E-5</v>
      </c>
      <c r="BR193">
        <v>9.7E-5</v>
      </c>
      <c r="BS193">
        <v>9.7E-5</v>
      </c>
      <c r="BT193">
        <v>1.46E-4</v>
      </c>
      <c r="BU193">
        <v>1.46E-4</v>
      </c>
      <c r="BV193">
        <v>1.46E-4</v>
      </c>
      <c r="BW193">
        <v>1.46E-4</v>
      </c>
      <c r="BX193">
        <v>1.46E-4</v>
      </c>
      <c r="BY193">
        <v>2.0599999999999999E-4</v>
      </c>
      <c r="BZ193">
        <v>2.0599999999999999E-4</v>
      </c>
      <c r="CA193">
        <v>2.0599999999999999E-4</v>
      </c>
      <c r="CB193">
        <v>2.0599999999999999E-4</v>
      </c>
      <c r="CC193">
        <v>2.0599999999999999E-4</v>
      </c>
      <c r="CD193">
        <v>2.0599999999999999E-4</v>
      </c>
      <c r="CE193">
        <v>2.0599999999999999E-4</v>
      </c>
      <c r="CF193">
        <v>2.0599999999999999E-4</v>
      </c>
      <c r="CG193">
        <v>2.0599999999999999E-4</v>
      </c>
      <c r="CH193">
        <v>2.0599999999999999E-4</v>
      </c>
      <c r="CI193">
        <v>2.0599999999999999E-4</v>
      </c>
      <c r="CJ193">
        <v>2.0599999999999999E-4</v>
      </c>
      <c r="CK193">
        <v>2.0599999999999999E-4</v>
      </c>
      <c r="CL193">
        <v>2.0599999999999999E-4</v>
      </c>
      <c r="CM193">
        <v>2.0599999999999999E-4</v>
      </c>
      <c r="CN193">
        <v>2.0599999999999999E-4</v>
      </c>
      <c r="CO193">
        <v>2.0599999999999999E-4</v>
      </c>
      <c r="CP193">
        <v>2.0599999999999999E-4</v>
      </c>
      <c r="CQ193">
        <v>2.0599999999999999E-4</v>
      </c>
      <c r="CR193">
        <v>2.0599999999999999E-4</v>
      </c>
      <c r="CS193">
        <v>2.0599999999999999E-4</v>
      </c>
      <c r="CT193">
        <v>2.0599999999999999E-4</v>
      </c>
      <c r="CU193">
        <v>2.0599999999999999E-4</v>
      </c>
      <c r="CV193">
        <v>2.0599999999999999E-4</v>
      </c>
      <c r="CW193">
        <v>2.0599999999999999E-4</v>
      </c>
      <c r="CX193">
        <v>2.0599999999999999E-4</v>
      </c>
    </row>
    <row r="194" spans="1:102" x14ac:dyDescent="0.25">
      <c r="A194" t="s">
        <v>453</v>
      </c>
      <c r="B194" t="e">
        <v>#VALUE!</v>
      </c>
      <c r="C194" t="e">
        <v>#VALUE!</v>
      </c>
      <c r="D194" t="e">
        <v>#VALUE!</v>
      </c>
      <c r="E194" t="e">
        <v>#VALUE!</v>
      </c>
      <c r="F194" t="e">
        <v>#VALUE!</v>
      </c>
      <c r="G194" t="e">
        <v>#VALUE!</v>
      </c>
      <c r="H194" t="e">
        <v>#VALUE!</v>
      </c>
      <c r="I194" t="e">
        <v>#VALUE!</v>
      </c>
      <c r="J194" t="e">
        <v>#VALUE!</v>
      </c>
      <c r="K194" t="e">
        <v>#VALUE!</v>
      </c>
      <c r="L194" t="e">
        <v>#VALUE!</v>
      </c>
      <c r="M194" t="e">
        <v>#VALUE!</v>
      </c>
      <c r="N194" t="e">
        <v>#VALUE!</v>
      </c>
      <c r="O194" t="e">
        <v>#VALUE!</v>
      </c>
      <c r="P194" t="e">
        <v>#VALUE!</v>
      </c>
      <c r="Q194">
        <v>1.4100000000000001E-4</v>
      </c>
      <c r="R194">
        <v>1.4100000000000001E-4</v>
      </c>
      <c r="S194">
        <v>1.4100000000000001E-4</v>
      </c>
      <c r="T194">
        <v>1.4100000000000001E-4</v>
      </c>
      <c r="U194">
        <v>1.4100000000000001E-4</v>
      </c>
      <c r="V194">
        <v>1.4100000000000001E-4</v>
      </c>
      <c r="W194">
        <v>1.4100000000000001E-4</v>
      </c>
      <c r="X194">
        <v>1.4100000000000001E-4</v>
      </c>
      <c r="Y194">
        <v>1.4100000000000001E-4</v>
      </c>
      <c r="Z194">
        <v>1.4100000000000001E-4</v>
      </c>
      <c r="AA194">
        <v>1.4100000000000001E-4</v>
      </c>
      <c r="AB194">
        <v>1.4100000000000001E-4</v>
      </c>
      <c r="AC194">
        <v>1.4100000000000001E-4</v>
      </c>
      <c r="AD194">
        <v>1.4100000000000001E-4</v>
      </c>
      <c r="AE194">
        <v>1.4100000000000001E-4</v>
      </c>
      <c r="AF194">
        <v>1.4100000000000001E-4</v>
      </c>
      <c r="AG194">
        <v>1.4100000000000001E-4</v>
      </c>
      <c r="AH194">
        <v>1.4100000000000001E-4</v>
      </c>
      <c r="AI194">
        <v>1.4100000000000001E-4</v>
      </c>
      <c r="AJ194">
        <v>1.4100000000000001E-4</v>
      </c>
      <c r="AK194">
        <v>1.4100000000000001E-4</v>
      </c>
      <c r="AL194">
        <v>1.4100000000000001E-4</v>
      </c>
      <c r="AM194">
        <v>1.4100000000000001E-4</v>
      </c>
      <c r="AN194">
        <v>1.4100000000000001E-4</v>
      </c>
      <c r="AO194">
        <v>1.4100000000000001E-4</v>
      </c>
      <c r="AP194">
        <v>4.8999999999999998E-4</v>
      </c>
      <c r="AQ194">
        <v>4.8999999999999998E-4</v>
      </c>
      <c r="AR194">
        <v>4.8999999999999998E-4</v>
      </c>
      <c r="AS194">
        <v>4.8999999999999998E-4</v>
      </c>
      <c r="AT194">
        <v>4.8999999999999998E-4</v>
      </c>
      <c r="AU194">
        <v>6.4400000000000004E-4</v>
      </c>
      <c r="AV194">
        <v>6.4400000000000004E-4</v>
      </c>
      <c r="AW194">
        <v>6.4400000000000004E-4</v>
      </c>
      <c r="AX194">
        <v>6.4400000000000004E-4</v>
      </c>
      <c r="AY194">
        <v>6.4400000000000004E-4</v>
      </c>
      <c r="AZ194">
        <v>7.7800000000000005E-4</v>
      </c>
      <c r="BA194">
        <v>7.7800000000000005E-4</v>
      </c>
      <c r="BB194">
        <v>7.7800000000000005E-4</v>
      </c>
      <c r="BC194">
        <v>7.7800000000000005E-4</v>
      </c>
      <c r="BD194">
        <v>7.7800000000000005E-4</v>
      </c>
      <c r="BE194">
        <v>9.0399999999999996E-4</v>
      </c>
      <c r="BF194">
        <v>9.0399999999999996E-4</v>
      </c>
      <c r="BG194">
        <v>9.0399999999999996E-4</v>
      </c>
      <c r="BH194">
        <v>9.0399999999999996E-4</v>
      </c>
      <c r="BI194">
        <v>9.0399999999999996E-4</v>
      </c>
      <c r="BJ194">
        <v>1.073E-3</v>
      </c>
      <c r="BK194">
        <v>1.073E-3</v>
      </c>
      <c r="BL194">
        <v>1.073E-3</v>
      </c>
      <c r="BM194">
        <v>1.073E-3</v>
      </c>
      <c r="BN194">
        <v>1.073E-3</v>
      </c>
      <c r="BO194">
        <v>1.3730000000000001E-3</v>
      </c>
      <c r="BP194">
        <v>1.3730000000000001E-3</v>
      </c>
      <c r="BQ194">
        <v>1.3730000000000001E-3</v>
      </c>
      <c r="BR194">
        <v>1.3730000000000001E-3</v>
      </c>
      <c r="BS194">
        <v>1.3730000000000001E-3</v>
      </c>
      <c r="BT194">
        <v>1.7930000000000001E-3</v>
      </c>
      <c r="BU194">
        <v>1.7930000000000001E-3</v>
      </c>
      <c r="BV194">
        <v>1.7930000000000001E-3</v>
      </c>
      <c r="BW194">
        <v>1.7930000000000001E-3</v>
      </c>
      <c r="BX194">
        <v>1.7930000000000001E-3</v>
      </c>
      <c r="BY194">
        <v>2.3389999999999999E-3</v>
      </c>
      <c r="BZ194">
        <v>2.3389999999999999E-3</v>
      </c>
      <c r="CA194">
        <v>2.3389999999999999E-3</v>
      </c>
      <c r="CB194">
        <v>2.3389999999999999E-3</v>
      </c>
      <c r="CC194">
        <v>2.3389999999999999E-3</v>
      </c>
      <c r="CD194">
        <v>2.3389999999999999E-3</v>
      </c>
      <c r="CE194">
        <v>2.3389999999999999E-3</v>
      </c>
      <c r="CF194">
        <v>2.3389999999999999E-3</v>
      </c>
      <c r="CG194">
        <v>2.3389999999999999E-3</v>
      </c>
      <c r="CH194">
        <v>2.3389999999999999E-3</v>
      </c>
      <c r="CI194">
        <v>2.3389999999999999E-3</v>
      </c>
      <c r="CJ194">
        <v>2.3389999999999999E-3</v>
      </c>
      <c r="CK194">
        <v>2.3389999999999999E-3</v>
      </c>
      <c r="CL194">
        <v>2.3389999999999999E-3</v>
      </c>
      <c r="CM194">
        <v>2.3389999999999999E-3</v>
      </c>
      <c r="CN194">
        <v>2.3389999999999999E-3</v>
      </c>
      <c r="CO194">
        <v>2.3389999999999999E-3</v>
      </c>
      <c r="CP194">
        <v>2.3389999999999999E-3</v>
      </c>
      <c r="CQ194">
        <v>2.3389999999999999E-3</v>
      </c>
      <c r="CR194">
        <v>2.3389999999999999E-3</v>
      </c>
      <c r="CS194">
        <v>2.3389999999999999E-3</v>
      </c>
      <c r="CT194">
        <v>2.3389999999999999E-3</v>
      </c>
      <c r="CU194">
        <v>2.3389999999999999E-3</v>
      </c>
      <c r="CV194">
        <v>2.3389999999999999E-3</v>
      </c>
      <c r="CW194">
        <v>2.3389999999999999E-3</v>
      </c>
      <c r="CX194">
        <v>2.3389999999999999E-3</v>
      </c>
    </row>
    <row r="195" spans="1:102" x14ac:dyDescent="0.25">
      <c r="A195" t="s">
        <v>455</v>
      </c>
      <c r="B195" t="e">
        <v>#VALUE!</v>
      </c>
      <c r="C195" t="e">
        <v>#VALUE!</v>
      </c>
      <c r="D195" t="e">
        <v>#VALUE!</v>
      </c>
      <c r="E195" t="e">
        <v>#VALUE!</v>
      </c>
      <c r="F195" t="e">
        <v>#VALUE!</v>
      </c>
      <c r="G195" t="e">
        <v>#VALUE!</v>
      </c>
      <c r="H195" t="e">
        <v>#VALUE!</v>
      </c>
      <c r="I195" t="e">
        <v>#VALUE!</v>
      </c>
      <c r="J195" t="e">
        <v>#VALUE!</v>
      </c>
      <c r="K195" t="e">
        <v>#VALUE!</v>
      </c>
      <c r="L195" t="e">
        <v>#VALUE!</v>
      </c>
      <c r="M195" t="e">
        <v>#VALUE!</v>
      </c>
      <c r="N195" t="e">
        <v>#VALUE!</v>
      </c>
      <c r="O195" t="e">
        <v>#VALUE!</v>
      </c>
      <c r="P195" t="e">
        <v>#VALUE!</v>
      </c>
      <c r="Q195">
        <v>3.0000000000000001E-5</v>
      </c>
      <c r="R195">
        <v>3.0000000000000001E-5</v>
      </c>
      <c r="S195">
        <v>3.0000000000000001E-5</v>
      </c>
      <c r="T195">
        <v>3.0000000000000001E-5</v>
      </c>
      <c r="U195">
        <v>3.0000000000000001E-5</v>
      </c>
      <c r="V195">
        <v>3.0000000000000001E-5</v>
      </c>
      <c r="W195">
        <v>3.0000000000000001E-5</v>
      </c>
      <c r="X195">
        <v>3.0000000000000001E-5</v>
      </c>
      <c r="Y195">
        <v>3.0000000000000001E-5</v>
      </c>
      <c r="Z195">
        <v>3.0000000000000001E-5</v>
      </c>
      <c r="AA195">
        <v>3.0000000000000001E-5</v>
      </c>
      <c r="AB195">
        <v>3.0000000000000001E-5</v>
      </c>
      <c r="AC195">
        <v>3.0000000000000001E-5</v>
      </c>
      <c r="AD195">
        <v>3.0000000000000001E-5</v>
      </c>
      <c r="AE195">
        <v>3.0000000000000001E-5</v>
      </c>
      <c r="AF195">
        <v>3.0000000000000001E-5</v>
      </c>
      <c r="AG195">
        <v>3.0000000000000001E-5</v>
      </c>
      <c r="AH195">
        <v>3.0000000000000001E-5</v>
      </c>
      <c r="AI195">
        <v>3.0000000000000001E-5</v>
      </c>
      <c r="AJ195">
        <v>3.0000000000000001E-5</v>
      </c>
      <c r="AK195">
        <v>3.0000000000000001E-5</v>
      </c>
      <c r="AL195">
        <v>3.0000000000000001E-5</v>
      </c>
      <c r="AM195">
        <v>3.0000000000000001E-5</v>
      </c>
      <c r="AN195">
        <v>3.0000000000000001E-5</v>
      </c>
      <c r="AO195">
        <v>3.0000000000000001E-5</v>
      </c>
      <c r="AP195">
        <v>2.92E-4</v>
      </c>
      <c r="AQ195">
        <v>2.92E-4</v>
      </c>
      <c r="AR195">
        <v>2.92E-4</v>
      </c>
      <c r="AS195">
        <v>2.92E-4</v>
      </c>
      <c r="AT195">
        <v>2.92E-4</v>
      </c>
      <c r="AU195">
        <v>4.6900000000000002E-4</v>
      </c>
      <c r="AV195">
        <v>4.6900000000000002E-4</v>
      </c>
      <c r="AW195">
        <v>4.6900000000000002E-4</v>
      </c>
      <c r="AX195">
        <v>4.6900000000000002E-4</v>
      </c>
      <c r="AY195">
        <v>4.6900000000000002E-4</v>
      </c>
      <c r="AZ195">
        <v>6.9399999999999996E-4</v>
      </c>
      <c r="BA195">
        <v>6.9399999999999996E-4</v>
      </c>
      <c r="BB195">
        <v>6.9399999999999996E-4</v>
      </c>
      <c r="BC195">
        <v>6.9399999999999996E-4</v>
      </c>
      <c r="BD195">
        <v>6.9399999999999996E-4</v>
      </c>
      <c r="BE195">
        <v>1.0009999999999999E-3</v>
      </c>
      <c r="BF195">
        <v>1.0009999999999999E-3</v>
      </c>
      <c r="BG195">
        <v>1.0009999999999999E-3</v>
      </c>
      <c r="BH195">
        <v>1.0009999999999999E-3</v>
      </c>
      <c r="BI195">
        <v>1.0009999999999999E-3</v>
      </c>
      <c r="BJ195">
        <v>1.4059999999999999E-3</v>
      </c>
      <c r="BK195">
        <v>1.4059999999999999E-3</v>
      </c>
      <c r="BL195">
        <v>1.4059999999999999E-3</v>
      </c>
      <c r="BM195">
        <v>1.4059999999999999E-3</v>
      </c>
      <c r="BN195">
        <v>1.4059999999999999E-3</v>
      </c>
      <c r="BO195">
        <v>1.8829999999999999E-3</v>
      </c>
      <c r="BP195">
        <v>1.8829999999999999E-3</v>
      </c>
      <c r="BQ195">
        <v>1.8829999999999999E-3</v>
      </c>
      <c r="BR195">
        <v>1.8829999999999999E-3</v>
      </c>
      <c r="BS195">
        <v>1.8829999999999999E-3</v>
      </c>
      <c r="BT195">
        <v>2.4199999999999998E-3</v>
      </c>
      <c r="BU195">
        <v>2.4199999999999998E-3</v>
      </c>
      <c r="BV195">
        <v>2.4199999999999998E-3</v>
      </c>
      <c r="BW195">
        <v>2.4199999999999998E-3</v>
      </c>
      <c r="BX195">
        <v>2.4199999999999998E-3</v>
      </c>
      <c r="BY195">
        <v>3.039E-3</v>
      </c>
      <c r="BZ195">
        <v>3.039E-3</v>
      </c>
      <c r="CA195">
        <v>3.039E-3</v>
      </c>
      <c r="CB195">
        <v>3.039E-3</v>
      </c>
      <c r="CC195">
        <v>3.039E-3</v>
      </c>
      <c r="CD195">
        <v>3.039E-3</v>
      </c>
      <c r="CE195">
        <v>3.039E-3</v>
      </c>
      <c r="CF195">
        <v>3.039E-3</v>
      </c>
      <c r="CG195">
        <v>3.039E-3</v>
      </c>
      <c r="CH195">
        <v>3.039E-3</v>
      </c>
      <c r="CI195">
        <v>3.039E-3</v>
      </c>
      <c r="CJ195">
        <v>3.039E-3</v>
      </c>
      <c r="CK195">
        <v>3.039E-3</v>
      </c>
      <c r="CL195">
        <v>3.039E-3</v>
      </c>
      <c r="CM195">
        <v>3.039E-3</v>
      </c>
      <c r="CN195">
        <v>3.039E-3</v>
      </c>
      <c r="CO195">
        <v>3.039E-3</v>
      </c>
      <c r="CP195">
        <v>3.039E-3</v>
      </c>
      <c r="CQ195">
        <v>3.039E-3</v>
      </c>
      <c r="CR195">
        <v>3.039E-3</v>
      </c>
      <c r="CS195">
        <v>3.039E-3</v>
      </c>
      <c r="CT195">
        <v>3.039E-3</v>
      </c>
      <c r="CU195">
        <v>3.039E-3</v>
      </c>
      <c r="CV195">
        <v>3.039E-3</v>
      </c>
      <c r="CW195">
        <v>3.039E-3</v>
      </c>
      <c r="CX195">
        <v>3.039E-3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0000"/>
  </sheetPr>
  <dimension ref="A1:CX195"/>
  <sheetViews>
    <sheetView workbookViewId="0">
      <selection activeCell="K26" sqref="K26"/>
    </sheetView>
  </sheetViews>
  <sheetFormatPr defaultRowHeight="15" x14ac:dyDescent="0.25"/>
  <sheetData>
    <row r="1" spans="1:102" x14ac:dyDescent="0.25">
      <c r="A1" t="s">
        <v>467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</row>
    <row r="2" spans="1:102" x14ac:dyDescent="0.25">
      <c r="A2" t="s">
        <v>54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  <c r="G2" t="e">
        <v>#VALUE!</v>
      </c>
      <c r="H2" t="e">
        <v>#VALUE!</v>
      </c>
      <c r="I2" t="e">
        <v>#VALUE!</v>
      </c>
      <c r="J2" t="e">
        <v>#VALUE!</v>
      </c>
      <c r="K2" t="e">
        <v>#VALUE!</v>
      </c>
      <c r="L2" t="e">
        <v>#VALUE!</v>
      </c>
      <c r="M2" t="e">
        <v>#VALUE!</v>
      </c>
      <c r="N2" t="e">
        <v>#VALUE!</v>
      </c>
      <c r="O2" t="e">
        <v>#VALUE!</v>
      </c>
      <c r="P2" t="e">
        <v>#VALUE!</v>
      </c>
      <c r="Q2">
        <v>4.6E-5</v>
      </c>
      <c r="R2">
        <v>4.6E-5</v>
      </c>
      <c r="S2">
        <v>4.6E-5</v>
      </c>
      <c r="T2">
        <v>4.6E-5</v>
      </c>
      <c r="U2">
        <v>4.6E-5</v>
      </c>
      <c r="V2">
        <v>4.6E-5</v>
      </c>
      <c r="W2">
        <v>4.6E-5</v>
      </c>
      <c r="X2">
        <v>4.6E-5</v>
      </c>
      <c r="Y2">
        <v>4.6E-5</v>
      </c>
      <c r="Z2">
        <v>4.6E-5</v>
      </c>
      <c r="AA2">
        <v>4.6E-5</v>
      </c>
      <c r="AB2">
        <v>4.6E-5</v>
      </c>
      <c r="AC2">
        <v>4.6E-5</v>
      </c>
      <c r="AD2">
        <v>4.6E-5</v>
      </c>
      <c r="AE2">
        <v>4.6E-5</v>
      </c>
      <c r="AF2">
        <v>4.6E-5</v>
      </c>
      <c r="AG2">
        <v>4.6E-5</v>
      </c>
      <c r="AH2">
        <v>4.6E-5</v>
      </c>
      <c r="AI2">
        <v>4.6E-5</v>
      </c>
      <c r="AJ2">
        <v>4.6E-5</v>
      </c>
      <c r="AK2">
        <v>4.6E-5</v>
      </c>
      <c r="AL2">
        <v>4.6E-5</v>
      </c>
      <c r="AM2">
        <v>4.6E-5</v>
      </c>
      <c r="AN2">
        <v>4.6E-5</v>
      </c>
      <c r="AO2">
        <v>4.6E-5</v>
      </c>
      <c r="AP2">
        <v>2.1900000000000001E-4</v>
      </c>
      <c r="AQ2">
        <v>2.1900000000000001E-4</v>
      </c>
      <c r="AR2">
        <v>2.1900000000000001E-4</v>
      </c>
      <c r="AS2">
        <v>2.1900000000000001E-4</v>
      </c>
      <c r="AT2">
        <v>2.1900000000000001E-4</v>
      </c>
      <c r="AU2">
        <v>2.7E-4</v>
      </c>
      <c r="AV2">
        <v>2.7E-4</v>
      </c>
      <c r="AW2">
        <v>2.7E-4</v>
      </c>
      <c r="AX2">
        <v>2.7E-4</v>
      </c>
      <c r="AY2">
        <v>2.7E-4</v>
      </c>
      <c r="AZ2">
        <v>2.92E-4</v>
      </c>
      <c r="BA2">
        <v>2.92E-4</v>
      </c>
      <c r="BB2">
        <v>2.92E-4</v>
      </c>
      <c r="BC2">
        <v>2.92E-4</v>
      </c>
      <c r="BD2">
        <v>2.92E-4</v>
      </c>
      <c r="BE2">
        <v>2.6800000000000001E-4</v>
      </c>
      <c r="BF2">
        <v>2.6800000000000001E-4</v>
      </c>
      <c r="BG2">
        <v>2.6800000000000001E-4</v>
      </c>
      <c r="BH2">
        <v>2.6800000000000001E-4</v>
      </c>
      <c r="BI2">
        <v>2.6800000000000001E-4</v>
      </c>
      <c r="BJ2">
        <v>2.04E-4</v>
      </c>
      <c r="BK2">
        <v>2.04E-4</v>
      </c>
      <c r="BL2">
        <v>2.04E-4</v>
      </c>
      <c r="BM2">
        <v>2.04E-4</v>
      </c>
      <c r="BN2">
        <v>2.04E-4</v>
      </c>
      <c r="BO2">
        <v>1.5300000000000001E-4</v>
      </c>
      <c r="BP2">
        <v>1.5300000000000001E-4</v>
      </c>
      <c r="BQ2">
        <v>1.5300000000000001E-4</v>
      </c>
      <c r="BR2">
        <v>1.5300000000000001E-4</v>
      </c>
      <c r="BS2">
        <v>1.5300000000000001E-4</v>
      </c>
      <c r="BT2">
        <v>1.16E-4</v>
      </c>
      <c r="BU2">
        <v>1.16E-4</v>
      </c>
      <c r="BV2">
        <v>1.16E-4</v>
      </c>
      <c r="BW2">
        <v>1.16E-4</v>
      </c>
      <c r="BX2">
        <v>1.16E-4</v>
      </c>
      <c r="BY2">
        <v>7.8999999999999996E-5</v>
      </c>
      <c r="BZ2">
        <v>7.8999999999999996E-5</v>
      </c>
      <c r="CA2">
        <v>7.8999999999999996E-5</v>
      </c>
      <c r="CB2">
        <v>7.8999999999999996E-5</v>
      </c>
      <c r="CC2">
        <v>7.8999999999999996E-5</v>
      </c>
      <c r="CD2">
        <v>7.8999999999999996E-5</v>
      </c>
      <c r="CE2">
        <v>7.8999999999999996E-5</v>
      </c>
      <c r="CF2">
        <v>7.8999999999999996E-5</v>
      </c>
      <c r="CG2">
        <v>7.8999999999999996E-5</v>
      </c>
      <c r="CH2">
        <v>7.8999999999999996E-5</v>
      </c>
      <c r="CI2">
        <v>7.8999999999999996E-5</v>
      </c>
      <c r="CJ2">
        <v>7.8999999999999996E-5</v>
      </c>
      <c r="CK2">
        <v>7.8999999999999996E-5</v>
      </c>
      <c r="CL2">
        <v>7.8999999999999996E-5</v>
      </c>
      <c r="CM2">
        <v>7.8999999999999996E-5</v>
      </c>
      <c r="CN2">
        <v>7.8999999999999996E-5</v>
      </c>
      <c r="CO2">
        <v>7.8999999999999996E-5</v>
      </c>
      <c r="CP2">
        <v>7.8999999999999996E-5</v>
      </c>
      <c r="CQ2">
        <v>7.8999999999999996E-5</v>
      </c>
      <c r="CR2">
        <v>7.8999999999999996E-5</v>
      </c>
      <c r="CS2">
        <v>7.8999999999999996E-5</v>
      </c>
      <c r="CT2">
        <v>7.8999999999999996E-5</v>
      </c>
      <c r="CU2">
        <v>7.8999999999999996E-5</v>
      </c>
      <c r="CV2">
        <v>7.8999999999999996E-5</v>
      </c>
      <c r="CW2">
        <v>7.8999999999999996E-5</v>
      </c>
      <c r="CX2">
        <v>7.8999999999999996E-5</v>
      </c>
    </row>
    <row r="3" spans="1:102" x14ac:dyDescent="0.25">
      <c r="A3" t="s">
        <v>59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  <c r="G3" t="e">
        <v>#VALUE!</v>
      </c>
      <c r="H3" t="e">
        <v>#VALUE!</v>
      </c>
      <c r="I3" t="e">
        <v>#VALUE!</v>
      </c>
      <c r="J3" t="e">
        <v>#VALUE!</v>
      </c>
      <c r="K3" t="e">
        <v>#VALUE!</v>
      </c>
      <c r="L3" t="e">
        <v>#VALUE!</v>
      </c>
      <c r="M3" t="e">
        <v>#VALUE!</v>
      </c>
      <c r="N3" t="e">
        <v>#VALUE!</v>
      </c>
      <c r="O3" t="e">
        <v>#VALUE!</v>
      </c>
      <c r="P3" t="e">
        <v>#VALUE!</v>
      </c>
      <c r="Q3">
        <v>3.4999999999999997E-5</v>
      </c>
      <c r="R3">
        <v>3.4999999999999997E-5</v>
      </c>
      <c r="S3">
        <v>3.4999999999999997E-5</v>
      </c>
      <c r="T3">
        <v>3.4999999999999997E-5</v>
      </c>
      <c r="U3">
        <v>3.4999999999999997E-5</v>
      </c>
      <c r="V3">
        <v>3.4999999999999997E-5</v>
      </c>
      <c r="W3">
        <v>3.4999999999999997E-5</v>
      </c>
      <c r="X3">
        <v>3.4999999999999997E-5</v>
      </c>
      <c r="Y3">
        <v>3.4999999999999997E-5</v>
      </c>
      <c r="Z3">
        <v>3.4999999999999997E-5</v>
      </c>
      <c r="AA3">
        <v>3.4999999999999997E-5</v>
      </c>
      <c r="AB3">
        <v>3.4999999999999997E-5</v>
      </c>
      <c r="AC3">
        <v>3.4999999999999997E-5</v>
      </c>
      <c r="AD3">
        <v>3.4999999999999997E-5</v>
      </c>
      <c r="AE3">
        <v>3.4999999999999997E-5</v>
      </c>
      <c r="AF3">
        <v>3.4999999999999997E-5</v>
      </c>
      <c r="AG3">
        <v>3.4999999999999997E-5</v>
      </c>
      <c r="AH3">
        <v>3.4999999999999997E-5</v>
      </c>
      <c r="AI3">
        <v>3.4999999999999997E-5</v>
      </c>
      <c r="AJ3">
        <v>3.4999999999999997E-5</v>
      </c>
      <c r="AK3">
        <v>3.4999999999999997E-5</v>
      </c>
      <c r="AL3">
        <v>3.4999999999999997E-5</v>
      </c>
      <c r="AM3">
        <v>3.4999999999999997E-5</v>
      </c>
      <c r="AN3">
        <v>3.4999999999999997E-5</v>
      </c>
      <c r="AO3">
        <v>3.4999999999999997E-5</v>
      </c>
      <c r="AP3">
        <v>1.5300000000000001E-4</v>
      </c>
      <c r="AQ3">
        <v>1.5300000000000001E-4</v>
      </c>
      <c r="AR3">
        <v>1.5300000000000001E-4</v>
      </c>
      <c r="AS3">
        <v>1.5300000000000001E-4</v>
      </c>
      <c r="AT3">
        <v>1.5300000000000001E-4</v>
      </c>
      <c r="AU3">
        <v>9.7999999999999997E-5</v>
      </c>
      <c r="AV3">
        <v>9.7999999999999997E-5</v>
      </c>
      <c r="AW3">
        <v>9.7999999999999997E-5</v>
      </c>
      <c r="AX3">
        <v>9.7999999999999997E-5</v>
      </c>
      <c r="AY3">
        <v>9.7999999999999997E-5</v>
      </c>
      <c r="AZ3">
        <v>1.8000000000000001E-4</v>
      </c>
      <c r="BA3">
        <v>1.8000000000000001E-4</v>
      </c>
      <c r="BB3">
        <v>1.8000000000000001E-4</v>
      </c>
      <c r="BC3">
        <v>1.8000000000000001E-4</v>
      </c>
      <c r="BD3">
        <v>1.8000000000000001E-4</v>
      </c>
      <c r="BE3">
        <v>7.2000000000000002E-5</v>
      </c>
      <c r="BF3">
        <v>7.2000000000000002E-5</v>
      </c>
      <c r="BG3">
        <v>7.2000000000000002E-5</v>
      </c>
      <c r="BH3">
        <v>7.2000000000000002E-5</v>
      </c>
      <c r="BI3">
        <v>7.2000000000000002E-5</v>
      </c>
      <c r="BJ3">
        <v>8.5000000000000006E-5</v>
      </c>
      <c r="BK3">
        <v>8.5000000000000006E-5</v>
      </c>
      <c r="BL3">
        <v>8.5000000000000006E-5</v>
      </c>
      <c r="BM3">
        <v>8.5000000000000006E-5</v>
      </c>
      <c r="BN3">
        <v>8.5000000000000006E-5</v>
      </c>
      <c r="BO3">
        <v>1.08E-4</v>
      </c>
      <c r="BP3">
        <v>1.08E-4</v>
      </c>
      <c r="BQ3">
        <v>1.08E-4</v>
      </c>
      <c r="BR3">
        <v>1.08E-4</v>
      </c>
      <c r="BS3">
        <v>1.08E-4</v>
      </c>
      <c r="BT3">
        <v>1.2300000000000001E-4</v>
      </c>
      <c r="BU3">
        <v>1.2300000000000001E-4</v>
      </c>
      <c r="BV3">
        <v>1.2300000000000001E-4</v>
      </c>
      <c r="BW3">
        <v>1.2300000000000001E-4</v>
      </c>
      <c r="BX3">
        <v>1.2300000000000001E-4</v>
      </c>
      <c r="BY3">
        <v>2.9E-5</v>
      </c>
      <c r="BZ3">
        <v>2.9E-5</v>
      </c>
      <c r="CA3">
        <v>2.9E-5</v>
      </c>
      <c r="CB3">
        <v>2.9E-5</v>
      </c>
      <c r="CC3">
        <v>2.9E-5</v>
      </c>
      <c r="CD3">
        <v>2.9E-5</v>
      </c>
      <c r="CE3">
        <v>2.9E-5</v>
      </c>
      <c r="CF3">
        <v>2.9E-5</v>
      </c>
      <c r="CG3">
        <v>2.9E-5</v>
      </c>
      <c r="CH3">
        <v>2.9E-5</v>
      </c>
      <c r="CI3">
        <v>2.9E-5</v>
      </c>
      <c r="CJ3">
        <v>2.9E-5</v>
      </c>
      <c r="CK3">
        <v>2.9E-5</v>
      </c>
      <c r="CL3">
        <v>2.9E-5</v>
      </c>
      <c r="CM3">
        <v>2.9E-5</v>
      </c>
      <c r="CN3">
        <v>2.9E-5</v>
      </c>
      <c r="CO3">
        <v>2.9E-5</v>
      </c>
      <c r="CP3">
        <v>2.9E-5</v>
      </c>
      <c r="CQ3">
        <v>2.9E-5</v>
      </c>
      <c r="CR3">
        <v>2.9E-5</v>
      </c>
      <c r="CS3">
        <v>2.9E-5</v>
      </c>
      <c r="CT3">
        <v>2.9E-5</v>
      </c>
      <c r="CU3">
        <v>2.9E-5</v>
      </c>
      <c r="CV3">
        <v>2.9E-5</v>
      </c>
      <c r="CW3">
        <v>2.9E-5</v>
      </c>
      <c r="CX3">
        <v>2.9E-5</v>
      </c>
    </row>
    <row r="4" spans="1:102" x14ac:dyDescent="0.25">
      <c r="A4" t="s">
        <v>64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  <c r="G4" t="e">
        <v>#VALUE!</v>
      </c>
      <c r="H4" t="e">
        <v>#VALUE!</v>
      </c>
      <c r="I4" t="e">
        <v>#VALUE!</v>
      </c>
      <c r="J4" t="e">
        <v>#VALUE!</v>
      </c>
      <c r="K4" t="e">
        <v>#VALUE!</v>
      </c>
      <c r="L4" t="e">
        <v>#VALUE!</v>
      </c>
      <c r="M4" t="e">
        <v>#VALUE!</v>
      </c>
      <c r="N4" t="e">
        <v>#VALUE!</v>
      </c>
      <c r="O4" t="e">
        <v>#VALUE!</v>
      </c>
      <c r="P4" t="e">
        <v>#VALUE!</v>
      </c>
      <c r="Q4">
        <v>1.1E-5</v>
      </c>
      <c r="R4">
        <v>1.1E-5</v>
      </c>
      <c r="S4">
        <v>1.1E-5</v>
      </c>
      <c r="T4">
        <v>1.1E-5</v>
      </c>
      <c r="U4">
        <v>1.1E-5</v>
      </c>
      <c r="V4">
        <v>1.1E-5</v>
      </c>
      <c r="W4">
        <v>1.1E-5</v>
      </c>
      <c r="X4">
        <v>1.1E-5</v>
      </c>
      <c r="Y4">
        <v>1.1E-5</v>
      </c>
      <c r="Z4">
        <v>1.1E-5</v>
      </c>
      <c r="AA4">
        <v>1.1E-5</v>
      </c>
      <c r="AB4">
        <v>1.1E-5</v>
      </c>
      <c r="AC4">
        <v>1.1E-5</v>
      </c>
      <c r="AD4">
        <v>1.1E-5</v>
      </c>
      <c r="AE4">
        <v>1.1E-5</v>
      </c>
      <c r="AF4">
        <v>1.1E-5</v>
      </c>
      <c r="AG4">
        <v>1.1E-5</v>
      </c>
      <c r="AH4">
        <v>1.1E-5</v>
      </c>
      <c r="AI4">
        <v>1.1E-5</v>
      </c>
      <c r="AJ4">
        <v>1.1E-5</v>
      </c>
      <c r="AK4">
        <v>1.1E-5</v>
      </c>
      <c r="AL4">
        <v>1.1E-5</v>
      </c>
      <c r="AM4">
        <v>1.1E-5</v>
      </c>
      <c r="AN4">
        <v>1.1E-5</v>
      </c>
      <c r="AO4">
        <v>1.1E-5</v>
      </c>
      <c r="AP4">
        <v>9.8999999999999994E-5</v>
      </c>
      <c r="AQ4">
        <v>9.8999999999999994E-5</v>
      </c>
      <c r="AR4">
        <v>9.8999999999999994E-5</v>
      </c>
      <c r="AS4">
        <v>9.8999999999999994E-5</v>
      </c>
      <c r="AT4">
        <v>9.8999999999999994E-5</v>
      </c>
      <c r="AU4">
        <v>1.84E-4</v>
      </c>
      <c r="AV4">
        <v>1.84E-4</v>
      </c>
      <c r="AW4">
        <v>1.84E-4</v>
      </c>
      <c r="AX4">
        <v>1.84E-4</v>
      </c>
      <c r="AY4">
        <v>1.84E-4</v>
      </c>
      <c r="AZ4">
        <v>2.6899999999999998E-4</v>
      </c>
      <c r="BA4">
        <v>2.6899999999999998E-4</v>
      </c>
      <c r="BB4">
        <v>2.6899999999999998E-4</v>
      </c>
      <c r="BC4">
        <v>2.6899999999999998E-4</v>
      </c>
      <c r="BD4">
        <v>2.6899999999999998E-4</v>
      </c>
      <c r="BE4">
        <v>3.3300000000000002E-4</v>
      </c>
      <c r="BF4">
        <v>3.3300000000000002E-4</v>
      </c>
      <c r="BG4">
        <v>3.3300000000000002E-4</v>
      </c>
      <c r="BH4">
        <v>3.3300000000000002E-4</v>
      </c>
      <c r="BI4">
        <v>3.3300000000000002E-4</v>
      </c>
      <c r="BJ4">
        <v>3.6099999999999999E-4</v>
      </c>
      <c r="BK4">
        <v>3.6099999999999999E-4</v>
      </c>
      <c r="BL4">
        <v>3.6099999999999999E-4</v>
      </c>
      <c r="BM4">
        <v>3.6099999999999999E-4</v>
      </c>
      <c r="BN4">
        <v>3.6099999999999999E-4</v>
      </c>
      <c r="BO4">
        <v>3.6699999999999998E-4</v>
      </c>
      <c r="BP4">
        <v>3.6699999999999998E-4</v>
      </c>
      <c r="BQ4">
        <v>3.6699999999999998E-4</v>
      </c>
      <c r="BR4">
        <v>3.6699999999999998E-4</v>
      </c>
      <c r="BS4">
        <v>3.6699999999999998E-4</v>
      </c>
      <c r="BT4">
        <v>3.3399999999999999E-4</v>
      </c>
      <c r="BU4">
        <v>3.3399999999999999E-4</v>
      </c>
      <c r="BV4">
        <v>3.3399999999999999E-4</v>
      </c>
      <c r="BW4">
        <v>3.3399999999999999E-4</v>
      </c>
      <c r="BX4">
        <v>3.3399999999999999E-4</v>
      </c>
      <c r="BY4">
        <v>2.6800000000000001E-4</v>
      </c>
      <c r="BZ4">
        <v>2.6800000000000001E-4</v>
      </c>
      <c r="CA4">
        <v>2.6800000000000001E-4</v>
      </c>
      <c r="CB4">
        <v>2.6800000000000001E-4</v>
      </c>
      <c r="CC4">
        <v>2.6800000000000001E-4</v>
      </c>
      <c r="CD4">
        <v>2.6800000000000001E-4</v>
      </c>
      <c r="CE4">
        <v>2.6800000000000001E-4</v>
      </c>
      <c r="CF4">
        <v>2.6800000000000001E-4</v>
      </c>
      <c r="CG4">
        <v>2.6800000000000001E-4</v>
      </c>
      <c r="CH4">
        <v>2.6800000000000001E-4</v>
      </c>
      <c r="CI4">
        <v>2.6800000000000001E-4</v>
      </c>
      <c r="CJ4">
        <v>2.6800000000000001E-4</v>
      </c>
      <c r="CK4">
        <v>2.6800000000000001E-4</v>
      </c>
      <c r="CL4">
        <v>2.6800000000000001E-4</v>
      </c>
      <c r="CM4">
        <v>2.6800000000000001E-4</v>
      </c>
      <c r="CN4">
        <v>2.6800000000000001E-4</v>
      </c>
      <c r="CO4">
        <v>2.6800000000000001E-4</v>
      </c>
      <c r="CP4">
        <v>2.6800000000000001E-4</v>
      </c>
      <c r="CQ4">
        <v>2.6800000000000001E-4</v>
      </c>
      <c r="CR4">
        <v>2.6800000000000001E-4</v>
      </c>
      <c r="CS4">
        <v>2.6800000000000001E-4</v>
      </c>
      <c r="CT4">
        <v>2.6800000000000001E-4</v>
      </c>
      <c r="CU4">
        <v>2.6800000000000001E-4</v>
      </c>
      <c r="CV4">
        <v>2.6800000000000001E-4</v>
      </c>
      <c r="CW4">
        <v>2.6800000000000001E-4</v>
      </c>
      <c r="CX4">
        <v>2.6800000000000001E-4</v>
      </c>
    </row>
    <row r="5" spans="1:102" x14ac:dyDescent="0.25">
      <c r="A5" t="s">
        <v>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1.02E-4</v>
      </c>
      <c r="R5">
        <v>1.02E-4</v>
      </c>
      <c r="S5">
        <v>1.02E-4</v>
      </c>
      <c r="T5">
        <v>1.02E-4</v>
      </c>
      <c r="U5">
        <v>1.02E-4</v>
      </c>
      <c r="V5">
        <v>1.02E-4</v>
      </c>
      <c r="W5">
        <v>1.02E-4</v>
      </c>
      <c r="X5">
        <v>1.02E-4</v>
      </c>
      <c r="Y5">
        <v>1.02E-4</v>
      </c>
      <c r="Z5">
        <v>1.02E-4</v>
      </c>
      <c r="AA5">
        <v>1.02E-4</v>
      </c>
      <c r="AB5">
        <v>1.02E-4</v>
      </c>
      <c r="AC5">
        <v>1.02E-4</v>
      </c>
      <c r="AD5">
        <v>1.02E-4</v>
      </c>
      <c r="AE5">
        <v>1.02E-4</v>
      </c>
      <c r="AF5">
        <v>1.02E-4</v>
      </c>
      <c r="AG5">
        <v>1.02E-4</v>
      </c>
      <c r="AH5">
        <v>1.02E-4</v>
      </c>
      <c r="AI5">
        <v>1.02E-4</v>
      </c>
      <c r="AJ5">
        <v>1.02E-4</v>
      </c>
      <c r="AK5">
        <v>1.02E-4</v>
      </c>
      <c r="AL5">
        <v>1.02E-4</v>
      </c>
      <c r="AM5">
        <v>1.02E-4</v>
      </c>
      <c r="AN5">
        <v>1.02E-4</v>
      </c>
      <c r="AO5">
        <v>1.02E-4</v>
      </c>
      <c r="AP5">
        <v>2.41E-4</v>
      </c>
      <c r="AQ5">
        <v>2.41E-4</v>
      </c>
      <c r="AR5">
        <v>2.41E-4</v>
      </c>
      <c r="AS5">
        <v>2.41E-4</v>
      </c>
      <c r="AT5">
        <v>2.41E-4</v>
      </c>
      <c r="AU5">
        <v>2.5399999999999999E-4</v>
      </c>
      <c r="AV5">
        <v>2.5399999999999999E-4</v>
      </c>
      <c r="AW5">
        <v>2.5399999999999999E-4</v>
      </c>
      <c r="AX5">
        <v>2.5399999999999999E-4</v>
      </c>
      <c r="AY5">
        <v>2.5399999999999999E-4</v>
      </c>
      <c r="AZ5">
        <v>2.5700000000000001E-4</v>
      </c>
      <c r="BA5">
        <v>2.5700000000000001E-4</v>
      </c>
      <c r="BB5">
        <v>2.5700000000000001E-4</v>
      </c>
      <c r="BC5">
        <v>2.5700000000000001E-4</v>
      </c>
      <c r="BD5">
        <v>2.5700000000000001E-4</v>
      </c>
      <c r="BE5">
        <v>2.4899999999999998E-4</v>
      </c>
      <c r="BF5">
        <v>2.4899999999999998E-4</v>
      </c>
      <c r="BG5">
        <v>2.4899999999999998E-4</v>
      </c>
      <c r="BH5">
        <v>2.4899999999999998E-4</v>
      </c>
      <c r="BI5">
        <v>2.4899999999999998E-4</v>
      </c>
      <c r="BJ5">
        <v>2.22E-4</v>
      </c>
      <c r="BK5">
        <v>2.22E-4</v>
      </c>
      <c r="BL5">
        <v>2.22E-4</v>
      </c>
      <c r="BM5">
        <v>2.22E-4</v>
      </c>
      <c r="BN5">
        <v>2.22E-4</v>
      </c>
      <c r="BO5">
        <v>1.9799999999999999E-4</v>
      </c>
      <c r="BP5">
        <v>1.9799999999999999E-4</v>
      </c>
      <c r="BQ5">
        <v>1.9799999999999999E-4</v>
      </c>
      <c r="BR5">
        <v>1.9799999999999999E-4</v>
      </c>
      <c r="BS5">
        <v>1.9799999999999999E-4</v>
      </c>
      <c r="BT5">
        <v>1.9000000000000001E-4</v>
      </c>
      <c r="BU5">
        <v>1.9000000000000001E-4</v>
      </c>
      <c r="BV5">
        <v>1.9000000000000001E-4</v>
      </c>
      <c r="BW5">
        <v>1.9000000000000001E-4</v>
      </c>
      <c r="BX5">
        <v>1.9000000000000001E-4</v>
      </c>
      <c r="BY5">
        <v>1.56E-4</v>
      </c>
      <c r="BZ5">
        <v>1.56E-4</v>
      </c>
      <c r="CA5">
        <v>1.56E-4</v>
      </c>
      <c r="CB5">
        <v>1.56E-4</v>
      </c>
      <c r="CC5">
        <v>1.56E-4</v>
      </c>
      <c r="CD5">
        <v>1.56E-4</v>
      </c>
      <c r="CE5">
        <v>1.56E-4</v>
      </c>
      <c r="CF5">
        <v>1.56E-4</v>
      </c>
      <c r="CG5">
        <v>1.56E-4</v>
      </c>
      <c r="CH5">
        <v>1.56E-4</v>
      </c>
      <c r="CI5">
        <v>1.56E-4</v>
      </c>
      <c r="CJ5">
        <v>1.56E-4</v>
      </c>
      <c r="CK5">
        <v>1.56E-4</v>
      </c>
      <c r="CL5">
        <v>1.56E-4</v>
      </c>
      <c r="CM5">
        <v>1.56E-4</v>
      </c>
      <c r="CN5">
        <v>1.56E-4</v>
      </c>
      <c r="CO5">
        <v>1.56E-4</v>
      </c>
      <c r="CP5">
        <v>1.56E-4</v>
      </c>
      <c r="CQ5">
        <v>1.56E-4</v>
      </c>
      <c r="CR5">
        <v>1.56E-4</v>
      </c>
      <c r="CS5">
        <v>1.56E-4</v>
      </c>
      <c r="CT5">
        <v>1.56E-4</v>
      </c>
      <c r="CU5">
        <v>1.56E-4</v>
      </c>
      <c r="CV5">
        <v>1.56E-4</v>
      </c>
      <c r="CW5">
        <v>1.56E-4</v>
      </c>
      <c r="CX5">
        <v>1.56E-4</v>
      </c>
    </row>
    <row r="6" spans="1:102" x14ac:dyDescent="0.25">
      <c r="A6" t="s">
        <v>71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1.47E-4</v>
      </c>
      <c r="R6">
        <v>1.47E-4</v>
      </c>
      <c r="S6">
        <v>1.47E-4</v>
      </c>
      <c r="T6">
        <v>1.47E-4</v>
      </c>
      <c r="U6">
        <v>1.47E-4</v>
      </c>
      <c r="V6">
        <v>1.47E-4</v>
      </c>
      <c r="W6">
        <v>1.47E-4</v>
      </c>
      <c r="X6">
        <v>1.47E-4</v>
      </c>
      <c r="Y6">
        <v>1.47E-4</v>
      </c>
      <c r="Z6">
        <v>1.47E-4</v>
      </c>
      <c r="AA6">
        <v>1.47E-4</v>
      </c>
      <c r="AB6">
        <v>1.47E-4</v>
      </c>
      <c r="AC6">
        <v>1.47E-4</v>
      </c>
      <c r="AD6">
        <v>1.47E-4</v>
      </c>
      <c r="AE6">
        <v>1.47E-4</v>
      </c>
      <c r="AF6">
        <v>1.47E-4</v>
      </c>
      <c r="AG6">
        <v>1.47E-4</v>
      </c>
      <c r="AH6">
        <v>1.47E-4</v>
      </c>
      <c r="AI6">
        <v>1.47E-4</v>
      </c>
      <c r="AJ6">
        <v>1.47E-4</v>
      </c>
      <c r="AK6">
        <v>1.47E-4</v>
      </c>
      <c r="AL6">
        <v>1.47E-4</v>
      </c>
      <c r="AM6">
        <v>1.47E-4</v>
      </c>
      <c r="AN6">
        <v>1.47E-4</v>
      </c>
      <c r="AO6">
        <v>1.47E-4</v>
      </c>
      <c r="AP6">
        <v>6.1300000000000005E-4</v>
      </c>
      <c r="AQ6">
        <v>6.1300000000000005E-4</v>
      </c>
      <c r="AR6">
        <v>6.1300000000000005E-4</v>
      </c>
      <c r="AS6">
        <v>6.1300000000000005E-4</v>
      </c>
      <c r="AT6">
        <v>6.1300000000000005E-4</v>
      </c>
      <c r="AU6">
        <v>7.8799999999999996E-4</v>
      </c>
      <c r="AV6">
        <v>7.8799999999999996E-4</v>
      </c>
      <c r="AW6">
        <v>7.8799999999999996E-4</v>
      </c>
      <c r="AX6">
        <v>7.8799999999999996E-4</v>
      </c>
      <c r="AY6">
        <v>7.8799999999999996E-4</v>
      </c>
      <c r="AZ6">
        <v>9.3899999999999995E-4</v>
      </c>
      <c r="BA6">
        <v>9.3899999999999995E-4</v>
      </c>
      <c r="BB6">
        <v>9.3899999999999995E-4</v>
      </c>
      <c r="BC6">
        <v>9.3899999999999995E-4</v>
      </c>
      <c r="BD6">
        <v>9.3899999999999995E-4</v>
      </c>
      <c r="BE6">
        <v>1.044E-3</v>
      </c>
      <c r="BF6">
        <v>1.044E-3</v>
      </c>
      <c r="BG6">
        <v>1.044E-3</v>
      </c>
      <c r="BH6">
        <v>1.044E-3</v>
      </c>
      <c r="BI6">
        <v>1.044E-3</v>
      </c>
      <c r="BJ6">
        <v>1.108E-3</v>
      </c>
      <c r="BK6">
        <v>1.108E-3</v>
      </c>
      <c r="BL6">
        <v>1.108E-3</v>
      </c>
      <c r="BM6">
        <v>1.108E-3</v>
      </c>
      <c r="BN6">
        <v>1.108E-3</v>
      </c>
      <c r="BO6">
        <v>1.163E-3</v>
      </c>
      <c r="BP6">
        <v>1.163E-3</v>
      </c>
      <c r="BQ6">
        <v>1.163E-3</v>
      </c>
      <c r="BR6">
        <v>1.163E-3</v>
      </c>
      <c r="BS6">
        <v>1.163E-3</v>
      </c>
      <c r="BT6">
        <v>1.2030000000000001E-3</v>
      </c>
      <c r="BU6">
        <v>1.2030000000000001E-3</v>
      </c>
      <c r="BV6">
        <v>1.2030000000000001E-3</v>
      </c>
      <c r="BW6">
        <v>1.2030000000000001E-3</v>
      </c>
      <c r="BX6">
        <v>1.2030000000000001E-3</v>
      </c>
      <c r="BY6">
        <v>1.225E-3</v>
      </c>
      <c r="BZ6">
        <v>1.225E-3</v>
      </c>
      <c r="CA6">
        <v>1.225E-3</v>
      </c>
      <c r="CB6">
        <v>1.225E-3</v>
      </c>
      <c r="CC6">
        <v>1.225E-3</v>
      </c>
      <c r="CD6">
        <v>1.225E-3</v>
      </c>
      <c r="CE6">
        <v>1.225E-3</v>
      </c>
      <c r="CF6">
        <v>1.225E-3</v>
      </c>
      <c r="CG6">
        <v>1.225E-3</v>
      </c>
      <c r="CH6">
        <v>1.225E-3</v>
      </c>
      <c r="CI6">
        <v>1.225E-3</v>
      </c>
      <c r="CJ6">
        <v>1.225E-3</v>
      </c>
      <c r="CK6">
        <v>1.225E-3</v>
      </c>
      <c r="CL6">
        <v>1.225E-3</v>
      </c>
      <c r="CM6">
        <v>1.225E-3</v>
      </c>
      <c r="CN6">
        <v>1.225E-3</v>
      </c>
      <c r="CO6">
        <v>1.225E-3</v>
      </c>
      <c r="CP6">
        <v>1.225E-3</v>
      </c>
      <c r="CQ6">
        <v>1.225E-3</v>
      </c>
      <c r="CR6">
        <v>1.225E-3</v>
      </c>
      <c r="CS6">
        <v>1.225E-3</v>
      </c>
      <c r="CT6">
        <v>1.225E-3</v>
      </c>
      <c r="CU6">
        <v>1.225E-3</v>
      </c>
      <c r="CV6">
        <v>1.225E-3</v>
      </c>
      <c r="CW6">
        <v>1.225E-3</v>
      </c>
      <c r="CX6">
        <v>1.225E-3</v>
      </c>
    </row>
    <row r="7" spans="1:102" x14ac:dyDescent="0.25">
      <c r="A7" t="s">
        <v>74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1.25E-4</v>
      </c>
      <c r="R7">
        <v>1.25E-4</v>
      </c>
      <c r="S7">
        <v>1.25E-4</v>
      </c>
      <c r="T7">
        <v>1.25E-4</v>
      </c>
      <c r="U7">
        <v>1.25E-4</v>
      </c>
      <c r="V7">
        <v>1.25E-4</v>
      </c>
      <c r="W7">
        <v>1.25E-4</v>
      </c>
      <c r="X7">
        <v>1.25E-4</v>
      </c>
      <c r="Y7">
        <v>1.25E-4</v>
      </c>
      <c r="Z7">
        <v>1.25E-4</v>
      </c>
      <c r="AA7">
        <v>1.25E-4</v>
      </c>
      <c r="AB7">
        <v>1.25E-4</v>
      </c>
      <c r="AC7">
        <v>1.25E-4</v>
      </c>
      <c r="AD7">
        <v>1.25E-4</v>
      </c>
      <c r="AE7">
        <v>1.25E-4</v>
      </c>
      <c r="AF7">
        <v>1.25E-4</v>
      </c>
      <c r="AG7">
        <v>1.25E-4</v>
      </c>
      <c r="AH7">
        <v>1.25E-4</v>
      </c>
      <c r="AI7">
        <v>1.25E-4</v>
      </c>
      <c r="AJ7">
        <v>1.25E-4</v>
      </c>
      <c r="AK7">
        <v>1.25E-4</v>
      </c>
      <c r="AL7">
        <v>1.25E-4</v>
      </c>
      <c r="AM7">
        <v>1.25E-4</v>
      </c>
      <c r="AN7">
        <v>1.25E-4</v>
      </c>
      <c r="AO7">
        <v>1.25E-4</v>
      </c>
      <c r="AP7">
        <v>3.1500000000000001E-4</v>
      </c>
      <c r="AQ7">
        <v>3.1500000000000001E-4</v>
      </c>
      <c r="AR7">
        <v>3.1500000000000001E-4</v>
      </c>
      <c r="AS7">
        <v>3.1500000000000001E-4</v>
      </c>
      <c r="AT7">
        <v>3.1500000000000001E-4</v>
      </c>
      <c r="AU7">
        <v>3.21E-4</v>
      </c>
      <c r="AV7">
        <v>3.21E-4</v>
      </c>
      <c r="AW7">
        <v>3.21E-4</v>
      </c>
      <c r="AX7">
        <v>3.21E-4</v>
      </c>
      <c r="AY7">
        <v>3.21E-4</v>
      </c>
      <c r="AZ7">
        <v>3.1100000000000002E-4</v>
      </c>
      <c r="BA7">
        <v>3.1100000000000002E-4</v>
      </c>
      <c r="BB7">
        <v>3.1100000000000002E-4</v>
      </c>
      <c r="BC7">
        <v>3.1100000000000002E-4</v>
      </c>
      <c r="BD7">
        <v>3.1100000000000002E-4</v>
      </c>
      <c r="BE7">
        <v>3.1199999999999999E-4</v>
      </c>
      <c r="BF7">
        <v>3.1199999999999999E-4</v>
      </c>
      <c r="BG7">
        <v>3.1199999999999999E-4</v>
      </c>
      <c r="BH7">
        <v>3.1199999999999999E-4</v>
      </c>
      <c r="BI7">
        <v>3.1199999999999999E-4</v>
      </c>
      <c r="BJ7">
        <v>3.1599999999999998E-4</v>
      </c>
      <c r="BK7">
        <v>3.1599999999999998E-4</v>
      </c>
      <c r="BL7">
        <v>3.1599999999999998E-4</v>
      </c>
      <c r="BM7">
        <v>3.1599999999999998E-4</v>
      </c>
      <c r="BN7">
        <v>3.1599999999999998E-4</v>
      </c>
      <c r="BO7">
        <v>3.3199999999999999E-4</v>
      </c>
      <c r="BP7">
        <v>3.3199999999999999E-4</v>
      </c>
      <c r="BQ7">
        <v>3.3199999999999999E-4</v>
      </c>
      <c r="BR7">
        <v>3.3199999999999999E-4</v>
      </c>
      <c r="BS7">
        <v>3.3199999999999999E-4</v>
      </c>
      <c r="BT7">
        <v>3.6299999999999999E-4</v>
      </c>
      <c r="BU7">
        <v>3.6299999999999999E-4</v>
      </c>
      <c r="BV7">
        <v>3.6299999999999999E-4</v>
      </c>
      <c r="BW7">
        <v>3.6299999999999999E-4</v>
      </c>
      <c r="BX7">
        <v>3.6299999999999999E-4</v>
      </c>
      <c r="BY7">
        <v>3.3599999999999998E-4</v>
      </c>
      <c r="BZ7">
        <v>3.3599999999999998E-4</v>
      </c>
      <c r="CA7">
        <v>3.3599999999999998E-4</v>
      </c>
      <c r="CB7">
        <v>3.3599999999999998E-4</v>
      </c>
      <c r="CC7">
        <v>3.3599999999999998E-4</v>
      </c>
      <c r="CD7">
        <v>3.3599999999999998E-4</v>
      </c>
      <c r="CE7">
        <v>3.3599999999999998E-4</v>
      </c>
      <c r="CF7">
        <v>3.3599999999999998E-4</v>
      </c>
      <c r="CG7">
        <v>3.3599999999999998E-4</v>
      </c>
      <c r="CH7">
        <v>3.3599999999999998E-4</v>
      </c>
      <c r="CI7">
        <v>3.3599999999999998E-4</v>
      </c>
      <c r="CJ7">
        <v>3.3599999999999998E-4</v>
      </c>
      <c r="CK7">
        <v>3.3599999999999998E-4</v>
      </c>
      <c r="CL7">
        <v>3.3599999999999998E-4</v>
      </c>
      <c r="CM7">
        <v>3.3599999999999998E-4</v>
      </c>
      <c r="CN7">
        <v>3.3599999999999998E-4</v>
      </c>
      <c r="CO7">
        <v>3.3599999999999998E-4</v>
      </c>
      <c r="CP7">
        <v>3.3599999999999998E-4</v>
      </c>
      <c r="CQ7">
        <v>3.3599999999999998E-4</v>
      </c>
      <c r="CR7">
        <v>3.3599999999999998E-4</v>
      </c>
      <c r="CS7">
        <v>3.3599999999999998E-4</v>
      </c>
      <c r="CT7">
        <v>3.3599999999999998E-4</v>
      </c>
      <c r="CU7">
        <v>3.3599999999999998E-4</v>
      </c>
      <c r="CV7">
        <v>3.3599999999999998E-4</v>
      </c>
      <c r="CW7">
        <v>3.3599999999999998E-4</v>
      </c>
      <c r="CX7">
        <v>3.3599999999999998E-4</v>
      </c>
    </row>
    <row r="8" spans="1:102" x14ac:dyDescent="0.25">
      <c r="A8" t="s">
        <v>77</v>
      </c>
      <c r="B8" t="e"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  <c r="J8" t="e">
        <v>#VALUE!</v>
      </c>
      <c r="K8" t="e">
        <v>#VALUE!</v>
      </c>
      <c r="L8" t="e">
        <v>#VALUE!</v>
      </c>
      <c r="M8" t="e">
        <v>#VALUE!</v>
      </c>
      <c r="N8" t="e">
        <v>#VALUE!</v>
      </c>
      <c r="O8" t="e">
        <v>#VALUE!</v>
      </c>
      <c r="P8" t="e">
        <v>#VALUE!</v>
      </c>
      <c r="Q8">
        <v>1.7200000000000001E-4</v>
      </c>
      <c r="R8">
        <v>1.7200000000000001E-4</v>
      </c>
      <c r="S8">
        <v>1.7200000000000001E-4</v>
      </c>
      <c r="T8">
        <v>1.7200000000000001E-4</v>
      </c>
      <c r="U8">
        <v>1.7200000000000001E-4</v>
      </c>
      <c r="V8">
        <v>1.7200000000000001E-4</v>
      </c>
      <c r="W8">
        <v>1.7200000000000001E-4</v>
      </c>
      <c r="X8">
        <v>1.7200000000000001E-4</v>
      </c>
      <c r="Y8">
        <v>1.7200000000000001E-4</v>
      </c>
      <c r="Z8">
        <v>1.7200000000000001E-4</v>
      </c>
      <c r="AA8">
        <v>1.7200000000000001E-4</v>
      </c>
      <c r="AB8">
        <v>1.7200000000000001E-4</v>
      </c>
      <c r="AC8">
        <v>1.7200000000000001E-4</v>
      </c>
      <c r="AD8">
        <v>1.7200000000000001E-4</v>
      </c>
      <c r="AE8">
        <v>1.7200000000000001E-4</v>
      </c>
      <c r="AF8">
        <v>1.7200000000000001E-4</v>
      </c>
      <c r="AG8">
        <v>1.7200000000000001E-4</v>
      </c>
      <c r="AH8">
        <v>1.7200000000000001E-4</v>
      </c>
      <c r="AI8">
        <v>1.7200000000000001E-4</v>
      </c>
      <c r="AJ8">
        <v>1.7200000000000001E-4</v>
      </c>
      <c r="AK8">
        <v>1.7200000000000001E-4</v>
      </c>
      <c r="AL8">
        <v>1.7200000000000001E-4</v>
      </c>
      <c r="AM8">
        <v>1.7200000000000001E-4</v>
      </c>
      <c r="AN8">
        <v>1.7200000000000001E-4</v>
      </c>
      <c r="AO8">
        <v>1.7200000000000001E-4</v>
      </c>
      <c r="AP8">
        <v>4.4200000000000001E-4</v>
      </c>
      <c r="AQ8">
        <v>4.4200000000000001E-4</v>
      </c>
      <c r="AR8">
        <v>4.4200000000000001E-4</v>
      </c>
      <c r="AS8">
        <v>4.4200000000000001E-4</v>
      </c>
      <c r="AT8">
        <v>4.4200000000000001E-4</v>
      </c>
      <c r="AU8">
        <v>4.6299999999999998E-4</v>
      </c>
      <c r="AV8">
        <v>4.6299999999999998E-4</v>
      </c>
      <c r="AW8">
        <v>4.6299999999999998E-4</v>
      </c>
      <c r="AX8">
        <v>4.6299999999999998E-4</v>
      </c>
      <c r="AY8">
        <v>4.6299999999999998E-4</v>
      </c>
      <c r="AZ8">
        <v>4.6099999999999998E-4</v>
      </c>
      <c r="BA8">
        <v>4.6099999999999998E-4</v>
      </c>
      <c r="BB8">
        <v>4.6099999999999998E-4</v>
      </c>
      <c r="BC8">
        <v>4.6099999999999998E-4</v>
      </c>
      <c r="BD8">
        <v>4.6099999999999998E-4</v>
      </c>
      <c r="BE8">
        <v>4.6900000000000002E-4</v>
      </c>
      <c r="BF8">
        <v>4.6900000000000002E-4</v>
      </c>
      <c r="BG8">
        <v>4.6900000000000002E-4</v>
      </c>
      <c r="BH8">
        <v>4.6900000000000002E-4</v>
      </c>
      <c r="BI8">
        <v>4.6900000000000002E-4</v>
      </c>
      <c r="BJ8">
        <v>4.75E-4</v>
      </c>
      <c r="BK8">
        <v>4.75E-4</v>
      </c>
      <c r="BL8">
        <v>4.75E-4</v>
      </c>
      <c r="BM8">
        <v>4.75E-4</v>
      </c>
      <c r="BN8">
        <v>4.75E-4</v>
      </c>
      <c r="BO8">
        <v>4.5800000000000002E-4</v>
      </c>
      <c r="BP8">
        <v>4.5800000000000002E-4</v>
      </c>
      <c r="BQ8">
        <v>4.5800000000000002E-4</v>
      </c>
      <c r="BR8">
        <v>4.5800000000000002E-4</v>
      </c>
      <c r="BS8">
        <v>4.5800000000000002E-4</v>
      </c>
      <c r="BT8">
        <v>4.2299999999999998E-4</v>
      </c>
      <c r="BU8">
        <v>4.2299999999999998E-4</v>
      </c>
      <c r="BV8">
        <v>4.2299999999999998E-4</v>
      </c>
      <c r="BW8">
        <v>4.2299999999999998E-4</v>
      </c>
      <c r="BX8">
        <v>4.2299999999999998E-4</v>
      </c>
      <c r="BY8">
        <v>3.6900000000000002E-4</v>
      </c>
      <c r="BZ8">
        <v>3.6900000000000002E-4</v>
      </c>
      <c r="CA8">
        <v>3.6900000000000002E-4</v>
      </c>
      <c r="CB8">
        <v>3.6900000000000002E-4</v>
      </c>
      <c r="CC8">
        <v>3.6900000000000002E-4</v>
      </c>
      <c r="CD8">
        <v>3.6900000000000002E-4</v>
      </c>
      <c r="CE8">
        <v>3.6900000000000002E-4</v>
      </c>
      <c r="CF8">
        <v>3.6900000000000002E-4</v>
      </c>
      <c r="CG8">
        <v>3.6900000000000002E-4</v>
      </c>
      <c r="CH8">
        <v>3.6900000000000002E-4</v>
      </c>
      <c r="CI8">
        <v>3.6900000000000002E-4</v>
      </c>
      <c r="CJ8">
        <v>3.6900000000000002E-4</v>
      </c>
      <c r="CK8">
        <v>3.6900000000000002E-4</v>
      </c>
      <c r="CL8">
        <v>3.6900000000000002E-4</v>
      </c>
      <c r="CM8">
        <v>3.6900000000000002E-4</v>
      </c>
      <c r="CN8">
        <v>3.6900000000000002E-4</v>
      </c>
      <c r="CO8">
        <v>3.6900000000000002E-4</v>
      </c>
      <c r="CP8">
        <v>3.6900000000000002E-4</v>
      </c>
      <c r="CQ8">
        <v>3.6900000000000002E-4</v>
      </c>
      <c r="CR8">
        <v>3.6900000000000002E-4</v>
      </c>
      <c r="CS8">
        <v>3.6900000000000002E-4</v>
      </c>
      <c r="CT8">
        <v>3.6900000000000002E-4</v>
      </c>
      <c r="CU8">
        <v>3.6900000000000002E-4</v>
      </c>
      <c r="CV8">
        <v>3.6900000000000002E-4</v>
      </c>
      <c r="CW8">
        <v>3.6900000000000002E-4</v>
      </c>
      <c r="CX8">
        <v>3.6900000000000002E-4</v>
      </c>
    </row>
    <row r="9" spans="1:102" x14ac:dyDescent="0.25">
      <c r="A9" t="s">
        <v>79</v>
      </c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  <c r="J9" t="e">
        <v>#VALUE!</v>
      </c>
      <c r="K9" t="e">
        <v>#VALUE!</v>
      </c>
      <c r="L9" t="e">
        <v>#VALUE!</v>
      </c>
      <c r="M9" t="e">
        <v>#VALUE!</v>
      </c>
      <c r="N9" t="e">
        <v>#VALUE!</v>
      </c>
      <c r="O9" t="e">
        <v>#VALUE!</v>
      </c>
      <c r="P9" t="e">
        <v>#VALUE!</v>
      </c>
      <c r="Q9">
        <v>1.2300000000000001E-4</v>
      </c>
      <c r="R9">
        <v>1.2300000000000001E-4</v>
      </c>
      <c r="S9">
        <v>1.2300000000000001E-4</v>
      </c>
      <c r="T9">
        <v>1.2300000000000001E-4</v>
      </c>
      <c r="U9">
        <v>1.2300000000000001E-4</v>
      </c>
      <c r="V9">
        <v>1.2300000000000001E-4</v>
      </c>
      <c r="W9">
        <v>1.2300000000000001E-4</v>
      </c>
      <c r="X9">
        <v>1.2300000000000001E-4</v>
      </c>
      <c r="Y9">
        <v>1.2300000000000001E-4</v>
      </c>
      <c r="Z9">
        <v>1.2300000000000001E-4</v>
      </c>
      <c r="AA9">
        <v>1.2300000000000001E-4</v>
      </c>
      <c r="AB9">
        <v>1.2300000000000001E-4</v>
      </c>
      <c r="AC9">
        <v>1.2300000000000001E-4</v>
      </c>
      <c r="AD9">
        <v>1.2300000000000001E-4</v>
      </c>
      <c r="AE9">
        <v>1.2300000000000001E-4</v>
      </c>
      <c r="AF9">
        <v>1.2300000000000001E-4</v>
      </c>
      <c r="AG9">
        <v>1.2300000000000001E-4</v>
      </c>
      <c r="AH9">
        <v>1.2300000000000001E-4</v>
      </c>
      <c r="AI9">
        <v>1.2300000000000001E-4</v>
      </c>
      <c r="AJ9">
        <v>1.2300000000000001E-4</v>
      </c>
      <c r="AK9">
        <v>1.2300000000000001E-4</v>
      </c>
      <c r="AL9">
        <v>1.2300000000000001E-4</v>
      </c>
      <c r="AM9">
        <v>1.2300000000000001E-4</v>
      </c>
      <c r="AN9">
        <v>1.2300000000000001E-4</v>
      </c>
      <c r="AO9">
        <v>1.2300000000000001E-4</v>
      </c>
      <c r="AP9">
        <v>4.6999999999999999E-4</v>
      </c>
      <c r="AQ9">
        <v>4.6999999999999999E-4</v>
      </c>
      <c r="AR9">
        <v>4.6999999999999999E-4</v>
      </c>
      <c r="AS9">
        <v>4.6999999999999999E-4</v>
      </c>
      <c r="AT9">
        <v>4.6999999999999999E-4</v>
      </c>
      <c r="AU9">
        <v>4.0000000000000002E-4</v>
      </c>
      <c r="AV9">
        <v>4.0000000000000002E-4</v>
      </c>
      <c r="AW9">
        <v>4.0000000000000002E-4</v>
      </c>
      <c r="AX9">
        <v>4.0000000000000002E-4</v>
      </c>
      <c r="AY9">
        <v>4.0000000000000002E-4</v>
      </c>
      <c r="AZ9">
        <v>3.1100000000000002E-4</v>
      </c>
      <c r="BA9">
        <v>3.1100000000000002E-4</v>
      </c>
      <c r="BB9">
        <v>3.1100000000000002E-4</v>
      </c>
      <c r="BC9">
        <v>3.1100000000000002E-4</v>
      </c>
      <c r="BD9">
        <v>3.1100000000000002E-4</v>
      </c>
      <c r="BE9">
        <v>2.3900000000000001E-4</v>
      </c>
      <c r="BF9">
        <v>2.3900000000000001E-4</v>
      </c>
      <c r="BG9">
        <v>2.3900000000000001E-4</v>
      </c>
      <c r="BH9">
        <v>2.3900000000000001E-4</v>
      </c>
      <c r="BI9">
        <v>2.3900000000000001E-4</v>
      </c>
      <c r="BJ9">
        <v>1.73E-4</v>
      </c>
      <c r="BK9">
        <v>1.73E-4</v>
      </c>
      <c r="BL9">
        <v>1.73E-4</v>
      </c>
      <c r="BM9">
        <v>1.73E-4</v>
      </c>
      <c r="BN9">
        <v>1.73E-4</v>
      </c>
      <c r="BO9">
        <v>1.2300000000000001E-4</v>
      </c>
      <c r="BP9">
        <v>1.2300000000000001E-4</v>
      </c>
      <c r="BQ9">
        <v>1.2300000000000001E-4</v>
      </c>
      <c r="BR9">
        <v>1.2300000000000001E-4</v>
      </c>
      <c r="BS9">
        <v>1.2300000000000001E-4</v>
      </c>
      <c r="BT9">
        <v>1.0399999999999999E-4</v>
      </c>
      <c r="BU9">
        <v>1.0399999999999999E-4</v>
      </c>
      <c r="BV9">
        <v>1.0399999999999999E-4</v>
      </c>
      <c r="BW9">
        <v>1.0399999999999999E-4</v>
      </c>
      <c r="BX9">
        <v>1.0399999999999999E-4</v>
      </c>
      <c r="BY9">
        <v>1.15E-4</v>
      </c>
      <c r="BZ9">
        <v>1.15E-4</v>
      </c>
      <c r="CA9">
        <v>1.15E-4</v>
      </c>
      <c r="CB9">
        <v>1.15E-4</v>
      </c>
      <c r="CC9">
        <v>1.15E-4</v>
      </c>
      <c r="CD9">
        <v>1.15E-4</v>
      </c>
      <c r="CE9">
        <v>1.15E-4</v>
      </c>
      <c r="CF9">
        <v>1.15E-4</v>
      </c>
      <c r="CG9">
        <v>1.15E-4</v>
      </c>
      <c r="CH9">
        <v>1.15E-4</v>
      </c>
      <c r="CI9">
        <v>1.15E-4</v>
      </c>
      <c r="CJ9">
        <v>1.15E-4</v>
      </c>
      <c r="CK9">
        <v>1.15E-4</v>
      </c>
      <c r="CL9">
        <v>1.15E-4</v>
      </c>
      <c r="CM9">
        <v>1.15E-4</v>
      </c>
      <c r="CN9">
        <v>1.15E-4</v>
      </c>
      <c r="CO9">
        <v>1.15E-4</v>
      </c>
      <c r="CP9">
        <v>1.15E-4</v>
      </c>
      <c r="CQ9">
        <v>1.15E-4</v>
      </c>
      <c r="CR9">
        <v>1.15E-4</v>
      </c>
      <c r="CS9">
        <v>1.15E-4</v>
      </c>
      <c r="CT9">
        <v>1.15E-4</v>
      </c>
      <c r="CU9">
        <v>1.15E-4</v>
      </c>
      <c r="CV9">
        <v>1.15E-4</v>
      </c>
      <c r="CW9">
        <v>1.15E-4</v>
      </c>
      <c r="CX9">
        <v>1.15E-4</v>
      </c>
    </row>
    <row r="10" spans="1:102" x14ac:dyDescent="0.25">
      <c r="A10" t="s">
        <v>81</v>
      </c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  <c r="J10" t="e">
        <v>#VALUE!</v>
      </c>
      <c r="K10" t="e">
        <v>#VALUE!</v>
      </c>
      <c r="L10" t="e">
        <v>#VALUE!</v>
      </c>
      <c r="M10" t="e">
        <v>#VALUE!</v>
      </c>
      <c r="N10" t="e">
        <v>#VALUE!</v>
      </c>
      <c r="O10" t="e">
        <v>#VALUE!</v>
      </c>
      <c r="P10" t="e">
        <v>#VALUE!</v>
      </c>
      <c r="Q10">
        <v>6.4999999999999994E-5</v>
      </c>
      <c r="R10">
        <v>6.4999999999999994E-5</v>
      </c>
      <c r="S10">
        <v>6.4999999999999994E-5</v>
      </c>
      <c r="T10">
        <v>6.4999999999999994E-5</v>
      </c>
      <c r="U10">
        <v>6.4999999999999994E-5</v>
      </c>
      <c r="V10">
        <v>6.4999999999999994E-5</v>
      </c>
      <c r="W10">
        <v>6.4999999999999994E-5</v>
      </c>
      <c r="X10">
        <v>6.4999999999999994E-5</v>
      </c>
      <c r="Y10">
        <v>6.4999999999999994E-5</v>
      </c>
      <c r="Z10">
        <v>6.4999999999999994E-5</v>
      </c>
      <c r="AA10">
        <v>6.4999999999999994E-5</v>
      </c>
      <c r="AB10">
        <v>6.4999999999999994E-5</v>
      </c>
      <c r="AC10">
        <v>6.4999999999999994E-5</v>
      </c>
      <c r="AD10">
        <v>6.4999999999999994E-5</v>
      </c>
      <c r="AE10">
        <v>6.4999999999999994E-5</v>
      </c>
      <c r="AF10">
        <v>6.4999999999999994E-5</v>
      </c>
      <c r="AG10">
        <v>6.4999999999999994E-5</v>
      </c>
      <c r="AH10">
        <v>6.4999999999999994E-5</v>
      </c>
      <c r="AI10">
        <v>6.4999999999999994E-5</v>
      </c>
      <c r="AJ10">
        <v>6.4999999999999994E-5</v>
      </c>
      <c r="AK10">
        <v>6.4999999999999994E-5</v>
      </c>
      <c r="AL10">
        <v>6.4999999999999994E-5</v>
      </c>
      <c r="AM10">
        <v>6.4999999999999994E-5</v>
      </c>
      <c r="AN10">
        <v>6.4999999999999994E-5</v>
      </c>
      <c r="AO10">
        <v>6.4999999999999994E-5</v>
      </c>
      <c r="AP10">
        <v>1.12E-4</v>
      </c>
      <c r="AQ10">
        <v>1.12E-4</v>
      </c>
      <c r="AR10">
        <v>1.12E-4</v>
      </c>
      <c r="AS10">
        <v>1.12E-4</v>
      </c>
      <c r="AT10">
        <v>1.12E-4</v>
      </c>
      <c r="AU10">
        <v>1.01E-4</v>
      </c>
      <c r="AV10">
        <v>1.01E-4</v>
      </c>
      <c r="AW10">
        <v>1.01E-4</v>
      </c>
      <c r="AX10">
        <v>1.01E-4</v>
      </c>
      <c r="AY10">
        <v>1.01E-4</v>
      </c>
      <c r="AZ10">
        <v>8.8999999999999995E-5</v>
      </c>
      <c r="BA10">
        <v>8.8999999999999995E-5</v>
      </c>
      <c r="BB10">
        <v>8.8999999999999995E-5</v>
      </c>
      <c r="BC10">
        <v>8.8999999999999995E-5</v>
      </c>
      <c r="BD10">
        <v>8.8999999999999995E-5</v>
      </c>
      <c r="BE10">
        <v>8.5000000000000006E-5</v>
      </c>
      <c r="BF10">
        <v>8.5000000000000006E-5</v>
      </c>
      <c r="BG10">
        <v>8.5000000000000006E-5</v>
      </c>
      <c r="BH10">
        <v>8.5000000000000006E-5</v>
      </c>
      <c r="BI10">
        <v>8.5000000000000006E-5</v>
      </c>
      <c r="BJ10">
        <v>8.3999999999999995E-5</v>
      </c>
      <c r="BK10">
        <v>8.3999999999999995E-5</v>
      </c>
      <c r="BL10">
        <v>8.3999999999999995E-5</v>
      </c>
      <c r="BM10">
        <v>8.3999999999999995E-5</v>
      </c>
      <c r="BN10">
        <v>8.3999999999999995E-5</v>
      </c>
      <c r="BO10">
        <v>8.8999999999999995E-5</v>
      </c>
      <c r="BP10">
        <v>8.8999999999999995E-5</v>
      </c>
      <c r="BQ10">
        <v>8.8999999999999995E-5</v>
      </c>
      <c r="BR10">
        <v>8.8999999999999995E-5</v>
      </c>
      <c r="BS10">
        <v>8.8999999999999995E-5</v>
      </c>
      <c r="BT10">
        <v>9.6000000000000002E-5</v>
      </c>
      <c r="BU10">
        <v>9.6000000000000002E-5</v>
      </c>
      <c r="BV10">
        <v>9.6000000000000002E-5</v>
      </c>
      <c r="BW10">
        <v>9.6000000000000002E-5</v>
      </c>
      <c r="BX10">
        <v>9.6000000000000002E-5</v>
      </c>
      <c r="BY10">
        <v>1.22E-4</v>
      </c>
      <c r="BZ10">
        <v>1.22E-4</v>
      </c>
      <c r="CA10">
        <v>1.22E-4</v>
      </c>
      <c r="CB10">
        <v>1.22E-4</v>
      </c>
      <c r="CC10">
        <v>1.22E-4</v>
      </c>
      <c r="CD10">
        <v>1.22E-4</v>
      </c>
      <c r="CE10">
        <v>1.22E-4</v>
      </c>
      <c r="CF10">
        <v>1.22E-4</v>
      </c>
      <c r="CG10">
        <v>1.22E-4</v>
      </c>
      <c r="CH10">
        <v>1.22E-4</v>
      </c>
      <c r="CI10">
        <v>1.22E-4</v>
      </c>
      <c r="CJ10">
        <v>1.22E-4</v>
      </c>
      <c r="CK10">
        <v>1.22E-4</v>
      </c>
      <c r="CL10">
        <v>1.22E-4</v>
      </c>
      <c r="CM10">
        <v>1.22E-4</v>
      </c>
      <c r="CN10">
        <v>1.22E-4</v>
      </c>
      <c r="CO10">
        <v>1.22E-4</v>
      </c>
      <c r="CP10">
        <v>1.22E-4</v>
      </c>
      <c r="CQ10">
        <v>1.22E-4</v>
      </c>
      <c r="CR10">
        <v>1.22E-4</v>
      </c>
      <c r="CS10">
        <v>1.22E-4</v>
      </c>
      <c r="CT10">
        <v>1.22E-4</v>
      </c>
      <c r="CU10">
        <v>1.22E-4</v>
      </c>
      <c r="CV10">
        <v>1.22E-4</v>
      </c>
      <c r="CW10">
        <v>1.22E-4</v>
      </c>
      <c r="CX10">
        <v>1.22E-4</v>
      </c>
    </row>
    <row r="11" spans="1:102" x14ac:dyDescent="0.25">
      <c r="A11" t="s">
        <v>84</v>
      </c>
      <c r="B11" t="e">
        <v>#VALUE!</v>
      </c>
      <c r="C11" t="e">
        <v>#VALUE!</v>
      </c>
      <c r="D11" t="e">
        <v>#VALUE!</v>
      </c>
      <c r="E11" t="e">
        <v>#VALUE!</v>
      </c>
      <c r="F11" t="e">
        <v>#VALUE!</v>
      </c>
      <c r="G11" t="e">
        <v>#VALUE!</v>
      </c>
      <c r="H11" t="e">
        <v>#VALUE!</v>
      </c>
      <c r="I11" t="e">
        <v>#VALUE!</v>
      </c>
      <c r="J11" t="e">
        <v>#VALUE!</v>
      </c>
      <c r="K11" t="e">
        <v>#VALUE!</v>
      </c>
      <c r="L11" t="e">
        <v>#VALUE!</v>
      </c>
      <c r="M11" t="e">
        <v>#VALUE!</v>
      </c>
      <c r="N11" t="e">
        <v>#VALUE!</v>
      </c>
      <c r="O11" t="e">
        <v>#VALUE!</v>
      </c>
      <c r="P11" t="e">
        <v>#VALUE!</v>
      </c>
      <c r="Q11">
        <v>5.1999999999999997E-5</v>
      </c>
      <c r="R11">
        <v>5.1999999999999997E-5</v>
      </c>
      <c r="S11">
        <v>5.1999999999999997E-5</v>
      </c>
      <c r="T11">
        <v>5.1999999999999997E-5</v>
      </c>
      <c r="U11">
        <v>5.1999999999999997E-5</v>
      </c>
      <c r="V11">
        <v>5.1999999999999997E-5</v>
      </c>
      <c r="W11">
        <v>5.1999999999999997E-5</v>
      </c>
      <c r="X11">
        <v>5.1999999999999997E-5</v>
      </c>
      <c r="Y11">
        <v>5.1999999999999997E-5</v>
      </c>
      <c r="Z11">
        <v>5.1999999999999997E-5</v>
      </c>
      <c r="AA11">
        <v>5.1999999999999997E-5</v>
      </c>
      <c r="AB11">
        <v>5.1999999999999997E-5</v>
      </c>
      <c r="AC11">
        <v>5.1999999999999997E-5</v>
      </c>
      <c r="AD11">
        <v>5.1999999999999997E-5</v>
      </c>
      <c r="AE11">
        <v>5.1999999999999997E-5</v>
      </c>
      <c r="AF11">
        <v>5.1999999999999997E-5</v>
      </c>
      <c r="AG11">
        <v>5.1999999999999997E-5</v>
      </c>
      <c r="AH11">
        <v>5.1999999999999997E-5</v>
      </c>
      <c r="AI11">
        <v>5.1999999999999997E-5</v>
      </c>
      <c r="AJ11">
        <v>5.1999999999999997E-5</v>
      </c>
      <c r="AK11">
        <v>5.1999999999999997E-5</v>
      </c>
      <c r="AL11">
        <v>5.1999999999999997E-5</v>
      </c>
      <c r="AM11">
        <v>5.1999999999999997E-5</v>
      </c>
      <c r="AN11">
        <v>5.1999999999999997E-5</v>
      </c>
      <c r="AO11">
        <v>5.1999999999999997E-5</v>
      </c>
      <c r="AP11">
        <v>1.15E-4</v>
      </c>
      <c r="AQ11">
        <v>1.15E-4</v>
      </c>
      <c r="AR11">
        <v>1.15E-4</v>
      </c>
      <c r="AS11">
        <v>1.15E-4</v>
      </c>
      <c r="AT11">
        <v>1.15E-4</v>
      </c>
      <c r="AU11">
        <v>1.18E-4</v>
      </c>
      <c r="AV11">
        <v>1.18E-4</v>
      </c>
      <c r="AW11">
        <v>1.18E-4</v>
      </c>
      <c r="AX11">
        <v>1.18E-4</v>
      </c>
      <c r="AY11">
        <v>1.18E-4</v>
      </c>
      <c r="AZ11">
        <v>1.21E-4</v>
      </c>
      <c r="BA11">
        <v>1.21E-4</v>
      </c>
      <c r="BB11">
        <v>1.21E-4</v>
      </c>
      <c r="BC11">
        <v>1.21E-4</v>
      </c>
      <c r="BD11">
        <v>1.21E-4</v>
      </c>
      <c r="BE11">
        <v>1.2300000000000001E-4</v>
      </c>
      <c r="BF11">
        <v>1.2300000000000001E-4</v>
      </c>
      <c r="BG11">
        <v>1.2300000000000001E-4</v>
      </c>
      <c r="BH11">
        <v>1.2300000000000001E-4</v>
      </c>
      <c r="BI11">
        <v>1.2300000000000001E-4</v>
      </c>
      <c r="BJ11">
        <v>1.25E-4</v>
      </c>
      <c r="BK11">
        <v>1.25E-4</v>
      </c>
      <c r="BL11">
        <v>1.25E-4</v>
      </c>
      <c r="BM11">
        <v>1.25E-4</v>
      </c>
      <c r="BN11">
        <v>1.25E-4</v>
      </c>
      <c r="BO11">
        <v>1.22E-4</v>
      </c>
      <c r="BP11">
        <v>1.22E-4</v>
      </c>
      <c r="BQ11">
        <v>1.22E-4</v>
      </c>
      <c r="BR11">
        <v>1.22E-4</v>
      </c>
      <c r="BS11">
        <v>1.22E-4</v>
      </c>
      <c r="BT11">
        <v>1.2E-4</v>
      </c>
      <c r="BU11">
        <v>1.2E-4</v>
      </c>
      <c r="BV11">
        <v>1.2E-4</v>
      </c>
      <c r="BW11">
        <v>1.2E-4</v>
      </c>
      <c r="BX11">
        <v>1.2E-4</v>
      </c>
      <c r="BY11">
        <v>1.3200000000000001E-4</v>
      </c>
      <c r="BZ11">
        <v>1.3200000000000001E-4</v>
      </c>
      <c r="CA11">
        <v>1.3200000000000001E-4</v>
      </c>
      <c r="CB11">
        <v>1.3200000000000001E-4</v>
      </c>
      <c r="CC11">
        <v>1.3200000000000001E-4</v>
      </c>
      <c r="CD11">
        <v>1.3200000000000001E-4</v>
      </c>
      <c r="CE11">
        <v>1.3200000000000001E-4</v>
      </c>
      <c r="CF11">
        <v>1.3200000000000001E-4</v>
      </c>
      <c r="CG11">
        <v>1.3200000000000001E-4</v>
      </c>
      <c r="CH11">
        <v>1.3200000000000001E-4</v>
      </c>
      <c r="CI11">
        <v>1.3200000000000001E-4</v>
      </c>
      <c r="CJ11">
        <v>1.3200000000000001E-4</v>
      </c>
      <c r="CK11">
        <v>1.3200000000000001E-4</v>
      </c>
      <c r="CL11">
        <v>1.3200000000000001E-4</v>
      </c>
      <c r="CM11">
        <v>1.3200000000000001E-4</v>
      </c>
      <c r="CN11">
        <v>1.3200000000000001E-4</v>
      </c>
      <c r="CO11">
        <v>1.3200000000000001E-4</v>
      </c>
      <c r="CP11">
        <v>1.3200000000000001E-4</v>
      </c>
      <c r="CQ11">
        <v>1.3200000000000001E-4</v>
      </c>
      <c r="CR11">
        <v>1.3200000000000001E-4</v>
      </c>
      <c r="CS11">
        <v>1.3200000000000001E-4</v>
      </c>
      <c r="CT11">
        <v>1.3200000000000001E-4</v>
      </c>
      <c r="CU11">
        <v>1.3200000000000001E-4</v>
      </c>
      <c r="CV11">
        <v>1.3200000000000001E-4</v>
      </c>
      <c r="CW11">
        <v>1.3200000000000001E-4</v>
      </c>
      <c r="CX11">
        <v>1.3200000000000001E-4</v>
      </c>
    </row>
    <row r="12" spans="1:102" x14ac:dyDescent="0.25">
      <c r="A12" t="s">
        <v>86</v>
      </c>
      <c r="B12" t="e">
        <v>#VALUE!</v>
      </c>
      <c r="C12" t="e">
        <v>#VALUE!</v>
      </c>
      <c r="D12" t="e">
        <v>#VALUE!</v>
      </c>
      <c r="E12" t="e">
        <v>#VALUE!</v>
      </c>
      <c r="F12" t="e">
        <v>#VALUE!</v>
      </c>
      <c r="G12" t="e">
        <v>#VALUE!</v>
      </c>
      <c r="H12" t="e">
        <v>#VALUE!</v>
      </c>
      <c r="I12" t="e">
        <v>#VALUE!</v>
      </c>
      <c r="J12" t="e">
        <v>#VALUE!</v>
      </c>
      <c r="K12" t="e">
        <v>#VALUE!</v>
      </c>
      <c r="L12" t="e">
        <v>#VALUE!</v>
      </c>
      <c r="M12" t="e">
        <v>#VALUE!</v>
      </c>
      <c r="N12" t="e">
        <v>#VALUE!</v>
      </c>
      <c r="O12" t="e">
        <v>#VALUE!</v>
      </c>
      <c r="P12" t="e">
        <v>#VALUE!</v>
      </c>
      <c r="Q12">
        <v>7.2000000000000002E-5</v>
      </c>
      <c r="R12">
        <v>7.2000000000000002E-5</v>
      </c>
      <c r="S12">
        <v>7.2000000000000002E-5</v>
      </c>
      <c r="T12">
        <v>7.2000000000000002E-5</v>
      </c>
      <c r="U12">
        <v>7.2000000000000002E-5</v>
      </c>
      <c r="V12">
        <v>7.2000000000000002E-5</v>
      </c>
      <c r="W12">
        <v>7.2000000000000002E-5</v>
      </c>
      <c r="X12">
        <v>7.2000000000000002E-5</v>
      </c>
      <c r="Y12">
        <v>7.2000000000000002E-5</v>
      </c>
      <c r="Z12">
        <v>7.2000000000000002E-5</v>
      </c>
      <c r="AA12">
        <v>7.2000000000000002E-5</v>
      </c>
      <c r="AB12">
        <v>7.2000000000000002E-5</v>
      </c>
      <c r="AC12">
        <v>7.2000000000000002E-5</v>
      </c>
      <c r="AD12">
        <v>7.2000000000000002E-5</v>
      </c>
      <c r="AE12">
        <v>7.2000000000000002E-5</v>
      </c>
      <c r="AF12">
        <v>7.2000000000000002E-5</v>
      </c>
      <c r="AG12">
        <v>7.2000000000000002E-5</v>
      </c>
      <c r="AH12">
        <v>7.2000000000000002E-5</v>
      </c>
      <c r="AI12">
        <v>7.2000000000000002E-5</v>
      </c>
      <c r="AJ12">
        <v>7.2000000000000002E-5</v>
      </c>
      <c r="AK12">
        <v>7.2000000000000002E-5</v>
      </c>
      <c r="AL12">
        <v>7.2000000000000002E-5</v>
      </c>
      <c r="AM12">
        <v>7.2000000000000002E-5</v>
      </c>
      <c r="AN12">
        <v>7.2000000000000002E-5</v>
      </c>
      <c r="AO12">
        <v>7.2000000000000002E-5</v>
      </c>
      <c r="AP12">
        <v>2.1499999999999999E-4</v>
      </c>
      <c r="AQ12">
        <v>2.1499999999999999E-4</v>
      </c>
      <c r="AR12">
        <v>2.1499999999999999E-4</v>
      </c>
      <c r="AS12">
        <v>2.1499999999999999E-4</v>
      </c>
      <c r="AT12">
        <v>2.1499999999999999E-4</v>
      </c>
      <c r="AU12">
        <v>2.32E-4</v>
      </c>
      <c r="AV12">
        <v>2.32E-4</v>
      </c>
      <c r="AW12">
        <v>2.32E-4</v>
      </c>
      <c r="AX12">
        <v>2.32E-4</v>
      </c>
      <c r="AY12">
        <v>2.32E-4</v>
      </c>
      <c r="AZ12">
        <v>2.4499999999999999E-4</v>
      </c>
      <c r="BA12">
        <v>2.4499999999999999E-4</v>
      </c>
      <c r="BB12">
        <v>2.4499999999999999E-4</v>
      </c>
      <c r="BC12">
        <v>2.4499999999999999E-4</v>
      </c>
      <c r="BD12">
        <v>2.4499999999999999E-4</v>
      </c>
      <c r="BE12">
        <v>2.52E-4</v>
      </c>
      <c r="BF12">
        <v>2.52E-4</v>
      </c>
      <c r="BG12">
        <v>2.52E-4</v>
      </c>
      <c r="BH12">
        <v>2.52E-4</v>
      </c>
      <c r="BI12">
        <v>2.52E-4</v>
      </c>
      <c r="BJ12">
        <v>2.41E-4</v>
      </c>
      <c r="BK12">
        <v>2.41E-4</v>
      </c>
      <c r="BL12">
        <v>2.41E-4</v>
      </c>
      <c r="BM12">
        <v>2.41E-4</v>
      </c>
      <c r="BN12">
        <v>2.41E-4</v>
      </c>
      <c r="BO12">
        <v>2.1599999999999999E-4</v>
      </c>
      <c r="BP12">
        <v>2.1599999999999999E-4</v>
      </c>
      <c r="BQ12">
        <v>2.1599999999999999E-4</v>
      </c>
      <c r="BR12">
        <v>2.1599999999999999E-4</v>
      </c>
      <c r="BS12">
        <v>2.1599999999999999E-4</v>
      </c>
      <c r="BT12">
        <v>1.7799999999999999E-4</v>
      </c>
      <c r="BU12">
        <v>1.7799999999999999E-4</v>
      </c>
      <c r="BV12">
        <v>1.7799999999999999E-4</v>
      </c>
      <c r="BW12">
        <v>1.7799999999999999E-4</v>
      </c>
      <c r="BX12">
        <v>1.7799999999999999E-4</v>
      </c>
      <c r="BY12">
        <v>1.27E-4</v>
      </c>
      <c r="BZ12">
        <v>1.27E-4</v>
      </c>
      <c r="CA12">
        <v>1.27E-4</v>
      </c>
      <c r="CB12">
        <v>1.27E-4</v>
      </c>
      <c r="CC12">
        <v>1.27E-4</v>
      </c>
      <c r="CD12">
        <v>1.27E-4</v>
      </c>
      <c r="CE12">
        <v>1.27E-4</v>
      </c>
      <c r="CF12">
        <v>1.27E-4</v>
      </c>
      <c r="CG12">
        <v>1.27E-4</v>
      </c>
      <c r="CH12">
        <v>1.27E-4</v>
      </c>
      <c r="CI12">
        <v>1.27E-4</v>
      </c>
      <c r="CJ12">
        <v>1.27E-4</v>
      </c>
      <c r="CK12">
        <v>1.27E-4</v>
      </c>
      <c r="CL12">
        <v>1.27E-4</v>
      </c>
      <c r="CM12">
        <v>1.27E-4</v>
      </c>
      <c r="CN12">
        <v>1.27E-4</v>
      </c>
      <c r="CO12">
        <v>1.27E-4</v>
      </c>
      <c r="CP12">
        <v>1.27E-4</v>
      </c>
      <c r="CQ12">
        <v>1.27E-4</v>
      </c>
      <c r="CR12">
        <v>1.27E-4</v>
      </c>
      <c r="CS12">
        <v>1.27E-4</v>
      </c>
      <c r="CT12">
        <v>1.27E-4</v>
      </c>
      <c r="CU12">
        <v>1.27E-4</v>
      </c>
      <c r="CV12">
        <v>1.27E-4</v>
      </c>
      <c r="CW12">
        <v>1.27E-4</v>
      </c>
      <c r="CX12">
        <v>1.27E-4</v>
      </c>
    </row>
    <row r="13" spans="1:102" x14ac:dyDescent="0.25">
      <c r="A13" t="s">
        <v>88</v>
      </c>
      <c r="B13" t="e">
        <v>#VALUE!</v>
      </c>
      <c r="C13" t="e">
        <v>#VALUE!</v>
      </c>
      <c r="D13" t="e">
        <v>#VALUE!</v>
      </c>
      <c r="E13" t="e">
        <v>#VALUE!</v>
      </c>
      <c r="F13" t="e">
        <v>#VALUE!</v>
      </c>
      <c r="G13" t="e">
        <v>#VALUE!</v>
      </c>
      <c r="H13" t="e">
        <v>#VALUE!</v>
      </c>
      <c r="I13" t="e">
        <v>#VALUE!</v>
      </c>
      <c r="J13" t="e">
        <v>#VALUE!</v>
      </c>
      <c r="K13" t="e">
        <v>#VALUE!</v>
      </c>
      <c r="L13" t="e">
        <v>#VALUE!</v>
      </c>
      <c r="M13" t="e">
        <v>#VALUE!</v>
      </c>
      <c r="N13" t="e">
        <v>#VALUE!</v>
      </c>
      <c r="O13" t="e">
        <v>#VALUE!</v>
      </c>
      <c r="P13" t="e">
        <v>#VALUE!</v>
      </c>
      <c r="Q13">
        <v>9.7999999999999997E-5</v>
      </c>
      <c r="R13">
        <v>9.7999999999999997E-5</v>
      </c>
      <c r="S13">
        <v>9.7999999999999997E-5</v>
      </c>
      <c r="T13">
        <v>9.7999999999999997E-5</v>
      </c>
      <c r="U13">
        <v>9.7999999999999997E-5</v>
      </c>
      <c r="V13">
        <v>9.7999999999999997E-5</v>
      </c>
      <c r="W13">
        <v>9.7999999999999997E-5</v>
      </c>
      <c r="X13">
        <v>9.7999999999999997E-5</v>
      </c>
      <c r="Y13">
        <v>9.7999999999999997E-5</v>
      </c>
      <c r="Z13">
        <v>9.7999999999999997E-5</v>
      </c>
      <c r="AA13">
        <v>9.7999999999999997E-5</v>
      </c>
      <c r="AB13">
        <v>9.7999999999999997E-5</v>
      </c>
      <c r="AC13">
        <v>9.7999999999999997E-5</v>
      </c>
      <c r="AD13">
        <v>9.7999999999999997E-5</v>
      </c>
      <c r="AE13">
        <v>9.7999999999999997E-5</v>
      </c>
      <c r="AF13">
        <v>9.7999999999999997E-5</v>
      </c>
      <c r="AG13">
        <v>9.7999999999999997E-5</v>
      </c>
      <c r="AH13">
        <v>9.7999999999999997E-5</v>
      </c>
      <c r="AI13">
        <v>9.7999999999999997E-5</v>
      </c>
      <c r="AJ13">
        <v>9.7999999999999997E-5</v>
      </c>
      <c r="AK13">
        <v>9.7999999999999997E-5</v>
      </c>
      <c r="AL13">
        <v>9.7999999999999997E-5</v>
      </c>
      <c r="AM13">
        <v>9.7999999999999997E-5</v>
      </c>
      <c r="AN13">
        <v>9.7999999999999997E-5</v>
      </c>
      <c r="AO13">
        <v>9.7999999999999997E-5</v>
      </c>
      <c r="AP13">
        <v>3.79E-4</v>
      </c>
      <c r="AQ13">
        <v>3.79E-4</v>
      </c>
      <c r="AR13">
        <v>3.79E-4</v>
      </c>
      <c r="AS13">
        <v>3.79E-4</v>
      </c>
      <c r="AT13">
        <v>3.79E-4</v>
      </c>
      <c r="AU13">
        <v>6.0800000000000003E-4</v>
      </c>
      <c r="AV13">
        <v>6.0800000000000003E-4</v>
      </c>
      <c r="AW13">
        <v>6.0800000000000003E-4</v>
      </c>
      <c r="AX13">
        <v>6.0800000000000003E-4</v>
      </c>
      <c r="AY13">
        <v>6.0800000000000003E-4</v>
      </c>
      <c r="AZ13">
        <v>4.9899999999999999E-4</v>
      </c>
      <c r="BA13">
        <v>4.9899999999999999E-4</v>
      </c>
      <c r="BB13">
        <v>4.9899999999999999E-4</v>
      </c>
      <c r="BC13">
        <v>4.9899999999999999E-4</v>
      </c>
      <c r="BD13">
        <v>4.9899999999999999E-4</v>
      </c>
      <c r="BE13">
        <v>5.2099999999999998E-4</v>
      </c>
      <c r="BF13">
        <v>5.2099999999999998E-4</v>
      </c>
      <c r="BG13">
        <v>5.2099999999999998E-4</v>
      </c>
      <c r="BH13">
        <v>5.2099999999999998E-4</v>
      </c>
      <c r="BI13">
        <v>5.2099999999999998E-4</v>
      </c>
      <c r="BJ13">
        <v>5.4600000000000004E-4</v>
      </c>
      <c r="BK13">
        <v>5.4600000000000004E-4</v>
      </c>
      <c r="BL13">
        <v>5.4600000000000004E-4</v>
      </c>
      <c r="BM13">
        <v>5.4600000000000004E-4</v>
      </c>
      <c r="BN13">
        <v>5.4600000000000004E-4</v>
      </c>
      <c r="BO13">
        <v>7.6900000000000004E-4</v>
      </c>
      <c r="BP13">
        <v>7.6900000000000004E-4</v>
      </c>
      <c r="BQ13">
        <v>7.6900000000000004E-4</v>
      </c>
      <c r="BR13">
        <v>7.6900000000000004E-4</v>
      </c>
      <c r="BS13">
        <v>7.6900000000000004E-4</v>
      </c>
      <c r="BT13">
        <v>4.9899999999999999E-4</v>
      </c>
      <c r="BU13">
        <v>4.9899999999999999E-4</v>
      </c>
      <c r="BV13">
        <v>4.9899999999999999E-4</v>
      </c>
      <c r="BW13">
        <v>4.9899999999999999E-4</v>
      </c>
      <c r="BX13">
        <v>4.9899999999999999E-4</v>
      </c>
      <c r="BY13">
        <v>5.1699999999999999E-4</v>
      </c>
      <c r="BZ13">
        <v>5.1699999999999999E-4</v>
      </c>
      <c r="CA13">
        <v>5.1699999999999999E-4</v>
      </c>
      <c r="CB13">
        <v>5.1699999999999999E-4</v>
      </c>
      <c r="CC13">
        <v>5.1699999999999999E-4</v>
      </c>
      <c r="CD13">
        <v>5.1699999999999999E-4</v>
      </c>
      <c r="CE13">
        <v>5.1699999999999999E-4</v>
      </c>
      <c r="CF13">
        <v>5.1699999999999999E-4</v>
      </c>
      <c r="CG13">
        <v>5.1699999999999999E-4</v>
      </c>
      <c r="CH13">
        <v>5.1699999999999999E-4</v>
      </c>
      <c r="CI13">
        <v>5.1699999999999999E-4</v>
      </c>
      <c r="CJ13">
        <v>5.1699999999999999E-4</v>
      </c>
      <c r="CK13">
        <v>5.1699999999999999E-4</v>
      </c>
      <c r="CL13">
        <v>5.1699999999999999E-4</v>
      </c>
      <c r="CM13">
        <v>5.1699999999999999E-4</v>
      </c>
      <c r="CN13">
        <v>5.1699999999999999E-4</v>
      </c>
      <c r="CO13">
        <v>5.1699999999999999E-4</v>
      </c>
      <c r="CP13">
        <v>5.1699999999999999E-4</v>
      </c>
      <c r="CQ13">
        <v>5.1699999999999999E-4</v>
      </c>
      <c r="CR13">
        <v>5.1699999999999999E-4</v>
      </c>
      <c r="CS13">
        <v>5.1699999999999999E-4</v>
      </c>
      <c r="CT13">
        <v>5.1699999999999999E-4</v>
      </c>
      <c r="CU13">
        <v>5.1699999999999999E-4</v>
      </c>
      <c r="CV13">
        <v>5.1699999999999999E-4</v>
      </c>
      <c r="CW13">
        <v>5.1699999999999999E-4</v>
      </c>
      <c r="CX13">
        <v>5.1699999999999999E-4</v>
      </c>
    </row>
    <row r="14" spans="1:102" x14ac:dyDescent="0.25">
      <c r="A14" t="s">
        <v>90</v>
      </c>
      <c r="B14" t="e">
        <v>#VALUE!</v>
      </c>
      <c r="C14" t="e">
        <v>#VALUE!</v>
      </c>
      <c r="D14" t="e">
        <v>#VALUE!</v>
      </c>
      <c r="E14" t="e">
        <v>#VALUE!</v>
      </c>
      <c r="F14" t="e">
        <v>#VALUE!</v>
      </c>
      <c r="G14" t="e">
        <v>#VALUE!</v>
      </c>
      <c r="H14" t="e">
        <v>#VALUE!</v>
      </c>
      <c r="I14" t="e">
        <v>#VALUE!</v>
      </c>
      <c r="J14" t="e">
        <v>#VALUE!</v>
      </c>
      <c r="K14" t="e">
        <v>#VALUE!</v>
      </c>
      <c r="L14" t="e">
        <v>#VALUE!</v>
      </c>
      <c r="M14" t="e">
        <v>#VALUE!</v>
      </c>
      <c r="N14" t="e">
        <v>#VALUE!</v>
      </c>
      <c r="O14" t="e">
        <v>#VALUE!</v>
      </c>
      <c r="P14" t="e">
        <v>#VALUE!</v>
      </c>
      <c r="Q14">
        <v>1.2999999999999999E-5</v>
      </c>
      <c r="R14">
        <v>1.2999999999999999E-5</v>
      </c>
      <c r="S14">
        <v>1.2999999999999999E-5</v>
      </c>
      <c r="T14">
        <v>1.2999999999999999E-5</v>
      </c>
      <c r="U14">
        <v>1.2999999999999999E-5</v>
      </c>
      <c r="V14">
        <v>1.2999999999999999E-5</v>
      </c>
      <c r="W14">
        <v>1.2999999999999999E-5</v>
      </c>
      <c r="X14">
        <v>1.2999999999999999E-5</v>
      </c>
      <c r="Y14">
        <v>1.2999999999999999E-5</v>
      </c>
      <c r="Z14">
        <v>1.2999999999999999E-5</v>
      </c>
      <c r="AA14">
        <v>1.2999999999999999E-5</v>
      </c>
      <c r="AB14">
        <v>1.2999999999999999E-5</v>
      </c>
      <c r="AC14">
        <v>1.2999999999999999E-5</v>
      </c>
      <c r="AD14">
        <v>1.2999999999999999E-5</v>
      </c>
      <c r="AE14">
        <v>1.2999999999999999E-5</v>
      </c>
      <c r="AF14">
        <v>1.2999999999999999E-5</v>
      </c>
      <c r="AG14">
        <v>1.2999999999999999E-5</v>
      </c>
      <c r="AH14">
        <v>1.2999999999999999E-5</v>
      </c>
      <c r="AI14">
        <v>1.2999999999999999E-5</v>
      </c>
      <c r="AJ14">
        <v>1.2999999999999999E-5</v>
      </c>
      <c r="AK14">
        <v>1.2999999999999999E-5</v>
      </c>
      <c r="AL14">
        <v>1.2999999999999999E-5</v>
      </c>
      <c r="AM14">
        <v>1.2999999999999999E-5</v>
      </c>
      <c r="AN14">
        <v>1.2999999999999999E-5</v>
      </c>
      <c r="AO14">
        <v>1.2999999999999999E-5</v>
      </c>
      <c r="AP14">
        <v>5.1999999999999997E-5</v>
      </c>
      <c r="AQ14">
        <v>5.1999999999999997E-5</v>
      </c>
      <c r="AR14">
        <v>5.1999999999999997E-5</v>
      </c>
      <c r="AS14">
        <v>5.1999999999999997E-5</v>
      </c>
      <c r="AT14">
        <v>5.1999999999999997E-5</v>
      </c>
      <c r="AU14">
        <v>1.21E-4</v>
      </c>
      <c r="AV14">
        <v>1.21E-4</v>
      </c>
      <c r="AW14">
        <v>1.21E-4</v>
      </c>
      <c r="AX14">
        <v>1.21E-4</v>
      </c>
      <c r="AY14">
        <v>1.21E-4</v>
      </c>
      <c r="AZ14">
        <v>1.9599999999999999E-4</v>
      </c>
      <c r="BA14">
        <v>1.9599999999999999E-4</v>
      </c>
      <c r="BB14">
        <v>1.9599999999999999E-4</v>
      </c>
      <c r="BC14">
        <v>1.9599999999999999E-4</v>
      </c>
      <c r="BD14">
        <v>1.9599999999999999E-4</v>
      </c>
      <c r="BE14">
        <v>1.2400000000000001E-4</v>
      </c>
      <c r="BF14">
        <v>1.2400000000000001E-4</v>
      </c>
      <c r="BG14">
        <v>1.2400000000000001E-4</v>
      </c>
      <c r="BH14">
        <v>1.2400000000000001E-4</v>
      </c>
      <c r="BI14">
        <v>1.2400000000000001E-4</v>
      </c>
      <c r="BJ14">
        <v>2.3000000000000001E-4</v>
      </c>
      <c r="BK14">
        <v>2.3000000000000001E-4</v>
      </c>
      <c r="BL14">
        <v>2.3000000000000001E-4</v>
      </c>
      <c r="BM14">
        <v>2.3000000000000001E-4</v>
      </c>
      <c r="BN14">
        <v>2.3000000000000001E-4</v>
      </c>
      <c r="BO14">
        <v>3.9899999999999999E-4</v>
      </c>
      <c r="BP14">
        <v>3.9899999999999999E-4</v>
      </c>
      <c r="BQ14">
        <v>3.9899999999999999E-4</v>
      </c>
      <c r="BR14">
        <v>3.9899999999999999E-4</v>
      </c>
      <c r="BS14">
        <v>3.9899999999999999E-4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4.1300000000000001E-4</v>
      </c>
      <c r="BZ14">
        <v>4.1300000000000001E-4</v>
      </c>
      <c r="CA14">
        <v>4.1300000000000001E-4</v>
      </c>
      <c r="CB14">
        <v>4.1300000000000001E-4</v>
      </c>
      <c r="CC14">
        <v>4.1300000000000001E-4</v>
      </c>
      <c r="CD14">
        <v>4.1300000000000001E-4</v>
      </c>
      <c r="CE14">
        <v>4.1300000000000001E-4</v>
      </c>
      <c r="CF14">
        <v>4.1300000000000001E-4</v>
      </c>
      <c r="CG14">
        <v>4.1300000000000001E-4</v>
      </c>
      <c r="CH14">
        <v>4.1300000000000001E-4</v>
      </c>
      <c r="CI14">
        <v>4.1300000000000001E-4</v>
      </c>
      <c r="CJ14">
        <v>4.1300000000000001E-4</v>
      </c>
      <c r="CK14">
        <v>4.1300000000000001E-4</v>
      </c>
      <c r="CL14">
        <v>4.1300000000000001E-4</v>
      </c>
      <c r="CM14">
        <v>4.1300000000000001E-4</v>
      </c>
      <c r="CN14">
        <v>4.1300000000000001E-4</v>
      </c>
      <c r="CO14">
        <v>4.1300000000000001E-4</v>
      </c>
      <c r="CP14">
        <v>4.1300000000000001E-4</v>
      </c>
      <c r="CQ14">
        <v>4.1300000000000001E-4</v>
      </c>
      <c r="CR14">
        <v>4.1300000000000001E-4</v>
      </c>
      <c r="CS14">
        <v>4.1300000000000001E-4</v>
      </c>
      <c r="CT14">
        <v>4.1300000000000001E-4</v>
      </c>
      <c r="CU14">
        <v>4.1300000000000001E-4</v>
      </c>
      <c r="CV14">
        <v>4.1300000000000001E-4</v>
      </c>
      <c r="CW14">
        <v>4.1300000000000001E-4</v>
      </c>
      <c r="CX14">
        <v>4.1300000000000001E-4</v>
      </c>
    </row>
    <row r="15" spans="1:102" x14ac:dyDescent="0.25">
      <c r="A15" t="s">
        <v>92</v>
      </c>
      <c r="B15" t="e">
        <v>#VALUE!</v>
      </c>
      <c r="C15" t="e">
        <v>#VALUE!</v>
      </c>
      <c r="D15" t="e">
        <v>#VALUE!</v>
      </c>
      <c r="E15" t="e">
        <v>#VALUE!</v>
      </c>
      <c r="F15" t="e">
        <v>#VALUE!</v>
      </c>
      <c r="G15" t="e">
        <v>#VALUE!</v>
      </c>
      <c r="H15" t="e">
        <v>#VALUE!</v>
      </c>
      <c r="I15" t="e">
        <v>#VALUE!</v>
      </c>
      <c r="J15" t="e">
        <v>#VALUE!</v>
      </c>
      <c r="K15" t="e">
        <v>#VALUE!</v>
      </c>
      <c r="L15" t="e">
        <v>#VALUE!</v>
      </c>
      <c r="M15" t="e">
        <v>#VALUE!</v>
      </c>
      <c r="N15" t="e">
        <v>#VALUE!</v>
      </c>
      <c r="O15" t="e">
        <v>#VALUE!</v>
      </c>
      <c r="P15" t="e">
        <v>#VALUE!</v>
      </c>
      <c r="Q15">
        <v>5.8E-5</v>
      </c>
      <c r="R15">
        <v>5.8E-5</v>
      </c>
      <c r="S15">
        <v>5.8E-5</v>
      </c>
      <c r="T15">
        <v>5.8E-5</v>
      </c>
      <c r="U15">
        <v>5.8E-5</v>
      </c>
      <c r="V15">
        <v>5.8E-5</v>
      </c>
      <c r="W15">
        <v>5.8E-5</v>
      </c>
      <c r="X15">
        <v>5.8E-5</v>
      </c>
      <c r="Y15">
        <v>5.8E-5</v>
      </c>
      <c r="Z15">
        <v>5.8E-5</v>
      </c>
      <c r="AA15">
        <v>5.8E-5</v>
      </c>
      <c r="AB15">
        <v>5.8E-5</v>
      </c>
      <c r="AC15">
        <v>5.8E-5</v>
      </c>
      <c r="AD15">
        <v>5.8E-5</v>
      </c>
      <c r="AE15">
        <v>5.8E-5</v>
      </c>
      <c r="AF15">
        <v>5.8E-5</v>
      </c>
      <c r="AG15">
        <v>5.8E-5</v>
      </c>
      <c r="AH15">
        <v>5.8E-5</v>
      </c>
      <c r="AI15">
        <v>5.8E-5</v>
      </c>
      <c r="AJ15">
        <v>5.8E-5</v>
      </c>
      <c r="AK15">
        <v>5.8E-5</v>
      </c>
      <c r="AL15">
        <v>5.8E-5</v>
      </c>
      <c r="AM15">
        <v>5.8E-5</v>
      </c>
      <c r="AN15">
        <v>5.8E-5</v>
      </c>
      <c r="AO15">
        <v>5.8E-5</v>
      </c>
      <c r="AP15">
        <v>3.59E-4</v>
      </c>
      <c r="AQ15">
        <v>3.59E-4</v>
      </c>
      <c r="AR15">
        <v>3.59E-4</v>
      </c>
      <c r="AS15">
        <v>3.59E-4</v>
      </c>
      <c r="AT15">
        <v>3.59E-4</v>
      </c>
      <c r="AU15">
        <v>5.4900000000000001E-4</v>
      </c>
      <c r="AV15">
        <v>5.4900000000000001E-4</v>
      </c>
      <c r="AW15">
        <v>5.4900000000000001E-4</v>
      </c>
      <c r="AX15">
        <v>5.4900000000000001E-4</v>
      </c>
      <c r="AY15">
        <v>5.4900000000000001E-4</v>
      </c>
      <c r="AZ15">
        <v>6.4300000000000002E-4</v>
      </c>
      <c r="BA15">
        <v>6.4300000000000002E-4</v>
      </c>
      <c r="BB15">
        <v>6.4300000000000002E-4</v>
      </c>
      <c r="BC15">
        <v>6.4300000000000002E-4</v>
      </c>
      <c r="BD15">
        <v>6.4300000000000002E-4</v>
      </c>
      <c r="BE15">
        <v>6.3000000000000003E-4</v>
      </c>
      <c r="BF15">
        <v>6.3000000000000003E-4</v>
      </c>
      <c r="BG15">
        <v>6.3000000000000003E-4</v>
      </c>
      <c r="BH15">
        <v>6.3000000000000003E-4</v>
      </c>
      <c r="BI15">
        <v>6.3000000000000003E-4</v>
      </c>
      <c r="BJ15">
        <v>6.2E-4</v>
      </c>
      <c r="BK15">
        <v>6.2E-4</v>
      </c>
      <c r="BL15">
        <v>6.2E-4</v>
      </c>
      <c r="BM15">
        <v>6.2E-4</v>
      </c>
      <c r="BN15">
        <v>6.2E-4</v>
      </c>
      <c r="BO15">
        <v>5.6899999999999995E-4</v>
      </c>
      <c r="BP15">
        <v>5.6899999999999995E-4</v>
      </c>
      <c r="BQ15">
        <v>5.6899999999999995E-4</v>
      </c>
      <c r="BR15">
        <v>5.6899999999999995E-4</v>
      </c>
      <c r="BS15">
        <v>5.6899999999999995E-4</v>
      </c>
      <c r="BT15">
        <v>4.8200000000000001E-4</v>
      </c>
      <c r="BU15">
        <v>4.8200000000000001E-4</v>
      </c>
      <c r="BV15">
        <v>4.8200000000000001E-4</v>
      </c>
      <c r="BW15">
        <v>4.8200000000000001E-4</v>
      </c>
      <c r="BX15">
        <v>4.8200000000000001E-4</v>
      </c>
      <c r="BY15">
        <v>3.6000000000000002E-4</v>
      </c>
      <c r="BZ15">
        <v>3.6000000000000002E-4</v>
      </c>
      <c r="CA15">
        <v>3.6000000000000002E-4</v>
      </c>
      <c r="CB15">
        <v>3.6000000000000002E-4</v>
      </c>
      <c r="CC15">
        <v>3.6000000000000002E-4</v>
      </c>
      <c r="CD15">
        <v>3.6000000000000002E-4</v>
      </c>
      <c r="CE15">
        <v>3.6000000000000002E-4</v>
      </c>
      <c r="CF15">
        <v>3.6000000000000002E-4</v>
      </c>
      <c r="CG15">
        <v>3.6000000000000002E-4</v>
      </c>
      <c r="CH15">
        <v>3.6000000000000002E-4</v>
      </c>
      <c r="CI15">
        <v>3.6000000000000002E-4</v>
      </c>
      <c r="CJ15">
        <v>3.6000000000000002E-4</v>
      </c>
      <c r="CK15">
        <v>3.6000000000000002E-4</v>
      </c>
      <c r="CL15">
        <v>3.6000000000000002E-4</v>
      </c>
      <c r="CM15">
        <v>3.6000000000000002E-4</v>
      </c>
      <c r="CN15">
        <v>3.6000000000000002E-4</v>
      </c>
      <c r="CO15">
        <v>3.6000000000000002E-4</v>
      </c>
      <c r="CP15">
        <v>3.6000000000000002E-4</v>
      </c>
      <c r="CQ15">
        <v>3.6000000000000002E-4</v>
      </c>
      <c r="CR15">
        <v>3.6000000000000002E-4</v>
      </c>
      <c r="CS15">
        <v>3.6000000000000002E-4</v>
      </c>
      <c r="CT15">
        <v>3.6000000000000002E-4</v>
      </c>
      <c r="CU15">
        <v>3.6000000000000002E-4</v>
      </c>
      <c r="CV15">
        <v>3.6000000000000002E-4</v>
      </c>
      <c r="CW15">
        <v>3.6000000000000002E-4</v>
      </c>
      <c r="CX15">
        <v>3.6000000000000002E-4</v>
      </c>
    </row>
    <row r="16" spans="1:102" x14ac:dyDescent="0.25">
      <c r="A16" t="s">
        <v>95</v>
      </c>
      <c r="B16" t="e">
        <v>#VALUE!</v>
      </c>
      <c r="C16" t="e">
        <v>#VALUE!</v>
      </c>
      <c r="D16" t="e">
        <v>#VALUE!</v>
      </c>
      <c r="E16" t="e">
        <v>#VALUE!</v>
      </c>
      <c r="F16" t="e">
        <v>#VALUE!</v>
      </c>
      <c r="G16" t="e">
        <v>#VALUE!</v>
      </c>
      <c r="H16" t="e">
        <v>#VALUE!</v>
      </c>
      <c r="I16" t="e">
        <v>#VALUE!</v>
      </c>
      <c r="J16" t="e">
        <v>#VALUE!</v>
      </c>
      <c r="K16" t="e">
        <v>#VALUE!</v>
      </c>
      <c r="L16" t="e">
        <v>#VALUE!</v>
      </c>
      <c r="M16" t="e">
        <v>#VALUE!</v>
      </c>
      <c r="N16" t="e">
        <v>#VALUE!</v>
      </c>
      <c r="O16" t="e">
        <v>#VALUE!</v>
      </c>
      <c r="P16" t="e">
        <v>#VALUE!</v>
      </c>
      <c r="Q16">
        <v>2.9599999999999998E-4</v>
      </c>
      <c r="R16">
        <v>2.9599999999999998E-4</v>
      </c>
      <c r="S16">
        <v>2.9599999999999998E-4</v>
      </c>
      <c r="T16">
        <v>2.9599999999999998E-4</v>
      </c>
      <c r="U16">
        <v>2.9599999999999998E-4</v>
      </c>
      <c r="V16">
        <v>2.9599999999999998E-4</v>
      </c>
      <c r="W16">
        <v>2.9599999999999998E-4</v>
      </c>
      <c r="X16">
        <v>2.9599999999999998E-4</v>
      </c>
      <c r="Y16">
        <v>2.9599999999999998E-4</v>
      </c>
      <c r="Z16">
        <v>2.9599999999999998E-4</v>
      </c>
      <c r="AA16">
        <v>2.9599999999999998E-4</v>
      </c>
      <c r="AB16">
        <v>2.9599999999999998E-4</v>
      </c>
      <c r="AC16">
        <v>2.9599999999999998E-4</v>
      </c>
      <c r="AD16">
        <v>2.9599999999999998E-4</v>
      </c>
      <c r="AE16">
        <v>2.9599999999999998E-4</v>
      </c>
      <c r="AF16">
        <v>2.9599999999999998E-4</v>
      </c>
      <c r="AG16">
        <v>2.9599999999999998E-4</v>
      </c>
      <c r="AH16">
        <v>2.9599999999999998E-4</v>
      </c>
      <c r="AI16">
        <v>2.9599999999999998E-4</v>
      </c>
      <c r="AJ16">
        <v>2.9599999999999998E-4</v>
      </c>
      <c r="AK16">
        <v>2.9599999999999998E-4</v>
      </c>
      <c r="AL16">
        <v>2.9599999999999998E-4</v>
      </c>
      <c r="AM16">
        <v>2.9599999999999998E-4</v>
      </c>
      <c r="AN16">
        <v>2.9599999999999998E-4</v>
      </c>
      <c r="AO16">
        <v>2.9599999999999998E-4</v>
      </c>
      <c r="AP16">
        <v>4.8999999999999998E-4</v>
      </c>
      <c r="AQ16">
        <v>4.8999999999999998E-4</v>
      </c>
      <c r="AR16">
        <v>4.8999999999999998E-4</v>
      </c>
      <c r="AS16">
        <v>4.8999999999999998E-4</v>
      </c>
      <c r="AT16">
        <v>4.8999999999999998E-4</v>
      </c>
      <c r="AU16">
        <v>6.4099999999999997E-4</v>
      </c>
      <c r="AV16">
        <v>6.4099999999999997E-4</v>
      </c>
      <c r="AW16">
        <v>6.4099999999999997E-4</v>
      </c>
      <c r="AX16">
        <v>6.4099999999999997E-4</v>
      </c>
      <c r="AY16">
        <v>6.4099999999999997E-4</v>
      </c>
      <c r="AZ16">
        <v>7.2199999999999999E-4</v>
      </c>
      <c r="BA16">
        <v>7.2199999999999999E-4</v>
      </c>
      <c r="BB16">
        <v>7.2199999999999999E-4</v>
      </c>
      <c r="BC16">
        <v>7.2199999999999999E-4</v>
      </c>
      <c r="BD16">
        <v>7.2199999999999999E-4</v>
      </c>
      <c r="BE16">
        <v>2.1100000000000001E-4</v>
      </c>
      <c r="BF16">
        <v>2.1100000000000001E-4</v>
      </c>
      <c r="BG16">
        <v>2.1100000000000001E-4</v>
      </c>
      <c r="BH16">
        <v>2.1100000000000001E-4</v>
      </c>
      <c r="BI16">
        <v>2.1100000000000001E-4</v>
      </c>
      <c r="BJ16">
        <v>2.63E-4</v>
      </c>
      <c r="BK16">
        <v>2.63E-4</v>
      </c>
      <c r="BL16">
        <v>2.63E-4</v>
      </c>
      <c r="BM16">
        <v>2.63E-4</v>
      </c>
      <c r="BN16">
        <v>2.63E-4</v>
      </c>
      <c r="BO16">
        <v>3.6200000000000002E-4</v>
      </c>
      <c r="BP16">
        <v>3.6200000000000002E-4</v>
      </c>
      <c r="BQ16">
        <v>3.6200000000000002E-4</v>
      </c>
      <c r="BR16">
        <v>3.6200000000000002E-4</v>
      </c>
      <c r="BS16">
        <v>3.6200000000000002E-4</v>
      </c>
      <c r="BT16">
        <v>2.2800000000000001E-4</v>
      </c>
      <c r="BU16">
        <v>2.2800000000000001E-4</v>
      </c>
      <c r="BV16">
        <v>2.2800000000000001E-4</v>
      </c>
      <c r="BW16">
        <v>2.2800000000000001E-4</v>
      </c>
      <c r="BX16">
        <v>2.2800000000000001E-4</v>
      </c>
      <c r="BY16">
        <v>3.2000000000000003E-4</v>
      </c>
      <c r="BZ16">
        <v>3.2000000000000003E-4</v>
      </c>
      <c r="CA16">
        <v>3.2000000000000003E-4</v>
      </c>
      <c r="CB16">
        <v>3.2000000000000003E-4</v>
      </c>
      <c r="CC16">
        <v>3.2000000000000003E-4</v>
      </c>
      <c r="CD16">
        <v>3.2000000000000003E-4</v>
      </c>
      <c r="CE16">
        <v>3.2000000000000003E-4</v>
      </c>
      <c r="CF16">
        <v>3.2000000000000003E-4</v>
      </c>
      <c r="CG16">
        <v>3.2000000000000003E-4</v>
      </c>
      <c r="CH16">
        <v>3.2000000000000003E-4</v>
      </c>
      <c r="CI16">
        <v>3.2000000000000003E-4</v>
      </c>
      <c r="CJ16">
        <v>3.2000000000000003E-4</v>
      </c>
      <c r="CK16">
        <v>3.2000000000000003E-4</v>
      </c>
      <c r="CL16">
        <v>3.2000000000000003E-4</v>
      </c>
      <c r="CM16">
        <v>3.2000000000000003E-4</v>
      </c>
      <c r="CN16">
        <v>3.2000000000000003E-4</v>
      </c>
      <c r="CO16">
        <v>3.2000000000000003E-4</v>
      </c>
      <c r="CP16">
        <v>3.2000000000000003E-4</v>
      </c>
      <c r="CQ16">
        <v>3.2000000000000003E-4</v>
      </c>
      <c r="CR16">
        <v>3.2000000000000003E-4</v>
      </c>
      <c r="CS16">
        <v>3.2000000000000003E-4</v>
      </c>
      <c r="CT16">
        <v>3.2000000000000003E-4</v>
      </c>
      <c r="CU16">
        <v>3.2000000000000003E-4</v>
      </c>
      <c r="CV16">
        <v>3.2000000000000003E-4</v>
      </c>
      <c r="CW16">
        <v>3.2000000000000003E-4</v>
      </c>
      <c r="CX16">
        <v>3.2000000000000003E-4</v>
      </c>
    </row>
    <row r="17" spans="1:102" x14ac:dyDescent="0.25">
      <c r="A17" t="s">
        <v>97</v>
      </c>
      <c r="B17" t="e">
        <v>#VALUE!</v>
      </c>
      <c r="C17" t="e">
        <v>#VALUE!</v>
      </c>
      <c r="D17" t="e">
        <v>#VALUE!</v>
      </c>
      <c r="E17" t="e">
        <v>#VALUE!</v>
      </c>
      <c r="F17" t="e">
        <v>#VALUE!</v>
      </c>
      <c r="G17" t="e">
        <v>#VALUE!</v>
      </c>
      <c r="H17" t="e">
        <v>#VALUE!</v>
      </c>
      <c r="I17" t="e">
        <v>#VALUE!</v>
      </c>
      <c r="J17" t="e">
        <v>#VALUE!</v>
      </c>
      <c r="K17" t="e">
        <v>#VALUE!</v>
      </c>
      <c r="L17" t="e">
        <v>#VALUE!</v>
      </c>
      <c r="M17" t="e">
        <v>#VALUE!</v>
      </c>
      <c r="N17" t="e">
        <v>#VALUE!</v>
      </c>
      <c r="O17" t="e">
        <v>#VALUE!</v>
      </c>
      <c r="P17" t="e">
        <v>#VALUE!</v>
      </c>
      <c r="Q17">
        <v>1.11E-4</v>
      </c>
      <c r="R17">
        <v>1.11E-4</v>
      </c>
      <c r="S17">
        <v>1.11E-4</v>
      </c>
      <c r="T17">
        <v>1.11E-4</v>
      </c>
      <c r="U17">
        <v>1.11E-4</v>
      </c>
      <c r="V17">
        <v>1.11E-4</v>
      </c>
      <c r="W17">
        <v>1.11E-4</v>
      </c>
      <c r="X17">
        <v>1.11E-4</v>
      </c>
      <c r="Y17">
        <v>1.11E-4</v>
      </c>
      <c r="Z17">
        <v>1.11E-4</v>
      </c>
      <c r="AA17">
        <v>1.11E-4</v>
      </c>
      <c r="AB17">
        <v>1.11E-4</v>
      </c>
      <c r="AC17">
        <v>1.11E-4</v>
      </c>
      <c r="AD17">
        <v>1.11E-4</v>
      </c>
      <c r="AE17">
        <v>1.11E-4</v>
      </c>
      <c r="AF17">
        <v>1.11E-4</v>
      </c>
      <c r="AG17">
        <v>1.11E-4</v>
      </c>
      <c r="AH17">
        <v>1.11E-4</v>
      </c>
      <c r="AI17">
        <v>1.11E-4</v>
      </c>
      <c r="AJ17">
        <v>1.11E-4</v>
      </c>
      <c r="AK17">
        <v>1.11E-4</v>
      </c>
      <c r="AL17">
        <v>1.11E-4</v>
      </c>
      <c r="AM17">
        <v>1.11E-4</v>
      </c>
      <c r="AN17">
        <v>1.11E-4</v>
      </c>
      <c r="AO17">
        <v>1.11E-4</v>
      </c>
      <c r="AP17">
        <v>2.7300000000000002E-4</v>
      </c>
      <c r="AQ17">
        <v>2.7300000000000002E-4</v>
      </c>
      <c r="AR17">
        <v>2.7300000000000002E-4</v>
      </c>
      <c r="AS17">
        <v>2.7300000000000002E-4</v>
      </c>
      <c r="AT17">
        <v>2.7300000000000002E-4</v>
      </c>
      <c r="AU17">
        <v>3.0200000000000002E-4</v>
      </c>
      <c r="AV17">
        <v>3.0200000000000002E-4</v>
      </c>
      <c r="AW17">
        <v>3.0200000000000002E-4</v>
      </c>
      <c r="AX17">
        <v>3.0200000000000002E-4</v>
      </c>
      <c r="AY17">
        <v>3.0200000000000002E-4</v>
      </c>
      <c r="AZ17">
        <v>3.1599999999999998E-4</v>
      </c>
      <c r="BA17">
        <v>3.1599999999999998E-4</v>
      </c>
      <c r="BB17">
        <v>3.1599999999999998E-4</v>
      </c>
      <c r="BC17">
        <v>3.1599999999999998E-4</v>
      </c>
      <c r="BD17">
        <v>3.1599999999999998E-4</v>
      </c>
      <c r="BE17">
        <v>3.0499999999999999E-4</v>
      </c>
      <c r="BF17">
        <v>3.0499999999999999E-4</v>
      </c>
      <c r="BG17">
        <v>3.0499999999999999E-4</v>
      </c>
      <c r="BH17">
        <v>3.0499999999999999E-4</v>
      </c>
      <c r="BI17">
        <v>3.0499999999999999E-4</v>
      </c>
      <c r="BJ17">
        <v>2.8600000000000001E-4</v>
      </c>
      <c r="BK17">
        <v>2.8600000000000001E-4</v>
      </c>
      <c r="BL17">
        <v>2.8600000000000001E-4</v>
      </c>
      <c r="BM17">
        <v>2.8600000000000001E-4</v>
      </c>
      <c r="BN17">
        <v>2.8600000000000001E-4</v>
      </c>
      <c r="BO17">
        <v>2.6400000000000002E-4</v>
      </c>
      <c r="BP17">
        <v>2.6400000000000002E-4</v>
      </c>
      <c r="BQ17">
        <v>2.6400000000000002E-4</v>
      </c>
      <c r="BR17">
        <v>2.6400000000000002E-4</v>
      </c>
      <c r="BS17">
        <v>2.6400000000000002E-4</v>
      </c>
      <c r="BT17">
        <v>2.4600000000000002E-4</v>
      </c>
      <c r="BU17">
        <v>2.4600000000000002E-4</v>
      </c>
      <c r="BV17">
        <v>2.4600000000000002E-4</v>
      </c>
      <c r="BW17">
        <v>2.4600000000000002E-4</v>
      </c>
      <c r="BX17">
        <v>2.4600000000000002E-4</v>
      </c>
      <c r="BY17">
        <v>2.0599999999999999E-4</v>
      </c>
      <c r="BZ17">
        <v>2.0599999999999999E-4</v>
      </c>
      <c r="CA17">
        <v>2.0599999999999999E-4</v>
      </c>
      <c r="CB17">
        <v>2.0599999999999999E-4</v>
      </c>
      <c r="CC17">
        <v>2.0599999999999999E-4</v>
      </c>
      <c r="CD17">
        <v>2.0599999999999999E-4</v>
      </c>
      <c r="CE17">
        <v>2.0599999999999999E-4</v>
      </c>
      <c r="CF17">
        <v>2.0599999999999999E-4</v>
      </c>
      <c r="CG17">
        <v>2.0599999999999999E-4</v>
      </c>
      <c r="CH17">
        <v>2.0599999999999999E-4</v>
      </c>
      <c r="CI17">
        <v>2.0599999999999999E-4</v>
      </c>
      <c r="CJ17">
        <v>2.0599999999999999E-4</v>
      </c>
      <c r="CK17">
        <v>2.0599999999999999E-4</v>
      </c>
      <c r="CL17">
        <v>2.0599999999999999E-4</v>
      </c>
      <c r="CM17">
        <v>2.0599999999999999E-4</v>
      </c>
      <c r="CN17">
        <v>2.0599999999999999E-4</v>
      </c>
      <c r="CO17">
        <v>2.0599999999999999E-4</v>
      </c>
      <c r="CP17">
        <v>2.0599999999999999E-4</v>
      </c>
      <c r="CQ17">
        <v>2.0599999999999999E-4</v>
      </c>
      <c r="CR17">
        <v>2.0599999999999999E-4</v>
      </c>
      <c r="CS17">
        <v>2.0599999999999999E-4</v>
      </c>
      <c r="CT17">
        <v>2.0599999999999999E-4</v>
      </c>
      <c r="CU17">
        <v>2.0599999999999999E-4</v>
      </c>
      <c r="CV17">
        <v>2.0599999999999999E-4</v>
      </c>
      <c r="CW17">
        <v>2.0599999999999999E-4</v>
      </c>
      <c r="CX17">
        <v>2.0599999999999999E-4</v>
      </c>
    </row>
    <row r="18" spans="1:102" x14ac:dyDescent="0.25">
      <c r="A18" t="s">
        <v>99</v>
      </c>
      <c r="B18" t="e">
        <v>#VALUE!</v>
      </c>
      <c r="C18" t="e">
        <v>#VALUE!</v>
      </c>
      <c r="D18" t="e">
        <v>#VALUE!</v>
      </c>
      <c r="E18" t="e">
        <v>#VALUE!</v>
      </c>
      <c r="F18" t="e">
        <v>#VALUE!</v>
      </c>
      <c r="G18" t="e">
        <v>#VALUE!</v>
      </c>
      <c r="H18" t="e">
        <v>#VALUE!</v>
      </c>
      <c r="I18" t="e">
        <v>#VALUE!</v>
      </c>
      <c r="J18" t="e">
        <v>#VALUE!</v>
      </c>
      <c r="K18" t="e">
        <v>#VALUE!</v>
      </c>
      <c r="L18" t="e">
        <v>#VALUE!</v>
      </c>
      <c r="M18" t="e">
        <v>#VALUE!</v>
      </c>
      <c r="N18" t="e">
        <v>#VALUE!</v>
      </c>
      <c r="O18" t="e">
        <v>#VALUE!</v>
      </c>
      <c r="P18" t="e">
        <v>#VALUE!</v>
      </c>
      <c r="Q18">
        <v>8.0000000000000007E-5</v>
      </c>
      <c r="R18">
        <v>8.0000000000000007E-5</v>
      </c>
      <c r="S18">
        <v>8.0000000000000007E-5</v>
      </c>
      <c r="T18">
        <v>8.0000000000000007E-5</v>
      </c>
      <c r="U18">
        <v>8.0000000000000007E-5</v>
      </c>
      <c r="V18">
        <v>8.0000000000000007E-5</v>
      </c>
      <c r="W18">
        <v>8.0000000000000007E-5</v>
      </c>
      <c r="X18">
        <v>8.0000000000000007E-5</v>
      </c>
      <c r="Y18">
        <v>8.0000000000000007E-5</v>
      </c>
      <c r="Z18">
        <v>8.0000000000000007E-5</v>
      </c>
      <c r="AA18">
        <v>8.0000000000000007E-5</v>
      </c>
      <c r="AB18">
        <v>8.0000000000000007E-5</v>
      </c>
      <c r="AC18">
        <v>8.0000000000000007E-5</v>
      </c>
      <c r="AD18">
        <v>8.0000000000000007E-5</v>
      </c>
      <c r="AE18">
        <v>8.0000000000000007E-5</v>
      </c>
      <c r="AF18">
        <v>8.0000000000000007E-5</v>
      </c>
      <c r="AG18">
        <v>8.0000000000000007E-5</v>
      </c>
      <c r="AH18">
        <v>8.0000000000000007E-5</v>
      </c>
      <c r="AI18">
        <v>8.0000000000000007E-5</v>
      </c>
      <c r="AJ18">
        <v>8.0000000000000007E-5</v>
      </c>
      <c r="AK18">
        <v>8.0000000000000007E-5</v>
      </c>
      <c r="AL18">
        <v>8.0000000000000007E-5</v>
      </c>
      <c r="AM18">
        <v>8.0000000000000007E-5</v>
      </c>
      <c r="AN18">
        <v>8.0000000000000007E-5</v>
      </c>
      <c r="AO18">
        <v>8.0000000000000007E-5</v>
      </c>
      <c r="AP18">
        <v>1.9699999999999999E-4</v>
      </c>
      <c r="AQ18">
        <v>1.9699999999999999E-4</v>
      </c>
      <c r="AR18">
        <v>1.9699999999999999E-4</v>
      </c>
      <c r="AS18">
        <v>1.9699999999999999E-4</v>
      </c>
      <c r="AT18">
        <v>1.9699999999999999E-4</v>
      </c>
      <c r="AU18">
        <v>2.02E-4</v>
      </c>
      <c r="AV18">
        <v>2.02E-4</v>
      </c>
      <c r="AW18">
        <v>2.02E-4</v>
      </c>
      <c r="AX18">
        <v>2.02E-4</v>
      </c>
      <c r="AY18">
        <v>2.02E-4</v>
      </c>
      <c r="AZ18">
        <v>1.8000000000000001E-4</v>
      </c>
      <c r="BA18">
        <v>1.8000000000000001E-4</v>
      </c>
      <c r="BB18">
        <v>1.8000000000000001E-4</v>
      </c>
      <c r="BC18">
        <v>1.8000000000000001E-4</v>
      </c>
      <c r="BD18">
        <v>1.8000000000000001E-4</v>
      </c>
      <c r="BE18">
        <v>1.65E-4</v>
      </c>
      <c r="BF18">
        <v>1.65E-4</v>
      </c>
      <c r="BG18">
        <v>1.65E-4</v>
      </c>
      <c r="BH18">
        <v>1.65E-4</v>
      </c>
      <c r="BI18">
        <v>1.65E-4</v>
      </c>
      <c r="BJ18">
        <v>1.56E-4</v>
      </c>
      <c r="BK18">
        <v>1.56E-4</v>
      </c>
      <c r="BL18">
        <v>1.56E-4</v>
      </c>
      <c r="BM18">
        <v>1.56E-4</v>
      </c>
      <c r="BN18">
        <v>1.56E-4</v>
      </c>
      <c r="BO18">
        <v>1.5699999999999999E-4</v>
      </c>
      <c r="BP18">
        <v>1.5699999999999999E-4</v>
      </c>
      <c r="BQ18">
        <v>1.5699999999999999E-4</v>
      </c>
      <c r="BR18">
        <v>1.5699999999999999E-4</v>
      </c>
      <c r="BS18">
        <v>1.5699999999999999E-4</v>
      </c>
      <c r="BT18">
        <v>1.5799999999999999E-4</v>
      </c>
      <c r="BU18">
        <v>1.5799999999999999E-4</v>
      </c>
      <c r="BV18">
        <v>1.5799999999999999E-4</v>
      </c>
      <c r="BW18">
        <v>1.5799999999999999E-4</v>
      </c>
      <c r="BX18">
        <v>1.5799999999999999E-4</v>
      </c>
      <c r="BY18">
        <v>1.5300000000000001E-4</v>
      </c>
      <c r="BZ18">
        <v>1.5300000000000001E-4</v>
      </c>
      <c r="CA18">
        <v>1.5300000000000001E-4</v>
      </c>
      <c r="CB18">
        <v>1.5300000000000001E-4</v>
      </c>
      <c r="CC18">
        <v>1.5300000000000001E-4</v>
      </c>
      <c r="CD18">
        <v>1.5300000000000001E-4</v>
      </c>
      <c r="CE18">
        <v>1.5300000000000001E-4</v>
      </c>
      <c r="CF18">
        <v>1.5300000000000001E-4</v>
      </c>
      <c r="CG18">
        <v>1.5300000000000001E-4</v>
      </c>
      <c r="CH18">
        <v>1.5300000000000001E-4</v>
      </c>
      <c r="CI18">
        <v>1.5300000000000001E-4</v>
      </c>
      <c r="CJ18">
        <v>1.5300000000000001E-4</v>
      </c>
      <c r="CK18">
        <v>1.5300000000000001E-4</v>
      </c>
      <c r="CL18">
        <v>1.5300000000000001E-4</v>
      </c>
      <c r="CM18">
        <v>1.5300000000000001E-4</v>
      </c>
      <c r="CN18">
        <v>1.5300000000000001E-4</v>
      </c>
      <c r="CO18">
        <v>1.5300000000000001E-4</v>
      </c>
      <c r="CP18">
        <v>1.5300000000000001E-4</v>
      </c>
      <c r="CQ18">
        <v>1.5300000000000001E-4</v>
      </c>
      <c r="CR18">
        <v>1.5300000000000001E-4</v>
      </c>
      <c r="CS18">
        <v>1.5300000000000001E-4</v>
      </c>
      <c r="CT18">
        <v>1.5300000000000001E-4</v>
      </c>
      <c r="CU18">
        <v>1.5300000000000001E-4</v>
      </c>
      <c r="CV18">
        <v>1.5300000000000001E-4</v>
      </c>
      <c r="CW18">
        <v>1.5300000000000001E-4</v>
      </c>
      <c r="CX18">
        <v>1.5300000000000001E-4</v>
      </c>
    </row>
    <row r="19" spans="1:102" x14ac:dyDescent="0.25">
      <c r="A19" t="s">
        <v>101</v>
      </c>
      <c r="B19" t="e">
        <v>#VALUE!</v>
      </c>
      <c r="C19" t="e">
        <v>#VALUE!</v>
      </c>
      <c r="D19" t="e">
        <v>#VALUE!</v>
      </c>
      <c r="E19" t="e">
        <v>#VALUE!</v>
      </c>
      <c r="F19" t="e">
        <v>#VALUE!</v>
      </c>
      <c r="G19" t="e">
        <v>#VALUE!</v>
      </c>
      <c r="H19" t="e">
        <v>#VALUE!</v>
      </c>
      <c r="I19" t="e">
        <v>#VALUE!</v>
      </c>
      <c r="J19" t="e">
        <v>#VALUE!</v>
      </c>
      <c r="K19" t="e">
        <v>#VALUE!</v>
      </c>
      <c r="L19" t="e">
        <v>#VALUE!</v>
      </c>
      <c r="M19" t="e">
        <v>#VALUE!</v>
      </c>
      <c r="N19" t="e">
        <v>#VALUE!</v>
      </c>
      <c r="O19" t="e">
        <v>#VALUE!</v>
      </c>
      <c r="P19" t="e">
        <v>#VALUE!</v>
      </c>
      <c r="Q19">
        <v>1.9599999999999999E-4</v>
      </c>
      <c r="R19">
        <v>1.9599999999999999E-4</v>
      </c>
      <c r="S19">
        <v>1.9599999999999999E-4</v>
      </c>
      <c r="T19">
        <v>1.9599999999999999E-4</v>
      </c>
      <c r="U19">
        <v>1.9599999999999999E-4</v>
      </c>
      <c r="V19">
        <v>1.9599999999999999E-4</v>
      </c>
      <c r="W19">
        <v>1.9599999999999999E-4</v>
      </c>
      <c r="X19">
        <v>1.9599999999999999E-4</v>
      </c>
      <c r="Y19">
        <v>1.9599999999999999E-4</v>
      </c>
      <c r="Z19">
        <v>1.9599999999999999E-4</v>
      </c>
      <c r="AA19">
        <v>1.9599999999999999E-4</v>
      </c>
      <c r="AB19">
        <v>1.9599999999999999E-4</v>
      </c>
      <c r="AC19">
        <v>1.9599999999999999E-4</v>
      </c>
      <c r="AD19">
        <v>1.9599999999999999E-4</v>
      </c>
      <c r="AE19">
        <v>1.9599999999999999E-4</v>
      </c>
      <c r="AF19">
        <v>1.9599999999999999E-4</v>
      </c>
      <c r="AG19">
        <v>1.9599999999999999E-4</v>
      </c>
      <c r="AH19">
        <v>1.9599999999999999E-4</v>
      </c>
      <c r="AI19">
        <v>1.9599999999999999E-4</v>
      </c>
      <c r="AJ19">
        <v>1.9599999999999999E-4</v>
      </c>
      <c r="AK19">
        <v>1.9599999999999999E-4</v>
      </c>
      <c r="AL19">
        <v>1.9599999999999999E-4</v>
      </c>
      <c r="AM19">
        <v>1.9599999999999999E-4</v>
      </c>
      <c r="AN19">
        <v>1.9599999999999999E-4</v>
      </c>
      <c r="AO19">
        <v>1.9599999999999999E-4</v>
      </c>
      <c r="AP19">
        <v>8.9300000000000002E-4</v>
      </c>
      <c r="AQ19">
        <v>8.9300000000000002E-4</v>
      </c>
      <c r="AR19">
        <v>8.9300000000000002E-4</v>
      </c>
      <c r="AS19">
        <v>8.9300000000000002E-4</v>
      </c>
      <c r="AT19">
        <v>8.9300000000000002E-4</v>
      </c>
      <c r="AU19">
        <v>7.5100000000000004E-4</v>
      </c>
      <c r="AV19">
        <v>7.5100000000000004E-4</v>
      </c>
      <c r="AW19">
        <v>7.5100000000000004E-4</v>
      </c>
      <c r="AX19">
        <v>7.5100000000000004E-4</v>
      </c>
      <c r="AY19">
        <v>7.5100000000000004E-4</v>
      </c>
      <c r="AZ19" t="e">
        <v>#VALUE!</v>
      </c>
      <c r="BA19" t="e">
        <v>#VALUE!</v>
      </c>
      <c r="BB19" t="e">
        <v>#VALUE!</v>
      </c>
      <c r="BC19" t="e">
        <v>#VALUE!</v>
      </c>
      <c r="BD19" t="e">
        <v>#VALUE!</v>
      </c>
      <c r="BE19">
        <v>9.2000000000000003E-4</v>
      </c>
      <c r="BF19">
        <v>9.2000000000000003E-4</v>
      </c>
      <c r="BG19">
        <v>9.2000000000000003E-4</v>
      </c>
      <c r="BH19">
        <v>9.2000000000000003E-4</v>
      </c>
      <c r="BI19">
        <v>9.2000000000000003E-4</v>
      </c>
      <c r="BJ19">
        <v>1.663E-3</v>
      </c>
      <c r="BK19">
        <v>1.663E-3</v>
      </c>
      <c r="BL19">
        <v>1.663E-3</v>
      </c>
      <c r="BM19">
        <v>1.663E-3</v>
      </c>
      <c r="BN19">
        <v>1.663E-3</v>
      </c>
      <c r="BO19">
        <v>4.8000000000000001E-4</v>
      </c>
      <c r="BP19">
        <v>4.8000000000000001E-4</v>
      </c>
      <c r="BQ19">
        <v>4.8000000000000001E-4</v>
      </c>
      <c r="BR19">
        <v>4.8000000000000001E-4</v>
      </c>
      <c r="BS19">
        <v>4.8000000000000001E-4</v>
      </c>
      <c r="BT19">
        <v>5.8900000000000001E-4</v>
      </c>
      <c r="BU19">
        <v>5.8900000000000001E-4</v>
      </c>
      <c r="BV19">
        <v>5.8900000000000001E-4</v>
      </c>
      <c r="BW19">
        <v>5.8900000000000001E-4</v>
      </c>
      <c r="BX19">
        <v>5.8900000000000001E-4</v>
      </c>
      <c r="BY19">
        <v>1.2960000000000001E-3</v>
      </c>
      <c r="BZ19">
        <v>1.2960000000000001E-3</v>
      </c>
      <c r="CA19">
        <v>1.2960000000000001E-3</v>
      </c>
      <c r="CB19">
        <v>1.2960000000000001E-3</v>
      </c>
      <c r="CC19">
        <v>1.2960000000000001E-3</v>
      </c>
      <c r="CD19">
        <v>1.2960000000000001E-3</v>
      </c>
      <c r="CE19">
        <v>1.2960000000000001E-3</v>
      </c>
      <c r="CF19">
        <v>1.2960000000000001E-3</v>
      </c>
      <c r="CG19">
        <v>1.2960000000000001E-3</v>
      </c>
      <c r="CH19">
        <v>1.2960000000000001E-3</v>
      </c>
      <c r="CI19">
        <v>1.2960000000000001E-3</v>
      </c>
      <c r="CJ19">
        <v>1.2960000000000001E-3</v>
      </c>
      <c r="CK19">
        <v>1.2960000000000001E-3</v>
      </c>
      <c r="CL19">
        <v>1.2960000000000001E-3</v>
      </c>
      <c r="CM19">
        <v>1.2960000000000001E-3</v>
      </c>
      <c r="CN19">
        <v>1.2960000000000001E-3</v>
      </c>
      <c r="CO19">
        <v>1.2960000000000001E-3</v>
      </c>
      <c r="CP19">
        <v>1.2960000000000001E-3</v>
      </c>
      <c r="CQ19">
        <v>1.2960000000000001E-3</v>
      </c>
      <c r="CR19">
        <v>1.2960000000000001E-3</v>
      </c>
      <c r="CS19">
        <v>1.2960000000000001E-3</v>
      </c>
      <c r="CT19">
        <v>1.2960000000000001E-3</v>
      </c>
      <c r="CU19">
        <v>1.2960000000000001E-3</v>
      </c>
      <c r="CV19">
        <v>1.2960000000000001E-3</v>
      </c>
      <c r="CW19">
        <v>1.2960000000000001E-3</v>
      </c>
      <c r="CX19">
        <v>1.2960000000000001E-3</v>
      </c>
    </row>
    <row r="20" spans="1:102" x14ac:dyDescent="0.25">
      <c r="A20" t="s">
        <v>103</v>
      </c>
      <c r="B20" t="e">
        <v>#VALUE!</v>
      </c>
      <c r="C20" t="e">
        <v>#VALUE!</v>
      </c>
      <c r="D20" t="e">
        <v>#VALUE!</v>
      </c>
      <c r="E20" t="e">
        <v>#VALUE!</v>
      </c>
      <c r="F20" t="e">
        <v>#VALUE!</v>
      </c>
      <c r="G20" t="e">
        <v>#VALUE!</v>
      </c>
      <c r="H20" t="e">
        <v>#VALUE!</v>
      </c>
      <c r="I20" t="e">
        <v>#VALUE!</v>
      </c>
      <c r="J20" t="e">
        <v>#VALUE!</v>
      </c>
      <c r="K20" t="e">
        <v>#VALUE!</v>
      </c>
      <c r="L20" t="e">
        <v>#VALUE!</v>
      </c>
      <c r="M20" t="e">
        <v>#VALUE!</v>
      </c>
      <c r="N20" t="e">
        <v>#VALUE!</v>
      </c>
      <c r="O20" t="e">
        <v>#VALUE!</v>
      </c>
      <c r="P20" t="e">
        <v>#VALUE!</v>
      </c>
      <c r="Q20">
        <v>7.3999999999999996E-5</v>
      </c>
      <c r="R20">
        <v>7.3999999999999996E-5</v>
      </c>
      <c r="S20">
        <v>7.3999999999999996E-5</v>
      </c>
      <c r="T20">
        <v>7.3999999999999996E-5</v>
      </c>
      <c r="U20">
        <v>7.3999999999999996E-5</v>
      </c>
      <c r="V20">
        <v>7.3999999999999996E-5</v>
      </c>
      <c r="W20">
        <v>7.3999999999999996E-5</v>
      </c>
      <c r="X20">
        <v>7.3999999999999996E-5</v>
      </c>
      <c r="Y20">
        <v>7.3999999999999996E-5</v>
      </c>
      <c r="Z20">
        <v>7.3999999999999996E-5</v>
      </c>
      <c r="AA20">
        <v>7.3999999999999996E-5</v>
      </c>
      <c r="AB20">
        <v>7.3999999999999996E-5</v>
      </c>
      <c r="AC20">
        <v>7.3999999999999996E-5</v>
      </c>
      <c r="AD20">
        <v>7.3999999999999996E-5</v>
      </c>
      <c r="AE20">
        <v>7.3999999999999996E-5</v>
      </c>
      <c r="AF20">
        <v>7.3999999999999996E-5</v>
      </c>
      <c r="AG20">
        <v>7.3999999999999996E-5</v>
      </c>
      <c r="AH20">
        <v>7.3999999999999996E-5</v>
      </c>
      <c r="AI20">
        <v>7.3999999999999996E-5</v>
      </c>
      <c r="AJ20">
        <v>7.3999999999999996E-5</v>
      </c>
      <c r="AK20">
        <v>7.3999999999999996E-5</v>
      </c>
      <c r="AL20">
        <v>7.3999999999999996E-5</v>
      </c>
      <c r="AM20">
        <v>7.3999999999999996E-5</v>
      </c>
      <c r="AN20">
        <v>7.3999999999999996E-5</v>
      </c>
      <c r="AO20">
        <v>7.3999999999999996E-5</v>
      </c>
      <c r="AP20">
        <v>3.7399999999999998E-4</v>
      </c>
      <c r="AQ20">
        <v>3.7399999999999998E-4</v>
      </c>
      <c r="AR20">
        <v>3.7399999999999998E-4</v>
      </c>
      <c r="AS20">
        <v>3.7399999999999998E-4</v>
      </c>
      <c r="AT20">
        <v>3.7399999999999998E-4</v>
      </c>
      <c r="AU20">
        <v>4.8200000000000001E-4</v>
      </c>
      <c r="AV20">
        <v>4.8200000000000001E-4</v>
      </c>
      <c r="AW20">
        <v>4.8200000000000001E-4</v>
      </c>
      <c r="AX20">
        <v>4.8200000000000001E-4</v>
      </c>
      <c r="AY20">
        <v>4.8200000000000001E-4</v>
      </c>
      <c r="AZ20">
        <v>5.9999999999999995E-4</v>
      </c>
      <c r="BA20">
        <v>5.9999999999999995E-4</v>
      </c>
      <c r="BB20">
        <v>5.9999999999999995E-4</v>
      </c>
      <c r="BC20">
        <v>5.9999999999999995E-4</v>
      </c>
      <c r="BD20">
        <v>5.9999999999999995E-4</v>
      </c>
      <c r="BE20">
        <v>7.4700000000000005E-4</v>
      </c>
      <c r="BF20">
        <v>7.4700000000000005E-4</v>
      </c>
      <c r="BG20">
        <v>7.4700000000000005E-4</v>
      </c>
      <c r="BH20">
        <v>7.4700000000000005E-4</v>
      </c>
      <c r="BI20">
        <v>7.4700000000000005E-4</v>
      </c>
      <c r="BJ20">
        <v>8.4400000000000002E-4</v>
      </c>
      <c r="BK20">
        <v>8.4400000000000002E-4</v>
      </c>
      <c r="BL20">
        <v>8.4400000000000002E-4</v>
      </c>
      <c r="BM20">
        <v>8.4400000000000002E-4</v>
      </c>
      <c r="BN20">
        <v>8.4400000000000002E-4</v>
      </c>
      <c r="BO20">
        <v>1.0989999999999999E-3</v>
      </c>
      <c r="BP20">
        <v>1.0989999999999999E-3</v>
      </c>
      <c r="BQ20">
        <v>1.0989999999999999E-3</v>
      </c>
      <c r="BR20">
        <v>1.0989999999999999E-3</v>
      </c>
      <c r="BS20">
        <v>1.0989999999999999E-3</v>
      </c>
      <c r="BT20">
        <v>1.4970000000000001E-3</v>
      </c>
      <c r="BU20">
        <v>1.4970000000000001E-3</v>
      </c>
      <c r="BV20">
        <v>1.4970000000000001E-3</v>
      </c>
      <c r="BW20">
        <v>1.4970000000000001E-3</v>
      </c>
      <c r="BX20">
        <v>1.4970000000000001E-3</v>
      </c>
      <c r="BY20">
        <v>2.0249999999999999E-3</v>
      </c>
      <c r="BZ20">
        <v>2.0249999999999999E-3</v>
      </c>
      <c r="CA20">
        <v>2.0249999999999999E-3</v>
      </c>
      <c r="CB20">
        <v>2.0249999999999999E-3</v>
      </c>
      <c r="CC20">
        <v>2.0249999999999999E-3</v>
      </c>
      <c r="CD20">
        <v>2.0249999999999999E-3</v>
      </c>
      <c r="CE20">
        <v>2.0249999999999999E-3</v>
      </c>
      <c r="CF20">
        <v>2.0249999999999999E-3</v>
      </c>
      <c r="CG20">
        <v>2.0249999999999999E-3</v>
      </c>
      <c r="CH20">
        <v>2.0249999999999999E-3</v>
      </c>
      <c r="CI20">
        <v>2.0249999999999999E-3</v>
      </c>
      <c r="CJ20">
        <v>2.0249999999999999E-3</v>
      </c>
      <c r="CK20">
        <v>2.0249999999999999E-3</v>
      </c>
      <c r="CL20">
        <v>2.0249999999999999E-3</v>
      </c>
      <c r="CM20">
        <v>2.0249999999999999E-3</v>
      </c>
      <c r="CN20">
        <v>2.0249999999999999E-3</v>
      </c>
      <c r="CO20">
        <v>2.0249999999999999E-3</v>
      </c>
      <c r="CP20">
        <v>2.0249999999999999E-3</v>
      </c>
      <c r="CQ20">
        <v>2.0249999999999999E-3</v>
      </c>
      <c r="CR20">
        <v>2.0249999999999999E-3</v>
      </c>
      <c r="CS20">
        <v>2.0249999999999999E-3</v>
      </c>
      <c r="CT20">
        <v>2.0249999999999999E-3</v>
      </c>
      <c r="CU20">
        <v>2.0249999999999999E-3</v>
      </c>
      <c r="CV20">
        <v>2.0249999999999999E-3</v>
      </c>
      <c r="CW20">
        <v>2.0249999999999999E-3</v>
      </c>
      <c r="CX20">
        <v>2.0249999999999999E-3</v>
      </c>
    </row>
    <row r="21" spans="1:102" x14ac:dyDescent="0.25">
      <c r="A21" t="s">
        <v>105</v>
      </c>
      <c r="B21" t="e">
        <v>#VALUE!</v>
      </c>
      <c r="C21" t="e">
        <v>#VALUE!</v>
      </c>
      <c r="D21" t="e">
        <v>#VALUE!</v>
      </c>
      <c r="E21" t="e">
        <v>#VALUE!</v>
      </c>
      <c r="F21" t="e">
        <v>#VALUE!</v>
      </c>
      <c r="G21" t="e">
        <v>#VALUE!</v>
      </c>
      <c r="H21" t="e">
        <v>#VALUE!</v>
      </c>
      <c r="I21" t="e">
        <v>#VALUE!</v>
      </c>
      <c r="J21" t="e">
        <v>#VALUE!</v>
      </c>
      <c r="K21" t="e">
        <v>#VALUE!</v>
      </c>
      <c r="L21" t="e">
        <v>#VALUE!</v>
      </c>
      <c r="M21" t="e">
        <v>#VALUE!</v>
      </c>
      <c r="N21" t="e">
        <v>#VALUE!</v>
      </c>
      <c r="O21" t="e">
        <v>#VALUE!</v>
      </c>
      <c r="P21" t="e">
        <v>#VALUE!</v>
      </c>
      <c r="Q21">
        <v>4.8999999999999998E-5</v>
      </c>
      <c r="R21">
        <v>4.8999999999999998E-5</v>
      </c>
      <c r="S21">
        <v>4.8999999999999998E-5</v>
      </c>
      <c r="T21">
        <v>4.8999999999999998E-5</v>
      </c>
      <c r="U21">
        <v>4.8999999999999998E-5</v>
      </c>
      <c r="V21">
        <v>4.8999999999999998E-5</v>
      </c>
      <c r="W21">
        <v>4.8999999999999998E-5</v>
      </c>
      <c r="X21">
        <v>4.8999999999999998E-5</v>
      </c>
      <c r="Y21">
        <v>4.8999999999999998E-5</v>
      </c>
      <c r="Z21">
        <v>4.8999999999999998E-5</v>
      </c>
      <c r="AA21">
        <v>4.8999999999999998E-5</v>
      </c>
      <c r="AB21">
        <v>4.8999999999999998E-5</v>
      </c>
      <c r="AC21">
        <v>4.8999999999999998E-5</v>
      </c>
      <c r="AD21">
        <v>4.8999999999999998E-5</v>
      </c>
      <c r="AE21">
        <v>4.8999999999999998E-5</v>
      </c>
      <c r="AF21">
        <v>4.8999999999999998E-5</v>
      </c>
      <c r="AG21">
        <v>4.8999999999999998E-5</v>
      </c>
      <c r="AH21">
        <v>4.8999999999999998E-5</v>
      </c>
      <c r="AI21">
        <v>4.8999999999999998E-5</v>
      </c>
      <c r="AJ21">
        <v>4.8999999999999998E-5</v>
      </c>
      <c r="AK21">
        <v>4.8999999999999998E-5</v>
      </c>
      <c r="AL21">
        <v>4.8999999999999998E-5</v>
      </c>
      <c r="AM21">
        <v>4.8999999999999998E-5</v>
      </c>
      <c r="AN21">
        <v>4.8999999999999998E-5</v>
      </c>
      <c r="AO21">
        <v>4.8999999999999998E-5</v>
      </c>
      <c r="AP21">
        <v>2.63E-4</v>
      </c>
      <c r="AQ21">
        <v>2.63E-4</v>
      </c>
      <c r="AR21">
        <v>2.63E-4</v>
      </c>
      <c r="AS21">
        <v>2.63E-4</v>
      </c>
      <c r="AT21">
        <v>2.63E-4</v>
      </c>
      <c r="AU21">
        <v>3.8699999999999997E-4</v>
      </c>
      <c r="AV21">
        <v>3.8699999999999997E-4</v>
      </c>
      <c r="AW21">
        <v>3.8699999999999997E-4</v>
      </c>
      <c r="AX21">
        <v>3.8699999999999997E-4</v>
      </c>
      <c r="AY21">
        <v>3.8699999999999997E-4</v>
      </c>
      <c r="AZ21">
        <v>4.4700000000000002E-4</v>
      </c>
      <c r="BA21">
        <v>4.4700000000000002E-4</v>
      </c>
      <c r="BB21">
        <v>4.4700000000000002E-4</v>
      </c>
      <c r="BC21">
        <v>4.4700000000000002E-4</v>
      </c>
      <c r="BD21">
        <v>4.4700000000000002E-4</v>
      </c>
      <c r="BE21">
        <v>4.4299999999999998E-4</v>
      </c>
      <c r="BF21">
        <v>4.4299999999999998E-4</v>
      </c>
      <c r="BG21">
        <v>4.4299999999999998E-4</v>
      </c>
      <c r="BH21">
        <v>4.4299999999999998E-4</v>
      </c>
      <c r="BI21">
        <v>4.4299999999999998E-4</v>
      </c>
      <c r="BJ21">
        <v>3.6699999999999998E-4</v>
      </c>
      <c r="BK21">
        <v>3.6699999999999998E-4</v>
      </c>
      <c r="BL21">
        <v>3.6699999999999998E-4</v>
      </c>
      <c r="BM21">
        <v>3.6699999999999998E-4</v>
      </c>
      <c r="BN21">
        <v>3.6699999999999998E-4</v>
      </c>
      <c r="BO21">
        <v>3.1399999999999999E-4</v>
      </c>
      <c r="BP21">
        <v>3.1399999999999999E-4</v>
      </c>
      <c r="BQ21">
        <v>3.1399999999999999E-4</v>
      </c>
      <c r="BR21">
        <v>3.1399999999999999E-4</v>
      </c>
      <c r="BS21">
        <v>3.1399999999999999E-4</v>
      </c>
      <c r="BT21">
        <v>1.9799999999999999E-4</v>
      </c>
      <c r="BU21">
        <v>1.9799999999999999E-4</v>
      </c>
      <c r="BV21">
        <v>1.9799999999999999E-4</v>
      </c>
      <c r="BW21">
        <v>1.9799999999999999E-4</v>
      </c>
      <c r="BX21">
        <v>1.9799999999999999E-4</v>
      </c>
      <c r="BY21">
        <v>1.5100000000000001E-4</v>
      </c>
      <c r="BZ21">
        <v>1.5100000000000001E-4</v>
      </c>
      <c r="CA21">
        <v>1.5100000000000001E-4</v>
      </c>
      <c r="CB21">
        <v>1.5100000000000001E-4</v>
      </c>
      <c r="CC21">
        <v>1.5100000000000001E-4</v>
      </c>
      <c r="CD21">
        <v>1.5100000000000001E-4</v>
      </c>
      <c r="CE21">
        <v>1.5100000000000001E-4</v>
      </c>
      <c r="CF21">
        <v>1.5100000000000001E-4</v>
      </c>
      <c r="CG21">
        <v>1.5100000000000001E-4</v>
      </c>
      <c r="CH21">
        <v>1.5100000000000001E-4</v>
      </c>
      <c r="CI21">
        <v>1.5100000000000001E-4</v>
      </c>
      <c r="CJ21">
        <v>1.5100000000000001E-4</v>
      </c>
      <c r="CK21">
        <v>1.5100000000000001E-4</v>
      </c>
      <c r="CL21">
        <v>1.5100000000000001E-4</v>
      </c>
      <c r="CM21">
        <v>1.5100000000000001E-4</v>
      </c>
      <c r="CN21">
        <v>1.5100000000000001E-4</v>
      </c>
      <c r="CO21">
        <v>1.5100000000000001E-4</v>
      </c>
      <c r="CP21">
        <v>1.5100000000000001E-4</v>
      </c>
      <c r="CQ21">
        <v>1.5100000000000001E-4</v>
      </c>
      <c r="CR21">
        <v>1.5100000000000001E-4</v>
      </c>
      <c r="CS21">
        <v>1.5100000000000001E-4</v>
      </c>
      <c r="CT21">
        <v>1.5100000000000001E-4</v>
      </c>
      <c r="CU21">
        <v>1.5100000000000001E-4</v>
      </c>
      <c r="CV21">
        <v>1.5100000000000001E-4</v>
      </c>
      <c r="CW21">
        <v>1.5100000000000001E-4</v>
      </c>
      <c r="CX21">
        <v>1.5100000000000001E-4</v>
      </c>
    </row>
    <row r="22" spans="1:102" x14ac:dyDescent="0.25">
      <c r="A22" t="s">
        <v>107</v>
      </c>
      <c r="B22" t="e">
        <v>#VALUE!</v>
      </c>
      <c r="C22" t="e">
        <v>#VALUE!</v>
      </c>
      <c r="D22" t="e">
        <v>#VALUE!</v>
      </c>
      <c r="E22" t="e">
        <v>#VALUE!</v>
      </c>
      <c r="F22" t="e">
        <v>#VALUE!</v>
      </c>
      <c r="G22" t="e">
        <v>#VALUE!</v>
      </c>
      <c r="H22" t="e">
        <v>#VALUE!</v>
      </c>
      <c r="I22" t="e">
        <v>#VALUE!</v>
      </c>
      <c r="J22" t="e">
        <v>#VALUE!</v>
      </c>
      <c r="K22" t="e">
        <v>#VALUE!</v>
      </c>
      <c r="L22" t="e">
        <v>#VALUE!</v>
      </c>
      <c r="M22" t="e">
        <v>#VALUE!</v>
      </c>
      <c r="N22" t="e">
        <v>#VALUE!</v>
      </c>
      <c r="O22" t="e">
        <v>#VALUE!</v>
      </c>
      <c r="P22" t="e">
        <v>#VALUE!</v>
      </c>
      <c r="Q22">
        <v>2.42E-4</v>
      </c>
      <c r="R22">
        <v>2.42E-4</v>
      </c>
      <c r="S22">
        <v>2.42E-4</v>
      </c>
      <c r="T22">
        <v>2.42E-4</v>
      </c>
      <c r="U22">
        <v>2.42E-4</v>
      </c>
      <c r="V22">
        <v>2.42E-4</v>
      </c>
      <c r="W22">
        <v>2.42E-4</v>
      </c>
      <c r="X22">
        <v>2.42E-4</v>
      </c>
      <c r="Y22">
        <v>2.42E-4</v>
      </c>
      <c r="Z22">
        <v>2.42E-4</v>
      </c>
      <c r="AA22">
        <v>2.42E-4</v>
      </c>
      <c r="AB22">
        <v>2.42E-4</v>
      </c>
      <c r="AC22">
        <v>2.42E-4</v>
      </c>
      <c r="AD22">
        <v>2.42E-4</v>
      </c>
      <c r="AE22">
        <v>2.42E-4</v>
      </c>
      <c r="AF22">
        <v>2.42E-4</v>
      </c>
      <c r="AG22">
        <v>2.42E-4</v>
      </c>
      <c r="AH22">
        <v>2.42E-4</v>
      </c>
      <c r="AI22">
        <v>2.42E-4</v>
      </c>
      <c r="AJ22">
        <v>2.42E-4</v>
      </c>
      <c r="AK22">
        <v>2.42E-4</v>
      </c>
      <c r="AL22">
        <v>2.42E-4</v>
      </c>
      <c r="AM22">
        <v>2.42E-4</v>
      </c>
      <c r="AN22">
        <v>2.42E-4</v>
      </c>
      <c r="AO22">
        <v>2.42E-4</v>
      </c>
      <c r="AP22">
        <v>8.7900000000000001E-4</v>
      </c>
      <c r="AQ22">
        <v>8.7900000000000001E-4</v>
      </c>
      <c r="AR22">
        <v>8.7900000000000001E-4</v>
      </c>
      <c r="AS22">
        <v>8.7900000000000001E-4</v>
      </c>
      <c r="AT22">
        <v>8.7900000000000001E-4</v>
      </c>
      <c r="AU22">
        <v>1.0480000000000001E-3</v>
      </c>
      <c r="AV22">
        <v>1.0480000000000001E-3</v>
      </c>
      <c r="AW22">
        <v>1.0480000000000001E-3</v>
      </c>
      <c r="AX22">
        <v>1.0480000000000001E-3</v>
      </c>
      <c r="AY22">
        <v>1.0480000000000001E-3</v>
      </c>
      <c r="AZ22">
        <v>1.1919999999999999E-3</v>
      </c>
      <c r="BA22">
        <v>1.1919999999999999E-3</v>
      </c>
      <c r="BB22">
        <v>1.1919999999999999E-3</v>
      </c>
      <c r="BC22">
        <v>1.1919999999999999E-3</v>
      </c>
      <c r="BD22">
        <v>1.1919999999999999E-3</v>
      </c>
      <c r="BE22">
        <v>1.3090000000000001E-3</v>
      </c>
      <c r="BF22">
        <v>1.3090000000000001E-3</v>
      </c>
      <c r="BG22">
        <v>1.3090000000000001E-3</v>
      </c>
      <c r="BH22">
        <v>1.3090000000000001E-3</v>
      </c>
      <c r="BI22">
        <v>1.3090000000000001E-3</v>
      </c>
      <c r="BJ22">
        <v>1.4059999999999999E-3</v>
      </c>
      <c r="BK22">
        <v>1.4059999999999999E-3</v>
      </c>
      <c r="BL22">
        <v>1.4059999999999999E-3</v>
      </c>
      <c r="BM22">
        <v>1.4059999999999999E-3</v>
      </c>
      <c r="BN22">
        <v>1.4059999999999999E-3</v>
      </c>
      <c r="BO22">
        <v>1.4599999999999999E-3</v>
      </c>
      <c r="BP22">
        <v>1.4599999999999999E-3</v>
      </c>
      <c r="BQ22">
        <v>1.4599999999999999E-3</v>
      </c>
      <c r="BR22">
        <v>1.4599999999999999E-3</v>
      </c>
      <c r="BS22">
        <v>1.4599999999999999E-3</v>
      </c>
      <c r="BT22">
        <v>1.493E-3</v>
      </c>
      <c r="BU22">
        <v>1.493E-3</v>
      </c>
      <c r="BV22">
        <v>1.493E-3</v>
      </c>
      <c r="BW22">
        <v>1.493E-3</v>
      </c>
      <c r="BX22">
        <v>1.493E-3</v>
      </c>
      <c r="BY22">
        <v>1.48E-3</v>
      </c>
      <c r="BZ22">
        <v>1.48E-3</v>
      </c>
      <c r="CA22">
        <v>1.48E-3</v>
      </c>
      <c r="CB22">
        <v>1.48E-3</v>
      </c>
      <c r="CC22">
        <v>1.48E-3</v>
      </c>
      <c r="CD22">
        <v>1.48E-3</v>
      </c>
      <c r="CE22">
        <v>1.48E-3</v>
      </c>
      <c r="CF22">
        <v>1.48E-3</v>
      </c>
      <c r="CG22">
        <v>1.48E-3</v>
      </c>
      <c r="CH22">
        <v>1.48E-3</v>
      </c>
      <c r="CI22">
        <v>1.48E-3</v>
      </c>
      <c r="CJ22">
        <v>1.48E-3</v>
      </c>
      <c r="CK22">
        <v>1.48E-3</v>
      </c>
      <c r="CL22">
        <v>1.48E-3</v>
      </c>
      <c r="CM22">
        <v>1.48E-3</v>
      </c>
      <c r="CN22">
        <v>1.48E-3</v>
      </c>
      <c r="CO22">
        <v>1.48E-3</v>
      </c>
      <c r="CP22">
        <v>1.48E-3</v>
      </c>
      <c r="CQ22">
        <v>1.48E-3</v>
      </c>
      <c r="CR22">
        <v>1.48E-3</v>
      </c>
      <c r="CS22">
        <v>1.48E-3</v>
      </c>
      <c r="CT22">
        <v>1.48E-3</v>
      </c>
      <c r="CU22">
        <v>1.48E-3</v>
      </c>
      <c r="CV22">
        <v>1.48E-3</v>
      </c>
      <c r="CW22">
        <v>1.48E-3</v>
      </c>
      <c r="CX22">
        <v>1.48E-3</v>
      </c>
    </row>
    <row r="23" spans="1:102" x14ac:dyDescent="0.25">
      <c r="A23" t="s">
        <v>109</v>
      </c>
      <c r="B23" t="e">
        <v>#VALUE!</v>
      </c>
      <c r="C23" t="e">
        <v>#VALUE!</v>
      </c>
      <c r="D23" t="e">
        <v>#VALUE!</v>
      </c>
      <c r="E23" t="e">
        <v>#VALUE!</v>
      </c>
      <c r="F23" t="e">
        <v>#VALUE!</v>
      </c>
      <c r="G23" t="e">
        <v>#VALUE!</v>
      </c>
      <c r="H23" t="e">
        <v>#VALUE!</v>
      </c>
      <c r="I23" t="e">
        <v>#VALUE!</v>
      </c>
      <c r="J23" t="e">
        <v>#VALUE!</v>
      </c>
      <c r="K23" t="e">
        <v>#VALUE!</v>
      </c>
      <c r="L23" t="e">
        <v>#VALUE!</v>
      </c>
      <c r="M23" t="e">
        <v>#VALUE!</v>
      </c>
      <c r="N23" t="e">
        <v>#VALUE!</v>
      </c>
      <c r="O23" t="e">
        <v>#VALUE!</v>
      </c>
      <c r="P23" t="e">
        <v>#VALUE!</v>
      </c>
      <c r="Q23">
        <v>1.0399999999999999E-4</v>
      </c>
      <c r="R23">
        <v>1.0399999999999999E-4</v>
      </c>
      <c r="S23">
        <v>1.0399999999999999E-4</v>
      </c>
      <c r="T23">
        <v>1.0399999999999999E-4</v>
      </c>
      <c r="U23">
        <v>1.0399999999999999E-4</v>
      </c>
      <c r="V23">
        <v>1.0399999999999999E-4</v>
      </c>
      <c r="W23">
        <v>1.0399999999999999E-4</v>
      </c>
      <c r="X23">
        <v>1.0399999999999999E-4</v>
      </c>
      <c r="Y23">
        <v>1.0399999999999999E-4</v>
      </c>
      <c r="Z23">
        <v>1.0399999999999999E-4</v>
      </c>
      <c r="AA23">
        <v>1.0399999999999999E-4</v>
      </c>
      <c r="AB23">
        <v>1.0399999999999999E-4</v>
      </c>
      <c r="AC23">
        <v>1.0399999999999999E-4</v>
      </c>
      <c r="AD23">
        <v>1.0399999999999999E-4</v>
      </c>
      <c r="AE23">
        <v>1.0399999999999999E-4</v>
      </c>
      <c r="AF23">
        <v>1.0399999999999999E-4</v>
      </c>
      <c r="AG23">
        <v>1.0399999999999999E-4</v>
      </c>
      <c r="AH23">
        <v>1.0399999999999999E-4</v>
      </c>
      <c r="AI23">
        <v>1.0399999999999999E-4</v>
      </c>
      <c r="AJ23">
        <v>1.0399999999999999E-4</v>
      </c>
      <c r="AK23">
        <v>1.0399999999999999E-4</v>
      </c>
      <c r="AL23">
        <v>1.0399999999999999E-4</v>
      </c>
      <c r="AM23">
        <v>1.0399999999999999E-4</v>
      </c>
      <c r="AN23">
        <v>1.0399999999999999E-4</v>
      </c>
      <c r="AO23">
        <v>1.0399999999999999E-4</v>
      </c>
      <c r="AP23">
        <v>3.3300000000000002E-4</v>
      </c>
      <c r="AQ23">
        <v>3.3300000000000002E-4</v>
      </c>
      <c r="AR23">
        <v>3.3300000000000002E-4</v>
      </c>
      <c r="AS23">
        <v>3.3300000000000002E-4</v>
      </c>
      <c r="AT23">
        <v>3.3300000000000002E-4</v>
      </c>
      <c r="AU23">
        <v>4.0200000000000001E-4</v>
      </c>
      <c r="AV23">
        <v>4.0200000000000001E-4</v>
      </c>
      <c r="AW23">
        <v>4.0200000000000001E-4</v>
      </c>
      <c r="AX23">
        <v>4.0200000000000001E-4</v>
      </c>
      <c r="AY23">
        <v>4.0200000000000001E-4</v>
      </c>
      <c r="AZ23">
        <v>3.9500000000000001E-4</v>
      </c>
      <c r="BA23">
        <v>3.9500000000000001E-4</v>
      </c>
      <c r="BB23">
        <v>3.9500000000000001E-4</v>
      </c>
      <c r="BC23">
        <v>3.9500000000000001E-4</v>
      </c>
      <c r="BD23">
        <v>3.9500000000000001E-4</v>
      </c>
      <c r="BE23">
        <v>2.34E-4</v>
      </c>
      <c r="BF23">
        <v>2.34E-4</v>
      </c>
      <c r="BG23">
        <v>2.34E-4</v>
      </c>
      <c r="BH23">
        <v>2.34E-4</v>
      </c>
      <c r="BI23">
        <v>2.34E-4</v>
      </c>
      <c r="BJ23">
        <v>2.43E-4</v>
      </c>
      <c r="BK23">
        <v>2.43E-4</v>
      </c>
      <c r="BL23">
        <v>2.43E-4</v>
      </c>
      <c r="BM23">
        <v>2.43E-4</v>
      </c>
      <c r="BN23">
        <v>2.43E-4</v>
      </c>
      <c r="BO23">
        <v>2.9999999999999997E-4</v>
      </c>
      <c r="BP23">
        <v>2.9999999999999997E-4</v>
      </c>
      <c r="BQ23">
        <v>2.9999999999999997E-4</v>
      </c>
      <c r="BR23">
        <v>2.9999999999999997E-4</v>
      </c>
      <c r="BS23">
        <v>2.9999999999999997E-4</v>
      </c>
      <c r="BT23">
        <v>2.42E-4</v>
      </c>
      <c r="BU23">
        <v>2.42E-4</v>
      </c>
      <c r="BV23">
        <v>2.42E-4</v>
      </c>
      <c r="BW23">
        <v>2.42E-4</v>
      </c>
      <c r="BX23">
        <v>2.42E-4</v>
      </c>
      <c r="BY23">
        <v>8.8999999999999995E-5</v>
      </c>
      <c r="BZ23">
        <v>8.8999999999999995E-5</v>
      </c>
      <c r="CA23">
        <v>8.8999999999999995E-5</v>
      </c>
      <c r="CB23">
        <v>8.8999999999999995E-5</v>
      </c>
      <c r="CC23">
        <v>8.8999999999999995E-5</v>
      </c>
      <c r="CD23">
        <v>8.8999999999999995E-5</v>
      </c>
      <c r="CE23">
        <v>8.8999999999999995E-5</v>
      </c>
      <c r="CF23">
        <v>8.8999999999999995E-5</v>
      </c>
      <c r="CG23">
        <v>8.8999999999999995E-5</v>
      </c>
      <c r="CH23">
        <v>8.8999999999999995E-5</v>
      </c>
      <c r="CI23">
        <v>8.8999999999999995E-5</v>
      </c>
      <c r="CJ23">
        <v>8.8999999999999995E-5</v>
      </c>
      <c r="CK23">
        <v>8.8999999999999995E-5</v>
      </c>
      <c r="CL23">
        <v>8.8999999999999995E-5</v>
      </c>
      <c r="CM23">
        <v>8.8999999999999995E-5</v>
      </c>
      <c r="CN23">
        <v>8.8999999999999995E-5</v>
      </c>
      <c r="CO23">
        <v>8.8999999999999995E-5</v>
      </c>
      <c r="CP23">
        <v>8.8999999999999995E-5</v>
      </c>
      <c r="CQ23">
        <v>8.8999999999999995E-5</v>
      </c>
      <c r="CR23">
        <v>8.8999999999999995E-5</v>
      </c>
      <c r="CS23">
        <v>8.8999999999999995E-5</v>
      </c>
      <c r="CT23">
        <v>8.8999999999999995E-5</v>
      </c>
      <c r="CU23">
        <v>8.8999999999999995E-5</v>
      </c>
      <c r="CV23">
        <v>8.8999999999999995E-5</v>
      </c>
      <c r="CW23">
        <v>8.8999999999999995E-5</v>
      </c>
      <c r="CX23">
        <v>8.8999999999999995E-5</v>
      </c>
    </row>
    <row r="24" spans="1:102" x14ac:dyDescent="0.25">
      <c r="A24" t="s">
        <v>111</v>
      </c>
      <c r="B24" t="e">
        <v>#VALUE!</v>
      </c>
      <c r="C24" t="e">
        <v>#VALUE!</v>
      </c>
      <c r="D24" t="e">
        <v>#VALUE!</v>
      </c>
      <c r="E24" t="e">
        <v>#VALUE!</v>
      </c>
      <c r="F24" t="e">
        <v>#VALUE!</v>
      </c>
      <c r="G24" t="e">
        <v>#VALUE!</v>
      </c>
      <c r="H24" t="e">
        <v>#VALUE!</v>
      </c>
      <c r="I24" t="e">
        <v>#VALUE!</v>
      </c>
      <c r="J24" t="e">
        <v>#VALUE!</v>
      </c>
      <c r="K24" t="e">
        <v>#VALUE!</v>
      </c>
      <c r="L24" t="e">
        <v>#VALUE!</v>
      </c>
      <c r="M24" t="e">
        <v>#VALUE!</v>
      </c>
      <c r="N24" t="e">
        <v>#VALUE!</v>
      </c>
      <c r="O24" t="e">
        <v>#VALUE!</v>
      </c>
      <c r="P24" t="e">
        <v>#VALUE!</v>
      </c>
      <c r="Q24">
        <v>1.63E-4</v>
      </c>
      <c r="R24">
        <v>1.63E-4</v>
      </c>
      <c r="S24">
        <v>1.63E-4</v>
      </c>
      <c r="T24">
        <v>1.63E-4</v>
      </c>
      <c r="U24">
        <v>1.63E-4</v>
      </c>
      <c r="V24">
        <v>1.63E-4</v>
      </c>
      <c r="W24">
        <v>1.63E-4</v>
      </c>
      <c r="X24">
        <v>1.63E-4</v>
      </c>
      <c r="Y24">
        <v>1.63E-4</v>
      </c>
      <c r="Z24">
        <v>1.63E-4</v>
      </c>
      <c r="AA24">
        <v>1.63E-4</v>
      </c>
      <c r="AB24">
        <v>1.63E-4</v>
      </c>
      <c r="AC24">
        <v>1.63E-4</v>
      </c>
      <c r="AD24">
        <v>1.63E-4</v>
      </c>
      <c r="AE24">
        <v>1.63E-4</v>
      </c>
      <c r="AF24">
        <v>1.63E-4</v>
      </c>
      <c r="AG24">
        <v>1.63E-4</v>
      </c>
      <c r="AH24">
        <v>1.63E-4</v>
      </c>
      <c r="AI24">
        <v>1.63E-4</v>
      </c>
      <c r="AJ24">
        <v>1.63E-4</v>
      </c>
      <c r="AK24">
        <v>1.63E-4</v>
      </c>
      <c r="AL24">
        <v>1.63E-4</v>
      </c>
      <c r="AM24">
        <v>1.63E-4</v>
      </c>
      <c r="AN24">
        <v>1.63E-4</v>
      </c>
      <c r="AO24">
        <v>1.63E-4</v>
      </c>
      <c r="AP24">
        <v>5.5400000000000002E-4</v>
      </c>
      <c r="AQ24">
        <v>5.5400000000000002E-4</v>
      </c>
      <c r="AR24">
        <v>5.5400000000000002E-4</v>
      </c>
      <c r="AS24">
        <v>5.5400000000000002E-4</v>
      </c>
      <c r="AT24">
        <v>5.5400000000000002E-4</v>
      </c>
      <c r="AU24">
        <v>6.0499999999999996E-4</v>
      </c>
      <c r="AV24">
        <v>6.0499999999999996E-4</v>
      </c>
      <c r="AW24">
        <v>6.0499999999999996E-4</v>
      </c>
      <c r="AX24">
        <v>6.0499999999999996E-4</v>
      </c>
      <c r="AY24">
        <v>6.0499999999999996E-4</v>
      </c>
      <c r="AZ24">
        <v>6.3400000000000001E-4</v>
      </c>
      <c r="BA24">
        <v>6.3400000000000001E-4</v>
      </c>
      <c r="BB24">
        <v>6.3400000000000001E-4</v>
      </c>
      <c r="BC24">
        <v>6.3400000000000001E-4</v>
      </c>
      <c r="BD24">
        <v>6.3400000000000001E-4</v>
      </c>
      <c r="BE24">
        <v>6.9200000000000002E-4</v>
      </c>
      <c r="BF24">
        <v>6.9200000000000002E-4</v>
      </c>
      <c r="BG24">
        <v>6.9200000000000002E-4</v>
      </c>
      <c r="BH24">
        <v>6.9200000000000002E-4</v>
      </c>
      <c r="BI24">
        <v>6.9200000000000002E-4</v>
      </c>
      <c r="BJ24">
        <v>7.85E-4</v>
      </c>
      <c r="BK24">
        <v>7.85E-4</v>
      </c>
      <c r="BL24">
        <v>7.85E-4</v>
      </c>
      <c r="BM24">
        <v>7.85E-4</v>
      </c>
      <c r="BN24">
        <v>7.85E-4</v>
      </c>
      <c r="BO24">
        <v>9.5600000000000004E-4</v>
      </c>
      <c r="BP24">
        <v>9.5600000000000004E-4</v>
      </c>
      <c r="BQ24">
        <v>9.5600000000000004E-4</v>
      </c>
      <c r="BR24">
        <v>9.5600000000000004E-4</v>
      </c>
      <c r="BS24">
        <v>9.5600000000000004E-4</v>
      </c>
      <c r="BT24">
        <v>1.189E-3</v>
      </c>
      <c r="BU24">
        <v>1.189E-3</v>
      </c>
      <c r="BV24">
        <v>1.189E-3</v>
      </c>
      <c r="BW24">
        <v>1.189E-3</v>
      </c>
      <c r="BX24">
        <v>1.189E-3</v>
      </c>
      <c r="BY24">
        <v>1.5009999999999999E-3</v>
      </c>
      <c r="BZ24">
        <v>1.5009999999999999E-3</v>
      </c>
      <c r="CA24">
        <v>1.5009999999999999E-3</v>
      </c>
      <c r="CB24">
        <v>1.5009999999999999E-3</v>
      </c>
      <c r="CC24">
        <v>1.5009999999999999E-3</v>
      </c>
      <c r="CD24">
        <v>1.5009999999999999E-3</v>
      </c>
      <c r="CE24">
        <v>1.5009999999999999E-3</v>
      </c>
      <c r="CF24">
        <v>1.5009999999999999E-3</v>
      </c>
      <c r="CG24">
        <v>1.5009999999999999E-3</v>
      </c>
      <c r="CH24">
        <v>1.5009999999999999E-3</v>
      </c>
      <c r="CI24">
        <v>1.5009999999999999E-3</v>
      </c>
      <c r="CJ24">
        <v>1.5009999999999999E-3</v>
      </c>
      <c r="CK24">
        <v>1.5009999999999999E-3</v>
      </c>
      <c r="CL24">
        <v>1.5009999999999999E-3</v>
      </c>
      <c r="CM24">
        <v>1.5009999999999999E-3</v>
      </c>
      <c r="CN24">
        <v>1.5009999999999999E-3</v>
      </c>
      <c r="CO24">
        <v>1.5009999999999999E-3</v>
      </c>
      <c r="CP24">
        <v>1.5009999999999999E-3</v>
      </c>
      <c r="CQ24">
        <v>1.5009999999999999E-3</v>
      </c>
      <c r="CR24">
        <v>1.5009999999999999E-3</v>
      </c>
      <c r="CS24">
        <v>1.5009999999999999E-3</v>
      </c>
      <c r="CT24">
        <v>1.5009999999999999E-3</v>
      </c>
      <c r="CU24">
        <v>1.5009999999999999E-3</v>
      </c>
      <c r="CV24">
        <v>1.5009999999999999E-3</v>
      </c>
      <c r="CW24">
        <v>1.5009999999999999E-3</v>
      </c>
      <c r="CX24">
        <v>1.5009999999999999E-3</v>
      </c>
    </row>
    <row r="25" spans="1:102" x14ac:dyDescent="0.25">
      <c r="A25" t="s">
        <v>113</v>
      </c>
      <c r="B25" t="e">
        <v>#VALUE!</v>
      </c>
      <c r="C25" t="e">
        <v>#VALUE!</v>
      </c>
      <c r="D25" t="e">
        <v>#VALUE!</v>
      </c>
      <c r="E25" t="e">
        <v>#VALUE!</v>
      </c>
      <c r="F25" t="e">
        <v>#VALUE!</v>
      </c>
      <c r="G25" t="e">
        <v>#VALUE!</v>
      </c>
      <c r="H25" t="e">
        <v>#VALUE!</v>
      </c>
      <c r="I25" t="e">
        <v>#VALUE!</v>
      </c>
      <c r="J25" t="e">
        <v>#VALUE!</v>
      </c>
      <c r="K25" t="e">
        <v>#VALUE!</v>
      </c>
      <c r="L25" t="e">
        <v>#VALUE!</v>
      </c>
      <c r="M25" t="e">
        <v>#VALUE!</v>
      </c>
      <c r="N25" t="e">
        <v>#VALUE!</v>
      </c>
      <c r="O25" t="e">
        <v>#VALUE!</v>
      </c>
      <c r="P25" t="e">
        <v>#VALUE!</v>
      </c>
      <c r="Q25">
        <v>1.01E-4</v>
      </c>
      <c r="R25">
        <v>1.01E-4</v>
      </c>
      <c r="S25">
        <v>1.01E-4</v>
      </c>
      <c r="T25">
        <v>1.01E-4</v>
      </c>
      <c r="U25">
        <v>1.01E-4</v>
      </c>
      <c r="V25">
        <v>1.01E-4</v>
      </c>
      <c r="W25">
        <v>1.01E-4</v>
      </c>
      <c r="X25">
        <v>1.01E-4</v>
      </c>
      <c r="Y25">
        <v>1.01E-4</v>
      </c>
      <c r="Z25">
        <v>1.01E-4</v>
      </c>
      <c r="AA25">
        <v>1.01E-4</v>
      </c>
      <c r="AB25">
        <v>1.01E-4</v>
      </c>
      <c r="AC25">
        <v>1.01E-4</v>
      </c>
      <c r="AD25">
        <v>1.01E-4</v>
      </c>
      <c r="AE25">
        <v>1.01E-4</v>
      </c>
      <c r="AF25">
        <v>1.01E-4</v>
      </c>
      <c r="AG25">
        <v>1.01E-4</v>
      </c>
      <c r="AH25">
        <v>1.01E-4</v>
      </c>
      <c r="AI25">
        <v>1.01E-4</v>
      </c>
      <c r="AJ25">
        <v>1.01E-4</v>
      </c>
      <c r="AK25">
        <v>1.01E-4</v>
      </c>
      <c r="AL25">
        <v>1.01E-4</v>
      </c>
      <c r="AM25">
        <v>1.01E-4</v>
      </c>
      <c r="AN25">
        <v>1.01E-4</v>
      </c>
      <c r="AO25">
        <v>1.01E-4</v>
      </c>
      <c r="AP25">
        <v>2.7099999999999997E-4</v>
      </c>
      <c r="AQ25">
        <v>2.7099999999999997E-4</v>
      </c>
      <c r="AR25">
        <v>2.7099999999999997E-4</v>
      </c>
      <c r="AS25">
        <v>2.7099999999999997E-4</v>
      </c>
      <c r="AT25">
        <v>2.7099999999999997E-4</v>
      </c>
      <c r="AU25">
        <v>3.1599999999999998E-4</v>
      </c>
      <c r="AV25">
        <v>3.1599999999999998E-4</v>
      </c>
      <c r="AW25">
        <v>3.1599999999999998E-4</v>
      </c>
      <c r="AX25">
        <v>3.1599999999999998E-4</v>
      </c>
      <c r="AY25">
        <v>3.1599999999999998E-4</v>
      </c>
      <c r="AZ25">
        <v>3.5199999999999999E-4</v>
      </c>
      <c r="BA25">
        <v>3.5199999999999999E-4</v>
      </c>
      <c r="BB25">
        <v>3.5199999999999999E-4</v>
      </c>
      <c r="BC25">
        <v>3.5199999999999999E-4</v>
      </c>
      <c r="BD25">
        <v>3.5199999999999999E-4</v>
      </c>
      <c r="BE25">
        <v>3.8499999999999998E-4</v>
      </c>
      <c r="BF25">
        <v>3.8499999999999998E-4</v>
      </c>
      <c r="BG25">
        <v>3.8499999999999998E-4</v>
      </c>
      <c r="BH25">
        <v>3.8499999999999998E-4</v>
      </c>
      <c r="BI25">
        <v>3.8499999999999998E-4</v>
      </c>
      <c r="BJ25">
        <v>4.2499999999999998E-4</v>
      </c>
      <c r="BK25">
        <v>4.2499999999999998E-4</v>
      </c>
      <c r="BL25">
        <v>4.2499999999999998E-4</v>
      </c>
      <c r="BM25">
        <v>4.2499999999999998E-4</v>
      </c>
      <c r="BN25">
        <v>4.2499999999999998E-4</v>
      </c>
      <c r="BO25">
        <v>4.9200000000000003E-4</v>
      </c>
      <c r="BP25">
        <v>4.9200000000000003E-4</v>
      </c>
      <c r="BQ25">
        <v>4.9200000000000003E-4</v>
      </c>
      <c r="BR25">
        <v>4.9200000000000003E-4</v>
      </c>
      <c r="BS25">
        <v>4.9200000000000003E-4</v>
      </c>
      <c r="BT25">
        <v>5.8299999999999997E-4</v>
      </c>
      <c r="BU25">
        <v>5.8299999999999997E-4</v>
      </c>
      <c r="BV25">
        <v>5.8299999999999997E-4</v>
      </c>
      <c r="BW25">
        <v>5.8299999999999997E-4</v>
      </c>
      <c r="BX25">
        <v>5.8299999999999997E-4</v>
      </c>
      <c r="BY25">
        <v>6.9700000000000003E-4</v>
      </c>
      <c r="BZ25">
        <v>6.9700000000000003E-4</v>
      </c>
      <c r="CA25">
        <v>6.9700000000000003E-4</v>
      </c>
      <c r="CB25">
        <v>6.9700000000000003E-4</v>
      </c>
      <c r="CC25">
        <v>6.9700000000000003E-4</v>
      </c>
      <c r="CD25">
        <v>6.9700000000000003E-4</v>
      </c>
      <c r="CE25">
        <v>6.9700000000000003E-4</v>
      </c>
      <c r="CF25">
        <v>6.9700000000000003E-4</v>
      </c>
      <c r="CG25">
        <v>6.9700000000000003E-4</v>
      </c>
      <c r="CH25">
        <v>6.9700000000000003E-4</v>
      </c>
      <c r="CI25">
        <v>6.9700000000000003E-4</v>
      </c>
      <c r="CJ25">
        <v>6.9700000000000003E-4</v>
      </c>
      <c r="CK25">
        <v>6.9700000000000003E-4</v>
      </c>
      <c r="CL25">
        <v>6.9700000000000003E-4</v>
      </c>
      <c r="CM25">
        <v>6.9700000000000003E-4</v>
      </c>
      <c r="CN25">
        <v>6.9700000000000003E-4</v>
      </c>
      <c r="CO25">
        <v>6.9700000000000003E-4</v>
      </c>
      <c r="CP25">
        <v>6.9700000000000003E-4</v>
      </c>
      <c r="CQ25">
        <v>6.9700000000000003E-4</v>
      </c>
      <c r="CR25">
        <v>6.9700000000000003E-4</v>
      </c>
      <c r="CS25">
        <v>6.9700000000000003E-4</v>
      </c>
      <c r="CT25">
        <v>6.9700000000000003E-4</v>
      </c>
      <c r="CU25">
        <v>6.9700000000000003E-4</v>
      </c>
      <c r="CV25">
        <v>6.9700000000000003E-4</v>
      </c>
      <c r="CW25">
        <v>6.9700000000000003E-4</v>
      </c>
      <c r="CX25">
        <v>6.9700000000000003E-4</v>
      </c>
    </row>
    <row r="26" spans="1:102" x14ac:dyDescent="0.25">
      <c r="A26" t="s">
        <v>115</v>
      </c>
      <c r="B26" t="e">
        <v>#VALUE!</v>
      </c>
      <c r="C26" t="e">
        <v>#VALUE!</v>
      </c>
      <c r="D26" t="e">
        <v>#VALUE!</v>
      </c>
      <c r="E26" t="e">
        <v>#VALUE!</v>
      </c>
      <c r="F26" t="e">
        <v>#VALUE!</v>
      </c>
      <c r="G26" t="e">
        <v>#VALUE!</v>
      </c>
      <c r="H26" t="e">
        <v>#VALUE!</v>
      </c>
      <c r="I26" t="e">
        <v>#VALUE!</v>
      </c>
      <c r="J26" t="e">
        <v>#VALUE!</v>
      </c>
      <c r="K26" t="e">
        <v>#VALUE!</v>
      </c>
      <c r="L26" t="e">
        <v>#VALUE!</v>
      </c>
      <c r="M26" t="e">
        <v>#VALUE!</v>
      </c>
      <c r="N26" t="e">
        <v>#VALUE!</v>
      </c>
      <c r="O26" t="e">
        <v>#VALUE!</v>
      </c>
      <c r="P26" t="e">
        <v>#VALUE!</v>
      </c>
      <c r="Q26">
        <v>9.6000000000000002E-5</v>
      </c>
      <c r="R26">
        <v>9.6000000000000002E-5</v>
      </c>
      <c r="S26">
        <v>9.6000000000000002E-5</v>
      </c>
      <c r="T26">
        <v>9.6000000000000002E-5</v>
      </c>
      <c r="U26">
        <v>9.6000000000000002E-5</v>
      </c>
      <c r="V26">
        <v>9.6000000000000002E-5</v>
      </c>
      <c r="W26">
        <v>9.6000000000000002E-5</v>
      </c>
      <c r="X26">
        <v>9.6000000000000002E-5</v>
      </c>
      <c r="Y26">
        <v>9.6000000000000002E-5</v>
      </c>
      <c r="Z26">
        <v>9.6000000000000002E-5</v>
      </c>
      <c r="AA26">
        <v>9.6000000000000002E-5</v>
      </c>
      <c r="AB26">
        <v>9.6000000000000002E-5</v>
      </c>
      <c r="AC26">
        <v>9.6000000000000002E-5</v>
      </c>
      <c r="AD26">
        <v>9.6000000000000002E-5</v>
      </c>
      <c r="AE26">
        <v>9.6000000000000002E-5</v>
      </c>
      <c r="AF26">
        <v>9.6000000000000002E-5</v>
      </c>
      <c r="AG26">
        <v>9.6000000000000002E-5</v>
      </c>
      <c r="AH26">
        <v>9.6000000000000002E-5</v>
      </c>
      <c r="AI26">
        <v>9.6000000000000002E-5</v>
      </c>
      <c r="AJ26">
        <v>9.6000000000000002E-5</v>
      </c>
      <c r="AK26">
        <v>9.6000000000000002E-5</v>
      </c>
      <c r="AL26">
        <v>9.6000000000000002E-5</v>
      </c>
      <c r="AM26">
        <v>9.6000000000000002E-5</v>
      </c>
      <c r="AN26">
        <v>9.6000000000000002E-5</v>
      </c>
      <c r="AO26">
        <v>9.6000000000000002E-5</v>
      </c>
      <c r="AP26" t="e">
        <v>#VALUE!</v>
      </c>
      <c r="AQ26" t="e">
        <v>#VALUE!</v>
      </c>
      <c r="AR26" t="e">
        <v>#VALUE!</v>
      </c>
      <c r="AS26" t="e">
        <v>#VALUE!</v>
      </c>
      <c r="AT26" t="e">
        <v>#VALUE!</v>
      </c>
      <c r="AU26">
        <v>3.01E-4</v>
      </c>
      <c r="AV26">
        <v>3.01E-4</v>
      </c>
      <c r="AW26">
        <v>3.01E-4</v>
      </c>
      <c r="AX26">
        <v>3.01E-4</v>
      </c>
      <c r="AY26">
        <v>3.01E-4</v>
      </c>
      <c r="AZ26">
        <v>1.1379999999999999E-3</v>
      </c>
      <c r="BA26">
        <v>1.1379999999999999E-3</v>
      </c>
      <c r="BB26">
        <v>1.1379999999999999E-3</v>
      </c>
      <c r="BC26">
        <v>1.1379999999999999E-3</v>
      </c>
      <c r="BD26">
        <v>1.1379999999999999E-3</v>
      </c>
      <c r="BE26">
        <v>1.0480000000000001E-3</v>
      </c>
      <c r="BF26">
        <v>1.0480000000000001E-3</v>
      </c>
      <c r="BG26">
        <v>1.0480000000000001E-3</v>
      </c>
      <c r="BH26">
        <v>1.0480000000000001E-3</v>
      </c>
      <c r="BI26">
        <v>1.0480000000000001E-3</v>
      </c>
      <c r="BJ26" t="e">
        <v>#VALUE!</v>
      </c>
      <c r="BK26" t="e">
        <v>#VALUE!</v>
      </c>
      <c r="BL26" t="e">
        <v>#VALUE!</v>
      </c>
      <c r="BM26" t="e">
        <v>#VALUE!</v>
      </c>
      <c r="BN26" t="e">
        <v>#VALUE!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5.44E-4</v>
      </c>
      <c r="BU26">
        <v>5.44E-4</v>
      </c>
      <c r="BV26">
        <v>5.44E-4</v>
      </c>
      <c r="BW26">
        <v>5.44E-4</v>
      </c>
      <c r="BX26">
        <v>5.44E-4</v>
      </c>
      <c r="BY26">
        <v>2.9399999999999999E-4</v>
      </c>
      <c r="BZ26">
        <v>2.9399999999999999E-4</v>
      </c>
      <c r="CA26">
        <v>2.9399999999999999E-4</v>
      </c>
      <c r="CB26">
        <v>2.9399999999999999E-4</v>
      </c>
      <c r="CC26">
        <v>2.9399999999999999E-4</v>
      </c>
      <c r="CD26">
        <v>2.9399999999999999E-4</v>
      </c>
      <c r="CE26">
        <v>2.9399999999999999E-4</v>
      </c>
      <c r="CF26">
        <v>2.9399999999999999E-4</v>
      </c>
      <c r="CG26">
        <v>2.9399999999999999E-4</v>
      </c>
      <c r="CH26">
        <v>2.9399999999999999E-4</v>
      </c>
      <c r="CI26">
        <v>2.9399999999999999E-4</v>
      </c>
      <c r="CJ26">
        <v>2.9399999999999999E-4</v>
      </c>
      <c r="CK26">
        <v>2.9399999999999999E-4</v>
      </c>
      <c r="CL26">
        <v>2.9399999999999999E-4</v>
      </c>
      <c r="CM26">
        <v>2.9399999999999999E-4</v>
      </c>
      <c r="CN26">
        <v>2.9399999999999999E-4</v>
      </c>
      <c r="CO26">
        <v>2.9399999999999999E-4</v>
      </c>
      <c r="CP26">
        <v>2.9399999999999999E-4</v>
      </c>
      <c r="CQ26">
        <v>2.9399999999999999E-4</v>
      </c>
      <c r="CR26">
        <v>2.9399999999999999E-4</v>
      </c>
      <c r="CS26">
        <v>2.9399999999999999E-4</v>
      </c>
      <c r="CT26">
        <v>2.9399999999999999E-4</v>
      </c>
      <c r="CU26">
        <v>2.9399999999999999E-4</v>
      </c>
      <c r="CV26">
        <v>2.9399999999999999E-4</v>
      </c>
      <c r="CW26">
        <v>2.9399999999999999E-4</v>
      </c>
      <c r="CX26">
        <v>2.9399999999999999E-4</v>
      </c>
    </row>
    <row r="27" spans="1:102" x14ac:dyDescent="0.25">
      <c r="A27" t="s">
        <v>117</v>
      </c>
      <c r="B27" t="e">
        <v>#VALUE!</v>
      </c>
      <c r="C27" t="e">
        <v>#VALUE!</v>
      </c>
      <c r="D27" t="e">
        <v>#VALUE!</v>
      </c>
      <c r="E27" t="e">
        <v>#VALUE!</v>
      </c>
      <c r="F27" t="e">
        <v>#VALUE!</v>
      </c>
      <c r="G27" t="e">
        <v>#VALUE!</v>
      </c>
      <c r="H27" t="e">
        <v>#VALUE!</v>
      </c>
      <c r="I27" t="e">
        <v>#VALUE!</v>
      </c>
      <c r="J27" t="e">
        <v>#VALUE!</v>
      </c>
      <c r="K27" t="e">
        <v>#VALUE!</v>
      </c>
      <c r="L27" t="e">
        <v>#VALUE!</v>
      </c>
      <c r="M27" t="e">
        <v>#VALUE!</v>
      </c>
      <c r="N27" t="e">
        <v>#VALUE!</v>
      </c>
      <c r="O27" t="e">
        <v>#VALUE!</v>
      </c>
      <c r="P27" t="e">
        <v>#VALUE!</v>
      </c>
      <c r="Q27">
        <v>2.1499999999999999E-4</v>
      </c>
      <c r="R27">
        <v>2.1499999999999999E-4</v>
      </c>
      <c r="S27">
        <v>2.1499999999999999E-4</v>
      </c>
      <c r="T27">
        <v>2.1499999999999999E-4</v>
      </c>
      <c r="U27">
        <v>2.1499999999999999E-4</v>
      </c>
      <c r="V27">
        <v>2.1499999999999999E-4</v>
      </c>
      <c r="W27">
        <v>2.1499999999999999E-4</v>
      </c>
      <c r="X27">
        <v>2.1499999999999999E-4</v>
      </c>
      <c r="Y27">
        <v>2.1499999999999999E-4</v>
      </c>
      <c r="Z27">
        <v>2.1499999999999999E-4</v>
      </c>
      <c r="AA27">
        <v>2.1499999999999999E-4</v>
      </c>
      <c r="AB27">
        <v>2.1499999999999999E-4</v>
      </c>
      <c r="AC27">
        <v>2.1499999999999999E-4</v>
      </c>
      <c r="AD27">
        <v>2.1499999999999999E-4</v>
      </c>
      <c r="AE27">
        <v>2.1499999999999999E-4</v>
      </c>
      <c r="AF27">
        <v>2.1499999999999999E-4</v>
      </c>
      <c r="AG27">
        <v>2.1499999999999999E-4</v>
      </c>
      <c r="AH27">
        <v>2.1499999999999999E-4</v>
      </c>
      <c r="AI27">
        <v>2.1499999999999999E-4</v>
      </c>
      <c r="AJ27">
        <v>2.1499999999999999E-4</v>
      </c>
      <c r="AK27">
        <v>2.1499999999999999E-4</v>
      </c>
      <c r="AL27">
        <v>2.1499999999999999E-4</v>
      </c>
      <c r="AM27">
        <v>2.1499999999999999E-4</v>
      </c>
      <c r="AN27">
        <v>2.1499999999999999E-4</v>
      </c>
      <c r="AO27">
        <v>2.1499999999999999E-4</v>
      </c>
      <c r="AP27">
        <v>5.5400000000000002E-4</v>
      </c>
      <c r="AQ27">
        <v>5.5400000000000002E-4</v>
      </c>
      <c r="AR27">
        <v>5.5400000000000002E-4</v>
      </c>
      <c r="AS27">
        <v>5.5400000000000002E-4</v>
      </c>
      <c r="AT27">
        <v>5.5400000000000002E-4</v>
      </c>
      <c r="AU27">
        <v>6.0400000000000004E-4</v>
      </c>
      <c r="AV27">
        <v>6.0400000000000004E-4</v>
      </c>
      <c r="AW27">
        <v>6.0400000000000004E-4</v>
      </c>
      <c r="AX27">
        <v>6.0400000000000004E-4</v>
      </c>
      <c r="AY27">
        <v>6.0400000000000004E-4</v>
      </c>
      <c r="AZ27">
        <v>6.0999999999999997E-4</v>
      </c>
      <c r="BA27">
        <v>6.0999999999999997E-4</v>
      </c>
      <c r="BB27">
        <v>6.0999999999999997E-4</v>
      </c>
      <c r="BC27">
        <v>6.0999999999999997E-4</v>
      </c>
      <c r="BD27">
        <v>6.0999999999999997E-4</v>
      </c>
      <c r="BE27">
        <v>5.4900000000000001E-4</v>
      </c>
      <c r="BF27">
        <v>5.4900000000000001E-4</v>
      </c>
      <c r="BG27">
        <v>5.4900000000000001E-4</v>
      </c>
      <c r="BH27">
        <v>5.4900000000000001E-4</v>
      </c>
      <c r="BI27">
        <v>5.4900000000000001E-4</v>
      </c>
      <c r="BJ27">
        <v>4.6700000000000002E-4</v>
      </c>
      <c r="BK27">
        <v>4.6700000000000002E-4</v>
      </c>
      <c r="BL27">
        <v>4.6700000000000002E-4</v>
      </c>
      <c r="BM27">
        <v>4.6700000000000002E-4</v>
      </c>
      <c r="BN27">
        <v>4.6700000000000002E-4</v>
      </c>
      <c r="BO27">
        <v>4.1199999999999999E-4</v>
      </c>
      <c r="BP27">
        <v>4.1199999999999999E-4</v>
      </c>
      <c r="BQ27">
        <v>4.1199999999999999E-4</v>
      </c>
      <c r="BR27">
        <v>4.1199999999999999E-4</v>
      </c>
      <c r="BS27">
        <v>4.1199999999999999E-4</v>
      </c>
      <c r="BT27">
        <v>3.5399999999999999E-4</v>
      </c>
      <c r="BU27">
        <v>3.5399999999999999E-4</v>
      </c>
      <c r="BV27">
        <v>3.5399999999999999E-4</v>
      </c>
      <c r="BW27">
        <v>3.5399999999999999E-4</v>
      </c>
      <c r="BX27">
        <v>3.5399999999999999E-4</v>
      </c>
      <c r="BY27">
        <v>2.5399999999999999E-4</v>
      </c>
      <c r="BZ27">
        <v>2.5399999999999999E-4</v>
      </c>
      <c r="CA27">
        <v>2.5399999999999999E-4</v>
      </c>
      <c r="CB27">
        <v>2.5399999999999999E-4</v>
      </c>
      <c r="CC27">
        <v>2.5399999999999999E-4</v>
      </c>
      <c r="CD27">
        <v>2.5399999999999999E-4</v>
      </c>
      <c r="CE27">
        <v>2.5399999999999999E-4</v>
      </c>
      <c r="CF27">
        <v>2.5399999999999999E-4</v>
      </c>
      <c r="CG27">
        <v>2.5399999999999999E-4</v>
      </c>
      <c r="CH27">
        <v>2.5399999999999999E-4</v>
      </c>
      <c r="CI27">
        <v>2.5399999999999999E-4</v>
      </c>
      <c r="CJ27">
        <v>2.5399999999999999E-4</v>
      </c>
      <c r="CK27">
        <v>2.5399999999999999E-4</v>
      </c>
      <c r="CL27">
        <v>2.5399999999999999E-4</v>
      </c>
      <c r="CM27">
        <v>2.5399999999999999E-4</v>
      </c>
      <c r="CN27">
        <v>2.5399999999999999E-4</v>
      </c>
      <c r="CO27">
        <v>2.5399999999999999E-4</v>
      </c>
      <c r="CP27">
        <v>2.5399999999999999E-4</v>
      </c>
      <c r="CQ27">
        <v>2.5399999999999999E-4</v>
      </c>
      <c r="CR27">
        <v>2.5399999999999999E-4</v>
      </c>
      <c r="CS27">
        <v>2.5399999999999999E-4</v>
      </c>
      <c r="CT27">
        <v>2.5399999999999999E-4</v>
      </c>
      <c r="CU27">
        <v>2.5399999999999999E-4</v>
      </c>
      <c r="CV27">
        <v>2.5399999999999999E-4</v>
      </c>
      <c r="CW27">
        <v>2.5399999999999999E-4</v>
      </c>
      <c r="CX27">
        <v>2.5399999999999999E-4</v>
      </c>
    </row>
    <row r="28" spans="1:102" x14ac:dyDescent="0.25">
      <c r="A28" t="s">
        <v>119</v>
      </c>
      <c r="B28">
        <v>1.9999999999999999E-6</v>
      </c>
      <c r="C28">
        <v>1.9999999999999999E-6</v>
      </c>
      <c r="D28">
        <v>1.9999999999999999E-6</v>
      </c>
      <c r="E28">
        <v>1.9999999999999999E-6</v>
      </c>
      <c r="F28">
        <v>1.9999999999999999E-6</v>
      </c>
      <c r="G28">
        <v>1.9999999999999999E-6</v>
      </c>
      <c r="H28">
        <v>1.9999999999999999E-6</v>
      </c>
      <c r="I28">
        <v>1.9999999999999999E-6</v>
      </c>
      <c r="J28">
        <v>1.9999999999999999E-6</v>
      </c>
      <c r="K28">
        <v>1.9999999999999999E-6</v>
      </c>
      <c r="L28">
        <v>1.9999999999999999E-6</v>
      </c>
      <c r="M28">
        <v>1.9999999999999999E-6</v>
      </c>
      <c r="N28">
        <v>1.9999999999999999E-6</v>
      </c>
      <c r="O28">
        <v>1.9999999999999999E-6</v>
      </c>
      <c r="P28">
        <v>1.9999999999999999E-6</v>
      </c>
      <c r="Q28">
        <v>6.8999999999999997E-5</v>
      </c>
      <c r="R28">
        <v>6.8999999999999997E-5</v>
      </c>
      <c r="S28">
        <v>6.8999999999999997E-5</v>
      </c>
      <c r="T28">
        <v>6.8999999999999997E-5</v>
      </c>
      <c r="U28">
        <v>6.8999999999999997E-5</v>
      </c>
      <c r="V28">
        <v>6.8999999999999997E-5</v>
      </c>
      <c r="W28">
        <v>6.8999999999999997E-5</v>
      </c>
      <c r="X28">
        <v>6.8999999999999997E-5</v>
      </c>
      <c r="Y28">
        <v>6.8999999999999997E-5</v>
      </c>
      <c r="Z28">
        <v>6.8999999999999997E-5</v>
      </c>
      <c r="AA28">
        <v>6.8999999999999997E-5</v>
      </c>
      <c r="AB28">
        <v>6.8999999999999997E-5</v>
      </c>
      <c r="AC28">
        <v>6.8999999999999997E-5</v>
      </c>
      <c r="AD28">
        <v>6.8999999999999997E-5</v>
      </c>
      <c r="AE28">
        <v>6.8999999999999997E-5</v>
      </c>
      <c r="AF28">
        <v>6.8999999999999997E-5</v>
      </c>
      <c r="AG28">
        <v>6.8999999999999997E-5</v>
      </c>
      <c r="AH28">
        <v>6.8999999999999997E-5</v>
      </c>
      <c r="AI28">
        <v>6.8999999999999997E-5</v>
      </c>
      <c r="AJ28">
        <v>6.8999999999999997E-5</v>
      </c>
      <c r="AK28">
        <v>6.8999999999999997E-5</v>
      </c>
      <c r="AL28">
        <v>6.8999999999999997E-5</v>
      </c>
      <c r="AM28">
        <v>6.8999999999999997E-5</v>
      </c>
      <c r="AN28">
        <v>6.8999999999999997E-5</v>
      </c>
      <c r="AO28">
        <v>6.8999999999999997E-5</v>
      </c>
      <c r="AP28">
        <v>3.9899999999999999E-4</v>
      </c>
      <c r="AQ28">
        <v>3.9899999999999999E-4</v>
      </c>
      <c r="AR28">
        <v>3.9899999999999999E-4</v>
      </c>
      <c r="AS28">
        <v>3.9899999999999999E-4</v>
      </c>
      <c r="AT28">
        <v>3.9899999999999999E-4</v>
      </c>
      <c r="AU28">
        <v>5.71E-4</v>
      </c>
      <c r="AV28">
        <v>5.71E-4</v>
      </c>
      <c r="AW28">
        <v>5.71E-4</v>
      </c>
      <c r="AX28">
        <v>5.71E-4</v>
      </c>
      <c r="AY28">
        <v>5.71E-4</v>
      </c>
      <c r="AZ28">
        <v>6.9899999999999997E-4</v>
      </c>
      <c r="BA28">
        <v>6.9899999999999997E-4</v>
      </c>
      <c r="BB28">
        <v>6.9899999999999997E-4</v>
      </c>
      <c r="BC28">
        <v>6.9899999999999997E-4</v>
      </c>
      <c r="BD28">
        <v>6.9899999999999997E-4</v>
      </c>
      <c r="BE28">
        <v>7.1299999999999998E-4</v>
      </c>
      <c r="BF28">
        <v>7.1299999999999998E-4</v>
      </c>
      <c r="BG28">
        <v>7.1299999999999998E-4</v>
      </c>
      <c r="BH28">
        <v>7.1299999999999998E-4</v>
      </c>
      <c r="BI28">
        <v>7.1299999999999998E-4</v>
      </c>
      <c r="BJ28">
        <v>6.7000000000000002E-4</v>
      </c>
      <c r="BK28">
        <v>6.7000000000000002E-4</v>
      </c>
      <c r="BL28">
        <v>6.7000000000000002E-4</v>
      </c>
      <c r="BM28">
        <v>6.7000000000000002E-4</v>
      </c>
      <c r="BN28">
        <v>6.7000000000000002E-4</v>
      </c>
      <c r="BO28">
        <v>7.27E-4</v>
      </c>
      <c r="BP28">
        <v>7.27E-4</v>
      </c>
      <c r="BQ28">
        <v>7.27E-4</v>
      </c>
      <c r="BR28">
        <v>7.27E-4</v>
      </c>
      <c r="BS28">
        <v>7.27E-4</v>
      </c>
      <c r="BT28">
        <v>8.3299999999999997E-4</v>
      </c>
      <c r="BU28">
        <v>8.3299999999999997E-4</v>
      </c>
      <c r="BV28">
        <v>8.3299999999999997E-4</v>
      </c>
      <c r="BW28">
        <v>8.3299999999999997E-4</v>
      </c>
      <c r="BX28">
        <v>8.3299999999999997E-4</v>
      </c>
      <c r="BY28">
        <v>1.0139999999999999E-3</v>
      </c>
      <c r="BZ28">
        <v>1.0139999999999999E-3</v>
      </c>
      <c r="CA28">
        <v>1.0139999999999999E-3</v>
      </c>
      <c r="CB28">
        <v>1.0139999999999999E-3</v>
      </c>
      <c r="CC28">
        <v>1.0139999999999999E-3</v>
      </c>
      <c r="CD28">
        <v>1.0139999999999999E-3</v>
      </c>
      <c r="CE28">
        <v>1.0139999999999999E-3</v>
      </c>
      <c r="CF28">
        <v>1.0139999999999999E-3</v>
      </c>
      <c r="CG28">
        <v>1.0139999999999999E-3</v>
      </c>
      <c r="CH28">
        <v>1.0139999999999999E-3</v>
      </c>
      <c r="CI28">
        <v>1.0139999999999999E-3</v>
      </c>
      <c r="CJ28">
        <v>1.0139999999999999E-3</v>
      </c>
      <c r="CK28">
        <v>1.0139999999999999E-3</v>
      </c>
      <c r="CL28">
        <v>1.0139999999999999E-3</v>
      </c>
      <c r="CM28">
        <v>1.0139999999999999E-3</v>
      </c>
      <c r="CN28">
        <v>1.0139999999999999E-3</v>
      </c>
      <c r="CO28">
        <v>1.0139999999999999E-3</v>
      </c>
      <c r="CP28">
        <v>1.0139999999999999E-3</v>
      </c>
      <c r="CQ28">
        <v>1.0139999999999999E-3</v>
      </c>
      <c r="CR28">
        <v>1.0139999999999999E-3</v>
      </c>
      <c r="CS28">
        <v>1.0139999999999999E-3</v>
      </c>
      <c r="CT28">
        <v>1.0139999999999999E-3</v>
      </c>
      <c r="CU28">
        <v>1.0139999999999999E-3</v>
      </c>
      <c r="CV28">
        <v>1.0139999999999999E-3</v>
      </c>
      <c r="CW28">
        <v>1.0139999999999999E-3</v>
      </c>
      <c r="CX28">
        <v>1.0139999999999999E-3</v>
      </c>
    </row>
    <row r="29" spans="1:102" x14ac:dyDescent="0.25">
      <c r="A29" t="s">
        <v>121</v>
      </c>
      <c r="B29" t="e">
        <v>#VALUE!</v>
      </c>
      <c r="C29" t="e">
        <v>#VALUE!</v>
      </c>
      <c r="D29" t="e">
        <v>#VALUE!</v>
      </c>
      <c r="E29" t="e">
        <v>#VALUE!</v>
      </c>
      <c r="F29" t="e">
        <v>#VALUE!</v>
      </c>
      <c r="G29" t="e">
        <v>#VALUE!</v>
      </c>
      <c r="H29" t="e">
        <v>#VALUE!</v>
      </c>
      <c r="I29" t="e">
        <v>#VALUE!</v>
      </c>
      <c r="J29" t="e">
        <v>#VALUE!</v>
      </c>
      <c r="K29" t="e">
        <v>#VALUE!</v>
      </c>
      <c r="L29" t="e">
        <v>#VALUE!</v>
      </c>
      <c r="M29" t="e">
        <v>#VALUE!</v>
      </c>
      <c r="N29" t="e">
        <v>#VALUE!</v>
      </c>
      <c r="O29" t="e">
        <v>#VALUE!</v>
      </c>
      <c r="P29" t="e">
        <v>#VALUE!</v>
      </c>
      <c r="Q29">
        <v>1.44E-4</v>
      </c>
      <c r="R29">
        <v>1.44E-4</v>
      </c>
      <c r="S29">
        <v>1.44E-4</v>
      </c>
      <c r="T29">
        <v>1.44E-4</v>
      </c>
      <c r="U29">
        <v>1.44E-4</v>
      </c>
      <c r="V29">
        <v>1.44E-4</v>
      </c>
      <c r="W29">
        <v>1.44E-4</v>
      </c>
      <c r="X29">
        <v>1.44E-4</v>
      </c>
      <c r="Y29">
        <v>1.44E-4</v>
      </c>
      <c r="Z29">
        <v>1.44E-4</v>
      </c>
      <c r="AA29">
        <v>1.44E-4</v>
      </c>
      <c r="AB29">
        <v>1.44E-4</v>
      </c>
      <c r="AC29">
        <v>1.44E-4</v>
      </c>
      <c r="AD29">
        <v>1.44E-4</v>
      </c>
      <c r="AE29">
        <v>1.44E-4</v>
      </c>
      <c r="AF29">
        <v>1.44E-4</v>
      </c>
      <c r="AG29">
        <v>1.44E-4</v>
      </c>
      <c r="AH29">
        <v>1.44E-4</v>
      </c>
      <c r="AI29">
        <v>1.44E-4</v>
      </c>
      <c r="AJ29">
        <v>1.44E-4</v>
      </c>
      <c r="AK29">
        <v>1.44E-4</v>
      </c>
      <c r="AL29">
        <v>1.44E-4</v>
      </c>
      <c r="AM29">
        <v>1.44E-4</v>
      </c>
      <c r="AN29">
        <v>1.44E-4</v>
      </c>
      <c r="AO29">
        <v>1.44E-4</v>
      </c>
      <c r="AP29">
        <v>8.3900000000000001E-4</v>
      </c>
      <c r="AQ29">
        <v>8.3900000000000001E-4</v>
      </c>
      <c r="AR29">
        <v>8.3900000000000001E-4</v>
      </c>
      <c r="AS29">
        <v>8.3900000000000001E-4</v>
      </c>
      <c r="AT29">
        <v>8.3900000000000001E-4</v>
      </c>
      <c r="AU29">
        <v>1.1590000000000001E-3</v>
      </c>
      <c r="AV29">
        <v>1.1590000000000001E-3</v>
      </c>
      <c r="AW29">
        <v>1.1590000000000001E-3</v>
      </c>
      <c r="AX29">
        <v>1.1590000000000001E-3</v>
      </c>
      <c r="AY29">
        <v>1.1590000000000001E-3</v>
      </c>
      <c r="AZ29">
        <v>1.415E-3</v>
      </c>
      <c r="BA29">
        <v>1.415E-3</v>
      </c>
      <c r="BB29">
        <v>1.415E-3</v>
      </c>
      <c r="BC29">
        <v>1.415E-3</v>
      </c>
      <c r="BD29">
        <v>1.415E-3</v>
      </c>
      <c r="BE29">
        <v>1.5330000000000001E-3</v>
      </c>
      <c r="BF29">
        <v>1.5330000000000001E-3</v>
      </c>
      <c r="BG29">
        <v>1.5330000000000001E-3</v>
      </c>
      <c r="BH29">
        <v>1.5330000000000001E-3</v>
      </c>
      <c r="BI29">
        <v>1.5330000000000001E-3</v>
      </c>
      <c r="BJ29">
        <v>1.6149999999999999E-3</v>
      </c>
      <c r="BK29">
        <v>1.6149999999999999E-3</v>
      </c>
      <c r="BL29">
        <v>1.6149999999999999E-3</v>
      </c>
      <c r="BM29">
        <v>1.6149999999999999E-3</v>
      </c>
      <c r="BN29">
        <v>1.6149999999999999E-3</v>
      </c>
      <c r="BO29">
        <v>1.714E-3</v>
      </c>
      <c r="BP29">
        <v>1.714E-3</v>
      </c>
      <c r="BQ29">
        <v>1.714E-3</v>
      </c>
      <c r="BR29">
        <v>1.714E-3</v>
      </c>
      <c r="BS29">
        <v>1.714E-3</v>
      </c>
      <c r="BT29">
        <v>1.7799999999999999E-3</v>
      </c>
      <c r="BU29">
        <v>1.7799999999999999E-3</v>
      </c>
      <c r="BV29">
        <v>1.7799999999999999E-3</v>
      </c>
      <c r="BW29">
        <v>1.7799999999999999E-3</v>
      </c>
      <c r="BX29">
        <v>1.7799999999999999E-3</v>
      </c>
      <c r="BY29">
        <v>1.823E-3</v>
      </c>
      <c r="BZ29">
        <v>1.823E-3</v>
      </c>
      <c r="CA29">
        <v>1.823E-3</v>
      </c>
      <c r="CB29">
        <v>1.823E-3</v>
      </c>
      <c r="CC29">
        <v>1.823E-3</v>
      </c>
      <c r="CD29">
        <v>1.823E-3</v>
      </c>
      <c r="CE29">
        <v>1.823E-3</v>
      </c>
      <c r="CF29">
        <v>1.823E-3</v>
      </c>
      <c r="CG29">
        <v>1.823E-3</v>
      </c>
      <c r="CH29">
        <v>1.823E-3</v>
      </c>
      <c r="CI29">
        <v>1.823E-3</v>
      </c>
      <c r="CJ29">
        <v>1.823E-3</v>
      </c>
      <c r="CK29">
        <v>1.823E-3</v>
      </c>
      <c r="CL29">
        <v>1.823E-3</v>
      </c>
      <c r="CM29">
        <v>1.823E-3</v>
      </c>
      <c r="CN29">
        <v>1.823E-3</v>
      </c>
      <c r="CO29">
        <v>1.823E-3</v>
      </c>
      <c r="CP29">
        <v>1.823E-3</v>
      </c>
      <c r="CQ29">
        <v>1.823E-3</v>
      </c>
      <c r="CR29">
        <v>1.823E-3</v>
      </c>
      <c r="CS29">
        <v>1.823E-3</v>
      </c>
      <c r="CT29">
        <v>1.823E-3</v>
      </c>
      <c r="CU29">
        <v>1.823E-3</v>
      </c>
      <c r="CV29">
        <v>1.823E-3</v>
      </c>
      <c r="CW29">
        <v>1.823E-3</v>
      </c>
      <c r="CX29">
        <v>1.823E-3</v>
      </c>
    </row>
    <row r="30" spans="1:102" x14ac:dyDescent="0.25">
      <c r="A30" t="s">
        <v>123</v>
      </c>
      <c r="B30" t="e">
        <v>#VALUE!</v>
      </c>
      <c r="C30" t="e">
        <v>#VALUE!</v>
      </c>
      <c r="D30" t="e">
        <v>#VALUE!</v>
      </c>
      <c r="E30" t="e">
        <v>#VALUE!</v>
      </c>
      <c r="F30" t="e">
        <v>#VALUE!</v>
      </c>
      <c r="G30" t="e">
        <v>#VALUE!</v>
      </c>
      <c r="H30" t="e">
        <v>#VALUE!</v>
      </c>
      <c r="I30" t="e">
        <v>#VALUE!</v>
      </c>
      <c r="J30" t="e">
        <v>#VALUE!</v>
      </c>
      <c r="K30" t="e">
        <v>#VALUE!</v>
      </c>
      <c r="L30" t="e">
        <v>#VALUE!</v>
      </c>
      <c r="M30" t="e">
        <v>#VALUE!</v>
      </c>
      <c r="N30" t="e">
        <v>#VALUE!</v>
      </c>
      <c r="O30" t="e">
        <v>#VALUE!</v>
      </c>
      <c r="P30" t="e">
        <v>#VALUE!</v>
      </c>
      <c r="Q30">
        <v>6.3E-5</v>
      </c>
      <c r="R30">
        <v>6.3E-5</v>
      </c>
      <c r="S30">
        <v>6.3E-5</v>
      </c>
      <c r="T30">
        <v>6.3E-5</v>
      </c>
      <c r="U30">
        <v>6.3E-5</v>
      </c>
      <c r="V30">
        <v>6.3E-5</v>
      </c>
      <c r="W30">
        <v>6.3E-5</v>
      </c>
      <c r="X30">
        <v>6.3E-5</v>
      </c>
      <c r="Y30">
        <v>6.3E-5</v>
      </c>
      <c r="Z30">
        <v>6.3E-5</v>
      </c>
      <c r="AA30">
        <v>6.3E-5</v>
      </c>
      <c r="AB30">
        <v>6.3E-5</v>
      </c>
      <c r="AC30">
        <v>6.3E-5</v>
      </c>
      <c r="AD30">
        <v>6.3E-5</v>
      </c>
      <c r="AE30">
        <v>6.3E-5</v>
      </c>
      <c r="AF30">
        <v>6.3E-5</v>
      </c>
      <c r="AG30">
        <v>6.3E-5</v>
      </c>
      <c r="AH30">
        <v>6.3E-5</v>
      </c>
      <c r="AI30">
        <v>6.3E-5</v>
      </c>
      <c r="AJ30">
        <v>6.3E-5</v>
      </c>
      <c r="AK30">
        <v>6.3E-5</v>
      </c>
      <c r="AL30">
        <v>6.3E-5</v>
      </c>
      <c r="AM30">
        <v>6.3E-5</v>
      </c>
      <c r="AN30">
        <v>6.3E-5</v>
      </c>
      <c r="AO30">
        <v>6.3E-5</v>
      </c>
      <c r="AP30">
        <v>4.1399999999999998E-4</v>
      </c>
      <c r="AQ30">
        <v>4.1399999999999998E-4</v>
      </c>
      <c r="AR30">
        <v>4.1399999999999998E-4</v>
      </c>
      <c r="AS30">
        <v>4.1399999999999998E-4</v>
      </c>
      <c r="AT30">
        <v>4.1399999999999998E-4</v>
      </c>
      <c r="AU30">
        <v>6.1200000000000002E-4</v>
      </c>
      <c r="AV30">
        <v>6.1200000000000002E-4</v>
      </c>
      <c r="AW30">
        <v>6.1200000000000002E-4</v>
      </c>
      <c r="AX30">
        <v>6.1200000000000002E-4</v>
      </c>
      <c r="AY30">
        <v>6.1200000000000002E-4</v>
      </c>
      <c r="AZ30">
        <v>7.4200000000000004E-4</v>
      </c>
      <c r="BA30">
        <v>7.4200000000000004E-4</v>
      </c>
      <c r="BB30">
        <v>7.4200000000000004E-4</v>
      </c>
      <c r="BC30">
        <v>7.4200000000000004E-4</v>
      </c>
      <c r="BD30">
        <v>7.4200000000000004E-4</v>
      </c>
      <c r="BE30">
        <v>7.5100000000000004E-4</v>
      </c>
      <c r="BF30">
        <v>7.5100000000000004E-4</v>
      </c>
      <c r="BG30">
        <v>7.5100000000000004E-4</v>
      </c>
      <c r="BH30">
        <v>7.5100000000000004E-4</v>
      </c>
      <c r="BI30">
        <v>7.5100000000000004E-4</v>
      </c>
      <c r="BJ30">
        <v>7.5299999999999998E-4</v>
      </c>
      <c r="BK30">
        <v>7.5299999999999998E-4</v>
      </c>
      <c r="BL30">
        <v>7.5299999999999998E-4</v>
      </c>
      <c r="BM30">
        <v>7.5299999999999998E-4</v>
      </c>
      <c r="BN30">
        <v>7.5299999999999998E-4</v>
      </c>
      <c r="BO30">
        <v>7.7300000000000003E-4</v>
      </c>
      <c r="BP30">
        <v>7.7300000000000003E-4</v>
      </c>
      <c r="BQ30">
        <v>7.7300000000000003E-4</v>
      </c>
      <c r="BR30">
        <v>7.7300000000000003E-4</v>
      </c>
      <c r="BS30">
        <v>7.7300000000000003E-4</v>
      </c>
      <c r="BT30">
        <v>7.9900000000000001E-4</v>
      </c>
      <c r="BU30">
        <v>7.9900000000000001E-4</v>
      </c>
      <c r="BV30">
        <v>7.9900000000000001E-4</v>
      </c>
      <c r="BW30">
        <v>7.9900000000000001E-4</v>
      </c>
      <c r="BX30">
        <v>7.9900000000000001E-4</v>
      </c>
      <c r="BY30">
        <v>8.3900000000000001E-4</v>
      </c>
      <c r="BZ30">
        <v>8.3900000000000001E-4</v>
      </c>
      <c r="CA30">
        <v>8.3900000000000001E-4</v>
      </c>
      <c r="CB30">
        <v>8.3900000000000001E-4</v>
      </c>
      <c r="CC30">
        <v>8.3900000000000001E-4</v>
      </c>
      <c r="CD30">
        <v>8.3900000000000001E-4</v>
      </c>
      <c r="CE30">
        <v>8.3900000000000001E-4</v>
      </c>
      <c r="CF30">
        <v>8.3900000000000001E-4</v>
      </c>
      <c r="CG30">
        <v>8.3900000000000001E-4</v>
      </c>
      <c r="CH30">
        <v>8.3900000000000001E-4</v>
      </c>
      <c r="CI30">
        <v>8.3900000000000001E-4</v>
      </c>
      <c r="CJ30">
        <v>8.3900000000000001E-4</v>
      </c>
      <c r="CK30">
        <v>8.3900000000000001E-4</v>
      </c>
      <c r="CL30">
        <v>8.3900000000000001E-4</v>
      </c>
      <c r="CM30">
        <v>8.3900000000000001E-4</v>
      </c>
      <c r="CN30">
        <v>8.3900000000000001E-4</v>
      </c>
      <c r="CO30">
        <v>8.3900000000000001E-4</v>
      </c>
      <c r="CP30">
        <v>8.3900000000000001E-4</v>
      </c>
      <c r="CQ30">
        <v>8.3900000000000001E-4</v>
      </c>
      <c r="CR30">
        <v>8.3900000000000001E-4</v>
      </c>
      <c r="CS30">
        <v>8.3900000000000001E-4</v>
      </c>
      <c r="CT30">
        <v>8.3900000000000001E-4</v>
      </c>
      <c r="CU30">
        <v>8.3900000000000001E-4</v>
      </c>
      <c r="CV30">
        <v>8.3900000000000001E-4</v>
      </c>
      <c r="CW30">
        <v>8.3900000000000001E-4</v>
      </c>
      <c r="CX30">
        <v>8.3900000000000001E-4</v>
      </c>
    </row>
    <row r="31" spans="1:102" x14ac:dyDescent="0.25">
      <c r="A31" t="s">
        <v>125</v>
      </c>
      <c r="B31" t="e">
        <v>#VALUE!</v>
      </c>
      <c r="C31" t="e">
        <v>#VALUE!</v>
      </c>
      <c r="D31" t="e">
        <v>#VALUE!</v>
      </c>
      <c r="E31" t="e">
        <v>#VALUE!</v>
      </c>
      <c r="F31" t="e">
        <v>#VALUE!</v>
      </c>
      <c r="G31" t="e">
        <v>#VALUE!</v>
      </c>
      <c r="H31" t="e">
        <v>#VALUE!</v>
      </c>
      <c r="I31" t="e">
        <v>#VALUE!</v>
      </c>
      <c r="J31" t="e">
        <v>#VALUE!</v>
      </c>
      <c r="K31" t="e">
        <v>#VALUE!</v>
      </c>
      <c r="L31" t="e">
        <v>#VALUE!</v>
      </c>
      <c r="M31" t="e">
        <v>#VALUE!</v>
      </c>
      <c r="N31" t="e">
        <v>#VALUE!</v>
      </c>
      <c r="O31" t="e">
        <v>#VALUE!</v>
      </c>
      <c r="P31" t="e">
        <v>#VALUE!</v>
      </c>
      <c r="Q31">
        <v>9.3999999999999994E-5</v>
      </c>
      <c r="R31">
        <v>9.3999999999999994E-5</v>
      </c>
      <c r="S31">
        <v>9.3999999999999994E-5</v>
      </c>
      <c r="T31">
        <v>9.3999999999999994E-5</v>
      </c>
      <c r="U31">
        <v>9.3999999999999994E-5</v>
      </c>
      <c r="V31">
        <v>9.3999999999999994E-5</v>
      </c>
      <c r="W31">
        <v>9.3999999999999994E-5</v>
      </c>
      <c r="X31">
        <v>9.3999999999999994E-5</v>
      </c>
      <c r="Y31">
        <v>9.3999999999999994E-5</v>
      </c>
      <c r="Z31">
        <v>9.3999999999999994E-5</v>
      </c>
      <c r="AA31">
        <v>9.3999999999999994E-5</v>
      </c>
      <c r="AB31">
        <v>9.3999999999999994E-5</v>
      </c>
      <c r="AC31">
        <v>9.3999999999999994E-5</v>
      </c>
      <c r="AD31">
        <v>9.3999999999999994E-5</v>
      </c>
      <c r="AE31">
        <v>9.3999999999999994E-5</v>
      </c>
      <c r="AF31">
        <v>9.3999999999999994E-5</v>
      </c>
      <c r="AG31">
        <v>9.3999999999999994E-5</v>
      </c>
      <c r="AH31">
        <v>9.3999999999999994E-5</v>
      </c>
      <c r="AI31">
        <v>9.3999999999999994E-5</v>
      </c>
      <c r="AJ31">
        <v>9.3999999999999994E-5</v>
      </c>
      <c r="AK31">
        <v>9.3999999999999994E-5</v>
      </c>
      <c r="AL31">
        <v>9.3999999999999994E-5</v>
      </c>
      <c r="AM31">
        <v>9.3999999999999994E-5</v>
      </c>
      <c r="AN31">
        <v>9.3999999999999994E-5</v>
      </c>
      <c r="AO31">
        <v>9.3999999999999994E-5</v>
      </c>
      <c r="AP31">
        <v>6.5499999999999998E-4</v>
      </c>
      <c r="AQ31">
        <v>6.5499999999999998E-4</v>
      </c>
      <c r="AR31">
        <v>6.5499999999999998E-4</v>
      </c>
      <c r="AS31">
        <v>6.5499999999999998E-4</v>
      </c>
      <c r="AT31">
        <v>6.5499999999999998E-4</v>
      </c>
      <c r="AU31">
        <v>8.0999999999999996E-4</v>
      </c>
      <c r="AV31">
        <v>8.0999999999999996E-4</v>
      </c>
      <c r="AW31">
        <v>8.0999999999999996E-4</v>
      </c>
      <c r="AX31">
        <v>8.0999999999999996E-4</v>
      </c>
      <c r="AY31">
        <v>8.0999999999999996E-4</v>
      </c>
      <c r="AZ31">
        <v>8.8400000000000002E-4</v>
      </c>
      <c r="BA31">
        <v>8.8400000000000002E-4</v>
      </c>
      <c r="BB31">
        <v>8.8400000000000002E-4</v>
      </c>
      <c r="BC31">
        <v>8.8400000000000002E-4</v>
      </c>
      <c r="BD31">
        <v>8.8400000000000002E-4</v>
      </c>
      <c r="BE31">
        <v>9.2599999999999996E-4</v>
      </c>
      <c r="BF31">
        <v>9.2599999999999996E-4</v>
      </c>
      <c r="BG31">
        <v>9.2599999999999996E-4</v>
      </c>
      <c r="BH31">
        <v>9.2599999999999996E-4</v>
      </c>
      <c r="BI31">
        <v>9.2599999999999996E-4</v>
      </c>
      <c r="BJ31">
        <v>9.7099999999999997E-4</v>
      </c>
      <c r="BK31">
        <v>9.7099999999999997E-4</v>
      </c>
      <c r="BL31">
        <v>9.7099999999999997E-4</v>
      </c>
      <c r="BM31">
        <v>9.7099999999999997E-4</v>
      </c>
      <c r="BN31">
        <v>9.7099999999999997E-4</v>
      </c>
      <c r="BO31">
        <v>9.3800000000000003E-4</v>
      </c>
      <c r="BP31">
        <v>9.3800000000000003E-4</v>
      </c>
      <c r="BQ31">
        <v>9.3800000000000003E-4</v>
      </c>
      <c r="BR31">
        <v>9.3800000000000003E-4</v>
      </c>
      <c r="BS31">
        <v>9.3800000000000003E-4</v>
      </c>
      <c r="BT31">
        <v>8.3100000000000003E-4</v>
      </c>
      <c r="BU31">
        <v>8.3100000000000003E-4</v>
      </c>
      <c r="BV31">
        <v>8.3100000000000003E-4</v>
      </c>
      <c r="BW31">
        <v>8.3100000000000003E-4</v>
      </c>
      <c r="BX31">
        <v>8.3100000000000003E-4</v>
      </c>
      <c r="BY31">
        <v>6.3500000000000004E-4</v>
      </c>
      <c r="BZ31">
        <v>6.3500000000000004E-4</v>
      </c>
      <c r="CA31">
        <v>6.3500000000000004E-4</v>
      </c>
      <c r="CB31">
        <v>6.3500000000000004E-4</v>
      </c>
      <c r="CC31">
        <v>6.3500000000000004E-4</v>
      </c>
      <c r="CD31">
        <v>6.3500000000000004E-4</v>
      </c>
      <c r="CE31">
        <v>6.3500000000000004E-4</v>
      </c>
      <c r="CF31">
        <v>6.3500000000000004E-4</v>
      </c>
      <c r="CG31">
        <v>6.3500000000000004E-4</v>
      </c>
      <c r="CH31">
        <v>6.3500000000000004E-4</v>
      </c>
      <c r="CI31">
        <v>6.3500000000000004E-4</v>
      </c>
      <c r="CJ31">
        <v>6.3500000000000004E-4</v>
      </c>
      <c r="CK31">
        <v>6.3500000000000004E-4</v>
      </c>
      <c r="CL31">
        <v>6.3500000000000004E-4</v>
      </c>
      <c r="CM31">
        <v>6.3500000000000004E-4</v>
      </c>
      <c r="CN31">
        <v>6.3500000000000004E-4</v>
      </c>
      <c r="CO31">
        <v>6.3500000000000004E-4</v>
      </c>
      <c r="CP31">
        <v>6.3500000000000004E-4</v>
      </c>
      <c r="CQ31">
        <v>6.3500000000000004E-4</v>
      </c>
      <c r="CR31">
        <v>6.3500000000000004E-4</v>
      </c>
      <c r="CS31">
        <v>6.3500000000000004E-4</v>
      </c>
      <c r="CT31">
        <v>6.3500000000000004E-4</v>
      </c>
      <c r="CU31">
        <v>6.3500000000000004E-4</v>
      </c>
      <c r="CV31">
        <v>6.3500000000000004E-4</v>
      </c>
      <c r="CW31">
        <v>6.3500000000000004E-4</v>
      </c>
      <c r="CX31">
        <v>6.3500000000000004E-4</v>
      </c>
    </row>
    <row r="32" spans="1:102" x14ac:dyDescent="0.25">
      <c r="A32" t="s">
        <v>127</v>
      </c>
      <c r="B32" t="e">
        <v>#VALUE!</v>
      </c>
      <c r="C32" t="e">
        <v>#VALUE!</v>
      </c>
      <c r="D32" t="e">
        <v>#VALUE!</v>
      </c>
      <c r="E32" t="e">
        <v>#VALUE!</v>
      </c>
      <c r="F32" t="e">
        <v>#VALUE!</v>
      </c>
      <c r="G32" t="e">
        <v>#VALUE!</v>
      </c>
      <c r="H32" t="e">
        <v>#VALUE!</v>
      </c>
      <c r="I32" t="e">
        <v>#VALUE!</v>
      </c>
      <c r="J32" t="e">
        <v>#VALUE!</v>
      </c>
      <c r="K32" t="e">
        <v>#VALUE!</v>
      </c>
      <c r="L32" t="e">
        <v>#VALUE!</v>
      </c>
      <c r="M32" t="e">
        <v>#VALUE!</v>
      </c>
      <c r="N32" t="e">
        <v>#VALUE!</v>
      </c>
      <c r="O32" t="e">
        <v>#VALUE!</v>
      </c>
      <c r="P32" t="e">
        <v>#VALUE!</v>
      </c>
      <c r="Q32">
        <v>6.8999999999999997E-5</v>
      </c>
      <c r="R32">
        <v>6.8999999999999997E-5</v>
      </c>
      <c r="S32">
        <v>6.8999999999999997E-5</v>
      </c>
      <c r="T32">
        <v>6.8999999999999997E-5</v>
      </c>
      <c r="U32">
        <v>6.8999999999999997E-5</v>
      </c>
      <c r="V32">
        <v>6.8999999999999997E-5</v>
      </c>
      <c r="W32">
        <v>6.8999999999999997E-5</v>
      </c>
      <c r="X32">
        <v>6.8999999999999997E-5</v>
      </c>
      <c r="Y32">
        <v>6.8999999999999997E-5</v>
      </c>
      <c r="Z32">
        <v>6.8999999999999997E-5</v>
      </c>
      <c r="AA32">
        <v>6.8999999999999997E-5</v>
      </c>
      <c r="AB32">
        <v>6.8999999999999997E-5</v>
      </c>
      <c r="AC32">
        <v>6.8999999999999997E-5</v>
      </c>
      <c r="AD32">
        <v>6.8999999999999997E-5</v>
      </c>
      <c r="AE32">
        <v>6.8999999999999997E-5</v>
      </c>
      <c r="AF32">
        <v>6.8999999999999997E-5</v>
      </c>
      <c r="AG32">
        <v>6.8999999999999997E-5</v>
      </c>
      <c r="AH32">
        <v>6.8999999999999997E-5</v>
      </c>
      <c r="AI32">
        <v>6.8999999999999997E-5</v>
      </c>
      <c r="AJ32">
        <v>6.8999999999999997E-5</v>
      </c>
      <c r="AK32">
        <v>6.8999999999999997E-5</v>
      </c>
      <c r="AL32">
        <v>6.8999999999999997E-5</v>
      </c>
      <c r="AM32">
        <v>6.8999999999999997E-5</v>
      </c>
      <c r="AN32">
        <v>6.8999999999999997E-5</v>
      </c>
      <c r="AO32">
        <v>6.8999999999999997E-5</v>
      </c>
      <c r="AP32">
        <v>1.35E-4</v>
      </c>
      <c r="AQ32">
        <v>1.35E-4</v>
      </c>
      <c r="AR32">
        <v>1.35E-4</v>
      </c>
      <c r="AS32">
        <v>1.35E-4</v>
      </c>
      <c r="AT32">
        <v>1.35E-4</v>
      </c>
      <c r="AU32">
        <v>1.2899999999999999E-4</v>
      </c>
      <c r="AV32">
        <v>1.2899999999999999E-4</v>
      </c>
      <c r="AW32">
        <v>1.2899999999999999E-4</v>
      </c>
      <c r="AX32">
        <v>1.2899999999999999E-4</v>
      </c>
      <c r="AY32">
        <v>1.2899999999999999E-4</v>
      </c>
      <c r="AZ32">
        <v>1.17E-4</v>
      </c>
      <c r="BA32">
        <v>1.17E-4</v>
      </c>
      <c r="BB32">
        <v>1.17E-4</v>
      </c>
      <c r="BC32">
        <v>1.17E-4</v>
      </c>
      <c r="BD32">
        <v>1.17E-4</v>
      </c>
      <c r="BE32">
        <v>1.0900000000000001E-4</v>
      </c>
      <c r="BF32">
        <v>1.0900000000000001E-4</v>
      </c>
      <c r="BG32">
        <v>1.0900000000000001E-4</v>
      </c>
      <c r="BH32">
        <v>1.0900000000000001E-4</v>
      </c>
      <c r="BI32">
        <v>1.0900000000000001E-4</v>
      </c>
      <c r="BJ32">
        <v>1.03E-4</v>
      </c>
      <c r="BK32">
        <v>1.03E-4</v>
      </c>
      <c r="BL32">
        <v>1.03E-4</v>
      </c>
      <c r="BM32">
        <v>1.03E-4</v>
      </c>
      <c r="BN32">
        <v>1.03E-4</v>
      </c>
      <c r="BO32">
        <v>9.7999999999999997E-5</v>
      </c>
      <c r="BP32">
        <v>9.7999999999999997E-5</v>
      </c>
      <c r="BQ32">
        <v>9.7999999999999997E-5</v>
      </c>
      <c r="BR32">
        <v>9.7999999999999997E-5</v>
      </c>
      <c r="BS32">
        <v>9.7999999999999997E-5</v>
      </c>
      <c r="BT32">
        <v>9.6000000000000002E-5</v>
      </c>
      <c r="BU32">
        <v>9.6000000000000002E-5</v>
      </c>
      <c r="BV32">
        <v>9.6000000000000002E-5</v>
      </c>
      <c r="BW32">
        <v>9.6000000000000002E-5</v>
      </c>
      <c r="BX32">
        <v>9.6000000000000002E-5</v>
      </c>
      <c r="BY32">
        <v>9.7999999999999997E-5</v>
      </c>
      <c r="BZ32">
        <v>9.7999999999999997E-5</v>
      </c>
      <c r="CA32">
        <v>9.7999999999999997E-5</v>
      </c>
      <c r="CB32">
        <v>9.7999999999999997E-5</v>
      </c>
      <c r="CC32">
        <v>9.7999999999999997E-5</v>
      </c>
      <c r="CD32">
        <v>9.7999999999999997E-5</v>
      </c>
      <c r="CE32">
        <v>9.7999999999999997E-5</v>
      </c>
      <c r="CF32">
        <v>9.7999999999999997E-5</v>
      </c>
      <c r="CG32">
        <v>9.7999999999999997E-5</v>
      </c>
      <c r="CH32">
        <v>9.7999999999999997E-5</v>
      </c>
      <c r="CI32">
        <v>9.7999999999999997E-5</v>
      </c>
      <c r="CJ32">
        <v>9.7999999999999997E-5</v>
      </c>
      <c r="CK32">
        <v>9.7999999999999997E-5</v>
      </c>
      <c r="CL32">
        <v>9.7999999999999997E-5</v>
      </c>
      <c r="CM32">
        <v>9.7999999999999997E-5</v>
      </c>
      <c r="CN32">
        <v>9.7999999999999997E-5</v>
      </c>
      <c r="CO32">
        <v>9.7999999999999997E-5</v>
      </c>
      <c r="CP32">
        <v>9.7999999999999997E-5</v>
      </c>
      <c r="CQ32">
        <v>9.7999999999999997E-5</v>
      </c>
      <c r="CR32">
        <v>9.7999999999999997E-5</v>
      </c>
      <c r="CS32">
        <v>9.7999999999999997E-5</v>
      </c>
      <c r="CT32">
        <v>9.7999999999999997E-5</v>
      </c>
      <c r="CU32">
        <v>9.7999999999999997E-5</v>
      </c>
      <c r="CV32">
        <v>9.7999999999999997E-5</v>
      </c>
      <c r="CW32">
        <v>9.7999999999999997E-5</v>
      </c>
      <c r="CX32">
        <v>9.7999999999999997E-5</v>
      </c>
    </row>
    <row r="33" spans="1:102" x14ac:dyDescent="0.25">
      <c r="A33" t="s">
        <v>130</v>
      </c>
      <c r="B33" t="e">
        <v>#VALUE!</v>
      </c>
      <c r="C33" t="e">
        <v>#VALUE!</v>
      </c>
      <c r="D33" t="e">
        <v>#VALUE!</v>
      </c>
      <c r="E33" t="e">
        <v>#VALUE!</v>
      </c>
      <c r="F33" t="e">
        <v>#VALUE!</v>
      </c>
      <c r="G33" t="e">
        <v>#VALUE!</v>
      </c>
      <c r="H33" t="e">
        <v>#VALUE!</v>
      </c>
      <c r="I33" t="e">
        <v>#VALUE!</v>
      </c>
      <c r="J33" t="e">
        <v>#VALUE!</v>
      </c>
      <c r="K33" t="e">
        <v>#VALUE!</v>
      </c>
      <c r="L33" t="e">
        <v>#VALUE!</v>
      </c>
      <c r="M33" t="e">
        <v>#VALUE!</v>
      </c>
      <c r="N33" t="e">
        <v>#VALUE!</v>
      </c>
      <c r="O33" t="e">
        <v>#VALUE!</v>
      </c>
      <c r="P33" t="e">
        <v>#VALUE!</v>
      </c>
      <c r="Q33">
        <v>6.3999999999999997E-5</v>
      </c>
      <c r="R33">
        <v>6.3999999999999997E-5</v>
      </c>
      <c r="S33">
        <v>6.3999999999999997E-5</v>
      </c>
      <c r="T33">
        <v>6.3999999999999997E-5</v>
      </c>
      <c r="U33">
        <v>6.3999999999999997E-5</v>
      </c>
      <c r="V33">
        <v>6.3999999999999997E-5</v>
      </c>
      <c r="W33">
        <v>6.3999999999999997E-5</v>
      </c>
      <c r="X33">
        <v>6.3999999999999997E-5</v>
      </c>
      <c r="Y33">
        <v>6.3999999999999997E-5</v>
      </c>
      <c r="Z33">
        <v>6.3999999999999997E-5</v>
      </c>
      <c r="AA33">
        <v>6.3999999999999997E-5</v>
      </c>
      <c r="AB33">
        <v>6.3999999999999997E-5</v>
      </c>
      <c r="AC33">
        <v>6.3999999999999997E-5</v>
      </c>
      <c r="AD33">
        <v>6.3999999999999997E-5</v>
      </c>
      <c r="AE33">
        <v>6.3999999999999997E-5</v>
      </c>
      <c r="AF33">
        <v>6.3999999999999997E-5</v>
      </c>
      <c r="AG33">
        <v>6.3999999999999997E-5</v>
      </c>
      <c r="AH33">
        <v>6.3999999999999997E-5</v>
      </c>
      <c r="AI33">
        <v>6.3999999999999997E-5</v>
      </c>
      <c r="AJ33">
        <v>6.3999999999999997E-5</v>
      </c>
      <c r="AK33">
        <v>6.3999999999999997E-5</v>
      </c>
      <c r="AL33">
        <v>6.3999999999999997E-5</v>
      </c>
      <c r="AM33">
        <v>6.3999999999999997E-5</v>
      </c>
      <c r="AN33">
        <v>6.3999999999999997E-5</v>
      </c>
      <c r="AO33">
        <v>6.3999999999999997E-5</v>
      </c>
      <c r="AP33">
        <v>3.9300000000000001E-4</v>
      </c>
      <c r="AQ33">
        <v>3.9300000000000001E-4</v>
      </c>
      <c r="AR33">
        <v>3.9300000000000001E-4</v>
      </c>
      <c r="AS33">
        <v>3.9300000000000001E-4</v>
      </c>
      <c r="AT33">
        <v>3.9300000000000001E-4</v>
      </c>
      <c r="AU33">
        <v>5.9900000000000003E-4</v>
      </c>
      <c r="AV33">
        <v>5.9900000000000003E-4</v>
      </c>
      <c r="AW33">
        <v>5.9900000000000003E-4</v>
      </c>
      <c r="AX33">
        <v>5.9900000000000003E-4</v>
      </c>
      <c r="AY33">
        <v>5.9900000000000003E-4</v>
      </c>
      <c r="AZ33">
        <v>7.18E-4</v>
      </c>
      <c r="BA33">
        <v>7.18E-4</v>
      </c>
      <c r="BB33">
        <v>7.18E-4</v>
      </c>
      <c r="BC33">
        <v>7.18E-4</v>
      </c>
      <c r="BD33">
        <v>7.18E-4</v>
      </c>
      <c r="BE33">
        <v>7.9299999999999998E-4</v>
      </c>
      <c r="BF33">
        <v>7.9299999999999998E-4</v>
      </c>
      <c r="BG33">
        <v>7.9299999999999998E-4</v>
      </c>
      <c r="BH33">
        <v>7.9299999999999998E-4</v>
      </c>
      <c r="BI33">
        <v>7.9299999999999998E-4</v>
      </c>
      <c r="BJ33">
        <v>1.049E-3</v>
      </c>
      <c r="BK33">
        <v>1.049E-3</v>
      </c>
      <c r="BL33">
        <v>1.049E-3</v>
      </c>
      <c r="BM33">
        <v>1.049E-3</v>
      </c>
      <c r="BN33">
        <v>1.049E-3</v>
      </c>
      <c r="BO33">
        <v>1.1429999999999999E-3</v>
      </c>
      <c r="BP33">
        <v>1.1429999999999999E-3</v>
      </c>
      <c r="BQ33">
        <v>1.1429999999999999E-3</v>
      </c>
      <c r="BR33">
        <v>1.1429999999999999E-3</v>
      </c>
      <c r="BS33">
        <v>1.1429999999999999E-3</v>
      </c>
      <c r="BT33">
        <v>1.0059999999999999E-3</v>
      </c>
      <c r="BU33">
        <v>1.0059999999999999E-3</v>
      </c>
      <c r="BV33">
        <v>1.0059999999999999E-3</v>
      </c>
      <c r="BW33">
        <v>1.0059999999999999E-3</v>
      </c>
      <c r="BX33">
        <v>1.0059999999999999E-3</v>
      </c>
      <c r="BY33">
        <v>2.1310000000000001E-3</v>
      </c>
      <c r="BZ33">
        <v>2.1310000000000001E-3</v>
      </c>
      <c r="CA33">
        <v>2.1310000000000001E-3</v>
      </c>
      <c r="CB33">
        <v>2.1310000000000001E-3</v>
      </c>
      <c r="CC33">
        <v>2.1310000000000001E-3</v>
      </c>
      <c r="CD33">
        <v>2.1310000000000001E-3</v>
      </c>
      <c r="CE33">
        <v>2.1310000000000001E-3</v>
      </c>
      <c r="CF33">
        <v>2.1310000000000001E-3</v>
      </c>
      <c r="CG33">
        <v>2.1310000000000001E-3</v>
      </c>
      <c r="CH33">
        <v>2.1310000000000001E-3</v>
      </c>
      <c r="CI33">
        <v>2.1310000000000001E-3</v>
      </c>
      <c r="CJ33">
        <v>2.1310000000000001E-3</v>
      </c>
      <c r="CK33">
        <v>2.1310000000000001E-3</v>
      </c>
      <c r="CL33">
        <v>2.1310000000000001E-3</v>
      </c>
      <c r="CM33">
        <v>2.1310000000000001E-3</v>
      </c>
      <c r="CN33">
        <v>2.1310000000000001E-3</v>
      </c>
      <c r="CO33">
        <v>2.1310000000000001E-3</v>
      </c>
      <c r="CP33">
        <v>2.1310000000000001E-3</v>
      </c>
      <c r="CQ33">
        <v>2.1310000000000001E-3</v>
      </c>
      <c r="CR33">
        <v>2.1310000000000001E-3</v>
      </c>
      <c r="CS33">
        <v>2.1310000000000001E-3</v>
      </c>
      <c r="CT33">
        <v>2.1310000000000001E-3</v>
      </c>
      <c r="CU33">
        <v>2.1310000000000001E-3</v>
      </c>
      <c r="CV33">
        <v>2.1310000000000001E-3</v>
      </c>
      <c r="CW33">
        <v>2.1310000000000001E-3</v>
      </c>
      <c r="CX33">
        <v>2.1310000000000001E-3</v>
      </c>
    </row>
    <row r="34" spans="1:102" x14ac:dyDescent="0.25">
      <c r="A34" t="s">
        <v>132</v>
      </c>
      <c r="B34" t="e">
        <v>#VALUE!</v>
      </c>
      <c r="C34" t="e">
        <v>#VALUE!</v>
      </c>
      <c r="D34" t="e">
        <v>#VALUE!</v>
      </c>
      <c r="E34" t="e">
        <v>#VALUE!</v>
      </c>
      <c r="F34" t="e">
        <v>#VALUE!</v>
      </c>
      <c r="G34" t="e">
        <v>#VALUE!</v>
      </c>
      <c r="H34" t="e">
        <v>#VALUE!</v>
      </c>
      <c r="I34" t="e">
        <v>#VALUE!</v>
      </c>
      <c r="J34" t="e">
        <v>#VALUE!</v>
      </c>
      <c r="K34" t="e">
        <v>#VALUE!</v>
      </c>
      <c r="L34" t="e">
        <v>#VALUE!</v>
      </c>
      <c r="M34" t="e">
        <v>#VALUE!</v>
      </c>
      <c r="N34" t="e">
        <v>#VALUE!</v>
      </c>
      <c r="O34" t="e">
        <v>#VALUE!</v>
      </c>
      <c r="P34" t="e">
        <v>#VALUE!</v>
      </c>
      <c r="Q34">
        <v>3.8000000000000002E-5</v>
      </c>
      <c r="R34">
        <v>3.8000000000000002E-5</v>
      </c>
      <c r="S34">
        <v>3.8000000000000002E-5</v>
      </c>
      <c r="T34">
        <v>3.8000000000000002E-5</v>
      </c>
      <c r="U34">
        <v>3.8000000000000002E-5</v>
      </c>
      <c r="V34">
        <v>3.8000000000000002E-5</v>
      </c>
      <c r="W34">
        <v>3.8000000000000002E-5</v>
      </c>
      <c r="X34">
        <v>3.8000000000000002E-5</v>
      </c>
      <c r="Y34">
        <v>3.8000000000000002E-5</v>
      </c>
      <c r="Z34">
        <v>3.8000000000000002E-5</v>
      </c>
      <c r="AA34">
        <v>3.8000000000000002E-5</v>
      </c>
      <c r="AB34">
        <v>3.8000000000000002E-5</v>
      </c>
      <c r="AC34">
        <v>3.8000000000000002E-5</v>
      </c>
      <c r="AD34">
        <v>3.8000000000000002E-5</v>
      </c>
      <c r="AE34">
        <v>3.8000000000000002E-5</v>
      </c>
      <c r="AF34">
        <v>3.8000000000000002E-5</v>
      </c>
      <c r="AG34">
        <v>3.8000000000000002E-5</v>
      </c>
      <c r="AH34">
        <v>3.8000000000000002E-5</v>
      </c>
      <c r="AI34">
        <v>3.8000000000000002E-5</v>
      </c>
      <c r="AJ34">
        <v>3.8000000000000002E-5</v>
      </c>
      <c r="AK34">
        <v>3.8000000000000002E-5</v>
      </c>
      <c r="AL34">
        <v>3.8000000000000002E-5</v>
      </c>
      <c r="AM34">
        <v>3.8000000000000002E-5</v>
      </c>
      <c r="AN34">
        <v>3.8000000000000002E-5</v>
      </c>
      <c r="AO34">
        <v>3.8000000000000002E-5</v>
      </c>
      <c r="AP34">
        <v>3.1700000000000001E-4</v>
      </c>
      <c r="AQ34">
        <v>3.1700000000000001E-4</v>
      </c>
      <c r="AR34">
        <v>3.1700000000000001E-4</v>
      </c>
      <c r="AS34">
        <v>3.1700000000000001E-4</v>
      </c>
      <c r="AT34">
        <v>3.1700000000000001E-4</v>
      </c>
      <c r="AU34">
        <v>4.4900000000000002E-4</v>
      </c>
      <c r="AV34">
        <v>4.4900000000000002E-4</v>
      </c>
      <c r="AW34">
        <v>4.4900000000000002E-4</v>
      </c>
      <c r="AX34">
        <v>4.4900000000000002E-4</v>
      </c>
      <c r="AY34">
        <v>4.4900000000000002E-4</v>
      </c>
      <c r="AZ34">
        <v>6.2200000000000005E-4</v>
      </c>
      <c r="BA34">
        <v>6.2200000000000005E-4</v>
      </c>
      <c r="BB34">
        <v>6.2200000000000005E-4</v>
      </c>
      <c r="BC34">
        <v>6.2200000000000005E-4</v>
      </c>
      <c r="BD34">
        <v>6.2200000000000005E-4</v>
      </c>
      <c r="BE34">
        <v>7.7999999999999999E-4</v>
      </c>
      <c r="BF34">
        <v>7.7999999999999999E-4</v>
      </c>
      <c r="BG34">
        <v>7.7999999999999999E-4</v>
      </c>
      <c r="BH34">
        <v>7.7999999999999999E-4</v>
      </c>
      <c r="BI34">
        <v>7.7999999999999999E-4</v>
      </c>
      <c r="BJ34">
        <v>8.8400000000000002E-4</v>
      </c>
      <c r="BK34">
        <v>8.8400000000000002E-4</v>
      </c>
      <c r="BL34">
        <v>8.8400000000000002E-4</v>
      </c>
      <c r="BM34">
        <v>8.8400000000000002E-4</v>
      </c>
      <c r="BN34">
        <v>8.8400000000000002E-4</v>
      </c>
      <c r="BO34">
        <v>8.8599999999999996E-4</v>
      </c>
      <c r="BP34">
        <v>8.8599999999999996E-4</v>
      </c>
      <c r="BQ34">
        <v>8.8599999999999996E-4</v>
      </c>
      <c r="BR34">
        <v>8.8599999999999996E-4</v>
      </c>
      <c r="BS34">
        <v>8.8599999999999996E-4</v>
      </c>
      <c r="BT34">
        <v>7.5299999999999998E-4</v>
      </c>
      <c r="BU34">
        <v>7.5299999999999998E-4</v>
      </c>
      <c r="BV34">
        <v>7.5299999999999998E-4</v>
      </c>
      <c r="BW34">
        <v>7.5299999999999998E-4</v>
      </c>
      <c r="BX34">
        <v>7.5299999999999998E-4</v>
      </c>
      <c r="BY34">
        <v>5.4500000000000002E-4</v>
      </c>
      <c r="BZ34">
        <v>5.4500000000000002E-4</v>
      </c>
      <c r="CA34">
        <v>5.4500000000000002E-4</v>
      </c>
      <c r="CB34">
        <v>5.4500000000000002E-4</v>
      </c>
      <c r="CC34">
        <v>5.4500000000000002E-4</v>
      </c>
      <c r="CD34">
        <v>5.4500000000000002E-4</v>
      </c>
      <c r="CE34">
        <v>5.4500000000000002E-4</v>
      </c>
      <c r="CF34">
        <v>5.4500000000000002E-4</v>
      </c>
      <c r="CG34">
        <v>5.4500000000000002E-4</v>
      </c>
      <c r="CH34">
        <v>5.4500000000000002E-4</v>
      </c>
      <c r="CI34">
        <v>5.4500000000000002E-4</v>
      </c>
      <c r="CJ34">
        <v>5.4500000000000002E-4</v>
      </c>
      <c r="CK34">
        <v>5.4500000000000002E-4</v>
      </c>
      <c r="CL34">
        <v>5.4500000000000002E-4</v>
      </c>
      <c r="CM34">
        <v>5.4500000000000002E-4</v>
      </c>
      <c r="CN34">
        <v>5.4500000000000002E-4</v>
      </c>
      <c r="CO34">
        <v>5.4500000000000002E-4</v>
      </c>
      <c r="CP34">
        <v>5.4500000000000002E-4</v>
      </c>
      <c r="CQ34">
        <v>5.4500000000000002E-4</v>
      </c>
      <c r="CR34">
        <v>5.4500000000000002E-4</v>
      </c>
      <c r="CS34">
        <v>5.4500000000000002E-4</v>
      </c>
      <c r="CT34">
        <v>5.4500000000000002E-4</v>
      </c>
      <c r="CU34">
        <v>5.4500000000000002E-4</v>
      </c>
      <c r="CV34">
        <v>5.4500000000000002E-4</v>
      </c>
      <c r="CW34">
        <v>5.4500000000000002E-4</v>
      </c>
      <c r="CX34">
        <v>5.4500000000000002E-4</v>
      </c>
    </row>
    <row r="35" spans="1:102" x14ac:dyDescent="0.25">
      <c r="A35" t="s">
        <v>134</v>
      </c>
      <c r="B35" t="e">
        <v>#VALUE!</v>
      </c>
      <c r="C35" t="e">
        <v>#VALUE!</v>
      </c>
      <c r="D35" t="e">
        <v>#VALUE!</v>
      </c>
      <c r="E35" t="e">
        <v>#VALUE!</v>
      </c>
      <c r="F35" t="e">
        <v>#VALUE!</v>
      </c>
      <c r="G35" t="e">
        <v>#VALUE!</v>
      </c>
      <c r="H35" t="e">
        <v>#VALUE!</v>
      </c>
      <c r="I35" t="e">
        <v>#VALUE!</v>
      </c>
      <c r="J35" t="e">
        <v>#VALUE!</v>
      </c>
      <c r="K35" t="e">
        <v>#VALUE!</v>
      </c>
      <c r="L35" t="e">
        <v>#VALUE!</v>
      </c>
      <c r="M35" t="e">
        <v>#VALUE!</v>
      </c>
      <c r="N35" t="e">
        <v>#VALUE!</v>
      </c>
      <c r="O35" t="e">
        <v>#VALUE!</v>
      </c>
      <c r="P35" t="e">
        <v>#VALUE!</v>
      </c>
      <c r="Q35">
        <v>4.5000000000000003E-5</v>
      </c>
      <c r="R35">
        <v>4.5000000000000003E-5</v>
      </c>
      <c r="S35">
        <v>4.5000000000000003E-5</v>
      </c>
      <c r="T35">
        <v>4.5000000000000003E-5</v>
      </c>
      <c r="U35">
        <v>4.5000000000000003E-5</v>
      </c>
      <c r="V35">
        <v>4.5000000000000003E-5</v>
      </c>
      <c r="W35">
        <v>4.5000000000000003E-5</v>
      </c>
      <c r="X35">
        <v>4.5000000000000003E-5</v>
      </c>
      <c r="Y35">
        <v>4.5000000000000003E-5</v>
      </c>
      <c r="Z35">
        <v>4.5000000000000003E-5</v>
      </c>
      <c r="AA35">
        <v>4.5000000000000003E-5</v>
      </c>
      <c r="AB35">
        <v>4.5000000000000003E-5</v>
      </c>
      <c r="AC35">
        <v>4.5000000000000003E-5</v>
      </c>
      <c r="AD35">
        <v>4.5000000000000003E-5</v>
      </c>
      <c r="AE35">
        <v>4.5000000000000003E-5</v>
      </c>
      <c r="AF35">
        <v>4.5000000000000003E-5</v>
      </c>
      <c r="AG35">
        <v>4.5000000000000003E-5</v>
      </c>
      <c r="AH35">
        <v>4.5000000000000003E-5</v>
      </c>
      <c r="AI35">
        <v>4.5000000000000003E-5</v>
      </c>
      <c r="AJ35">
        <v>4.5000000000000003E-5</v>
      </c>
      <c r="AK35">
        <v>4.5000000000000003E-5</v>
      </c>
      <c r="AL35">
        <v>4.5000000000000003E-5</v>
      </c>
      <c r="AM35">
        <v>4.5000000000000003E-5</v>
      </c>
      <c r="AN35">
        <v>4.5000000000000003E-5</v>
      </c>
      <c r="AO35">
        <v>4.5000000000000003E-5</v>
      </c>
      <c r="AP35">
        <v>3.2200000000000002E-4</v>
      </c>
      <c r="AQ35">
        <v>3.2200000000000002E-4</v>
      </c>
      <c r="AR35">
        <v>3.2200000000000002E-4</v>
      </c>
      <c r="AS35">
        <v>3.2200000000000002E-4</v>
      </c>
      <c r="AT35">
        <v>3.2200000000000002E-4</v>
      </c>
      <c r="AU35">
        <v>4.37E-4</v>
      </c>
      <c r="AV35">
        <v>4.37E-4</v>
      </c>
      <c r="AW35">
        <v>4.37E-4</v>
      </c>
      <c r="AX35">
        <v>4.37E-4</v>
      </c>
      <c r="AY35">
        <v>4.37E-4</v>
      </c>
      <c r="AZ35">
        <v>5.2800000000000004E-4</v>
      </c>
      <c r="BA35">
        <v>5.2800000000000004E-4</v>
      </c>
      <c r="BB35">
        <v>5.2800000000000004E-4</v>
      </c>
      <c r="BC35">
        <v>5.2800000000000004E-4</v>
      </c>
      <c r="BD35">
        <v>5.2800000000000004E-4</v>
      </c>
      <c r="BE35">
        <v>6.1700000000000004E-4</v>
      </c>
      <c r="BF35">
        <v>6.1700000000000004E-4</v>
      </c>
      <c r="BG35">
        <v>6.1700000000000004E-4</v>
      </c>
      <c r="BH35">
        <v>6.1700000000000004E-4</v>
      </c>
      <c r="BI35">
        <v>6.1700000000000004E-4</v>
      </c>
      <c r="BJ35">
        <v>6.8599999999999998E-4</v>
      </c>
      <c r="BK35">
        <v>6.8599999999999998E-4</v>
      </c>
      <c r="BL35">
        <v>6.8599999999999998E-4</v>
      </c>
      <c r="BM35">
        <v>6.8599999999999998E-4</v>
      </c>
      <c r="BN35">
        <v>6.8599999999999998E-4</v>
      </c>
      <c r="BO35">
        <v>7.1599999999999995E-4</v>
      </c>
      <c r="BP35">
        <v>7.1599999999999995E-4</v>
      </c>
      <c r="BQ35">
        <v>7.1599999999999995E-4</v>
      </c>
      <c r="BR35">
        <v>7.1599999999999995E-4</v>
      </c>
      <c r="BS35">
        <v>7.1599999999999995E-4</v>
      </c>
      <c r="BT35">
        <v>6.9300000000000004E-4</v>
      </c>
      <c r="BU35">
        <v>6.9300000000000004E-4</v>
      </c>
      <c r="BV35">
        <v>6.9300000000000004E-4</v>
      </c>
      <c r="BW35">
        <v>6.9300000000000004E-4</v>
      </c>
      <c r="BX35">
        <v>6.9300000000000004E-4</v>
      </c>
      <c r="BY35">
        <v>6.0899999999999995E-4</v>
      </c>
      <c r="BZ35">
        <v>6.0899999999999995E-4</v>
      </c>
      <c r="CA35">
        <v>6.0899999999999995E-4</v>
      </c>
      <c r="CB35">
        <v>6.0899999999999995E-4</v>
      </c>
      <c r="CC35">
        <v>6.0899999999999995E-4</v>
      </c>
      <c r="CD35">
        <v>6.0899999999999995E-4</v>
      </c>
      <c r="CE35">
        <v>6.0899999999999995E-4</v>
      </c>
      <c r="CF35">
        <v>6.0899999999999995E-4</v>
      </c>
      <c r="CG35">
        <v>6.0899999999999995E-4</v>
      </c>
      <c r="CH35">
        <v>6.0899999999999995E-4</v>
      </c>
      <c r="CI35">
        <v>6.0899999999999995E-4</v>
      </c>
      <c r="CJ35">
        <v>6.0899999999999995E-4</v>
      </c>
      <c r="CK35">
        <v>6.0899999999999995E-4</v>
      </c>
      <c r="CL35">
        <v>6.0899999999999995E-4</v>
      </c>
      <c r="CM35">
        <v>6.0899999999999995E-4</v>
      </c>
      <c r="CN35">
        <v>6.0899999999999995E-4</v>
      </c>
      <c r="CO35">
        <v>6.0899999999999995E-4</v>
      </c>
      <c r="CP35">
        <v>6.0899999999999995E-4</v>
      </c>
      <c r="CQ35">
        <v>6.0899999999999995E-4</v>
      </c>
      <c r="CR35">
        <v>6.0899999999999995E-4</v>
      </c>
      <c r="CS35">
        <v>6.0899999999999995E-4</v>
      </c>
      <c r="CT35">
        <v>6.0899999999999995E-4</v>
      </c>
      <c r="CU35">
        <v>6.0899999999999995E-4</v>
      </c>
      <c r="CV35">
        <v>6.0899999999999995E-4</v>
      </c>
      <c r="CW35">
        <v>6.0899999999999995E-4</v>
      </c>
      <c r="CX35">
        <v>6.0899999999999995E-4</v>
      </c>
    </row>
    <row r="36" spans="1:102" x14ac:dyDescent="0.25">
      <c r="A36" t="s">
        <v>137</v>
      </c>
      <c r="B36">
        <v>9.9999999999999995E-7</v>
      </c>
      <c r="C36">
        <v>9.9999999999999995E-7</v>
      </c>
      <c r="D36">
        <v>9.9999999999999995E-7</v>
      </c>
      <c r="E36">
        <v>9.9999999999999995E-7</v>
      </c>
      <c r="F36">
        <v>9.9999999999999995E-7</v>
      </c>
      <c r="G36">
        <v>9.9999999999999995E-7</v>
      </c>
      <c r="H36">
        <v>9.9999999999999995E-7</v>
      </c>
      <c r="I36">
        <v>9.9999999999999995E-7</v>
      </c>
      <c r="J36">
        <v>9.9999999999999995E-7</v>
      </c>
      <c r="K36">
        <v>9.9999999999999995E-7</v>
      </c>
      <c r="L36">
        <v>9.9999999999999995E-7</v>
      </c>
      <c r="M36">
        <v>9.9999999999999995E-7</v>
      </c>
      <c r="N36">
        <v>9.9999999999999995E-7</v>
      </c>
      <c r="O36">
        <v>9.9999999999999995E-7</v>
      </c>
      <c r="P36">
        <v>9.9999999999999995E-7</v>
      </c>
      <c r="Q36">
        <v>8.2999999999999998E-5</v>
      </c>
      <c r="R36">
        <v>8.2999999999999998E-5</v>
      </c>
      <c r="S36">
        <v>8.2999999999999998E-5</v>
      </c>
      <c r="T36">
        <v>8.2999999999999998E-5</v>
      </c>
      <c r="U36">
        <v>8.2999999999999998E-5</v>
      </c>
      <c r="V36">
        <v>8.2999999999999998E-5</v>
      </c>
      <c r="W36">
        <v>8.2999999999999998E-5</v>
      </c>
      <c r="X36">
        <v>8.2999999999999998E-5</v>
      </c>
      <c r="Y36">
        <v>8.2999999999999998E-5</v>
      </c>
      <c r="Z36">
        <v>8.2999999999999998E-5</v>
      </c>
      <c r="AA36">
        <v>8.2999999999999998E-5</v>
      </c>
      <c r="AB36">
        <v>8.2999999999999998E-5</v>
      </c>
      <c r="AC36">
        <v>8.2999999999999998E-5</v>
      </c>
      <c r="AD36">
        <v>8.2999999999999998E-5</v>
      </c>
      <c r="AE36">
        <v>8.2999999999999998E-5</v>
      </c>
      <c r="AF36">
        <v>8.2999999999999998E-5</v>
      </c>
      <c r="AG36">
        <v>8.2999999999999998E-5</v>
      </c>
      <c r="AH36">
        <v>8.2999999999999998E-5</v>
      </c>
      <c r="AI36">
        <v>8.2999999999999998E-5</v>
      </c>
      <c r="AJ36">
        <v>8.2999999999999998E-5</v>
      </c>
      <c r="AK36">
        <v>8.2999999999999998E-5</v>
      </c>
      <c r="AL36">
        <v>8.2999999999999998E-5</v>
      </c>
      <c r="AM36">
        <v>8.2999999999999998E-5</v>
      </c>
      <c r="AN36">
        <v>8.2999999999999998E-5</v>
      </c>
      <c r="AO36">
        <v>8.2999999999999998E-5</v>
      </c>
      <c r="AP36">
        <v>2.23E-4</v>
      </c>
      <c r="AQ36">
        <v>2.23E-4</v>
      </c>
      <c r="AR36">
        <v>2.23E-4</v>
      </c>
      <c r="AS36">
        <v>2.23E-4</v>
      </c>
      <c r="AT36">
        <v>2.23E-4</v>
      </c>
      <c r="AU36">
        <v>2.32E-4</v>
      </c>
      <c r="AV36">
        <v>2.32E-4</v>
      </c>
      <c r="AW36">
        <v>2.32E-4</v>
      </c>
      <c r="AX36">
        <v>2.32E-4</v>
      </c>
      <c r="AY36">
        <v>2.32E-4</v>
      </c>
      <c r="AZ36">
        <v>2.5000000000000001E-4</v>
      </c>
      <c r="BA36">
        <v>2.5000000000000001E-4</v>
      </c>
      <c r="BB36">
        <v>2.5000000000000001E-4</v>
      </c>
      <c r="BC36">
        <v>2.5000000000000001E-4</v>
      </c>
      <c r="BD36">
        <v>2.5000000000000001E-4</v>
      </c>
      <c r="BE36">
        <v>2.8299999999999999E-4</v>
      </c>
      <c r="BF36">
        <v>2.8299999999999999E-4</v>
      </c>
      <c r="BG36">
        <v>2.8299999999999999E-4</v>
      </c>
      <c r="BH36">
        <v>2.8299999999999999E-4</v>
      </c>
      <c r="BI36">
        <v>2.8299999999999999E-4</v>
      </c>
      <c r="BJ36">
        <v>3.3700000000000001E-4</v>
      </c>
      <c r="BK36">
        <v>3.3700000000000001E-4</v>
      </c>
      <c r="BL36">
        <v>3.3700000000000001E-4</v>
      </c>
      <c r="BM36">
        <v>3.3700000000000001E-4</v>
      </c>
      <c r="BN36">
        <v>3.3700000000000001E-4</v>
      </c>
      <c r="BO36">
        <v>4.0000000000000002E-4</v>
      </c>
      <c r="BP36">
        <v>4.0000000000000002E-4</v>
      </c>
      <c r="BQ36">
        <v>4.0000000000000002E-4</v>
      </c>
      <c r="BR36">
        <v>4.0000000000000002E-4</v>
      </c>
      <c r="BS36">
        <v>4.0000000000000002E-4</v>
      </c>
      <c r="BT36">
        <v>4.7199999999999998E-4</v>
      </c>
      <c r="BU36">
        <v>4.7199999999999998E-4</v>
      </c>
      <c r="BV36">
        <v>4.7199999999999998E-4</v>
      </c>
      <c r="BW36">
        <v>4.7199999999999998E-4</v>
      </c>
      <c r="BX36">
        <v>4.7199999999999998E-4</v>
      </c>
      <c r="BY36">
        <v>5.5800000000000001E-4</v>
      </c>
      <c r="BZ36">
        <v>5.5800000000000001E-4</v>
      </c>
      <c r="CA36">
        <v>5.5800000000000001E-4</v>
      </c>
      <c r="CB36">
        <v>5.5800000000000001E-4</v>
      </c>
      <c r="CC36">
        <v>5.5800000000000001E-4</v>
      </c>
      <c r="CD36">
        <v>5.5800000000000001E-4</v>
      </c>
      <c r="CE36">
        <v>5.5800000000000001E-4</v>
      </c>
      <c r="CF36">
        <v>5.5800000000000001E-4</v>
      </c>
      <c r="CG36">
        <v>5.5800000000000001E-4</v>
      </c>
      <c r="CH36">
        <v>5.5800000000000001E-4</v>
      </c>
      <c r="CI36">
        <v>5.5800000000000001E-4</v>
      </c>
      <c r="CJ36">
        <v>5.5800000000000001E-4</v>
      </c>
      <c r="CK36">
        <v>5.5800000000000001E-4</v>
      </c>
      <c r="CL36">
        <v>5.5800000000000001E-4</v>
      </c>
      <c r="CM36">
        <v>5.5800000000000001E-4</v>
      </c>
      <c r="CN36">
        <v>5.5800000000000001E-4</v>
      </c>
      <c r="CO36">
        <v>5.5800000000000001E-4</v>
      </c>
      <c r="CP36">
        <v>5.5800000000000001E-4</v>
      </c>
      <c r="CQ36">
        <v>5.5800000000000001E-4</v>
      </c>
      <c r="CR36">
        <v>5.5800000000000001E-4</v>
      </c>
      <c r="CS36">
        <v>5.5800000000000001E-4</v>
      </c>
      <c r="CT36">
        <v>5.5800000000000001E-4</v>
      </c>
      <c r="CU36">
        <v>5.5800000000000001E-4</v>
      </c>
      <c r="CV36">
        <v>5.5800000000000001E-4</v>
      </c>
      <c r="CW36">
        <v>5.5800000000000001E-4</v>
      </c>
      <c r="CX36">
        <v>5.5800000000000001E-4</v>
      </c>
    </row>
    <row r="37" spans="1:102" x14ac:dyDescent="0.25">
      <c r="A37" t="s">
        <v>139</v>
      </c>
      <c r="B37">
        <v>9.9999999999999995E-7</v>
      </c>
      <c r="C37">
        <v>9.9999999999999995E-7</v>
      </c>
      <c r="D37">
        <v>9.9999999999999995E-7</v>
      </c>
      <c r="E37">
        <v>9.9999999999999995E-7</v>
      </c>
      <c r="F37">
        <v>9.9999999999999995E-7</v>
      </c>
      <c r="G37">
        <v>9.9999999999999995E-7</v>
      </c>
      <c r="H37">
        <v>9.9999999999999995E-7</v>
      </c>
      <c r="I37">
        <v>9.9999999999999995E-7</v>
      </c>
      <c r="J37">
        <v>9.9999999999999995E-7</v>
      </c>
      <c r="K37">
        <v>9.9999999999999995E-7</v>
      </c>
      <c r="L37">
        <v>9.9999999999999995E-7</v>
      </c>
      <c r="M37">
        <v>9.9999999999999995E-7</v>
      </c>
      <c r="N37">
        <v>9.9999999999999995E-7</v>
      </c>
      <c r="O37">
        <v>9.9999999999999995E-7</v>
      </c>
      <c r="P37">
        <v>9.9999999999999995E-7</v>
      </c>
      <c r="Q37">
        <v>6.7000000000000002E-5</v>
      </c>
      <c r="R37">
        <v>6.7000000000000002E-5</v>
      </c>
      <c r="S37">
        <v>6.7000000000000002E-5</v>
      </c>
      <c r="T37">
        <v>6.7000000000000002E-5</v>
      </c>
      <c r="U37">
        <v>6.7000000000000002E-5</v>
      </c>
      <c r="V37">
        <v>6.7000000000000002E-5</v>
      </c>
      <c r="W37">
        <v>6.7000000000000002E-5</v>
      </c>
      <c r="X37">
        <v>6.7000000000000002E-5</v>
      </c>
      <c r="Y37">
        <v>6.7000000000000002E-5</v>
      </c>
      <c r="Z37">
        <v>6.7000000000000002E-5</v>
      </c>
      <c r="AA37">
        <v>6.7000000000000002E-5</v>
      </c>
      <c r="AB37">
        <v>6.7000000000000002E-5</v>
      </c>
      <c r="AC37">
        <v>6.7000000000000002E-5</v>
      </c>
      <c r="AD37">
        <v>6.7000000000000002E-5</v>
      </c>
      <c r="AE37">
        <v>6.7000000000000002E-5</v>
      </c>
      <c r="AF37">
        <v>6.7000000000000002E-5</v>
      </c>
      <c r="AG37">
        <v>6.7000000000000002E-5</v>
      </c>
      <c r="AH37">
        <v>6.7000000000000002E-5</v>
      </c>
      <c r="AI37">
        <v>6.7000000000000002E-5</v>
      </c>
      <c r="AJ37">
        <v>6.7000000000000002E-5</v>
      </c>
      <c r="AK37">
        <v>6.7000000000000002E-5</v>
      </c>
      <c r="AL37">
        <v>6.7000000000000002E-5</v>
      </c>
      <c r="AM37">
        <v>6.7000000000000002E-5</v>
      </c>
      <c r="AN37">
        <v>6.7000000000000002E-5</v>
      </c>
      <c r="AO37">
        <v>6.7000000000000002E-5</v>
      </c>
      <c r="AP37">
        <v>1.75E-4</v>
      </c>
      <c r="AQ37">
        <v>1.75E-4</v>
      </c>
      <c r="AR37">
        <v>1.75E-4</v>
      </c>
      <c r="AS37">
        <v>1.75E-4</v>
      </c>
      <c r="AT37">
        <v>1.75E-4</v>
      </c>
      <c r="AU37">
        <v>1.8200000000000001E-4</v>
      </c>
      <c r="AV37">
        <v>1.8200000000000001E-4</v>
      </c>
      <c r="AW37">
        <v>1.8200000000000001E-4</v>
      </c>
      <c r="AX37">
        <v>1.8200000000000001E-4</v>
      </c>
      <c r="AY37">
        <v>1.8200000000000001E-4</v>
      </c>
      <c r="AZ37">
        <v>1.74E-4</v>
      </c>
      <c r="BA37">
        <v>1.74E-4</v>
      </c>
      <c r="BB37">
        <v>1.74E-4</v>
      </c>
      <c r="BC37">
        <v>1.74E-4</v>
      </c>
      <c r="BD37">
        <v>1.74E-4</v>
      </c>
      <c r="BE37">
        <v>1.54E-4</v>
      </c>
      <c r="BF37">
        <v>1.54E-4</v>
      </c>
      <c r="BG37">
        <v>1.54E-4</v>
      </c>
      <c r="BH37">
        <v>1.54E-4</v>
      </c>
      <c r="BI37">
        <v>1.54E-4</v>
      </c>
      <c r="BJ37">
        <v>1.3200000000000001E-4</v>
      </c>
      <c r="BK37">
        <v>1.3200000000000001E-4</v>
      </c>
      <c r="BL37">
        <v>1.3200000000000001E-4</v>
      </c>
      <c r="BM37">
        <v>1.3200000000000001E-4</v>
      </c>
      <c r="BN37">
        <v>1.3200000000000001E-4</v>
      </c>
      <c r="BO37">
        <v>1.2E-4</v>
      </c>
      <c r="BP37">
        <v>1.2E-4</v>
      </c>
      <c r="BQ37">
        <v>1.2E-4</v>
      </c>
      <c r="BR37">
        <v>1.2E-4</v>
      </c>
      <c r="BS37">
        <v>1.2E-4</v>
      </c>
      <c r="BT37">
        <v>1.13E-4</v>
      </c>
      <c r="BU37">
        <v>1.13E-4</v>
      </c>
      <c r="BV37">
        <v>1.13E-4</v>
      </c>
      <c r="BW37">
        <v>1.13E-4</v>
      </c>
      <c r="BX37">
        <v>1.13E-4</v>
      </c>
      <c r="BY37">
        <v>1.1900000000000001E-4</v>
      </c>
      <c r="BZ37">
        <v>1.1900000000000001E-4</v>
      </c>
      <c r="CA37">
        <v>1.1900000000000001E-4</v>
      </c>
      <c r="CB37">
        <v>1.1900000000000001E-4</v>
      </c>
      <c r="CC37">
        <v>1.1900000000000001E-4</v>
      </c>
      <c r="CD37">
        <v>1.1900000000000001E-4</v>
      </c>
      <c r="CE37">
        <v>1.1900000000000001E-4</v>
      </c>
      <c r="CF37">
        <v>1.1900000000000001E-4</v>
      </c>
      <c r="CG37">
        <v>1.1900000000000001E-4</v>
      </c>
      <c r="CH37">
        <v>1.1900000000000001E-4</v>
      </c>
      <c r="CI37">
        <v>1.1900000000000001E-4</v>
      </c>
      <c r="CJ37">
        <v>1.1900000000000001E-4</v>
      </c>
      <c r="CK37">
        <v>1.1900000000000001E-4</v>
      </c>
      <c r="CL37">
        <v>1.1900000000000001E-4</v>
      </c>
      <c r="CM37">
        <v>1.1900000000000001E-4</v>
      </c>
      <c r="CN37">
        <v>1.1900000000000001E-4</v>
      </c>
      <c r="CO37">
        <v>1.1900000000000001E-4</v>
      </c>
      <c r="CP37">
        <v>1.1900000000000001E-4</v>
      </c>
      <c r="CQ37">
        <v>1.1900000000000001E-4</v>
      </c>
      <c r="CR37">
        <v>1.1900000000000001E-4</v>
      </c>
      <c r="CS37">
        <v>1.1900000000000001E-4</v>
      </c>
      <c r="CT37">
        <v>1.1900000000000001E-4</v>
      </c>
      <c r="CU37">
        <v>1.1900000000000001E-4</v>
      </c>
      <c r="CV37">
        <v>1.1900000000000001E-4</v>
      </c>
      <c r="CW37">
        <v>1.1900000000000001E-4</v>
      </c>
      <c r="CX37">
        <v>1.1900000000000001E-4</v>
      </c>
    </row>
    <row r="38" spans="1:102" x14ac:dyDescent="0.25">
      <c r="A38" t="s">
        <v>141</v>
      </c>
      <c r="B38" t="e">
        <v>#VALUE!</v>
      </c>
      <c r="C38" t="e">
        <v>#VALUE!</v>
      </c>
      <c r="D38" t="e">
        <v>#VALUE!</v>
      </c>
      <c r="E38" t="e">
        <v>#VALUE!</v>
      </c>
      <c r="F38" t="e">
        <v>#VALUE!</v>
      </c>
      <c r="G38" t="e">
        <v>#VALUE!</v>
      </c>
      <c r="H38" t="e">
        <v>#VALUE!</v>
      </c>
      <c r="I38" t="e">
        <v>#VALUE!</v>
      </c>
      <c r="J38" t="e">
        <v>#VALUE!</v>
      </c>
      <c r="K38" t="e">
        <v>#VALUE!</v>
      </c>
      <c r="L38" t="e">
        <v>#VALUE!</v>
      </c>
      <c r="M38" t="e">
        <v>#VALUE!</v>
      </c>
      <c r="N38" t="e">
        <v>#VALUE!</v>
      </c>
      <c r="O38" t="e">
        <v>#VALUE!</v>
      </c>
      <c r="P38" t="e">
        <v>#VALUE!</v>
      </c>
      <c r="Q38">
        <v>1.15E-4</v>
      </c>
      <c r="R38">
        <v>1.15E-4</v>
      </c>
      <c r="S38">
        <v>1.15E-4</v>
      </c>
      <c r="T38">
        <v>1.15E-4</v>
      </c>
      <c r="U38">
        <v>1.15E-4</v>
      </c>
      <c r="V38">
        <v>1.15E-4</v>
      </c>
      <c r="W38">
        <v>1.15E-4</v>
      </c>
      <c r="X38">
        <v>1.15E-4</v>
      </c>
      <c r="Y38">
        <v>1.15E-4</v>
      </c>
      <c r="Z38">
        <v>1.15E-4</v>
      </c>
      <c r="AA38">
        <v>1.15E-4</v>
      </c>
      <c r="AB38">
        <v>1.15E-4</v>
      </c>
      <c r="AC38">
        <v>1.15E-4</v>
      </c>
      <c r="AD38">
        <v>1.15E-4</v>
      </c>
      <c r="AE38">
        <v>1.15E-4</v>
      </c>
      <c r="AF38">
        <v>1.15E-4</v>
      </c>
      <c r="AG38">
        <v>1.15E-4</v>
      </c>
      <c r="AH38">
        <v>1.15E-4</v>
      </c>
      <c r="AI38">
        <v>1.15E-4</v>
      </c>
      <c r="AJ38">
        <v>1.15E-4</v>
      </c>
      <c r="AK38">
        <v>1.15E-4</v>
      </c>
      <c r="AL38">
        <v>1.15E-4</v>
      </c>
      <c r="AM38">
        <v>1.15E-4</v>
      </c>
      <c r="AN38">
        <v>1.15E-4</v>
      </c>
      <c r="AO38">
        <v>1.15E-4</v>
      </c>
      <c r="AP38">
        <v>3.3599999999999998E-4</v>
      </c>
      <c r="AQ38">
        <v>3.3599999999999998E-4</v>
      </c>
      <c r="AR38">
        <v>3.3599999999999998E-4</v>
      </c>
      <c r="AS38">
        <v>3.3599999999999998E-4</v>
      </c>
      <c r="AT38">
        <v>3.3599999999999998E-4</v>
      </c>
      <c r="AU38">
        <v>3.5300000000000002E-4</v>
      </c>
      <c r="AV38">
        <v>3.5300000000000002E-4</v>
      </c>
      <c r="AW38">
        <v>3.5300000000000002E-4</v>
      </c>
      <c r="AX38">
        <v>3.5300000000000002E-4</v>
      </c>
      <c r="AY38">
        <v>3.5300000000000002E-4</v>
      </c>
      <c r="AZ38">
        <v>3.6099999999999999E-4</v>
      </c>
      <c r="BA38">
        <v>3.6099999999999999E-4</v>
      </c>
      <c r="BB38">
        <v>3.6099999999999999E-4</v>
      </c>
      <c r="BC38">
        <v>3.6099999999999999E-4</v>
      </c>
      <c r="BD38">
        <v>3.6099999999999999E-4</v>
      </c>
      <c r="BE38">
        <v>4.0099999999999999E-4</v>
      </c>
      <c r="BF38">
        <v>4.0099999999999999E-4</v>
      </c>
      <c r="BG38">
        <v>4.0099999999999999E-4</v>
      </c>
      <c r="BH38">
        <v>4.0099999999999999E-4</v>
      </c>
      <c r="BI38">
        <v>4.0099999999999999E-4</v>
      </c>
      <c r="BJ38">
        <v>4.7899999999999999E-4</v>
      </c>
      <c r="BK38">
        <v>4.7899999999999999E-4</v>
      </c>
      <c r="BL38">
        <v>4.7899999999999999E-4</v>
      </c>
      <c r="BM38">
        <v>4.7899999999999999E-4</v>
      </c>
      <c r="BN38">
        <v>4.7899999999999999E-4</v>
      </c>
      <c r="BO38">
        <v>5.8399999999999999E-4</v>
      </c>
      <c r="BP38">
        <v>5.8399999999999999E-4</v>
      </c>
      <c r="BQ38">
        <v>5.8399999999999999E-4</v>
      </c>
      <c r="BR38">
        <v>5.8399999999999999E-4</v>
      </c>
      <c r="BS38">
        <v>5.8399999999999999E-4</v>
      </c>
      <c r="BT38">
        <v>7.1699999999999997E-4</v>
      </c>
      <c r="BU38">
        <v>7.1699999999999997E-4</v>
      </c>
      <c r="BV38">
        <v>7.1699999999999997E-4</v>
      </c>
      <c r="BW38">
        <v>7.1699999999999997E-4</v>
      </c>
      <c r="BX38">
        <v>7.1699999999999997E-4</v>
      </c>
      <c r="BY38">
        <v>8.8099999999999995E-4</v>
      </c>
      <c r="BZ38">
        <v>8.8099999999999995E-4</v>
      </c>
      <c r="CA38">
        <v>8.8099999999999995E-4</v>
      </c>
      <c r="CB38">
        <v>8.8099999999999995E-4</v>
      </c>
      <c r="CC38">
        <v>8.8099999999999995E-4</v>
      </c>
      <c r="CD38">
        <v>8.8099999999999995E-4</v>
      </c>
      <c r="CE38">
        <v>8.8099999999999995E-4</v>
      </c>
      <c r="CF38">
        <v>8.8099999999999995E-4</v>
      </c>
      <c r="CG38">
        <v>8.8099999999999995E-4</v>
      </c>
      <c r="CH38">
        <v>8.8099999999999995E-4</v>
      </c>
      <c r="CI38">
        <v>8.8099999999999995E-4</v>
      </c>
      <c r="CJ38">
        <v>8.8099999999999995E-4</v>
      </c>
      <c r="CK38">
        <v>8.8099999999999995E-4</v>
      </c>
      <c r="CL38">
        <v>8.8099999999999995E-4</v>
      </c>
      <c r="CM38">
        <v>8.8099999999999995E-4</v>
      </c>
      <c r="CN38">
        <v>8.8099999999999995E-4</v>
      </c>
      <c r="CO38">
        <v>8.8099999999999995E-4</v>
      </c>
      <c r="CP38">
        <v>8.8099999999999995E-4</v>
      </c>
      <c r="CQ38">
        <v>8.8099999999999995E-4</v>
      </c>
      <c r="CR38">
        <v>8.8099999999999995E-4</v>
      </c>
      <c r="CS38">
        <v>8.8099999999999995E-4</v>
      </c>
      <c r="CT38">
        <v>8.8099999999999995E-4</v>
      </c>
      <c r="CU38">
        <v>8.8099999999999995E-4</v>
      </c>
      <c r="CV38">
        <v>8.8099999999999995E-4</v>
      </c>
      <c r="CW38">
        <v>8.8099999999999995E-4</v>
      </c>
      <c r="CX38">
        <v>8.8099999999999995E-4</v>
      </c>
    </row>
    <row r="39" spans="1:102" x14ac:dyDescent="0.25">
      <c r="A39" t="s">
        <v>143</v>
      </c>
      <c r="B39" t="e">
        <v>#VALUE!</v>
      </c>
      <c r="C39" t="e">
        <v>#VALUE!</v>
      </c>
      <c r="D39" t="e">
        <v>#VALUE!</v>
      </c>
      <c r="E39" t="e">
        <v>#VALUE!</v>
      </c>
      <c r="F39" t="e">
        <v>#VALUE!</v>
      </c>
      <c r="G39" t="e">
        <v>#VALUE!</v>
      </c>
      <c r="H39" t="e">
        <v>#VALUE!</v>
      </c>
      <c r="I39" t="e">
        <v>#VALUE!</v>
      </c>
      <c r="J39" t="e">
        <v>#VALUE!</v>
      </c>
      <c r="K39" t="e">
        <v>#VALUE!</v>
      </c>
      <c r="L39" t="e">
        <v>#VALUE!</v>
      </c>
      <c r="M39" t="e">
        <v>#VALUE!</v>
      </c>
      <c r="N39" t="e">
        <v>#VALUE!</v>
      </c>
      <c r="O39" t="e">
        <v>#VALUE!</v>
      </c>
      <c r="P39" t="e">
        <v>#VALUE!</v>
      </c>
      <c r="Q39">
        <v>2.99E-4</v>
      </c>
      <c r="R39">
        <v>2.99E-4</v>
      </c>
      <c r="S39">
        <v>2.99E-4</v>
      </c>
      <c r="T39">
        <v>2.99E-4</v>
      </c>
      <c r="U39">
        <v>2.99E-4</v>
      </c>
      <c r="V39">
        <v>2.99E-4</v>
      </c>
      <c r="W39">
        <v>2.99E-4</v>
      </c>
      <c r="X39">
        <v>2.99E-4</v>
      </c>
      <c r="Y39">
        <v>2.99E-4</v>
      </c>
      <c r="Z39">
        <v>2.99E-4</v>
      </c>
      <c r="AA39">
        <v>2.99E-4</v>
      </c>
      <c r="AB39">
        <v>2.99E-4</v>
      </c>
      <c r="AC39">
        <v>2.99E-4</v>
      </c>
      <c r="AD39">
        <v>2.99E-4</v>
      </c>
      <c r="AE39">
        <v>2.99E-4</v>
      </c>
      <c r="AF39">
        <v>2.99E-4</v>
      </c>
      <c r="AG39">
        <v>2.99E-4</v>
      </c>
      <c r="AH39">
        <v>2.99E-4</v>
      </c>
      <c r="AI39">
        <v>2.99E-4</v>
      </c>
      <c r="AJ39">
        <v>2.99E-4</v>
      </c>
      <c r="AK39">
        <v>2.99E-4</v>
      </c>
      <c r="AL39">
        <v>2.99E-4</v>
      </c>
      <c r="AM39">
        <v>2.99E-4</v>
      </c>
      <c r="AN39">
        <v>2.99E-4</v>
      </c>
      <c r="AO39">
        <v>2.99E-4</v>
      </c>
      <c r="AP39">
        <v>9.6299999999999999E-4</v>
      </c>
      <c r="AQ39">
        <v>9.6299999999999999E-4</v>
      </c>
      <c r="AR39">
        <v>9.6299999999999999E-4</v>
      </c>
      <c r="AS39">
        <v>9.6299999999999999E-4</v>
      </c>
      <c r="AT39">
        <v>9.6299999999999999E-4</v>
      </c>
      <c r="AU39">
        <v>1.24E-3</v>
      </c>
      <c r="AV39">
        <v>1.24E-3</v>
      </c>
      <c r="AW39">
        <v>1.24E-3</v>
      </c>
      <c r="AX39">
        <v>1.24E-3</v>
      </c>
      <c r="AY39">
        <v>1.24E-3</v>
      </c>
      <c r="AZ39">
        <v>1.5870000000000001E-3</v>
      </c>
      <c r="BA39">
        <v>1.5870000000000001E-3</v>
      </c>
      <c r="BB39">
        <v>1.5870000000000001E-3</v>
      </c>
      <c r="BC39">
        <v>1.5870000000000001E-3</v>
      </c>
      <c r="BD39">
        <v>1.5870000000000001E-3</v>
      </c>
      <c r="BE39">
        <v>1.804E-3</v>
      </c>
      <c r="BF39">
        <v>1.804E-3</v>
      </c>
      <c r="BG39">
        <v>1.804E-3</v>
      </c>
      <c r="BH39">
        <v>1.804E-3</v>
      </c>
      <c r="BI39">
        <v>1.804E-3</v>
      </c>
      <c r="BJ39">
        <v>1.9250000000000001E-3</v>
      </c>
      <c r="BK39">
        <v>1.9250000000000001E-3</v>
      </c>
      <c r="BL39">
        <v>1.9250000000000001E-3</v>
      </c>
      <c r="BM39">
        <v>1.9250000000000001E-3</v>
      </c>
      <c r="BN39">
        <v>1.9250000000000001E-3</v>
      </c>
      <c r="BO39">
        <v>2.0579999999999999E-3</v>
      </c>
      <c r="BP39">
        <v>2.0579999999999999E-3</v>
      </c>
      <c r="BQ39">
        <v>2.0579999999999999E-3</v>
      </c>
      <c r="BR39">
        <v>2.0579999999999999E-3</v>
      </c>
      <c r="BS39">
        <v>2.0579999999999999E-3</v>
      </c>
      <c r="BT39">
        <v>2.104E-3</v>
      </c>
      <c r="BU39">
        <v>2.104E-3</v>
      </c>
      <c r="BV39">
        <v>2.104E-3</v>
      </c>
      <c r="BW39">
        <v>2.104E-3</v>
      </c>
      <c r="BX39">
        <v>2.104E-3</v>
      </c>
      <c r="BY39">
        <v>1.8890000000000001E-3</v>
      </c>
      <c r="BZ39">
        <v>1.8890000000000001E-3</v>
      </c>
      <c r="CA39">
        <v>1.8890000000000001E-3</v>
      </c>
      <c r="CB39">
        <v>1.8890000000000001E-3</v>
      </c>
      <c r="CC39">
        <v>1.8890000000000001E-3</v>
      </c>
      <c r="CD39">
        <v>1.8890000000000001E-3</v>
      </c>
      <c r="CE39">
        <v>1.8890000000000001E-3</v>
      </c>
      <c r="CF39">
        <v>1.8890000000000001E-3</v>
      </c>
      <c r="CG39">
        <v>1.8890000000000001E-3</v>
      </c>
      <c r="CH39">
        <v>1.8890000000000001E-3</v>
      </c>
      <c r="CI39">
        <v>1.8890000000000001E-3</v>
      </c>
      <c r="CJ39">
        <v>1.8890000000000001E-3</v>
      </c>
      <c r="CK39">
        <v>1.8890000000000001E-3</v>
      </c>
      <c r="CL39">
        <v>1.8890000000000001E-3</v>
      </c>
      <c r="CM39">
        <v>1.8890000000000001E-3</v>
      </c>
      <c r="CN39">
        <v>1.8890000000000001E-3</v>
      </c>
      <c r="CO39">
        <v>1.8890000000000001E-3</v>
      </c>
      <c r="CP39">
        <v>1.8890000000000001E-3</v>
      </c>
      <c r="CQ39">
        <v>1.8890000000000001E-3</v>
      </c>
      <c r="CR39">
        <v>1.8890000000000001E-3</v>
      </c>
      <c r="CS39">
        <v>1.8890000000000001E-3</v>
      </c>
      <c r="CT39">
        <v>1.8890000000000001E-3</v>
      </c>
      <c r="CU39">
        <v>1.8890000000000001E-3</v>
      </c>
      <c r="CV39">
        <v>1.8890000000000001E-3</v>
      </c>
      <c r="CW39">
        <v>1.8890000000000001E-3</v>
      </c>
      <c r="CX39">
        <v>1.8890000000000001E-3</v>
      </c>
    </row>
    <row r="40" spans="1:102" x14ac:dyDescent="0.25">
      <c r="A40" t="s">
        <v>145</v>
      </c>
      <c r="B40">
        <v>9.9999999999999995E-7</v>
      </c>
      <c r="C40">
        <v>9.9999999999999995E-7</v>
      </c>
      <c r="D40">
        <v>9.9999999999999995E-7</v>
      </c>
      <c r="E40">
        <v>9.9999999999999995E-7</v>
      </c>
      <c r="F40">
        <v>9.9999999999999995E-7</v>
      </c>
      <c r="G40">
        <v>9.9999999999999995E-7</v>
      </c>
      <c r="H40">
        <v>9.9999999999999995E-7</v>
      </c>
      <c r="I40">
        <v>9.9999999999999995E-7</v>
      </c>
      <c r="J40">
        <v>9.9999999999999995E-7</v>
      </c>
      <c r="K40">
        <v>9.9999999999999995E-7</v>
      </c>
      <c r="L40">
        <v>9.9999999999999995E-7</v>
      </c>
      <c r="M40">
        <v>9.9999999999999995E-7</v>
      </c>
      <c r="N40">
        <v>9.9999999999999995E-7</v>
      </c>
      <c r="O40">
        <v>9.9999999999999995E-7</v>
      </c>
      <c r="P40">
        <v>9.9999999999999995E-7</v>
      </c>
      <c r="Q40">
        <v>1.5E-5</v>
      </c>
      <c r="R40">
        <v>1.5E-5</v>
      </c>
      <c r="S40">
        <v>1.5E-5</v>
      </c>
      <c r="T40">
        <v>1.5E-5</v>
      </c>
      <c r="U40">
        <v>1.5E-5</v>
      </c>
      <c r="V40">
        <v>1.5E-5</v>
      </c>
      <c r="W40">
        <v>1.5E-5</v>
      </c>
      <c r="X40">
        <v>1.5E-5</v>
      </c>
      <c r="Y40">
        <v>1.5E-5</v>
      </c>
      <c r="Z40">
        <v>1.5E-5</v>
      </c>
      <c r="AA40">
        <v>1.5E-5</v>
      </c>
      <c r="AB40">
        <v>1.5E-5</v>
      </c>
      <c r="AC40">
        <v>1.5E-5</v>
      </c>
      <c r="AD40">
        <v>1.5E-5</v>
      </c>
      <c r="AE40">
        <v>1.5E-5</v>
      </c>
      <c r="AF40">
        <v>1.5E-5</v>
      </c>
      <c r="AG40">
        <v>1.5E-5</v>
      </c>
      <c r="AH40">
        <v>1.5E-5</v>
      </c>
      <c r="AI40">
        <v>1.5E-5</v>
      </c>
      <c r="AJ40">
        <v>1.5E-5</v>
      </c>
      <c r="AK40">
        <v>1.5E-5</v>
      </c>
      <c r="AL40">
        <v>1.5E-5</v>
      </c>
      <c r="AM40">
        <v>1.5E-5</v>
      </c>
      <c r="AN40">
        <v>1.5E-5</v>
      </c>
      <c r="AO40">
        <v>1.5E-5</v>
      </c>
      <c r="AP40">
        <v>2.12E-4</v>
      </c>
      <c r="AQ40">
        <v>2.12E-4</v>
      </c>
      <c r="AR40">
        <v>2.12E-4</v>
      </c>
      <c r="AS40">
        <v>2.12E-4</v>
      </c>
      <c r="AT40">
        <v>2.12E-4</v>
      </c>
      <c r="AU40">
        <v>4.0299999999999998E-4</v>
      </c>
      <c r="AV40">
        <v>4.0299999999999998E-4</v>
      </c>
      <c r="AW40">
        <v>4.0299999999999998E-4</v>
      </c>
      <c r="AX40">
        <v>4.0299999999999998E-4</v>
      </c>
      <c r="AY40">
        <v>4.0299999999999998E-4</v>
      </c>
      <c r="AZ40">
        <v>7.4600000000000003E-4</v>
      </c>
      <c r="BA40">
        <v>7.4600000000000003E-4</v>
      </c>
      <c r="BB40">
        <v>7.4600000000000003E-4</v>
      </c>
      <c r="BC40">
        <v>7.4600000000000003E-4</v>
      </c>
      <c r="BD40">
        <v>7.4600000000000003E-4</v>
      </c>
      <c r="BE40">
        <v>1.1559999999999999E-3</v>
      </c>
      <c r="BF40">
        <v>1.1559999999999999E-3</v>
      </c>
      <c r="BG40">
        <v>1.1559999999999999E-3</v>
      </c>
      <c r="BH40">
        <v>1.1559999999999999E-3</v>
      </c>
      <c r="BI40">
        <v>1.1559999999999999E-3</v>
      </c>
      <c r="BJ40">
        <v>1.3879999999999999E-3</v>
      </c>
      <c r="BK40">
        <v>1.3879999999999999E-3</v>
      </c>
      <c r="BL40">
        <v>1.3879999999999999E-3</v>
      </c>
      <c r="BM40">
        <v>1.3879999999999999E-3</v>
      </c>
      <c r="BN40">
        <v>1.3879999999999999E-3</v>
      </c>
      <c r="BO40">
        <v>1.341E-3</v>
      </c>
      <c r="BP40">
        <v>1.341E-3</v>
      </c>
      <c r="BQ40">
        <v>1.341E-3</v>
      </c>
      <c r="BR40">
        <v>1.341E-3</v>
      </c>
      <c r="BS40">
        <v>1.341E-3</v>
      </c>
      <c r="BT40">
        <v>1.0059999999999999E-3</v>
      </c>
      <c r="BU40">
        <v>1.0059999999999999E-3</v>
      </c>
      <c r="BV40">
        <v>1.0059999999999999E-3</v>
      </c>
      <c r="BW40">
        <v>1.0059999999999999E-3</v>
      </c>
      <c r="BX40">
        <v>1.0059999999999999E-3</v>
      </c>
      <c r="BY40">
        <v>4.6200000000000001E-4</v>
      </c>
      <c r="BZ40">
        <v>4.6200000000000001E-4</v>
      </c>
      <c r="CA40">
        <v>4.6200000000000001E-4</v>
      </c>
      <c r="CB40">
        <v>4.6200000000000001E-4</v>
      </c>
      <c r="CC40">
        <v>4.6200000000000001E-4</v>
      </c>
      <c r="CD40">
        <v>4.6200000000000001E-4</v>
      </c>
      <c r="CE40">
        <v>4.6200000000000001E-4</v>
      </c>
      <c r="CF40">
        <v>4.6200000000000001E-4</v>
      </c>
      <c r="CG40">
        <v>4.6200000000000001E-4</v>
      </c>
      <c r="CH40">
        <v>4.6200000000000001E-4</v>
      </c>
      <c r="CI40">
        <v>4.6200000000000001E-4</v>
      </c>
      <c r="CJ40">
        <v>4.6200000000000001E-4</v>
      </c>
      <c r="CK40">
        <v>4.6200000000000001E-4</v>
      </c>
      <c r="CL40">
        <v>4.6200000000000001E-4</v>
      </c>
      <c r="CM40">
        <v>4.6200000000000001E-4</v>
      </c>
      <c r="CN40">
        <v>4.6200000000000001E-4</v>
      </c>
      <c r="CO40">
        <v>4.6200000000000001E-4</v>
      </c>
      <c r="CP40">
        <v>4.6200000000000001E-4</v>
      </c>
      <c r="CQ40">
        <v>4.6200000000000001E-4</v>
      </c>
      <c r="CR40">
        <v>4.6200000000000001E-4</v>
      </c>
      <c r="CS40">
        <v>4.6200000000000001E-4</v>
      </c>
      <c r="CT40">
        <v>4.6200000000000001E-4</v>
      </c>
      <c r="CU40">
        <v>4.6200000000000001E-4</v>
      </c>
      <c r="CV40">
        <v>4.6200000000000001E-4</v>
      </c>
      <c r="CW40">
        <v>4.6200000000000001E-4</v>
      </c>
      <c r="CX40">
        <v>4.6200000000000001E-4</v>
      </c>
    </row>
    <row r="41" spans="1:102" x14ac:dyDescent="0.25">
      <c r="A41" t="s">
        <v>147</v>
      </c>
      <c r="B41">
        <v>9.9999999999999995E-7</v>
      </c>
      <c r="C41">
        <v>9.9999999999999995E-7</v>
      </c>
      <c r="D41">
        <v>9.9999999999999995E-7</v>
      </c>
      <c r="E41">
        <v>9.9999999999999995E-7</v>
      </c>
      <c r="F41">
        <v>9.9999999999999995E-7</v>
      </c>
      <c r="G41">
        <v>9.9999999999999995E-7</v>
      </c>
      <c r="H41">
        <v>9.9999999999999995E-7</v>
      </c>
      <c r="I41">
        <v>9.9999999999999995E-7</v>
      </c>
      <c r="J41">
        <v>9.9999999999999995E-7</v>
      </c>
      <c r="K41">
        <v>9.9999999999999995E-7</v>
      </c>
      <c r="L41">
        <v>9.9999999999999995E-7</v>
      </c>
      <c r="M41">
        <v>9.9999999999999995E-7</v>
      </c>
      <c r="N41">
        <v>9.9999999999999995E-7</v>
      </c>
      <c r="O41">
        <v>9.9999999999999995E-7</v>
      </c>
      <c r="P41">
        <v>9.9999999999999995E-7</v>
      </c>
      <c r="Q41">
        <v>5.8E-5</v>
      </c>
      <c r="R41">
        <v>5.8E-5</v>
      </c>
      <c r="S41">
        <v>5.8E-5</v>
      </c>
      <c r="T41">
        <v>5.8E-5</v>
      </c>
      <c r="U41">
        <v>5.8E-5</v>
      </c>
      <c r="V41">
        <v>5.8E-5</v>
      </c>
      <c r="W41">
        <v>5.8E-5</v>
      </c>
      <c r="X41">
        <v>5.8E-5</v>
      </c>
      <c r="Y41">
        <v>5.8E-5</v>
      </c>
      <c r="Z41">
        <v>5.8E-5</v>
      </c>
      <c r="AA41">
        <v>5.8E-5</v>
      </c>
      <c r="AB41">
        <v>5.8E-5</v>
      </c>
      <c r="AC41">
        <v>5.8E-5</v>
      </c>
      <c r="AD41">
        <v>5.8E-5</v>
      </c>
      <c r="AE41">
        <v>5.8E-5</v>
      </c>
      <c r="AF41">
        <v>5.8E-5</v>
      </c>
      <c r="AG41">
        <v>5.8E-5</v>
      </c>
      <c r="AH41">
        <v>5.8E-5</v>
      </c>
      <c r="AI41">
        <v>5.8E-5</v>
      </c>
      <c r="AJ41">
        <v>5.8E-5</v>
      </c>
      <c r="AK41">
        <v>5.8E-5</v>
      </c>
      <c r="AL41">
        <v>5.8E-5</v>
      </c>
      <c r="AM41">
        <v>5.8E-5</v>
      </c>
      <c r="AN41">
        <v>5.8E-5</v>
      </c>
      <c r="AO41">
        <v>5.8E-5</v>
      </c>
      <c r="AP41">
        <v>4.57E-4</v>
      </c>
      <c r="AQ41">
        <v>4.57E-4</v>
      </c>
      <c r="AR41">
        <v>4.57E-4</v>
      </c>
      <c r="AS41">
        <v>4.57E-4</v>
      </c>
      <c r="AT41">
        <v>4.57E-4</v>
      </c>
      <c r="AU41">
        <v>7.45E-4</v>
      </c>
      <c r="AV41">
        <v>7.45E-4</v>
      </c>
      <c r="AW41">
        <v>7.45E-4</v>
      </c>
      <c r="AX41">
        <v>7.45E-4</v>
      </c>
      <c r="AY41">
        <v>7.45E-4</v>
      </c>
      <c r="AZ41">
        <v>1.067E-3</v>
      </c>
      <c r="BA41">
        <v>1.067E-3</v>
      </c>
      <c r="BB41">
        <v>1.067E-3</v>
      </c>
      <c r="BC41">
        <v>1.067E-3</v>
      </c>
      <c r="BD41">
        <v>1.067E-3</v>
      </c>
      <c r="BE41">
        <v>1.3309999999999999E-3</v>
      </c>
      <c r="BF41">
        <v>1.3309999999999999E-3</v>
      </c>
      <c r="BG41">
        <v>1.3309999999999999E-3</v>
      </c>
      <c r="BH41">
        <v>1.3309999999999999E-3</v>
      </c>
      <c r="BI41">
        <v>1.3309999999999999E-3</v>
      </c>
      <c r="BJ41">
        <v>1.4220000000000001E-3</v>
      </c>
      <c r="BK41">
        <v>1.4220000000000001E-3</v>
      </c>
      <c r="BL41">
        <v>1.4220000000000001E-3</v>
      </c>
      <c r="BM41">
        <v>1.4220000000000001E-3</v>
      </c>
      <c r="BN41">
        <v>1.4220000000000001E-3</v>
      </c>
      <c r="BO41">
        <v>1.333E-3</v>
      </c>
      <c r="BP41">
        <v>1.333E-3</v>
      </c>
      <c r="BQ41">
        <v>1.333E-3</v>
      </c>
      <c r="BR41">
        <v>1.333E-3</v>
      </c>
      <c r="BS41">
        <v>1.333E-3</v>
      </c>
      <c r="BT41">
        <v>1.0740000000000001E-3</v>
      </c>
      <c r="BU41">
        <v>1.0740000000000001E-3</v>
      </c>
      <c r="BV41">
        <v>1.0740000000000001E-3</v>
      </c>
      <c r="BW41">
        <v>1.0740000000000001E-3</v>
      </c>
      <c r="BX41">
        <v>1.0740000000000001E-3</v>
      </c>
      <c r="BY41">
        <v>6.3900000000000003E-4</v>
      </c>
      <c r="BZ41">
        <v>6.3900000000000003E-4</v>
      </c>
      <c r="CA41">
        <v>6.3900000000000003E-4</v>
      </c>
      <c r="CB41">
        <v>6.3900000000000003E-4</v>
      </c>
      <c r="CC41">
        <v>6.3900000000000003E-4</v>
      </c>
      <c r="CD41">
        <v>6.3900000000000003E-4</v>
      </c>
      <c r="CE41">
        <v>6.3900000000000003E-4</v>
      </c>
      <c r="CF41">
        <v>6.3900000000000003E-4</v>
      </c>
      <c r="CG41">
        <v>6.3900000000000003E-4</v>
      </c>
      <c r="CH41">
        <v>6.3900000000000003E-4</v>
      </c>
      <c r="CI41">
        <v>6.3900000000000003E-4</v>
      </c>
      <c r="CJ41">
        <v>6.3900000000000003E-4</v>
      </c>
      <c r="CK41">
        <v>6.3900000000000003E-4</v>
      </c>
      <c r="CL41">
        <v>6.3900000000000003E-4</v>
      </c>
      <c r="CM41">
        <v>6.3900000000000003E-4</v>
      </c>
      <c r="CN41">
        <v>6.3900000000000003E-4</v>
      </c>
      <c r="CO41">
        <v>6.3900000000000003E-4</v>
      </c>
      <c r="CP41">
        <v>6.3900000000000003E-4</v>
      </c>
      <c r="CQ41">
        <v>6.3900000000000003E-4</v>
      </c>
      <c r="CR41">
        <v>6.3900000000000003E-4</v>
      </c>
      <c r="CS41">
        <v>6.3900000000000003E-4</v>
      </c>
      <c r="CT41">
        <v>6.3900000000000003E-4</v>
      </c>
      <c r="CU41">
        <v>6.3900000000000003E-4</v>
      </c>
      <c r="CV41">
        <v>6.3900000000000003E-4</v>
      </c>
      <c r="CW41">
        <v>6.3900000000000003E-4</v>
      </c>
      <c r="CX41">
        <v>6.3900000000000003E-4</v>
      </c>
    </row>
    <row r="42" spans="1:102" x14ac:dyDescent="0.25">
      <c r="A42" t="s">
        <v>149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7.2000000000000002E-5</v>
      </c>
      <c r="R42">
        <v>7.2000000000000002E-5</v>
      </c>
      <c r="S42">
        <v>7.2000000000000002E-5</v>
      </c>
      <c r="T42">
        <v>7.2000000000000002E-5</v>
      </c>
      <c r="U42">
        <v>7.2000000000000002E-5</v>
      </c>
      <c r="V42">
        <v>7.2000000000000002E-5</v>
      </c>
      <c r="W42">
        <v>7.2000000000000002E-5</v>
      </c>
      <c r="X42">
        <v>7.2000000000000002E-5</v>
      </c>
      <c r="Y42">
        <v>7.2000000000000002E-5</v>
      </c>
      <c r="Z42">
        <v>7.2000000000000002E-5</v>
      </c>
      <c r="AA42">
        <v>7.2000000000000002E-5</v>
      </c>
      <c r="AB42">
        <v>7.2000000000000002E-5</v>
      </c>
      <c r="AC42">
        <v>7.2000000000000002E-5</v>
      </c>
      <c r="AD42">
        <v>7.2000000000000002E-5</v>
      </c>
      <c r="AE42">
        <v>7.2000000000000002E-5</v>
      </c>
      <c r="AF42">
        <v>7.2000000000000002E-5</v>
      </c>
      <c r="AG42">
        <v>7.2000000000000002E-5</v>
      </c>
      <c r="AH42">
        <v>7.2000000000000002E-5</v>
      </c>
      <c r="AI42">
        <v>7.2000000000000002E-5</v>
      </c>
      <c r="AJ42">
        <v>7.2000000000000002E-5</v>
      </c>
      <c r="AK42">
        <v>7.2000000000000002E-5</v>
      </c>
      <c r="AL42">
        <v>7.2000000000000002E-5</v>
      </c>
      <c r="AM42">
        <v>7.2000000000000002E-5</v>
      </c>
      <c r="AN42">
        <v>7.2000000000000002E-5</v>
      </c>
      <c r="AO42">
        <v>7.2000000000000002E-5</v>
      </c>
      <c r="AP42">
        <v>1.9000000000000001E-4</v>
      </c>
      <c r="AQ42">
        <v>1.9000000000000001E-4</v>
      </c>
      <c r="AR42">
        <v>1.9000000000000001E-4</v>
      </c>
      <c r="AS42">
        <v>1.9000000000000001E-4</v>
      </c>
      <c r="AT42">
        <v>1.9000000000000001E-4</v>
      </c>
      <c r="AU42">
        <v>2.02E-4</v>
      </c>
      <c r="AV42">
        <v>2.02E-4</v>
      </c>
      <c r="AW42">
        <v>2.02E-4</v>
      </c>
      <c r="AX42">
        <v>2.02E-4</v>
      </c>
      <c r="AY42">
        <v>2.02E-4</v>
      </c>
      <c r="AZ42">
        <v>2.0100000000000001E-4</v>
      </c>
      <c r="BA42">
        <v>2.0100000000000001E-4</v>
      </c>
      <c r="BB42">
        <v>2.0100000000000001E-4</v>
      </c>
      <c r="BC42">
        <v>2.0100000000000001E-4</v>
      </c>
      <c r="BD42">
        <v>2.0100000000000001E-4</v>
      </c>
      <c r="BE42">
        <v>1.8200000000000001E-4</v>
      </c>
      <c r="BF42">
        <v>1.8200000000000001E-4</v>
      </c>
      <c r="BG42">
        <v>1.8200000000000001E-4</v>
      </c>
      <c r="BH42">
        <v>1.8200000000000001E-4</v>
      </c>
      <c r="BI42">
        <v>1.8200000000000001E-4</v>
      </c>
      <c r="BJ42">
        <v>1.6000000000000001E-4</v>
      </c>
      <c r="BK42">
        <v>1.6000000000000001E-4</v>
      </c>
      <c r="BL42">
        <v>1.6000000000000001E-4</v>
      </c>
      <c r="BM42">
        <v>1.6000000000000001E-4</v>
      </c>
      <c r="BN42">
        <v>1.6000000000000001E-4</v>
      </c>
      <c r="BO42">
        <v>1.5100000000000001E-4</v>
      </c>
      <c r="BP42">
        <v>1.5100000000000001E-4</v>
      </c>
      <c r="BQ42">
        <v>1.5100000000000001E-4</v>
      </c>
      <c r="BR42">
        <v>1.5100000000000001E-4</v>
      </c>
      <c r="BS42">
        <v>1.5100000000000001E-4</v>
      </c>
      <c r="BT42">
        <v>1.45E-4</v>
      </c>
      <c r="BU42">
        <v>1.45E-4</v>
      </c>
      <c r="BV42">
        <v>1.45E-4</v>
      </c>
      <c r="BW42">
        <v>1.45E-4</v>
      </c>
      <c r="BX42">
        <v>1.45E-4</v>
      </c>
      <c r="BY42">
        <v>1.5300000000000001E-4</v>
      </c>
      <c r="BZ42">
        <v>1.5300000000000001E-4</v>
      </c>
      <c r="CA42">
        <v>1.5300000000000001E-4</v>
      </c>
      <c r="CB42">
        <v>1.5300000000000001E-4</v>
      </c>
      <c r="CC42">
        <v>1.5300000000000001E-4</v>
      </c>
      <c r="CD42">
        <v>1.5300000000000001E-4</v>
      </c>
      <c r="CE42">
        <v>1.5300000000000001E-4</v>
      </c>
      <c r="CF42">
        <v>1.5300000000000001E-4</v>
      </c>
      <c r="CG42">
        <v>1.5300000000000001E-4</v>
      </c>
      <c r="CH42">
        <v>1.5300000000000001E-4</v>
      </c>
      <c r="CI42">
        <v>1.5300000000000001E-4</v>
      </c>
      <c r="CJ42">
        <v>1.5300000000000001E-4</v>
      </c>
      <c r="CK42">
        <v>1.5300000000000001E-4</v>
      </c>
      <c r="CL42">
        <v>1.5300000000000001E-4</v>
      </c>
      <c r="CM42">
        <v>1.5300000000000001E-4</v>
      </c>
      <c r="CN42">
        <v>1.5300000000000001E-4</v>
      </c>
      <c r="CO42">
        <v>1.5300000000000001E-4</v>
      </c>
      <c r="CP42">
        <v>1.5300000000000001E-4</v>
      </c>
      <c r="CQ42">
        <v>1.5300000000000001E-4</v>
      </c>
      <c r="CR42">
        <v>1.5300000000000001E-4</v>
      </c>
      <c r="CS42">
        <v>1.5300000000000001E-4</v>
      </c>
      <c r="CT42">
        <v>1.5300000000000001E-4</v>
      </c>
      <c r="CU42">
        <v>1.5300000000000001E-4</v>
      </c>
      <c r="CV42">
        <v>1.5300000000000001E-4</v>
      </c>
      <c r="CW42">
        <v>1.5300000000000001E-4</v>
      </c>
      <c r="CX42">
        <v>1.5300000000000001E-4</v>
      </c>
    </row>
    <row r="43" spans="1:102" x14ac:dyDescent="0.25">
      <c r="A43" t="s">
        <v>151</v>
      </c>
      <c r="B43" t="e">
        <v>#VALUE!</v>
      </c>
      <c r="C43" t="e">
        <v>#VALUE!</v>
      </c>
      <c r="D43" t="e">
        <v>#VALUE!</v>
      </c>
      <c r="E43" t="e">
        <v>#VALUE!</v>
      </c>
      <c r="F43" t="e">
        <v>#VALUE!</v>
      </c>
      <c r="G43" t="e">
        <v>#VALUE!</v>
      </c>
      <c r="H43" t="e">
        <v>#VALUE!</v>
      </c>
      <c r="I43" t="e">
        <v>#VALUE!</v>
      </c>
      <c r="J43" t="e">
        <v>#VALUE!</v>
      </c>
      <c r="K43" t="e">
        <v>#VALUE!</v>
      </c>
      <c r="L43" t="e">
        <v>#VALUE!</v>
      </c>
      <c r="M43" t="e">
        <v>#VALUE!</v>
      </c>
      <c r="N43" t="e">
        <v>#VALUE!</v>
      </c>
      <c r="O43" t="e">
        <v>#VALUE!</v>
      </c>
      <c r="P43" t="e">
        <v>#VALUE!</v>
      </c>
      <c r="Q43">
        <v>9.6000000000000002E-5</v>
      </c>
      <c r="R43">
        <v>9.6000000000000002E-5</v>
      </c>
      <c r="S43">
        <v>9.6000000000000002E-5</v>
      </c>
      <c r="T43">
        <v>9.6000000000000002E-5</v>
      </c>
      <c r="U43">
        <v>9.6000000000000002E-5</v>
      </c>
      <c r="V43">
        <v>9.6000000000000002E-5</v>
      </c>
      <c r="W43">
        <v>9.6000000000000002E-5</v>
      </c>
      <c r="X43">
        <v>9.6000000000000002E-5</v>
      </c>
      <c r="Y43">
        <v>9.6000000000000002E-5</v>
      </c>
      <c r="Z43">
        <v>9.6000000000000002E-5</v>
      </c>
      <c r="AA43">
        <v>9.6000000000000002E-5</v>
      </c>
      <c r="AB43">
        <v>9.6000000000000002E-5</v>
      </c>
      <c r="AC43">
        <v>9.6000000000000002E-5</v>
      </c>
      <c r="AD43">
        <v>9.6000000000000002E-5</v>
      </c>
      <c r="AE43">
        <v>9.6000000000000002E-5</v>
      </c>
      <c r="AF43">
        <v>9.6000000000000002E-5</v>
      </c>
      <c r="AG43">
        <v>9.6000000000000002E-5</v>
      </c>
      <c r="AH43">
        <v>9.6000000000000002E-5</v>
      </c>
      <c r="AI43">
        <v>9.6000000000000002E-5</v>
      </c>
      <c r="AJ43">
        <v>9.6000000000000002E-5</v>
      </c>
      <c r="AK43">
        <v>9.6000000000000002E-5</v>
      </c>
      <c r="AL43">
        <v>9.6000000000000002E-5</v>
      </c>
      <c r="AM43">
        <v>9.6000000000000002E-5</v>
      </c>
      <c r="AN43">
        <v>9.6000000000000002E-5</v>
      </c>
      <c r="AO43">
        <v>9.6000000000000002E-5</v>
      </c>
      <c r="AP43">
        <v>2.3900000000000001E-4</v>
      </c>
      <c r="AQ43">
        <v>2.3900000000000001E-4</v>
      </c>
      <c r="AR43">
        <v>2.3900000000000001E-4</v>
      </c>
      <c r="AS43">
        <v>2.3900000000000001E-4</v>
      </c>
      <c r="AT43">
        <v>2.3900000000000001E-4</v>
      </c>
      <c r="AU43">
        <v>2.5599999999999999E-4</v>
      </c>
      <c r="AV43">
        <v>2.5599999999999999E-4</v>
      </c>
      <c r="AW43">
        <v>2.5599999999999999E-4</v>
      </c>
      <c r="AX43">
        <v>2.5599999999999999E-4</v>
      </c>
      <c r="AY43">
        <v>2.5599999999999999E-4</v>
      </c>
      <c r="AZ43">
        <v>2.43E-4</v>
      </c>
      <c r="BA43">
        <v>2.43E-4</v>
      </c>
      <c r="BB43">
        <v>2.43E-4</v>
      </c>
      <c r="BC43">
        <v>2.43E-4</v>
      </c>
      <c r="BD43">
        <v>2.43E-4</v>
      </c>
      <c r="BE43">
        <v>2.32E-4</v>
      </c>
      <c r="BF43">
        <v>2.32E-4</v>
      </c>
      <c r="BG43">
        <v>2.32E-4</v>
      </c>
      <c r="BH43">
        <v>2.32E-4</v>
      </c>
      <c r="BI43">
        <v>2.32E-4</v>
      </c>
      <c r="BJ43">
        <v>2.14E-4</v>
      </c>
      <c r="BK43">
        <v>2.14E-4</v>
      </c>
      <c r="BL43">
        <v>2.14E-4</v>
      </c>
      <c r="BM43">
        <v>2.14E-4</v>
      </c>
      <c r="BN43">
        <v>2.14E-4</v>
      </c>
      <c r="BO43">
        <v>2.2599999999999999E-4</v>
      </c>
      <c r="BP43">
        <v>2.2599999999999999E-4</v>
      </c>
      <c r="BQ43">
        <v>2.2599999999999999E-4</v>
      </c>
      <c r="BR43">
        <v>2.2599999999999999E-4</v>
      </c>
      <c r="BS43">
        <v>2.2599999999999999E-4</v>
      </c>
      <c r="BT43">
        <v>2.7399999999999999E-4</v>
      </c>
      <c r="BU43">
        <v>2.7399999999999999E-4</v>
      </c>
      <c r="BV43">
        <v>2.7399999999999999E-4</v>
      </c>
      <c r="BW43">
        <v>2.7399999999999999E-4</v>
      </c>
      <c r="BX43">
        <v>2.7399999999999999E-4</v>
      </c>
      <c r="BY43">
        <v>3.3500000000000001E-4</v>
      </c>
      <c r="BZ43">
        <v>3.3500000000000001E-4</v>
      </c>
      <c r="CA43">
        <v>3.3500000000000001E-4</v>
      </c>
      <c r="CB43">
        <v>3.3500000000000001E-4</v>
      </c>
      <c r="CC43">
        <v>3.3500000000000001E-4</v>
      </c>
      <c r="CD43">
        <v>3.3500000000000001E-4</v>
      </c>
      <c r="CE43">
        <v>3.3500000000000001E-4</v>
      </c>
      <c r="CF43">
        <v>3.3500000000000001E-4</v>
      </c>
      <c r="CG43">
        <v>3.3500000000000001E-4</v>
      </c>
      <c r="CH43">
        <v>3.3500000000000001E-4</v>
      </c>
      <c r="CI43">
        <v>3.3500000000000001E-4</v>
      </c>
      <c r="CJ43">
        <v>3.3500000000000001E-4</v>
      </c>
      <c r="CK43">
        <v>3.3500000000000001E-4</v>
      </c>
      <c r="CL43">
        <v>3.3500000000000001E-4</v>
      </c>
      <c r="CM43">
        <v>3.3500000000000001E-4</v>
      </c>
      <c r="CN43">
        <v>3.3500000000000001E-4</v>
      </c>
      <c r="CO43">
        <v>3.3500000000000001E-4</v>
      </c>
      <c r="CP43">
        <v>3.3500000000000001E-4</v>
      </c>
      <c r="CQ43">
        <v>3.3500000000000001E-4</v>
      </c>
      <c r="CR43">
        <v>3.3500000000000001E-4</v>
      </c>
      <c r="CS43">
        <v>3.3500000000000001E-4</v>
      </c>
      <c r="CT43">
        <v>3.3500000000000001E-4</v>
      </c>
      <c r="CU43">
        <v>3.3500000000000001E-4</v>
      </c>
      <c r="CV43">
        <v>3.3500000000000001E-4</v>
      </c>
      <c r="CW43">
        <v>3.3500000000000001E-4</v>
      </c>
      <c r="CX43">
        <v>3.3500000000000001E-4</v>
      </c>
    </row>
    <row r="44" spans="1:102" x14ac:dyDescent="0.25">
      <c r="A44" t="s">
        <v>153</v>
      </c>
      <c r="B44" t="e">
        <v>#VALUE!</v>
      </c>
      <c r="C44" t="e">
        <v>#VALUE!</v>
      </c>
      <c r="D44" t="e">
        <v>#VALUE!</v>
      </c>
      <c r="E44" t="e">
        <v>#VALUE!</v>
      </c>
      <c r="F44" t="e">
        <v>#VALUE!</v>
      </c>
      <c r="G44" t="e">
        <v>#VALUE!</v>
      </c>
      <c r="H44" t="e">
        <v>#VALUE!</v>
      </c>
      <c r="I44" t="e">
        <v>#VALUE!</v>
      </c>
      <c r="J44" t="e">
        <v>#VALUE!</v>
      </c>
      <c r="K44" t="e">
        <v>#VALUE!</v>
      </c>
      <c r="L44" t="e">
        <v>#VALUE!</v>
      </c>
      <c r="M44" t="e">
        <v>#VALUE!</v>
      </c>
      <c r="N44" t="e">
        <v>#VALUE!</v>
      </c>
      <c r="O44" t="e">
        <v>#VALUE!</v>
      </c>
      <c r="P44" t="e">
        <v>#VALUE!</v>
      </c>
      <c r="Q44">
        <v>6.0000000000000002E-5</v>
      </c>
      <c r="R44">
        <v>6.0000000000000002E-5</v>
      </c>
      <c r="S44">
        <v>6.0000000000000002E-5</v>
      </c>
      <c r="T44">
        <v>6.0000000000000002E-5</v>
      </c>
      <c r="U44">
        <v>6.0000000000000002E-5</v>
      </c>
      <c r="V44">
        <v>6.0000000000000002E-5</v>
      </c>
      <c r="W44">
        <v>6.0000000000000002E-5</v>
      </c>
      <c r="X44">
        <v>6.0000000000000002E-5</v>
      </c>
      <c r="Y44">
        <v>6.0000000000000002E-5</v>
      </c>
      <c r="Z44">
        <v>6.0000000000000002E-5</v>
      </c>
      <c r="AA44">
        <v>6.0000000000000002E-5</v>
      </c>
      <c r="AB44">
        <v>6.0000000000000002E-5</v>
      </c>
      <c r="AC44">
        <v>6.0000000000000002E-5</v>
      </c>
      <c r="AD44">
        <v>6.0000000000000002E-5</v>
      </c>
      <c r="AE44">
        <v>6.0000000000000002E-5</v>
      </c>
      <c r="AF44">
        <v>6.0000000000000002E-5</v>
      </c>
      <c r="AG44">
        <v>6.0000000000000002E-5</v>
      </c>
      <c r="AH44">
        <v>6.0000000000000002E-5</v>
      </c>
      <c r="AI44">
        <v>6.0000000000000002E-5</v>
      </c>
      <c r="AJ44">
        <v>6.0000000000000002E-5</v>
      </c>
      <c r="AK44">
        <v>6.0000000000000002E-5</v>
      </c>
      <c r="AL44">
        <v>6.0000000000000002E-5</v>
      </c>
      <c r="AM44">
        <v>6.0000000000000002E-5</v>
      </c>
      <c r="AN44">
        <v>6.0000000000000002E-5</v>
      </c>
      <c r="AO44">
        <v>6.0000000000000002E-5</v>
      </c>
      <c r="AP44">
        <v>3.21E-4</v>
      </c>
      <c r="AQ44">
        <v>3.21E-4</v>
      </c>
      <c r="AR44">
        <v>3.21E-4</v>
      </c>
      <c r="AS44">
        <v>3.21E-4</v>
      </c>
      <c r="AT44">
        <v>3.21E-4</v>
      </c>
      <c r="AU44">
        <v>4.2999999999999999E-4</v>
      </c>
      <c r="AV44">
        <v>4.2999999999999999E-4</v>
      </c>
      <c r="AW44">
        <v>4.2999999999999999E-4</v>
      </c>
      <c r="AX44">
        <v>4.2999999999999999E-4</v>
      </c>
      <c r="AY44">
        <v>4.2999999999999999E-4</v>
      </c>
      <c r="AZ44">
        <v>5.71E-4</v>
      </c>
      <c r="BA44">
        <v>5.71E-4</v>
      </c>
      <c r="BB44">
        <v>5.71E-4</v>
      </c>
      <c r="BC44">
        <v>5.71E-4</v>
      </c>
      <c r="BD44">
        <v>5.71E-4</v>
      </c>
      <c r="BE44">
        <v>6.9999999999999999E-4</v>
      </c>
      <c r="BF44">
        <v>6.9999999999999999E-4</v>
      </c>
      <c r="BG44">
        <v>6.9999999999999999E-4</v>
      </c>
      <c r="BH44">
        <v>6.9999999999999999E-4</v>
      </c>
      <c r="BI44">
        <v>6.9999999999999999E-4</v>
      </c>
      <c r="BJ44">
        <v>7.0100000000000002E-4</v>
      </c>
      <c r="BK44">
        <v>7.0100000000000002E-4</v>
      </c>
      <c r="BL44">
        <v>7.0100000000000002E-4</v>
      </c>
      <c r="BM44">
        <v>7.0100000000000002E-4</v>
      </c>
      <c r="BN44">
        <v>7.0100000000000002E-4</v>
      </c>
      <c r="BO44">
        <v>7.8600000000000002E-4</v>
      </c>
      <c r="BP44">
        <v>7.8600000000000002E-4</v>
      </c>
      <c r="BQ44">
        <v>7.8600000000000002E-4</v>
      </c>
      <c r="BR44">
        <v>7.8600000000000002E-4</v>
      </c>
      <c r="BS44">
        <v>7.8600000000000002E-4</v>
      </c>
      <c r="BT44">
        <v>9.2900000000000003E-4</v>
      </c>
      <c r="BU44">
        <v>9.2900000000000003E-4</v>
      </c>
      <c r="BV44">
        <v>9.2900000000000003E-4</v>
      </c>
      <c r="BW44">
        <v>9.2900000000000003E-4</v>
      </c>
      <c r="BX44">
        <v>9.2900000000000003E-4</v>
      </c>
      <c r="BY44">
        <v>1.1360000000000001E-3</v>
      </c>
      <c r="BZ44">
        <v>1.1360000000000001E-3</v>
      </c>
      <c r="CA44">
        <v>1.1360000000000001E-3</v>
      </c>
      <c r="CB44">
        <v>1.1360000000000001E-3</v>
      </c>
      <c r="CC44">
        <v>1.1360000000000001E-3</v>
      </c>
      <c r="CD44">
        <v>1.1360000000000001E-3</v>
      </c>
      <c r="CE44">
        <v>1.1360000000000001E-3</v>
      </c>
      <c r="CF44">
        <v>1.1360000000000001E-3</v>
      </c>
      <c r="CG44">
        <v>1.1360000000000001E-3</v>
      </c>
      <c r="CH44">
        <v>1.1360000000000001E-3</v>
      </c>
      <c r="CI44">
        <v>1.1360000000000001E-3</v>
      </c>
      <c r="CJ44">
        <v>1.1360000000000001E-3</v>
      </c>
      <c r="CK44">
        <v>1.1360000000000001E-3</v>
      </c>
      <c r="CL44">
        <v>1.1360000000000001E-3</v>
      </c>
      <c r="CM44">
        <v>1.1360000000000001E-3</v>
      </c>
      <c r="CN44">
        <v>1.1360000000000001E-3</v>
      </c>
      <c r="CO44">
        <v>1.1360000000000001E-3</v>
      </c>
      <c r="CP44">
        <v>1.1360000000000001E-3</v>
      </c>
      <c r="CQ44">
        <v>1.1360000000000001E-3</v>
      </c>
      <c r="CR44">
        <v>1.1360000000000001E-3</v>
      </c>
      <c r="CS44">
        <v>1.1360000000000001E-3</v>
      </c>
      <c r="CT44">
        <v>1.1360000000000001E-3</v>
      </c>
      <c r="CU44">
        <v>1.1360000000000001E-3</v>
      </c>
      <c r="CV44">
        <v>1.1360000000000001E-3</v>
      </c>
      <c r="CW44">
        <v>1.1360000000000001E-3</v>
      </c>
      <c r="CX44">
        <v>1.1360000000000001E-3</v>
      </c>
    </row>
    <row r="45" spans="1:102" x14ac:dyDescent="0.25">
      <c r="A45" t="s">
        <v>155</v>
      </c>
      <c r="B45" t="e">
        <v>#VALUE!</v>
      </c>
      <c r="C45" t="e">
        <v>#VALUE!</v>
      </c>
      <c r="D45" t="e">
        <v>#VALUE!</v>
      </c>
      <c r="E45" t="e">
        <v>#VALUE!</v>
      </c>
      <c r="F45" t="e">
        <v>#VALUE!</v>
      </c>
      <c r="G45" t="e">
        <v>#VALUE!</v>
      </c>
      <c r="H45" t="e">
        <v>#VALUE!</v>
      </c>
      <c r="I45" t="e">
        <v>#VALUE!</v>
      </c>
      <c r="J45" t="e">
        <v>#VALUE!</v>
      </c>
      <c r="K45" t="e">
        <v>#VALUE!</v>
      </c>
      <c r="L45" t="e">
        <v>#VALUE!</v>
      </c>
      <c r="M45" t="e">
        <v>#VALUE!</v>
      </c>
      <c r="N45" t="e">
        <v>#VALUE!</v>
      </c>
      <c r="O45" t="e">
        <v>#VALUE!</v>
      </c>
      <c r="P45" t="e">
        <v>#VALUE!</v>
      </c>
      <c r="Q45">
        <v>7.7000000000000001E-5</v>
      </c>
      <c r="R45">
        <v>7.7000000000000001E-5</v>
      </c>
      <c r="S45">
        <v>7.7000000000000001E-5</v>
      </c>
      <c r="T45">
        <v>7.7000000000000001E-5</v>
      </c>
      <c r="U45">
        <v>7.7000000000000001E-5</v>
      </c>
      <c r="V45">
        <v>7.7000000000000001E-5</v>
      </c>
      <c r="W45">
        <v>7.7000000000000001E-5</v>
      </c>
      <c r="X45">
        <v>7.7000000000000001E-5</v>
      </c>
      <c r="Y45">
        <v>7.7000000000000001E-5</v>
      </c>
      <c r="Z45">
        <v>7.7000000000000001E-5</v>
      </c>
      <c r="AA45">
        <v>7.7000000000000001E-5</v>
      </c>
      <c r="AB45">
        <v>7.7000000000000001E-5</v>
      </c>
      <c r="AC45">
        <v>7.7000000000000001E-5</v>
      </c>
      <c r="AD45">
        <v>7.7000000000000001E-5</v>
      </c>
      <c r="AE45">
        <v>7.7000000000000001E-5</v>
      </c>
      <c r="AF45">
        <v>7.7000000000000001E-5</v>
      </c>
      <c r="AG45">
        <v>7.7000000000000001E-5</v>
      </c>
      <c r="AH45">
        <v>7.7000000000000001E-5</v>
      </c>
      <c r="AI45">
        <v>7.7000000000000001E-5</v>
      </c>
      <c r="AJ45">
        <v>7.7000000000000001E-5</v>
      </c>
      <c r="AK45">
        <v>7.7000000000000001E-5</v>
      </c>
      <c r="AL45">
        <v>7.7000000000000001E-5</v>
      </c>
      <c r="AM45">
        <v>7.7000000000000001E-5</v>
      </c>
      <c r="AN45">
        <v>7.7000000000000001E-5</v>
      </c>
      <c r="AO45">
        <v>7.7000000000000001E-5</v>
      </c>
      <c r="AP45">
        <v>2.0900000000000001E-4</v>
      </c>
      <c r="AQ45">
        <v>2.0900000000000001E-4</v>
      </c>
      <c r="AR45">
        <v>2.0900000000000001E-4</v>
      </c>
      <c r="AS45">
        <v>2.0900000000000001E-4</v>
      </c>
      <c r="AT45">
        <v>2.0900000000000001E-4</v>
      </c>
      <c r="AU45">
        <v>2.43E-4</v>
      </c>
      <c r="AV45">
        <v>2.43E-4</v>
      </c>
      <c r="AW45">
        <v>2.43E-4</v>
      </c>
      <c r="AX45">
        <v>2.43E-4</v>
      </c>
      <c r="AY45">
        <v>2.43E-4</v>
      </c>
      <c r="AZ45">
        <v>2.5399999999999999E-4</v>
      </c>
      <c r="BA45">
        <v>2.5399999999999999E-4</v>
      </c>
      <c r="BB45">
        <v>2.5399999999999999E-4</v>
      </c>
      <c r="BC45">
        <v>2.5399999999999999E-4</v>
      </c>
      <c r="BD45">
        <v>2.5399999999999999E-4</v>
      </c>
      <c r="BE45">
        <v>2.4000000000000001E-4</v>
      </c>
      <c r="BF45">
        <v>2.4000000000000001E-4</v>
      </c>
      <c r="BG45">
        <v>2.4000000000000001E-4</v>
      </c>
      <c r="BH45">
        <v>2.4000000000000001E-4</v>
      </c>
      <c r="BI45">
        <v>2.4000000000000001E-4</v>
      </c>
      <c r="BJ45">
        <v>2.2000000000000001E-4</v>
      </c>
      <c r="BK45">
        <v>2.2000000000000001E-4</v>
      </c>
      <c r="BL45">
        <v>2.2000000000000001E-4</v>
      </c>
      <c r="BM45">
        <v>2.2000000000000001E-4</v>
      </c>
      <c r="BN45">
        <v>2.2000000000000001E-4</v>
      </c>
      <c r="BO45">
        <v>1.9599999999999999E-4</v>
      </c>
      <c r="BP45">
        <v>1.9599999999999999E-4</v>
      </c>
      <c r="BQ45">
        <v>1.9599999999999999E-4</v>
      </c>
      <c r="BR45">
        <v>1.9599999999999999E-4</v>
      </c>
      <c r="BS45">
        <v>1.9599999999999999E-4</v>
      </c>
      <c r="BT45">
        <v>1.8200000000000001E-4</v>
      </c>
      <c r="BU45">
        <v>1.8200000000000001E-4</v>
      </c>
      <c r="BV45">
        <v>1.8200000000000001E-4</v>
      </c>
      <c r="BW45">
        <v>1.8200000000000001E-4</v>
      </c>
      <c r="BX45">
        <v>1.8200000000000001E-4</v>
      </c>
      <c r="BY45">
        <v>1.84E-4</v>
      </c>
      <c r="BZ45">
        <v>1.84E-4</v>
      </c>
      <c r="CA45">
        <v>1.84E-4</v>
      </c>
      <c r="CB45">
        <v>1.84E-4</v>
      </c>
      <c r="CC45">
        <v>1.84E-4</v>
      </c>
      <c r="CD45">
        <v>1.84E-4</v>
      </c>
      <c r="CE45">
        <v>1.84E-4</v>
      </c>
      <c r="CF45">
        <v>1.84E-4</v>
      </c>
      <c r="CG45">
        <v>1.84E-4</v>
      </c>
      <c r="CH45">
        <v>1.84E-4</v>
      </c>
      <c r="CI45">
        <v>1.84E-4</v>
      </c>
      <c r="CJ45">
        <v>1.84E-4</v>
      </c>
      <c r="CK45">
        <v>1.84E-4</v>
      </c>
      <c r="CL45">
        <v>1.84E-4</v>
      </c>
      <c r="CM45">
        <v>1.84E-4</v>
      </c>
      <c r="CN45">
        <v>1.84E-4</v>
      </c>
      <c r="CO45">
        <v>1.84E-4</v>
      </c>
      <c r="CP45">
        <v>1.84E-4</v>
      </c>
      <c r="CQ45">
        <v>1.84E-4</v>
      </c>
      <c r="CR45">
        <v>1.84E-4</v>
      </c>
      <c r="CS45">
        <v>1.84E-4</v>
      </c>
      <c r="CT45">
        <v>1.84E-4</v>
      </c>
      <c r="CU45">
        <v>1.84E-4</v>
      </c>
      <c r="CV45">
        <v>1.84E-4</v>
      </c>
      <c r="CW45">
        <v>1.84E-4</v>
      </c>
      <c r="CX45">
        <v>1.84E-4</v>
      </c>
    </row>
    <row r="46" spans="1:102" x14ac:dyDescent="0.25">
      <c r="A46" t="s">
        <v>157</v>
      </c>
      <c r="B46" t="e">
        <v>#VALUE!</v>
      </c>
      <c r="C46" t="e">
        <v>#VALUE!</v>
      </c>
      <c r="D46" t="e">
        <v>#VALUE!</v>
      </c>
      <c r="E46" t="e">
        <v>#VALUE!</v>
      </c>
      <c r="F46" t="e">
        <v>#VALUE!</v>
      </c>
      <c r="G46" t="e">
        <v>#VALUE!</v>
      </c>
      <c r="H46" t="e">
        <v>#VALUE!</v>
      </c>
      <c r="I46" t="e">
        <v>#VALUE!</v>
      </c>
      <c r="J46" t="e">
        <v>#VALUE!</v>
      </c>
      <c r="K46" t="e">
        <v>#VALUE!</v>
      </c>
      <c r="L46" t="e">
        <v>#VALUE!</v>
      </c>
      <c r="M46" t="e">
        <v>#VALUE!</v>
      </c>
      <c r="N46" t="e">
        <v>#VALUE!</v>
      </c>
      <c r="O46" t="e">
        <v>#VALUE!</v>
      </c>
      <c r="P46" t="e">
        <v>#VALUE!</v>
      </c>
      <c r="Q46">
        <v>1.4899999999999999E-4</v>
      </c>
      <c r="R46">
        <v>1.4899999999999999E-4</v>
      </c>
      <c r="S46">
        <v>1.4899999999999999E-4</v>
      </c>
      <c r="T46">
        <v>1.4899999999999999E-4</v>
      </c>
      <c r="U46">
        <v>1.4899999999999999E-4</v>
      </c>
      <c r="V46">
        <v>1.4899999999999999E-4</v>
      </c>
      <c r="W46">
        <v>1.4899999999999999E-4</v>
      </c>
      <c r="X46">
        <v>1.4899999999999999E-4</v>
      </c>
      <c r="Y46">
        <v>1.4899999999999999E-4</v>
      </c>
      <c r="Z46">
        <v>1.4899999999999999E-4</v>
      </c>
      <c r="AA46">
        <v>1.4899999999999999E-4</v>
      </c>
      <c r="AB46">
        <v>1.4899999999999999E-4</v>
      </c>
      <c r="AC46">
        <v>1.4899999999999999E-4</v>
      </c>
      <c r="AD46">
        <v>1.4899999999999999E-4</v>
      </c>
      <c r="AE46">
        <v>1.4899999999999999E-4</v>
      </c>
      <c r="AF46">
        <v>1.4899999999999999E-4</v>
      </c>
      <c r="AG46">
        <v>1.4899999999999999E-4</v>
      </c>
      <c r="AH46">
        <v>1.4899999999999999E-4</v>
      </c>
      <c r="AI46">
        <v>1.4899999999999999E-4</v>
      </c>
      <c r="AJ46">
        <v>1.4899999999999999E-4</v>
      </c>
      <c r="AK46">
        <v>1.4899999999999999E-4</v>
      </c>
      <c r="AL46">
        <v>1.4899999999999999E-4</v>
      </c>
      <c r="AM46">
        <v>1.4899999999999999E-4</v>
      </c>
      <c r="AN46">
        <v>1.4899999999999999E-4</v>
      </c>
      <c r="AO46">
        <v>1.4899999999999999E-4</v>
      </c>
      <c r="AP46">
        <v>3.5300000000000002E-4</v>
      </c>
      <c r="AQ46">
        <v>3.5300000000000002E-4</v>
      </c>
      <c r="AR46">
        <v>3.5300000000000002E-4</v>
      </c>
      <c r="AS46">
        <v>3.5300000000000002E-4</v>
      </c>
      <c r="AT46">
        <v>3.5300000000000002E-4</v>
      </c>
      <c r="AU46">
        <v>3.8400000000000001E-4</v>
      </c>
      <c r="AV46">
        <v>3.8400000000000001E-4</v>
      </c>
      <c r="AW46">
        <v>3.8400000000000001E-4</v>
      </c>
      <c r="AX46">
        <v>3.8400000000000001E-4</v>
      </c>
      <c r="AY46">
        <v>3.8400000000000001E-4</v>
      </c>
      <c r="AZ46">
        <v>4.0000000000000002E-4</v>
      </c>
      <c r="BA46">
        <v>4.0000000000000002E-4</v>
      </c>
      <c r="BB46">
        <v>4.0000000000000002E-4</v>
      </c>
      <c r="BC46">
        <v>4.0000000000000002E-4</v>
      </c>
      <c r="BD46">
        <v>4.0000000000000002E-4</v>
      </c>
      <c r="BE46">
        <v>3.86E-4</v>
      </c>
      <c r="BF46">
        <v>3.86E-4</v>
      </c>
      <c r="BG46">
        <v>3.86E-4</v>
      </c>
      <c r="BH46">
        <v>3.86E-4</v>
      </c>
      <c r="BI46">
        <v>3.86E-4</v>
      </c>
      <c r="BJ46">
        <v>3.6299999999999999E-4</v>
      </c>
      <c r="BK46">
        <v>3.6299999999999999E-4</v>
      </c>
      <c r="BL46">
        <v>3.6299999999999999E-4</v>
      </c>
      <c r="BM46">
        <v>3.6299999999999999E-4</v>
      </c>
      <c r="BN46">
        <v>3.6299999999999999E-4</v>
      </c>
      <c r="BO46">
        <v>3.3700000000000001E-4</v>
      </c>
      <c r="BP46">
        <v>3.3700000000000001E-4</v>
      </c>
      <c r="BQ46">
        <v>3.3700000000000001E-4</v>
      </c>
      <c r="BR46">
        <v>3.3700000000000001E-4</v>
      </c>
      <c r="BS46">
        <v>3.3700000000000001E-4</v>
      </c>
      <c r="BT46">
        <v>3.1E-4</v>
      </c>
      <c r="BU46">
        <v>3.1E-4</v>
      </c>
      <c r="BV46">
        <v>3.1E-4</v>
      </c>
      <c r="BW46">
        <v>3.1E-4</v>
      </c>
      <c r="BX46">
        <v>3.1E-4</v>
      </c>
      <c r="BY46">
        <v>2.8499999999999999E-4</v>
      </c>
      <c r="BZ46">
        <v>2.8499999999999999E-4</v>
      </c>
      <c r="CA46">
        <v>2.8499999999999999E-4</v>
      </c>
      <c r="CB46">
        <v>2.8499999999999999E-4</v>
      </c>
      <c r="CC46">
        <v>2.8499999999999999E-4</v>
      </c>
      <c r="CD46">
        <v>2.8499999999999999E-4</v>
      </c>
      <c r="CE46">
        <v>2.8499999999999999E-4</v>
      </c>
      <c r="CF46">
        <v>2.8499999999999999E-4</v>
      </c>
      <c r="CG46">
        <v>2.8499999999999999E-4</v>
      </c>
      <c r="CH46">
        <v>2.8499999999999999E-4</v>
      </c>
      <c r="CI46">
        <v>2.8499999999999999E-4</v>
      </c>
      <c r="CJ46">
        <v>2.8499999999999999E-4</v>
      </c>
      <c r="CK46">
        <v>2.8499999999999999E-4</v>
      </c>
      <c r="CL46">
        <v>2.8499999999999999E-4</v>
      </c>
      <c r="CM46">
        <v>2.8499999999999999E-4</v>
      </c>
      <c r="CN46">
        <v>2.8499999999999999E-4</v>
      </c>
      <c r="CO46">
        <v>2.8499999999999999E-4</v>
      </c>
      <c r="CP46">
        <v>2.8499999999999999E-4</v>
      </c>
      <c r="CQ46">
        <v>2.8499999999999999E-4</v>
      </c>
      <c r="CR46">
        <v>2.8499999999999999E-4</v>
      </c>
      <c r="CS46">
        <v>2.8499999999999999E-4</v>
      </c>
      <c r="CT46">
        <v>2.8499999999999999E-4</v>
      </c>
      <c r="CU46">
        <v>2.8499999999999999E-4</v>
      </c>
      <c r="CV46">
        <v>2.8499999999999999E-4</v>
      </c>
      <c r="CW46">
        <v>2.8499999999999999E-4</v>
      </c>
      <c r="CX46">
        <v>2.8499999999999999E-4</v>
      </c>
    </row>
    <row r="47" spans="1:102" x14ac:dyDescent="0.25">
      <c r="A47" t="s">
        <v>159</v>
      </c>
      <c r="B47" t="e">
        <v>#VALUE!</v>
      </c>
      <c r="C47" t="e">
        <v>#VALUE!</v>
      </c>
      <c r="D47" t="e">
        <v>#VALUE!</v>
      </c>
      <c r="E47" t="e">
        <v>#VALUE!</v>
      </c>
      <c r="F47" t="e">
        <v>#VALUE!</v>
      </c>
      <c r="G47" t="e">
        <v>#VALUE!</v>
      </c>
      <c r="H47" t="e">
        <v>#VALUE!</v>
      </c>
      <c r="I47" t="e">
        <v>#VALUE!</v>
      </c>
      <c r="J47" t="e">
        <v>#VALUE!</v>
      </c>
      <c r="K47" t="e">
        <v>#VALUE!</v>
      </c>
      <c r="L47" t="e">
        <v>#VALUE!</v>
      </c>
      <c r="M47" t="e">
        <v>#VALUE!</v>
      </c>
      <c r="N47" t="e">
        <v>#VALUE!</v>
      </c>
      <c r="O47" t="e">
        <v>#VALUE!</v>
      </c>
      <c r="P47" t="e">
        <v>#VALUE!</v>
      </c>
      <c r="Q47">
        <v>2.3E-5</v>
      </c>
      <c r="R47">
        <v>2.3E-5</v>
      </c>
      <c r="S47">
        <v>2.3E-5</v>
      </c>
      <c r="T47">
        <v>2.3E-5</v>
      </c>
      <c r="U47">
        <v>2.3E-5</v>
      </c>
      <c r="V47">
        <v>2.3E-5</v>
      </c>
      <c r="W47">
        <v>2.3E-5</v>
      </c>
      <c r="X47">
        <v>2.3E-5</v>
      </c>
      <c r="Y47">
        <v>2.3E-5</v>
      </c>
      <c r="Z47">
        <v>2.3E-5</v>
      </c>
      <c r="AA47">
        <v>2.3E-5</v>
      </c>
      <c r="AB47">
        <v>2.3E-5</v>
      </c>
      <c r="AC47">
        <v>2.3E-5</v>
      </c>
      <c r="AD47">
        <v>2.3E-5</v>
      </c>
      <c r="AE47">
        <v>2.3E-5</v>
      </c>
      <c r="AF47">
        <v>2.3E-5</v>
      </c>
      <c r="AG47">
        <v>2.3E-5</v>
      </c>
      <c r="AH47">
        <v>2.3E-5</v>
      </c>
      <c r="AI47">
        <v>2.3E-5</v>
      </c>
      <c r="AJ47">
        <v>2.3E-5</v>
      </c>
      <c r="AK47">
        <v>2.3E-5</v>
      </c>
      <c r="AL47">
        <v>2.3E-5</v>
      </c>
      <c r="AM47">
        <v>2.3E-5</v>
      </c>
      <c r="AN47">
        <v>2.3E-5</v>
      </c>
      <c r="AO47">
        <v>2.3E-5</v>
      </c>
      <c r="AP47">
        <v>1.34E-4</v>
      </c>
      <c r="AQ47">
        <v>1.34E-4</v>
      </c>
      <c r="AR47">
        <v>1.34E-4</v>
      </c>
      <c r="AS47">
        <v>1.34E-4</v>
      </c>
      <c r="AT47">
        <v>1.34E-4</v>
      </c>
      <c r="AU47">
        <v>1.12E-4</v>
      </c>
      <c r="AV47">
        <v>1.12E-4</v>
      </c>
      <c r="AW47">
        <v>1.12E-4</v>
      </c>
      <c r="AX47">
        <v>1.12E-4</v>
      </c>
      <c r="AY47">
        <v>1.12E-4</v>
      </c>
      <c r="AZ47">
        <v>8.5000000000000006E-5</v>
      </c>
      <c r="BA47">
        <v>8.5000000000000006E-5</v>
      </c>
      <c r="BB47">
        <v>8.5000000000000006E-5</v>
      </c>
      <c r="BC47">
        <v>8.5000000000000006E-5</v>
      </c>
      <c r="BD47">
        <v>8.5000000000000006E-5</v>
      </c>
      <c r="BE47">
        <v>6.2000000000000003E-5</v>
      </c>
      <c r="BF47">
        <v>6.2000000000000003E-5</v>
      </c>
      <c r="BG47">
        <v>6.2000000000000003E-5</v>
      </c>
      <c r="BH47">
        <v>6.2000000000000003E-5</v>
      </c>
      <c r="BI47">
        <v>6.2000000000000003E-5</v>
      </c>
      <c r="BJ47">
        <v>7.1000000000000005E-5</v>
      </c>
      <c r="BK47">
        <v>7.1000000000000005E-5</v>
      </c>
      <c r="BL47">
        <v>7.1000000000000005E-5</v>
      </c>
      <c r="BM47">
        <v>7.1000000000000005E-5</v>
      </c>
      <c r="BN47">
        <v>7.1000000000000005E-5</v>
      </c>
      <c r="BO47">
        <v>4.1999999999999998E-5</v>
      </c>
      <c r="BP47">
        <v>4.1999999999999998E-5</v>
      </c>
      <c r="BQ47">
        <v>4.1999999999999998E-5</v>
      </c>
      <c r="BR47">
        <v>4.1999999999999998E-5</v>
      </c>
      <c r="BS47">
        <v>4.1999999999999998E-5</v>
      </c>
      <c r="BT47">
        <v>1.08E-4</v>
      </c>
      <c r="BU47">
        <v>1.08E-4</v>
      </c>
      <c r="BV47">
        <v>1.08E-4</v>
      </c>
      <c r="BW47">
        <v>1.08E-4</v>
      </c>
      <c r="BX47">
        <v>1.08E-4</v>
      </c>
      <c r="BY47">
        <v>2.1699999999999999E-4</v>
      </c>
      <c r="BZ47">
        <v>2.1699999999999999E-4</v>
      </c>
      <c r="CA47">
        <v>2.1699999999999999E-4</v>
      </c>
      <c r="CB47">
        <v>2.1699999999999999E-4</v>
      </c>
      <c r="CC47">
        <v>2.1699999999999999E-4</v>
      </c>
      <c r="CD47">
        <v>2.1699999999999999E-4</v>
      </c>
      <c r="CE47">
        <v>2.1699999999999999E-4</v>
      </c>
      <c r="CF47">
        <v>2.1699999999999999E-4</v>
      </c>
      <c r="CG47">
        <v>2.1699999999999999E-4</v>
      </c>
      <c r="CH47">
        <v>2.1699999999999999E-4</v>
      </c>
      <c r="CI47">
        <v>2.1699999999999999E-4</v>
      </c>
      <c r="CJ47">
        <v>2.1699999999999999E-4</v>
      </c>
      <c r="CK47">
        <v>2.1699999999999999E-4</v>
      </c>
      <c r="CL47">
        <v>2.1699999999999999E-4</v>
      </c>
      <c r="CM47">
        <v>2.1699999999999999E-4</v>
      </c>
      <c r="CN47">
        <v>2.1699999999999999E-4</v>
      </c>
      <c r="CO47">
        <v>2.1699999999999999E-4</v>
      </c>
      <c r="CP47">
        <v>2.1699999999999999E-4</v>
      </c>
      <c r="CQ47">
        <v>2.1699999999999999E-4</v>
      </c>
      <c r="CR47">
        <v>2.1699999999999999E-4</v>
      </c>
      <c r="CS47">
        <v>2.1699999999999999E-4</v>
      </c>
      <c r="CT47">
        <v>2.1699999999999999E-4</v>
      </c>
      <c r="CU47">
        <v>2.1699999999999999E-4</v>
      </c>
      <c r="CV47">
        <v>2.1699999999999999E-4</v>
      </c>
      <c r="CW47">
        <v>2.1699999999999999E-4</v>
      </c>
      <c r="CX47">
        <v>2.1699999999999999E-4</v>
      </c>
    </row>
    <row r="48" spans="1:102" x14ac:dyDescent="0.25">
      <c r="A48" t="s">
        <v>161</v>
      </c>
      <c r="B48" t="e">
        <v>#VALUE!</v>
      </c>
      <c r="C48" t="e">
        <v>#VALUE!</v>
      </c>
      <c r="D48" t="e">
        <v>#VALUE!</v>
      </c>
      <c r="E48" t="e">
        <v>#VALUE!</v>
      </c>
      <c r="F48" t="e">
        <v>#VALUE!</v>
      </c>
      <c r="G48" t="e">
        <v>#VALUE!</v>
      </c>
      <c r="H48" t="e">
        <v>#VALUE!</v>
      </c>
      <c r="I48" t="e">
        <v>#VALUE!</v>
      </c>
      <c r="J48" t="e">
        <v>#VALUE!</v>
      </c>
      <c r="K48" t="e">
        <v>#VALUE!</v>
      </c>
      <c r="L48" t="e">
        <v>#VALUE!</v>
      </c>
      <c r="M48" t="e">
        <v>#VALUE!</v>
      </c>
      <c r="N48" t="e">
        <v>#VALUE!</v>
      </c>
      <c r="O48" t="e">
        <v>#VALUE!</v>
      </c>
      <c r="P48" t="e">
        <v>#VALUE!</v>
      </c>
      <c r="Q48">
        <v>1.44E-4</v>
      </c>
      <c r="R48">
        <v>1.44E-4</v>
      </c>
      <c r="S48">
        <v>1.44E-4</v>
      </c>
      <c r="T48">
        <v>1.44E-4</v>
      </c>
      <c r="U48">
        <v>1.44E-4</v>
      </c>
      <c r="V48">
        <v>1.44E-4</v>
      </c>
      <c r="W48">
        <v>1.44E-4</v>
      </c>
      <c r="X48">
        <v>1.44E-4</v>
      </c>
      <c r="Y48">
        <v>1.44E-4</v>
      </c>
      <c r="Z48">
        <v>1.44E-4</v>
      </c>
      <c r="AA48">
        <v>1.44E-4</v>
      </c>
      <c r="AB48">
        <v>1.44E-4</v>
      </c>
      <c r="AC48">
        <v>1.44E-4</v>
      </c>
      <c r="AD48">
        <v>1.44E-4</v>
      </c>
      <c r="AE48">
        <v>1.44E-4</v>
      </c>
      <c r="AF48">
        <v>1.44E-4</v>
      </c>
      <c r="AG48">
        <v>1.44E-4</v>
      </c>
      <c r="AH48">
        <v>1.44E-4</v>
      </c>
      <c r="AI48">
        <v>1.44E-4</v>
      </c>
      <c r="AJ48">
        <v>1.44E-4</v>
      </c>
      <c r="AK48">
        <v>1.44E-4</v>
      </c>
      <c r="AL48">
        <v>1.44E-4</v>
      </c>
      <c r="AM48">
        <v>1.44E-4</v>
      </c>
      <c r="AN48">
        <v>1.44E-4</v>
      </c>
      <c r="AO48">
        <v>1.44E-4</v>
      </c>
      <c r="AP48">
        <v>2.9300000000000002E-4</v>
      </c>
      <c r="AQ48">
        <v>2.9300000000000002E-4</v>
      </c>
      <c r="AR48">
        <v>2.9300000000000002E-4</v>
      </c>
      <c r="AS48">
        <v>2.9300000000000002E-4</v>
      </c>
      <c r="AT48">
        <v>2.9300000000000002E-4</v>
      </c>
      <c r="AU48">
        <v>2.9100000000000003E-4</v>
      </c>
      <c r="AV48">
        <v>2.9100000000000003E-4</v>
      </c>
      <c r="AW48">
        <v>2.9100000000000003E-4</v>
      </c>
      <c r="AX48">
        <v>2.9100000000000003E-4</v>
      </c>
      <c r="AY48">
        <v>2.9100000000000003E-4</v>
      </c>
      <c r="AZ48">
        <v>2.7500000000000002E-4</v>
      </c>
      <c r="BA48">
        <v>2.7500000000000002E-4</v>
      </c>
      <c r="BB48">
        <v>2.7500000000000002E-4</v>
      </c>
      <c r="BC48">
        <v>2.7500000000000002E-4</v>
      </c>
      <c r="BD48">
        <v>2.7500000000000002E-4</v>
      </c>
      <c r="BE48">
        <v>2.7300000000000002E-4</v>
      </c>
      <c r="BF48">
        <v>2.7300000000000002E-4</v>
      </c>
      <c r="BG48">
        <v>2.7300000000000002E-4</v>
      </c>
      <c r="BH48">
        <v>2.7300000000000002E-4</v>
      </c>
      <c r="BI48">
        <v>2.7300000000000002E-4</v>
      </c>
      <c r="BJ48">
        <v>2.6899999999999998E-4</v>
      </c>
      <c r="BK48">
        <v>2.6899999999999998E-4</v>
      </c>
      <c r="BL48">
        <v>2.6899999999999998E-4</v>
      </c>
      <c r="BM48">
        <v>2.6899999999999998E-4</v>
      </c>
      <c r="BN48">
        <v>2.6899999999999998E-4</v>
      </c>
      <c r="BO48">
        <v>2.63E-4</v>
      </c>
      <c r="BP48">
        <v>2.63E-4</v>
      </c>
      <c r="BQ48">
        <v>2.63E-4</v>
      </c>
      <c r="BR48">
        <v>2.63E-4</v>
      </c>
      <c r="BS48">
        <v>2.63E-4</v>
      </c>
      <c r="BT48">
        <v>2.5799999999999998E-4</v>
      </c>
      <c r="BU48">
        <v>2.5799999999999998E-4</v>
      </c>
      <c r="BV48">
        <v>2.5799999999999998E-4</v>
      </c>
      <c r="BW48">
        <v>2.5799999999999998E-4</v>
      </c>
      <c r="BX48">
        <v>2.5799999999999998E-4</v>
      </c>
      <c r="BY48">
        <v>2.33E-4</v>
      </c>
      <c r="BZ48">
        <v>2.33E-4</v>
      </c>
      <c r="CA48">
        <v>2.33E-4</v>
      </c>
      <c r="CB48">
        <v>2.33E-4</v>
      </c>
      <c r="CC48">
        <v>2.33E-4</v>
      </c>
      <c r="CD48">
        <v>2.33E-4</v>
      </c>
      <c r="CE48">
        <v>2.33E-4</v>
      </c>
      <c r="CF48">
        <v>2.33E-4</v>
      </c>
      <c r="CG48">
        <v>2.33E-4</v>
      </c>
      <c r="CH48">
        <v>2.33E-4</v>
      </c>
      <c r="CI48">
        <v>2.33E-4</v>
      </c>
      <c r="CJ48">
        <v>2.33E-4</v>
      </c>
      <c r="CK48">
        <v>2.33E-4</v>
      </c>
      <c r="CL48">
        <v>2.33E-4</v>
      </c>
      <c r="CM48">
        <v>2.33E-4</v>
      </c>
      <c r="CN48">
        <v>2.33E-4</v>
      </c>
      <c r="CO48">
        <v>2.33E-4</v>
      </c>
      <c r="CP48">
        <v>2.33E-4</v>
      </c>
      <c r="CQ48">
        <v>2.33E-4</v>
      </c>
      <c r="CR48">
        <v>2.33E-4</v>
      </c>
      <c r="CS48">
        <v>2.33E-4</v>
      </c>
      <c r="CT48">
        <v>2.33E-4</v>
      </c>
      <c r="CU48">
        <v>2.33E-4</v>
      </c>
      <c r="CV48">
        <v>2.33E-4</v>
      </c>
      <c r="CW48">
        <v>2.33E-4</v>
      </c>
      <c r="CX48">
        <v>2.33E-4</v>
      </c>
    </row>
    <row r="49" spans="1:102" x14ac:dyDescent="0.25">
      <c r="A49" t="s">
        <v>163</v>
      </c>
      <c r="B49" t="e">
        <v>#VALUE!</v>
      </c>
      <c r="C49" t="e">
        <v>#VALUE!</v>
      </c>
      <c r="D49" t="e">
        <v>#VALUE!</v>
      </c>
      <c r="E49" t="e">
        <v>#VALUE!</v>
      </c>
      <c r="F49" t="e">
        <v>#VALUE!</v>
      </c>
      <c r="G49" t="e">
        <v>#VALUE!</v>
      </c>
      <c r="H49" t="e">
        <v>#VALUE!</v>
      </c>
      <c r="I49" t="e">
        <v>#VALUE!</v>
      </c>
      <c r="J49" t="e">
        <v>#VALUE!</v>
      </c>
      <c r="K49" t="e">
        <v>#VALUE!</v>
      </c>
      <c r="L49" t="e">
        <v>#VALUE!</v>
      </c>
      <c r="M49" t="e">
        <v>#VALUE!</v>
      </c>
      <c r="N49" t="e">
        <v>#VALUE!</v>
      </c>
      <c r="O49" t="e">
        <v>#VALUE!</v>
      </c>
      <c r="P49" t="e">
        <v>#VALUE!</v>
      </c>
      <c r="Q49">
        <v>1.37E-4</v>
      </c>
      <c r="R49">
        <v>1.37E-4</v>
      </c>
      <c r="S49">
        <v>1.37E-4</v>
      </c>
      <c r="T49">
        <v>1.37E-4</v>
      </c>
      <c r="U49">
        <v>1.37E-4</v>
      </c>
      <c r="V49">
        <v>1.37E-4</v>
      </c>
      <c r="W49">
        <v>1.37E-4</v>
      </c>
      <c r="X49">
        <v>1.37E-4</v>
      </c>
      <c r="Y49">
        <v>1.37E-4</v>
      </c>
      <c r="Z49">
        <v>1.37E-4</v>
      </c>
      <c r="AA49">
        <v>1.37E-4</v>
      </c>
      <c r="AB49">
        <v>1.37E-4</v>
      </c>
      <c r="AC49">
        <v>1.37E-4</v>
      </c>
      <c r="AD49">
        <v>1.37E-4</v>
      </c>
      <c r="AE49">
        <v>1.37E-4</v>
      </c>
      <c r="AF49">
        <v>1.37E-4</v>
      </c>
      <c r="AG49">
        <v>1.37E-4</v>
      </c>
      <c r="AH49">
        <v>1.37E-4</v>
      </c>
      <c r="AI49">
        <v>1.37E-4</v>
      </c>
      <c r="AJ49">
        <v>1.37E-4</v>
      </c>
      <c r="AK49">
        <v>1.37E-4</v>
      </c>
      <c r="AL49">
        <v>1.37E-4</v>
      </c>
      <c r="AM49">
        <v>1.37E-4</v>
      </c>
      <c r="AN49">
        <v>1.37E-4</v>
      </c>
      <c r="AO49">
        <v>1.37E-4</v>
      </c>
      <c r="AP49">
        <v>2.2800000000000001E-4</v>
      </c>
      <c r="AQ49">
        <v>2.2800000000000001E-4</v>
      </c>
      <c r="AR49">
        <v>2.2800000000000001E-4</v>
      </c>
      <c r="AS49">
        <v>2.2800000000000001E-4</v>
      </c>
      <c r="AT49">
        <v>2.2800000000000001E-4</v>
      </c>
      <c r="AU49">
        <v>1.92E-4</v>
      </c>
      <c r="AV49">
        <v>1.92E-4</v>
      </c>
      <c r="AW49">
        <v>1.92E-4</v>
      </c>
      <c r="AX49">
        <v>1.92E-4</v>
      </c>
      <c r="AY49">
        <v>1.92E-4</v>
      </c>
      <c r="AZ49">
        <v>1.55E-4</v>
      </c>
      <c r="BA49">
        <v>1.55E-4</v>
      </c>
      <c r="BB49">
        <v>1.55E-4</v>
      </c>
      <c r="BC49">
        <v>1.55E-4</v>
      </c>
      <c r="BD49">
        <v>1.55E-4</v>
      </c>
      <c r="BE49">
        <v>1.45E-4</v>
      </c>
      <c r="BF49">
        <v>1.45E-4</v>
      </c>
      <c r="BG49">
        <v>1.45E-4</v>
      </c>
      <c r="BH49">
        <v>1.45E-4</v>
      </c>
      <c r="BI49">
        <v>1.45E-4</v>
      </c>
      <c r="BJ49">
        <v>1.36E-4</v>
      </c>
      <c r="BK49">
        <v>1.36E-4</v>
      </c>
      <c r="BL49">
        <v>1.36E-4</v>
      </c>
      <c r="BM49">
        <v>1.36E-4</v>
      </c>
      <c r="BN49">
        <v>1.36E-4</v>
      </c>
      <c r="BO49">
        <v>1.4200000000000001E-4</v>
      </c>
      <c r="BP49">
        <v>1.4200000000000001E-4</v>
      </c>
      <c r="BQ49">
        <v>1.4200000000000001E-4</v>
      </c>
      <c r="BR49">
        <v>1.4200000000000001E-4</v>
      </c>
      <c r="BS49">
        <v>1.4200000000000001E-4</v>
      </c>
      <c r="BT49">
        <v>1.5200000000000001E-4</v>
      </c>
      <c r="BU49">
        <v>1.5200000000000001E-4</v>
      </c>
      <c r="BV49">
        <v>1.5200000000000001E-4</v>
      </c>
      <c r="BW49">
        <v>1.5200000000000001E-4</v>
      </c>
      <c r="BX49">
        <v>1.5200000000000001E-4</v>
      </c>
      <c r="BY49">
        <v>1.63E-4</v>
      </c>
      <c r="BZ49">
        <v>1.63E-4</v>
      </c>
      <c r="CA49">
        <v>1.63E-4</v>
      </c>
      <c r="CB49">
        <v>1.63E-4</v>
      </c>
      <c r="CC49">
        <v>1.63E-4</v>
      </c>
      <c r="CD49">
        <v>1.63E-4</v>
      </c>
      <c r="CE49">
        <v>1.63E-4</v>
      </c>
      <c r="CF49">
        <v>1.63E-4</v>
      </c>
      <c r="CG49">
        <v>1.63E-4</v>
      </c>
      <c r="CH49">
        <v>1.63E-4</v>
      </c>
      <c r="CI49">
        <v>1.63E-4</v>
      </c>
      <c r="CJ49">
        <v>1.63E-4</v>
      </c>
      <c r="CK49">
        <v>1.63E-4</v>
      </c>
      <c r="CL49">
        <v>1.63E-4</v>
      </c>
      <c r="CM49">
        <v>1.63E-4</v>
      </c>
      <c r="CN49">
        <v>1.63E-4</v>
      </c>
      <c r="CO49">
        <v>1.63E-4</v>
      </c>
      <c r="CP49">
        <v>1.63E-4</v>
      </c>
      <c r="CQ49">
        <v>1.63E-4</v>
      </c>
      <c r="CR49">
        <v>1.63E-4</v>
      </c>
      <c r="CS49">
        <v>1.63E-4</v>
      </c>
      <c r="CT49">
        <v>1.63E-4</v>
      </c>
      <c r="CU49">
        <v>1.63E-4</v>
      </c>
      <c r="CV49">
        <v>1.63E-4</v>
      </c>
      <c r="CW49">
        <v>1.63E-4</v>
      </c>
      <c r="CX49">
        <v>1.63E-4</v>
      </c>
    </row>
    <row r="50" spans="1:102" x14ac:dyDescent="0.25">
      <c r="A50" t="s">
        <v>165</v>
      </c>
      <c r="B50" t="e">
        <v>#VALUE!</v>
      </c>
      <c r="C50" t="e">
        <v>#VALUE!</v>
      </c>
      <c r="D50" t="e">
        <v>#VALUE!</v>
      </c>
      <c r="E50" t="e">
        <v>#VALUE!</v>
      </c>
      <c r="F50" t="e">
        <v>#VALUE!</v>
      </c>
      <c r="G50" t="e">
        <v>#VALUE!</v>
      </c>
      <c r="H50" t="e">
        <v>#VALUE!</v>
      </c>
      <c r="I50" t="e">
        <v>#VALUE!</v>
      </c>
      <c r="J50" t="e">
        <v>#VALUE!</v>
      </c>
      <c r="K50" t="e">
        <v>#VALUE!</v>
      </c>
      <c r="L50" t="e">
        <v>#VALUE!</v>
      </c>
      <c r="M50" t="e">
        <v>#VALUE!</v>
      </c>
      <c r="N50" t="e">
        <v>#VALUE!</v>
      </c>
      <c r="O50" t="e">
        <v>#VALUE!</v>
      </c>
      <c r="P50" t="e">
        <v>#VALUE!</v>
      </c>
      <c r="Q50">
        <v>3.4999999999999997E-5</v>
      </c>
      <c r="R50">
        <v>3.4999999999999997E-5</v>
      </c>
      <c r="S50">
        <v>3.4999999999999997E-5</v>
      </c>
      <c r="T50">
        <v>3.4999999999999997E-5</v>
      </c>
      <c r="U50">
        <v>3.4999999999999997E-5</v>
      </c>
      <c r="V50">
        <v>3.4999999999999997E-5</v>
      </c>
      <c r="W50">
        <v>3.4999999999999997E-5</v>
      </c>
      <c r="X50">
        <v>3.4999999999999997E-5</v>
      </c>
      <c r="Y50">
        <v>3.4999999999999997E-5</v>
      </c>
      <c r="Z50">
        <v>3.4999999999999997E-5</v>
      </c>
      <c r="AA50">
        <v>3.4999999999999997E-5</v>
      </c>
      <c r="AB50">
        <v>3.4999999999999997E-5</v>
      </c>
      <c r="AC50">
        <v>3.4999999999999997E-5</v>
      </c>
      <c r="AD50">
        <v>3.4999999999999997E-5</v>
      </c>
      <c r="AE50">
        <v>3.4999999999999997E-5</v>
      </c>
      <c r="AF50">
        <v>3.4999999999999997E-5</v>
      </c>
      <c r="AG50">
        <v>3.4999999999999997E-5</v>
      </c>
      <c r="AH50">
        <v>3.4999999999999997E-5</v>
      </c>
      <c r="AI50">
        <v>3.4999999999999997E-5</v>
      </c>
      <c r="AJ50">
        <v>3.4999999999999997E-5</v>
      </c>
      <c r="AK50">
        <v>3.4999999999999997E-5</v>
      </c>
      <c r="AL50">
        <v>3.4999999999999997E-5</v>
      </c>
      <c r="AM50">
        <v>3.4999999999999997E-5</v>
      </c>
      <c r="AN50">
        <v>3.4999999999999997E-5</v>
      </c>
      <c r="AO50">
        <v>3.4999999999999997E-5</v>
      </c>
      <c r="AP50">
        <v>2.1000000000000001E-4</v>
      </c>
      <c r="AQ50">
        <v>2.1000000000000001E-4</v>
      </c>
      <c r="AR50">
        <v>2.1000000000000001E-4</v>
      </c>
      <c r="AS50">
        <v>2.1000000000000001E-4</v>
      </c>
      <c r="AT50">
        <v>2.1000000000000001E-4</v>
      </c>
      <c r="AU50">
        <v>4.0200000000000001E-4</v>
      </c>
      <c r="AV50">
        <v>4.0200000000000001E-4</v>
      </c>
      <c r="AW50">
        <v>4.0200000000000001E-4</v>
      </c>
      <c r="AX50">
        <v>4.0200000000000001E-4</v>
      </c>
      <c r="AY50">
        <v>4.0200000000000001E-4</v>
      </c>
      <c r="AZ50">
        <v>5.5500000000000005E-4</v>
      </c>
      <c r="BA50">
        <v>5.5500000000000005E-4</v>
      </c>
      <c r="BB50">
        <v>5.5500000000000005E-4</v>
      </c>
      <c r="BC50">
        <v>5.5500000000000005E-4</v>
      </c>
      <c r="BD50">
        <v>5.5500000000000005E-4</v>
      </c>
      <c r="BE50">
        <v>6.2600000000000004E-4</v>
      </c>
      <c r="BF50">
        <v>6.2600000000000004E-4</v>
      </c>
      <c r="BG50">
        <v>6.2600000000000004E-4</v>
      </c>
      <c r="BH50">
        <v>6.2600000000000004E-4</v>
      </c>
      <c r="BI50">
        <v>6.2600000000000004E-4</v>
      </c>
      <c r="BJ50">
        <v>6.8400000000000004E-4</v>
      </c>
      <c r="BK50">
        <v>6.8400000000000004E-4</v>
      </c>
      <c r="BL50">
        <v>6.8400000000000004E-4</v>
      </c>
      <c r="BM50">
        <v>6.8400000000000004E-4</v>
      </c>
      <c r="BN50">
        <v>6.8400000000000004E-4</v>
      </c>
      <c r="BO50">
        <v>6.4800000000000003E-4</v>
      </c>
      <c r="BP50">
        <v>6.4800000000000003E-4</v>
      </c>
      <c r="BQ50">
        <v>6.4800000000000003E-4</v>
      </c>
      <c r="BR50">
        <v>6.4800000000000003E-4</v>
      </c>
      <c r="BS50">
        <v>6.4800000000000003E-4</v>
      </c>
      <c r="BT50">
        <v>5.9199999999999997E-4</v>
      </c>
      <c r="BU50">
        <v>5.9199999999999997E-4</v>
      </c>
      <c r="BV50">
        <v>5.9199999999999997E-4</v>
      </c>
      <c r="BW50">
        <v>5.9199999999999997E-4</v>
      </c>
      <c r="BX50">
        <v>5.9199999999999997E-4</v>
      </c>
      <c r="BY50">
        <v>6.1200000000000002E-4</v>
      </c>
      <c r="BZ50">
        <v>6.1200000000000002E-4</v>
      </c>
      <c r="CA50">
        <v>6.1200000000000002E-4</v>
      </c>
      <c r="CB50">
        <v>6.1200000000000002E-4</v>
      </c>
      <c r="CC50">
        <v>6.1200000000000002E-4</v>
      </c>
      <c r="CD50">
        <v>6.1200000000000002E-4</v>
      </c>
      <c r="CE50">
        <v>6.1200000000000002E-4</v>
      </c>
      <c r="CF50">
        <v>6.1200000000000002E-4</v>
      </c>
      <c r="CG50">
        <v>6.1200000000000002E-4</v>
      </c>
      <c r="CH50">
        <v>6.1200000000000002E-4</v>
      </c>
      <c r="CI50">
        <v>6.1200000000000002E-4</v>
      </c>
      <c r="CJ50">
        <v>6.1200000000000002E-4</v>
      </c>
      <c r="CK50">
        <v>6.1200000000000002E-4</v>
      </c>
      <c r="CL50">
        <v>6.1200000000000002E-4</v>
      </c>
      <c r="CM50">
        <v>6.1200000000000002E-4</v>
      </c>
      <c r="CN50">
        <v>6.1200000000000002E-4</v>
      </c>
      <c r="CO50">
        <v>6.1200000000000002E-4</v>
      </c>
      <c r="CP50">
        <v>6.1200000000000002E-4</v>
      </c>
      <c r="CQ50">
        <v>6.1200000000000002E-4</v>
      </c>
      <c r="CR50">
        <v>6.1200000000000002E-4</v>
      </c>
      <c r="CS50">
        <v>6.1200000000000002E-4</v>
      </c>
      <c r="CT50">
        <v>6.1200000000000002E-4</v>
      </c>
      <c r="CU50">
        <v>6.1200000000000002E-4</v>
      </c>
      <c r="CV50">
        <v>6.1200000000000002E-4</v>
      </c>
      <c r="CW50">
        <v>6.1200000000000002E-4</v>
      </c>
      <c r="CX50">
        <v>6.1200000000000002E-4</v>
      </c>
    </row>
    <row r="51" spans="1:102" x14ac:dyDescent="0.25">
      <c r="A51" t="s">
        <v>167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1.25E-4</v>
      </c>
      <c r="R51">
        <v>1.25E-4</v>
      </c>
      <c r="S51">
        <v>1.25E-4</v>
      </c>
      <c r="T51">
        <v>1.25E-4</v>
      </c>
      <c r="U51">
        <v>1.25E-4</v>
      </c>
      <c r="V51">
        <v>1.25E-4</v>
      </c>
      <c r="W51">
        <v>1.25E-4</v>
      </c>
      <c r="X51">
        <v>1.25E-4</v>
      </c>
      <c r="Y51">
        <v>1.25E-4</v>
      </c>
      <c r="Z51">
        <v>1.25E-4</v>
      </c>
      <c r="AA51">
        <v>1.25E-4</v>
      </c>
      <c r="AB51">
        <v>1.25E-4</v>
      </c>
      <c r="AC51">
        <v>1.25E-4</v>
      </c>
      <c r="AD51">
        <v>1.25E-4</v>
      </c>
      <c r="AE51">
        <v>1.25E-4</v>
      </c>
      <c r="AF51">
        <v>1.25E-4</v>
      </c>
      <c r="AG51">
        <v>1.25E-4</v>
      </c>
      <c r="AH51">
        <v>1.25E-4</v>
      </c>
      <c r="AI51">
        <v>1.25E-4</v>
      </c>
      <c r="AJ51">
        <v>1.25E-4</v>
      </c>
      <c r="AK51">
        <v>1.25E-4</v>
      </c>
      <c r="AL51">
        <v>1.25E-4</v>
      </c>
      <c r="AM51">
        <v>1.25E-4</v>
      </c>
      <c r="AN51">
        <v>1.25E-4</v>
      </c>
      <c r="AO51">
        <v>1.25E-4</v>
      </c>
      <c r="AP51">
        <v>3.1500000000000001E-4</v>
      </c>
      <c r="AQ51">
        <v>3.1500000000000001E-4</v>
      </c>
      <c r="AR51">
        <v>3.1500000000000001E-4</v>
      </c>
      <c r="AS51">
        <v>3.1500000000000001E-4</v>
      </c>
      <c r="AT51">
        <v>3.1500000000000001E-4</v>
      </c>
      <c r="AU51">
        <v>3.21E-4</v>
      </c>
      <c r="AV51">
        <v>3.21E-4</v>
      </c>
      <c r="AW51">
        <v>3.21E-4</v>
      </c>
      <c r="AX51">
        <v>3.21E-4</v>
      </c>
      <c r="AY51">
        <v>3.21E-4</v>
      </c>
      <c r="AZ51">
        <v>3.1100000000000002E-4</v>
      </c>
      <c r="BA51">
        <v>3.1100000000000002E-4</v>
      </c>
      <c r="BB51">
        <v>3.1100000000000002E-4</v>
      </c>
      <c r="BC51">
        <v>3.1100000000000002E-4</v>
      </c>
      <c r="BD51">
        <v>3.1100000000000002E-4</v>
      </c>
      <c r="BE51">
        <v>3.1199999999999999E-4</v>
      </c>
      <c r="BF51">
        <v>3.1199999999999999E-4</v>
      </c>
      <c r="BG51">
        <v>3.1199999999999999E-4</v>
      </c>
      <c r="BH51">
        <v>3.1199999999999999E-4</v>
      </c>
      <c r="BI51">
        <v>3.1199999999999999E-4</v>
      </c>
      <c r="BJ51">
        <v>3.1599999999999998E-4</v>
      </c>
      <c r="BK51">
        <v>3.1599999999999998E-4</v>
      </c>
      <c r="BL51">
        <v>3.1599999999999998E-4</v>
      </c>
      <c r="BM51">
        <v>3.1599999999999998E-4</v>
      </c>
      <c r="BN51">
        <v>3.1599999999999998E-4</v>
      </c>
      <c r="BO51">
        <v>3.3199999999999999E-4</v>
      </c>
      <c r="BP51">
        <v>3.3199999999999999E-4</v>
      </c>
      <c r="BQ51">
        <v>3.3199999999999999E-4</v>
      </c>
      <c r="BR51">
        <v>3.3199999999999999E-4</v>
      </c>
      <c r="BS51">
        <v>3.3199999999999999E-4</v>
      </c>
      <c r="BT51">
        <v>3.6299999999999999E-4</v>
      </c>
      <c r="BU51">
        <v>3.6299999999999999E-4</v>
      </c>
      <c r="BV51">
        <v>3.6299999999999999E-4</v>
      </c>
      <c r="BW51">
        <v>3.6299999999999999E-4</v>
      </c>
      <c r="BX51">
        <v>3.6299999999999999E-4</v>
      </c>
      <c r="BY51">
        <v>3.3599999999999998E-4</v>
      </c>
      <c r="BZ51">
        <v>3.3599999999999998E-4</v>
      </c>
      <c r="CA51">
        <v>3.3599999999999998E-4</v>
      </c>
      <c r="CB51">
        <v>3.3599999999999998E-4</v>
      </c>
      <c r="CC51">
        <v>3.3599999999999998E-4</v>
      </c>
      <c r="CD51">
        <v>3.3599999999999998E-4</v>
      </c>
      <c r="CE51">
        <v>3.3599999999999998E-4</v>
      </c>
      <c r="CF51">
        <v>3.3599999999999998E-4</v>
      </c>
      <c r="CG51">
        <v>3.3599999999999998E-4</v>
      </c>
      <c r="CH51">
        <v>3.3599999999999998E-4</v>
      </c>
      <c r="CI51">
        <v>3.3599999999999998E-4</v>
      </c>
      <c r="CJ51">
        <v>3.3599999999999998E-4</v>
      </c>
      <c r="CK51">
        <v>3.3599999999999998E-4</v>
      </c>
      <c r="CL51">
        <v>3.3599999999999998E-4</v>
      </c>
      <c r="CM51">
        <v>3.3599999999999998E-4</v>
      </c>
      <c r="CN51">
        <v>3.3599999999999998E-4</v>
      </c>
      <c r="CO51">
        <v>3.3599999999999998E-4</v>
      </c>
      <c r="CP51">
        <v>3.3599999999999998E-4</v>
      </c>
      <c r="CQ51">
        <v>3.3599999999999998E-4</v>
      </c>
      <c r="CR51">
        <v>3.3599999999999998E-4</v>
      </c>
      <c r="CS51">
        <v>3.3599999999999998E-4</v>
      </c>
      <c r="CT51">
        <v>3.3599999999999998E-4</v>
      </c>
      <c r="CU51">
        <v>3.3599999999999998E-4</v>
      </c>
      <c r="CV51">
        <v>3.3599999999999998E-4</v>
      </c>
      <c r="CW51">
        <v>3.3599999999999998E-4</v>
      </c>
      <c r="CX51">
        <v>3.3599999999999998E-4</v>
      </c>
    </row>
    <row r="52" spans="1:102" x14ac:dyDescent="0.25">
      <c r="A52" t="s">
        <v>169</v>
      </c>
      <c r="B52">
        <v>1.9999999999999999E-6</v>
      </c>
      <c r="C52">
        <v>1.9999999999999999E-6</v>
      </c>
      <c r="D52">
        <v>1.9999999999999999E-6</v>
      </c>
      <c r="E52">
        <v>1.9999999999999999E-6</v>
      </c>
      <c r="F52">
        <v>1.9999999999999999E-6</v>
      </c>
      <c r="G52">
        <v>1.9999999999999999E-6</v>
      </c>
      <c r="H52">
        <v>1.9999999999999999E-6</v>
      </c>
      <c r="I52">
        <v>1.9999999999999999E-6</v>
      </c>
      <c r="J52">
        <v>1.9999999999999999E-6</v>
      </c>
      <c r="K52">
        <v>1.9999999999999999E-6</v>
      </c>
      <c r="L52">
        <v>1.9999999999999999E-6</v>
      </c>
      <c r="M52">
        <v>1.9999999999999999E-6</v>
      </c>
      <c r="N52">
        <v>1.9999999999999999E-6</v>
      </c>
      <c r="O52">
        <v>1.9999999999999999E-6</v>
      </c>
      <c r="P52">
        <v>1.9999999999999999E-6</v>
      </c>
      <c r="Q52">
        <v>2.1800000000000001E-4</v>
      </c>
      <c r="R52">
        <v>2.1800000000000001E-4</v>
      </c>
      <c r="S52">
        <v>2.1800000000000001E-4</v>
      </c>
      <c r="T52">
        <v>2.1800000000000001E-4</v>
      </c>
      <c r="U52">
        <v>2.1800000000000001E-4</v>
      </c>
      <c r="V52">
        <v>2.1800000000000001E-4</v>
      </c>
      <c r="W52">
        <v>2.1800000000000001E-4</v>
      </c>
      <c r="X52">
        <v>2.1800000000000001E-4</v>
      </c>
      <c r="Y52">
        <v>2.1800000000000001E-4</v>
      </c>
      <c r="Z52">
        <v>2.1800000000000001E-4</v>
      </c>
      <c r="AA52">
        <v>2.1800000000000001E-4</v>
      </c>
      <c r="AB52">
        <v>2.1800000000000001E-4</v>
      </c>
      <c r="AC52">
        <v>2.1800000000000001E-4</v>
      </c>
      <c r="AD52">
        <v>2.1800000000000001E-4</v>
      </c>
      <c r="AE52">
        <v>2.1800000000000001E-4</v>
      </c>
      <c r="AF52">
        <v>2.1800000000000001E-4</v>
      </c>
      <c r="AG52">
        <v>2.1800000000000001E-4</v>
      </c>
      <c r="AH52">
        <v>2.1800000000000001E-4</v>
      </c>
      <c r="AI52">
        <v>2.1800000000000001E-4</v>
      </c>
      <c r="AJ52">
        <v>2.1800000000000001E-4</v>
      </c>
      <c r="AK52">
        <v>2.1800000000000001E-4</v>
      </c>
      <c r="AL52">
        <v>2.1800000000000001E-4</v>
      </c>
      <c r="AM52">
        <v>2.1800000000000001E-4</v>
      </c>
      <c r="AN52">
        <v>2.1800000000000001E-4</v>
      </c>
      <c r="AO52">
        <v>2.1800000000000001E-4</v>
      </c>
      <c r="AP52">
        <v>5.1000000000000004E-4</v>
      </c>
      <c r="AQ52">
        <v>5.1000000000000004E-4</v>
      </c>
      <c r="AR52">
        <v>5.1000000000000004E-4</v>
      </c>
      <c r="AS52">
        <v>5.1000000000000004E-4</v>
      </c>
      <c r="AT52">
        <v>5.1000000000000004E-4</v>
      </c>
      <c r="AU52">
        <v>5.9900000000000003E-4</v>
      </c>
      <c r="AV52">
        <v>5.9900000000000003E-4</v>
      </c>
      <c r="AW52">
        <v>5.9900000000000003E-4</v>
      </c>
      <c r="AX52">
        <v>5.9900000000000003E-4</v>
      </c>
      <c r="AY52">
        <v>5.9900000000000003E-4</v>
      </c>
      <c r="AZ52">
        <v>6.7699999999999998E-4</v>
      </c>
      <c r="BA52">
        <v>6.7699999999999998E-4</v>
      </c>
      <c r="BB52">
        <v>6.7699999999999998E-4</v>
      </c>
      <c r="BC52">
        <v>6.7699999999999998E-4</v>
      </c>
      <c r="BD52">
        <v>6.7699999999999998E-4</v>
      </c>
      <c r="BE52">
        <v>7.3700000000000002E-4</v>
      </c>
      <c r="BF52">
        <v>7.3700000000000002E-4</v>
      </c>
      <c r="BG52">
        <v>7.3700000000000002E-4</v>
      </c>
      <c r="BH52">
        <v>7.3700000000000002E-4</v>
      </c>
      <c r="BI52">
        <v>7.3700000000000002E-4</v>
      </c>
      <c r="BJ52">
        <v>7.9699999999999997E-4</v>
      </c>
      <c r="BK52">
        <v>7.9699999999999997E-4</v>
      </c>
      <c r="BL52">
        <v>7.9699999999999997E-4</v>
      </c>
      <c r="BM52">
        <v>7.9699999999999997E-4</v>
      </c>
      <c r="BN52">
        <v>7.9699999999999997E-4</v>
      </c>
      <c r="BO52">
        <v>8.5499999999999997E-4</v>
      </c>
      <c r="BP52">
        <v>8.5499999999999997E-4</v>
      </c>
      <c r="BQ52">
        <v>8.5499999999999997E-4</v>
      </c>
      <c r="BR52">
        <v>8.5499999999999997E-4</v>
      </c>
      <c r="BS52">
        <v>8.5499999999999997E-4</v>
      </c>
      <c r="BT52">
        <v>9.2000000000000003E-4</v>
      </c>
      <c r="BU52">
        <v>9.2000000000000003E-4</v>
      </c>
      <c r="BV52">
        <v>9.2000000000000003E-4</v>
      </c>
      <c r="BW52">
        <v>9.2000000000000003E-4</v>
      </c>
      <c r="BX52">
        <v>9.2000000000000003E-4</v>
      </c>
      <c r="BY52">
        <v>9.8799999999999995E-4</v>
      </c>
      <c r="BZ52">
        <v>9.8799999999999995E-4</v>
      </c>
      <c r="CA52">
        <v>9.8799999999999995E-4</v>
      </c>
      <c r="CB52">
        <v>9.8799999999999995E-4</v>
      </c>
      <c r="CC52">
        <v>9.8799999999999995E-4</v>
      </c>
      <c r="CD52">
        <v>9.8799999999999995E-4</v>
      </c>
      <c r="CE52">
        <v>9.8799999999999995E-4</v>
      </c>
      <c r="CF52">
        <v>9.8799999999999995E-4</v>
      </c>
      <c r="CG52">
        <v>9.8799999999999995E-4</v>
      </c>
      <c r="CH52">
        <v>9.8799999999999995E-4</v>
      </c>
      <c r="CI52">
        <v>9.8799999999999995E-4</v>
      </c>
      <c r="CJ52">
        <v>9.8799999999999995E-4</v>
      </c>
      <c r="CK52">
        <v>9.8799999999999995E-4</v>
      </c>
      <c r="CL52">
        <v>9.8799999999999995E-4</v>
      </c>
      <c r="CM52">
        <v>9.8799999999999995E-4</v>
      </c>
      <c r="CN52">
        <v>9.8799999999999995E-4</v>
      </c>
      <c r="CO52">
        <v>9.8799999999999995E-4</v>
      </c>
      <c r="CP52">
        <v>9.8799999999999995E-4</v>
      </c>
      <c r="CQ52">
        <v>9.8799999999999995E-4</v>
      </c>
      <c r="CR52">
        <v>9.8799999999999995E-4</v>
      </c>
      <c r="CS52">
        <v>9.8799999999999995E-4</v>
      </c>
      <c r="CT52">
        <v>9.8799999999999995E-4</v>
      </c>
      <c r="CU52">
        <v>9.8799999999999995E-4</v>
      </c>
      <c r="CV52">
        <v>9.8799999999999995E-4</v>
      </c>
      <c r="CW52">
        <v>9.8799999999999995E-4</v>
      </c>
      <c r="CX52">
        <v>9.8799999999999995E-4</v>
      </c>
    </row>
    <row r="53" spans="1:102" x14ac:dyDescent="0.25">
      <c r="A53" t="s">
        <v>171</v>
      </c>
      <c r="B53" t="e">
        <v>#VALUE!</v>
      </c>
      <c r="C53" t="e">
        <v>#VALUE!</v>
      </c>
      <c r="D53" t="e">
        <v>#VALUE!</v>
      </c>
      <c r="E53" t="e">
        <v>#VALUE!</v>
      </c>
      <c r="F53" t="e">
        <v>#VALUE!</v>
      </c>
      <c r="G53" t="e">
        <v>#VALUE!</v>
      </c>
      <c r="H53" t="e">
        <v>#VALUE!</v>
      </c>
      <c r="I53" t="e">
        <v>#VALUE!</v>
      </c>
      <c r="J53" t="e">
        <v>#VALUE!</v>
      </c>
      <c r="K53" t="e">
        <v>#VALUE!</v>
      </c>
      <c r="L53" t="e">
        <v>#VALUE!</v>
      </c>
      <c r="M53" t="e">
        <v>#VALUE!</v>
      </c>
      <c r="N53" t="e">
        <v>#VALUE!</v>
      </c>
      <c r="O53" t="e">
        <v>#VALUE!</v>
      </c>
      <c r="P53" t="e">
        <v>#VALUE!</v>
      </c>
      <c r="Q53">
        <v>1.35E-4</v>
      </c>
      <c r="R53">
        <v>1.35E-4</v>
      </c>
      <c r="S53">
        <v>1.35E-4</v>
      </c>
      <c r="T53">
        <v>1.35E-4</v>
      </c>
      <c r="U53">
        <v>1.35E-4</v>
      </c>
      <c r="V53">
        <v>1.35E-4</v>
      </c>
      <c r="W53">
        <v>1.35E-4</v>
      </c>
      <c r="X53">
        <v>1.35E-4</v>
      </c>
      <c r="Y53">
        <v>1.35E-4</v>
      </c>
      <c r="Z53">
        <v>1.35E-4</v>
      </c>
      <c r="AA53">
        <v>1.35E-4</v>
      </c>
      <c r="AB53">
        <v>1.35E-4</v>
      </c>
      <c r="AC53">
        <v>1.35E-4</v>
      </c>
      <c r="AD53">
        <v>1.35E-4</v>
      </c>
      <c r="AE53">
        <v>1.35E-4</v>
      </c>
      <c r="AF53">
        <v>1.35E-4</v>
      </c>
      <c r="AG53">
        <v>1.35E-4</v>
      </c>
      <c r="AH53">
        <v>1.35E-4</v>
      </c>
      <c r="AI53">
        <v>1.35E-4</v>
      </c>
      <c r="AJ53">
        <v>1.35E-4</v>
      </c>
      <c r="AK53">
        <v>1.35E-4</v>
      </c>
      <c r="AL53">
        <v>1.35E-4</v>
      </c>
      <c r="AM53">
        <v>1.35E-4</v>
      </c>
      <c r="AN53">
        <v>1.35E-4</v>
      </c>
      <c r="AO53">
        <v>1.35E-4</v>
      </c>
      <c r="AP53">
        <v>5.1999999999999995E-4</v>
      </c>
      <c r="AQ53">
        <v>5.1999999999999995E-4</v>
      </c>
      <c r="AR53">
        <v>5.1999999999999995E-4</v>
      </c>
      <c r="AS53">
        <v>5.1999999999999995E-4</v>
      </c>
      <c r="AT53">
        <v>5.1999999999999995E-4</v>
      </c>
      <c r="AU53">
        <v>6.0800000000000003E-4</v>
      </c>
      <c r="AV53">
        <v>6.0800000000000003E-4</v>
      </c>
      <c r="AW53">
        <v>6.0800000000000003E-4</v>
      </c>
      <c r="AX53">
        <v>6.0800000000000003E-4</v>
      </c>
      <c r="AY53">
        <v>6.0800000000000003E-4</v>
      </c>
      <c r="AZ53">
        <v>6.3199999999999997E-4</v>
      </c>
      <c r="BA53">
        <v>6.3199999999999997E-4</v>
      </c>
      <c r="BB53">
        <v>6.3199999999999997E-4</v>
      </c>
      <c r="BC53">
        <v>6.3199999999999997E-4</v>
      </c>
      <c r="BD53">
        <v>6.3199999999999997E-4</v>
      </c>
      <c r="BE53">
        <v>6.87E-4</v>
      </c>
      <c r="BF53">
        <v>6.87E-4</v>
      </c>
      <c r="BG53">
        <v>6.87E-4</v>
      </c>
      <c r="BH53">
        <v>6.87E-4</v>
      </c>
      <c r="BI53">
        <v>6.87E-4</v>
      </c>
      <c r="BJ53">
        <v>8.2899999999999998E-4</v>
      </c>
      <c r="BK53">
        <v>8.2899999999999998E-4</v>
      </c>
      <c r="BL53">
        <v>8.2899999999999998E-4</v>
      </c>
      <c r="BM53">
        <v>8.2899999999999998E-4</v>
      </c>
      <c r="BN53">
        <v>8.2899999999999998E-4</v>
      </c>
      <c r="BO53">
        <v>9.7799999999999992E-4</v>
      </c>
      <c r="BP53">
        <v>9.7799999999999992E-4</v>
      </c>
      <c r="BQ53">
        <v>9.7799999999999992E-4</v>
      </c>
      <c r="BR53">
        <v>9.7799999999999992E-4</v>
      </c>
      <c r="BS53">
        <v>9.7799999999999992E-4</v>
      </c>
      <c r="BT53">
        <v>1.157E-3</v>
      </c>
      <c r="BU53">
        <v>1.157E-3</v>
      </c>
      <c r="BV53">
        <v>1.157E-3</v>
      </c>
      <c r="BW53">
        <v>1.157E-3</v>
      </c>
      <c r="BX53">
        <v>1.157E-3</v>
      </c>
      <c r="BY53">
        <v>1.359E-3</v>
      </c>
      <c r="BZ53">
        <v>1.359E-3</v>
      </c>
      <c r="CA53">
        <v>1.359E-3</v>
      </c>
      <c r="CB53">
        <v>1.359E-3</v>
      </c>
      <c r="CC53">
        <v>1.359E-3</v>
      </c>
      <c r="CD53">
        <v>1.359E-3</v>
      </c>
      <c r="CE53">
        <v>1.359E-3</v>
      </c>
      <c r="CF53">
        <v>1.359E-3</v>
      </c>
      <c r="CG53">
        <v>1.359E-3</v>
      </c>
      <c r="CH53">
        <v>1.359E-3</v>
      </c>
      <c r="CI53">
        <v>1.359E-3</v>
      </c>
      <c r="CJ53">
        <v>1.359E-3</v>
      </c>
      <c r="CK53">
        <v>1.359E-3</v>
      </c>
      <c r="CL53">
        <v>1.359E-3</v>
      </c>
      <c r="CM53">
        <v>1.359E-3</v>
      </c>
      <c r="CN53">
        <v>1.359E-3</v>
      </c>
      <c r="CO53">
        <v>1.359E-3</v>
      </c>
      <c r="CP53">
        <v>1.359E-3</v>
      </c>
      <c r="CQ53">
        <v>1.359E-3</v>
      </c>
      <c r="CR53">
        <v>1.359E-3</v>
      </c>
      <c r="CS53">
        <v>1.359E-3</v>
      </c>
      <c r="CT53">
        <v>1.359E-3</v>
      </c>
      <c r="CU53">
        <v>1.359E-3</v>
      </c>
      <c r="CV53">
        <v>1.359E-3</v>
      </c>
      <c r="CW53">
        <v>1.359E-3</v>
      </c>
      <c r="CX53">
        <v>1.359E-3</v>
      </c>
    </row>
    <row r="54" spans="1:102" x14ac:dyDescent="0.25">
      <c r="A54" t="s">
        <v>173</v>
      </c>
      <c r="B54" t="e">
        <v>#VALUE!</v>
      </c>
      <c r="C54" t="e">
        <v>#VALUE!</v>
      </c>
      <c r="D54" t="e">
        <v>#VALUE!</v>
      </c>
      <c r="E54" t="e">
        <v>#VALUE!</v>
      </c>
      <c r="F54" t="e">
        <v>#VALUE!</v>
      </c>
      <c r="G54" t="e">
        <v>#VALUE!</v>
      </c>
      <c r="H54" t="e">
        <v>#VALUE!</v>
      </c>
      <c r="I54" t="e">
        <v>#VALUE!</v>
      </c>
      <c r="J54" t="e">
        <v>#VALUE!</v>
      </c>
      <c r="K54" t="e">
        <v>#VALUE!</v>
      </c>
      <c r="L54" t="e">
        <v>#VALUE!</v>
      </c>
      <c r="M54" t="e">
        <v>#VALUE!</v>
      </c>
      <c r="N54" t="e">
        <v>#VALUE!</v>
      </c>
      <c r="O54" t="e">
        <v>#VALUE!</v>
      </c>
      <c r="P54" t="e">
        <v>#VALUE!</v>
      </c>
      <c r="Q54">
        <v>7.9999999999999996E-6</v>
      </c>
      <c r="R54">
        <v>7.9999999999999996E-6</v>
      </c>
      <c r="S54">
        <v>7.9999999999999996E-6</v>
      </c>
      <c r="T54">
        <v>7.9999999999999996E-6</v>
      </c>
      <c r="U54">
        <v>7.9999999999999996E-6</v>
      </c>
      <c r="V54">
        <v>7.9999999999999996E-6</v>
      </c>
      <c r="W54">
        <v>7.9999999999999996E-6</v>
      </c>
      <c r="X54">
        <v>7.9999999999999996E-6</v>
      </c>
      <c r="Y54">
        <v>7.9999999999999996E-6</v>
      </c>
      <c r="Z54">
        <v>7.9999999999999996E-6</v>
      </c>
      <c r="AA54">
        <v>7.9999999999999996E-6</v>
      </c>
      <c r="AB54">
        <v>7.9999999999999996E-6</v>
      </c>
      <c r="AC54">
        <v>7.9999999999999996E-6</v>
      </c>
      <c r="AD54">
        <v>7.9999999999999996E-6</v>
      </c>
      <c r="AE54">
        <v>7.9999999999999996E-6</v>
      </c>
      <c r="AF54">
        <v>7.9999999999999996E-6</v>
      </c>
      <c r="AG54">
        <v>7.9999999999999996E-6</v>
      </c>
      <c r="AH54">
        <v>7.9999999999999996E-6</v>
      </c>
      <c r="AI54">
        <v>7.9999999999999996E-6</v>
      </c>
      <c r="AJ54">
        <v>7.9999999999999996E-6</v>
      </c>
      <c r="AK54">
        <v>7.9999999999999996E-6</v>
      </c>
      <c r="AL54">
        <v>7.9999999999999996E-6</v>
      </c>
      <c r="AM54">
        <v>7.9999999999999996E-6</v>
      </c>
      <c r="AN54">
        <v>7.9999999999999996E-6</v>
      </c>
      <c r="AO54">
        <v>7.9999999999999996E-6</v>
      </c>
      <c r="AP54">
        <v>3.3000000000000003E-5</v>
      </c>
      <c r="AQ54">
        <v>3.3000000000000003E-5</v>
      </c>
      <c r="AR54">
        <v>3.3000000000000003E-5</v>
      </c>
      <c r="AS54">
        <v>3.3000000000000003E-5</v>
      </c>
      <c r="AT54">
        <v>3.3000000000000003E-5</v>
      </c>
      <c r="AU54">
        <v>5.1999999999999997E-5</v>
      </c>
      <c r="AV54">
        <v>5.1999999999999997E-5</v>
      </c>
      <c r="AW54">
        <v>5.1999999999999997E-5</v>
      </c>
      <c r="AX54">
        <v>5.1999999999999997E-5</v>
      </c>
      <c r="AY54">
        <v>5.1999999999999997E-5</v>
      </c>
      <c r="AZ54">
        <v>6.3999999999999997E-5</v>
      </c>
      <c r="BA54">
        <v>6.3999999999999997E-5</v>
      </c>
      <c r="BB54">
        <v>6.3999999999999997E-5</v>
      </c>
      <c r="BC54">
        <v>6.3999999999999997E-5</v>
      </c>
      <c r="BD54">
        <v>6.3999999999999997E-5</v>
      </c>
      <c r="BE54">
        <v>6.7000000000000002E-5</v>
      </c>
      <c r="BF54">
        <v>6.7000000000000002E-5</v>
      </c>
      <c r="BG54">
        <v>6.7000000000000002E-5</v>
      </c>
      <c r="BH54">
        <v>6.7000000000000002E-5</v>
      </c>
      <c r="BI54">
        <v>6.7000000000000002E-5</v>
      </c>
      <c r="BJ54">
        <v>7.2999999999999999E-5</v>
      </c>
      <c r="BK54">
        <v>7.2999999999999999E-5</v>
      </c>
      <c r="BL54">
        <v>7.2999999999999999E-5</v>
      </c>
      <c r="BM54">
        <v>7.2999999999999999E-5</v>
      </c>
      <c r="BN54">
        <v>7.2999999999999999E-5</v>
      </c>
      <c r="BO54">
        <v>8.1000000000000004E-5</v>
      </c>
      <c r="BP54">
        <v>8.1000000000000004E-5</v>
      </c>
      <c r="BQ54">
        <v>8.1000000000000004E-5</v>
      </c>
      <c r="BR54">
        <v>8.1000000000000004E-5</v>
      </c>
      <c r="BS54">
        <v>8.1000000000000004E-5</v>
      </c>
      <c r="BT54">
        <v>8.7000000000000001E-5</v>
      </c>
      <c r="BU54">
        <v>8.7000000000000001E-5</v>
      </c>
      <c r="BV54">
        <v>8.7000000000000001E-5</v>
      </c>
      <c r="BW54">
        <v>8.7000000000000001E-5</v>
      </c>
      <c r="BX54">
        <v>8.7000000000000001E-5</v>
      </c>
      <c r="BY54">
        <v>9.3999999999999994E-5</v>
      </c>
      <c r="BZ54">
        <v>9.3999999999999994E-5</v>
      </c>
      <c r="CA54">
        <v>9.3999999999999994E-5</v>
      </c>
      <c r="CB54">
        <v>9.3999999999999994E-5</v>
      </c>
      <c r="CC54">
        <v>9.3999999999999994E-5</v>
      </c>
      <c r="CD54">
        <v>9.3999999999999994E-5</v>
      </c>
      <c r="CE54">
        <v>9.3999999999999994E-5</v>
      </c>
      <c r="CF54">
        <v>9.3999999999999994E-5</v>
      </c>
      <c r="CG54">
        <v>9.3999999999999994E-5</v>
      </c>
      <c r="CH54">
        <v>9.3999999999999994E-5</v>
      </c>
      <c r="CI54">
        <v>9.3999999999999994E-5</v>
      </c>
      <c r="CJ54">
        <v>9.3999999999999994E-5</v>
      </c>
      <c r="CK54">
        <v>9.3999999999999994E-5</v>
      </c>
      <c r="CL54">
        <v>9.3999999999999994E-5</v>
      </c>
      <c r="CM54">
        <v>9.3999999999999994E-5</v>
      </c>
      <c r="CN54">
        <v>9.3999999999999994E-5</v>
      </c>
      <c r="CO54">
        <v>9.3999999999999994E-5</v>
      </c>
      <c r="CP54">
        <v>9.3999999999999994E-5</v>
      </c>
      <c r="CQ54">
        <v>9.3999999999999994E-5</v>
      </c>
      <c r="CR54">
        <v>9.3999999999999994E-5</v>
      </c>
      <c r="CS54">
        <v>9.3999999999999994E-5</v>
      </c>
      <c r="CT54">
        <v>9.3999999999999994E-5</v>
      </c>
      <c r="CU54">
        <v>9.3999999999999994E-5</v>
      </c>
      <c r="CV54">
        <v>9.3999999999999994E-5</v>
      </c>
      <c r="CW54">
        <v>9.3999999999999994E-5</v>
      </c>
      <c r="CX54">
        <v>9.3999999999999994E-5</v>
      </c>
    </row>
    <row r="55" spans="1:102" x14ac:dyDescent="0.25">
      <c r="A55" t="s">
        <v>175</v>
      </c>
      <c r="B55" t="e">
        <v>#VALUE!</v>
      </c>
      <c r="C55" t="e">
        <v>#VALUE!</v>
      </c>
      <c r="D55" t="e">
        <v>#VALUE!</v>
      </c>
      <c r="E55" t="e">
        <v>#VALUE!</v>
      </c>
      <c r="F55" t="e">
        <v>#VALUE!</v>
      </c>
      <c r="G55" t="e">
        <v>#VALUE!</v>
      </c>
      <c r="H55" t="e">
        <v>#VALUE!</v>
      </c>
      <c r="I55" t="e">
        <v>#VALUE!</v>
      </c>
      <c r="J55" t="e">
        <v>#VALUE!</v>
      </c>
      <c r="K55" t="e">
        <v>#VALUE!</v>
      </c>
      <c r="L55" t="e">
        <v>#VALUE!</v>
      </c>
      <c r="M55" t="e">
        <v>#VALUE!</v>
      </c>
      <c r="N55" t="e">
        <v>#VALUE!</v>
      </c>
      <c r="O55" t="e">
        <v>#VALUE!</v>
      </c>
      <c r="P55" t="e">
        <v>#VALUE!</v>
      </c>
      <c r="Q55">
        <v>2.6600000000000001E-4</v>
      </c>
      <c r="R55">
        <v>2.6600000000000001E-4</v>
      </c>
      <c r="S55">
        <v>2.6600000000000001E-4</v>
      </c>
      <c r="T55">
        <v>2.6600000000000001E-4</v>
      </c>
      <c r="U55">
        <v>2.6600000000000001E-4</v>
      </c>
      <c r="V55">
        <v>2.6600000000000001E-4</v>
      </c>
      <c r="W55">
        <v>2.6600000000000001E-4</v>
      </c>
      <c r="X55">
        <v>2.6600000000000001E-4</v>
      </c>
      <c r="Y55">
        <v>2.6600000000000001E-4</v>
      </c>
      <c r="Z55">
        <v>2.6600000000000001E-4</v>
      </c>
      <c r="AA55">
        <v>2.6600000000000001E-4</v>
      </c>
      <c r="AB55">
        <v>2.6600000000000001E-4</v>
      </c>
      <c r="AC55">
        <v>2.6600000000000001E-4</v>
      </c>
      <c r="AD55">
        <v>2.6600000000000001E-4</v>
      </c>
      <c r="AE55">
        <v>2.6600000000000001E-4</v>
      </c>
      <c r="AF55">
        <v>2.6600000000000001E-4</v>
      </c>
      <c r="AG55">
        <v>2.6600000000000001E-4</v>
      </c>
      <c r="AH55">
        <v>2.6600000000000001E-4</v>
      </c>
      <c r="AI55">
        <v>2.6600000000000001E-4</v>
      </c>
      <c r="AJ55">
        <v>2.6600000000000001E-4</v>
      </c>
      <c r="AK55">
        <v>2.6600000000000001E-4</v>
      </c>
      <c r="AL55">
        <v>2.6600000000000001E-4</v>
      </c>
      <c r="AM55">
        <v>2.6600000000000001E-4</v>
      </c>
      <c r="AN55">
        <v>2.6600000000000001E-4</v>
      </c>
      <c r="AO55">
        <v>2.6600000000000001E-4</v>
      </c>
      <c r="AP55">
        <v>6.3699999999999998E-4</v>
      </c>
      <c r="AQ55">
        <v>6.3699999999999998E-4</v>
      </c>
      <c r="AR55">
        <v>6.3699999999999998E-4</v>
      </c>
      <c r="AS55">
        <v>6.3699999999999998E-4</v>
      </c>
      <c r="AT55">
        <v>6.3699999999999998E-4</v>
      </c>
      <c r="AU55">
        <v>5.6999999999999998E-4</v>
      </c>
      <c r="AV55">
        <v>5.6999999999999998E-4</v>
      </c>
      <c r="AW55">
        <v>5.6999999999999998E-4</v>
      </c>
      <c r="AX55">
        <v>5.6999999999999998E-4</v>
      </c>
      <c r="AY55">
        <v>5.6999999999999998E-4</v>
      </c>
      <c r="AZ55">
        <v>4.6700000000000002E-4</v>
      </c>
      <c r="BA55">
        <v>4.6700000000000002E-4</v>
      </c>
      <c r="BB55">
        <v>4.6700000000000002E-4</v>
      </c>
      <c r="BC55">
        <v>4.6700000000000002E-4</v>
      </c>
      <c r="BD55">
        <v>4.6700000000000002E-4</v>
      </c>
      <c r="BE55">
        <v>3.7599999999999998E-4</v>
      </c>
      <c r="BF55">
        <v>3.7599999999999998E-4</v>
      </c>
      <c r="BG55">
        <v>3.7599999999999998E-4</v>
      </c>
      <c r="BH55">
        <v>3.7599999999999998E-4</v>
      </c>
      <c r="BI55">
        <v>3.7599999999999998E-4</v>
      </c>
      <c r="BJ55">
        <v>3.3100000000000002E-4</v>
      </c>
      <c r="BK55">
        <v>3.3100000000000002E-4</v>
      </c>
      <c r="BL55">
        <v>3.3100000000000002E-4</v>
      </c>
      <c r="BM55">
        <v>3.3100000000000002E-4</v>
      </c>
      <c r="BN55">
        <v>3.3100000000000002E-4</v>
      </c>
      <c r="BO55">
        <v>3.3399999999999999E-4</v>
      </c>
      <c r="BP55">
        <v>3.3399999999999999E-4</v>
      </c>
      <c r="BQ55">
        <v>3.3399999999999999E-4</v>
      </c>
      <c r="BR55">
        <v>3.3399999999999999E-4</v>
      </c>
      <c r="BS55">
        <v>3.3399999999999999E-4</v>
      </c>
      <c r="BT55">
        <v>3.6499999999999998E-4</v>
      </c>
      <c r="BU55">
        <v>3.6499999999999998E-4</v>
      </c>
      <c r="BV55">
        <v>3.6499999999999998E-4</v>
      </c>
      <c r="BW55">
        <v>3.6499999999999998E-4</v>
      </c>
      <c r="BX55">
        <v>3.6499999999999998E-4</v>
      </c>
      <c r="BY55">
        <v>4.3100000000000001E-4</v>
      </c>
      <c r="BZ55">
        <v>4.3100000000000001E-4</v>
      </c>
      <c r="CA55">
        <v>4.3100000000000001E-4</v>
      </c>
      <c r="CB55">
        <v>4.3100000000000001E-4</v>
      </c>
      <c r="CC55">
        <v>4.3100000000000001E-4</v>
      </c>
      <c r="CD55">
        <v>4.3100000000000001E-4</v>
      </c>
      <c r="CE55">
        <v>4.3100000000000001E-4</v>
      </c>
      <c r="CF55">
        <v>4.3100000000000001E-4</v>
      </c>
      <c r="CG55">
        <v>4.3100000000000001E-4</v>
      </c>
      <c r="CH55">
        <v>4.3100000000000001E-4</v>
      </c>
      <c r="CI55">
        <v>4.3100000000000001E-4</v>
      </c>
      <c r="CJ55">
        <v>4.3100000000000001E-4</v>
      </c>
      <c r="CK55">
        <v>4.3100000000000001E-4</v>
      </c>
      <c r="CL55">
        <v>4.3100000000000001E-4</v>
      </c>
      <c r="CM55">
        <v>4.3100000000000001E-4</v>
      </c>
      <c r="CN55">
        <v>4.3100000000000001E-4</v>
      </c>
      <c r="CO55">
        <v>4.3100000000000001E-4</v>
      </c>
      <c r="CP55">
        <v>4.3100000000000001E-4</v>
      </c>
      <c r="CQ55">
        <v>4.3100000000000001E-4</v>
      </c>
      <c r="CR55">
        <v>4.3100000000000001E-4</v>
      </c>
      <c r="CS55">
        <v>4.3100000000000001E-4</v>
      </c>
      <c r="CT55">
        <v>4.3100000000000001E-4</v>
      </c>
      <c r="CU55">
        <v>4.3100000000000001E-4</v>
      </c>
      <c r="CV55">
        <v>4.3100000000000001E-4</v>
      </c>
      <c r="CW55">
        <v>4.3100000000000001E-4</v>
      </c>
      <c r="CX55">
        <v>4.3100000000000001E-4</v>
      </c>
    </row>
    <row r="56" spans="1:102" x14ac:dyDescent="0.25">
      <c r="A56" t="s">
        <v>177</v>
      </c>
      <c r="B56" t="e">
        <v>#VALUE!</v>
      </c>
      <c r="C56" t="e">
        <v>#VALUE!</v>
      </c>
      <c r="D56" t="e">
        <v>#VALUE!</v>
      </c>
      <c r="E56" t="e">
        <v>#VALUE!</v>
      </c>
      <c r="F56" t="e">
        <v>#VALUE!</v>
      </c>
      <c r="G56" t="e">
        <v>#VALUE!</v>
      </c>
      <c r="H56" t="e">
        <v>#VALUE!</v>
      </c>
      <c r="I56" t="e">
        <v>#VALUE!</v>
      </c>
      <c r="J56" t="e">
        <v>#VALUE!</v>
      </c>
      <c r="K56" t="e">
        <v>#VALUE!</v>
      </c>
      <c r="L56" t="e">
        <v>#VALUE!</v>
      </c>
      <c r="M56" t="e">
        <v>#VALUE!</v>
      </c>
      <c r="N56" t="e">
        <v>#VALUE!</v>
      </c>
      <c r="O56" t="e">
        <v>#VALUE!</v>
      </c>
      <c r="P56" t="e">
        <v>#VALUE!</v>
      </c>
      <c r="Q56">
        <v>8.2000000000000001E-5</v>
      </c>
      <c r="R56">
        <v>8.2000000000000001E-5</v>
      </c>
      <c r="S56">
        <v>8.2000000000000001E-5</v>
      </c>
      <c r="T56">
        <v>8.2000000000000001E-5</v>
      </c>
      <c r="U56">
        <v>8.2000000000000001E-5</v>
      </c>
      <c r="V56">
        <v>8.2000000000000001E-5</v>
      </c>
      <c r="W56">
        <v>8.2000000000000001E-5</v>
      </c>
      <c r="X56">
        <v>8.2000000000000001E-5</v>
      </c>
      <c r="Y56">
        <v>8.2000000000000001E-5</v>
      </c>
      <c r="Z56">
        <v>8.2000000000000001E-5</v>
      </c>
      <c r="AA56">
        <v>8.2000000000000001E-5</v>
      </c>
      <c r="AB56">
        <v>8.2000000000000001E-5</v>
      </c>
      <c r="AC56">
        <v>8.2000000000000001E-5</v>
      </c>
      <c r="AD56">
        <v>8.2000000000000001E-5</v>
      </c>
      <c r="AE56">
        <v>8.2000000000000001E-5</v>
      </c>
      <c r="AF56">
        <v>8.2000000000000001E-5</v>
      </c>
      <c r="AG56">
        <v>8.2000000000000001E-5</v>
      </c>
      <c r="AH56">
        <v>8.2000000000000001E-5</v>
      </c>
      <c r="AI56">
        <v>8.2000000000000001E-5</v>
      </c>
      <c r="AJ56">
        <v>8.2000000000000001E-5</v>
      </c>
      <c r="AK56">
        <v>8.2000000000000001E-5</v>
      </c>
      <c r="AL56">
        <v>8.2000000000000001E-5</v>
      </c>
      <c r="AM56">
        <v>8.2000000000000001E-5</v>
      </c>
      <c r="AN56">
        <v>8.2000000000000001E-5</v>
      </c>
      <c r="AO56">
        <v>8.2000000000000001E-5</v>
      </c>
      <c r="AP56">
        <v>5.0600000000000005E-4</v>
      </c>
      <c r="AQ56">
        <v>5.0600000000000005E-4</v>
      </c>
      <c r="AR56">
        <v>5.0600000000000005E-4</v>
      </c>
      <c r="AS56">
        <v>5.0600000000000005E-4</v>
      </c>
      <c r="AT56">
        <v>5.0600000000000005E-4</v>
      </c>
      <c r="AU56">
        <v>6.5300000000000004E-4</v>
      </c>
      <c r="AV56">
        <v>6.5300000000000004E-4</v>
      </c>
      <c r="AW56">
        <v>6.5300000000000004E-4</v>
      </c>
      <c r="AX56">
        <v>6.5300000000000004E-4</v>
      </c>
      <c r="AY56">
        <v>6.5300000000000004E-4</v>
      </c>
      <c r="AZ56">
        <v>7.2599999999999997E-4</v>
      </c>
      <c r="BA56">
        <v>7.2599999999999997E-4</v>
      </c>
      <c r="BB56">
        <v>7.2599999999999997E-4</v>
      </c>
      <c r="BC56">
        <v>7.2599999999999997E-4</v>
      </c>
      <c r="BD56">
        <v>7.2599999999999997E-4</v>
      </c>
      <c r="BE56">
        <v>7.3800000000000005E-4</v>
      </c>
      <c r="BF56">
        <v>7.3800000000000005E-4</v>
      </c>
      <c r="BG56">
        <v>7.3800000000000005E-4</v>
      </c>
      <c r="BH56">
        <v>7.3800000000000005E-4</v>
      </c>
      <c r="BI56">
        <v>7.3800000000000005E-4</v>
      </c>
      <c r="BJ56">
        <v>8.8699999999999998E-4</v>
      </c>
      <c r="BK56">
        <v>8.8699999999999998E-4</v>
      </c>
      <c r="BL56">
        <v>8.8699999999999998E-4</v>
      </c>
      <c r="BM56">
        <v>8.8699999999999998E-4</v>
      </c>
      <c r="BN56">
        <v>8.8699999999999998E-4</v>
      </c>
      <c r="BO56">
        <v>8.5400000000000005E-4</v>
      </c>
      <c r="BP56">
        <v>8.5400000000000005E-4</v>
      </c>
      <c r="BQ56">
        <v>8.5400000000000005E-4</v>
      </c>
      <c r="BR56">
        <v>8.5400000000000005E-4</v>
      </c>
      <c r="BS56">
        <v>8.5400000000000005E-4</v>
      </c>
      <c r="BT56">
        <v>7.0500000000000001E-4</v>
      </c>
      <c r="BU56">
        <v>7.0500000000000001E-4</v>
      </c>
      <c r="BV56">
        <v>7.0500000000000001E-4</v>
      </c>
      <c r="BW56">
        <v>7.0500000000000001E-4</v>
      </c>
      <c r="BX56">
        <v>7.0500000000000001E-4</v>
      </c>
      <c r="BY56">
        <v>5.1099999999999995E-4</v>
      </c>
      <c r="BZ56">
        <v>5.1099999999999995E-4</v>
      </c>
      <c r="CA56">
        <v>5.1099999999999995E-4</v>
      </c>
      <c r="CB56">
        <v>5.1099999999999995E-4</v>
      </c>
      <c r="CC56">
        <v>5.1099999999999995E-4</v>
      </c>
      <c r="CD56">
        <v>5.1099999999999995E-4</v>
      </c>
      <c r="CE56">
        <v>5.1099999999999995E-4</v>
      </c>
      <c r="CF56">
        <v>5.1099999999999995E-4</v>
      </c>
      <c r="CG56">
        <v>5.1099999999999995E-4</v>
      </c>
      <c r="CH56">
        <v>5.1099999999999995E-4</v>
      </c>
      <c r="CI56">
        <v>5.1099999999999995E-4</v>
      </c>
      <c r="CJ56">
        <v>5.1099999999999995E-4</v>
      </c>
      <c r="CK56">
        <v>5.1099999999999995E-4</v>
      </c>
      <c r="CL56">
        <v>5.1099999999999995E-4</v>
      </c>
      <c r="CM56">
        <v>5.1099999999999995E-4</v>
      </c>
      <c r="CN56">
        <v>5.1099999999999995E-4</v>
      </c>
      <c r="CO56">
        <v>5.1099999999999995E-4</v>
      </c>
      <c r="CP56">
        <v>5.1099999999999995E-4</v>
      </c>
      <c r="CQ56">
        <v>5.1099999999999995E-4</v>
      </c>
      <c r="CR56">
        <v>5.1099999999999995E-4</v>
      </c>
      <c r="CS56">
        <v>5.1099999999999995E-4</v>
      </c>
      <c r="CT56">
        <v>5.1099999999999995E-4</v>
      </c>
      <c r="CU56">
        <v>5.1099999999999995E-4</v>
      </c>
      <c r="CV56">
        <v>5.1099999999999995E-4</v>
      </c>
      <c r="CW56">
        <v>5.1099999999999995E-4</v>
      </c>
      <c r="CX56">
        <v>5.1099999999999995E-4</v>
      </c>
    </row>
    <row r="57" spans="1:102" x14ac:dyDescent="0.25">
      <c r="A57" t="s">
        <v>179</v>
      </c>
      <c r="B57" t="e">
        <v>#VALUE!</v>
      </c>
      <c r="C57" t="e">
        <v>#VALUE!</v>
      </c>
      <c r="D57" t="e">
        <v>#VALUE!</v>
      </c>
      <c r="E57" t="e">
        <v>#VALUE!</v>
      </c>
      <c r="F57" t="e">
        <v>#VALUE!</v>
      </c>
      <c r="G57" t="e">
        <v>#VALUE!</v>
      </c>
      <c r="H57" t="e">
        <v>#VALUE!</v>
      </c>
      <c r="I57" t="e">
        <v>#VALUE!</v>
      </c>
      <c r="J57" t="e">
        <v>#VALUE!</v>
      </c>
      <c r="K57" t="e">
        <v>#VALUE!</v>
      </c>
      <c r="L57" t="e">
        <v>#VALUE!</v>
      </c>
      <c r="M57" t="e">
        <v>#VALUE!</v>
      </c>
      <c r="N57" t="e">
        <v>#VALUE!</v>
      </c>
      <c r="O57" t="e">
        <v>#VALUE!</v>
      </c>
      <c r="P57" t="e">
        <v>#VALUE!</v>
      </c>
      <c r="Q57">
        <v>3.8000000000000002E-5</v>
      </c>
      <c r="R57">
        <v>3.8000000000000002E-5</v>
      </c>
      <c r="S57">
        <v>3.8000000000000002E-5</v>
      </c>
      <c r="T57">
        <v>3.8000000000000002E-5</v>
      </c>
      <c r="U57">
        <v>3.8000000000000002E-5</v>
      </c>
      <c r="V57">
        <v>3.8000000000000002E-5</v>
      </c>
      <c r="W57">
        <v>3.8000000000000002E-5</v>
      </c>
      <c r="X57">
        <v>3.8000000000000002E-5</v>
      </c>
      <c r="Y57">
        <v>3.8000000000000002E-5</v>
      </c>
      <c r="Z57">
        <v>3.8000000000000002E-5</v>
      </c>
      <c r="AA57">
        <v>3.8000000000000002E-5</v>
      </c>
      <c r="AB57">
        <v>3.8000000000000002E-5</v>
      </c>
      <c r="AC57">
        <v>3.8000000000000002E-5</v>
      </c>
      <c r="AD57">
        <v>3.8000000000000002E-5</v>
      </c>
      <c r="AE57">
        <v>3.8000000000000002E-5</v>
      </c>
      <c r="AF57">
        <v>3.8000000000000002E-5</v>
      </c>
      <c r="AG57">
        <v>3.8000000000000002E-5</v>
      </c>
      <c r="AH57">
        <v>3.8000000000000002E-5</v>
      </c>
      <c r="AI57">
        <v>3.8000000000000002E-5</v>
      </c>
      <c r="AJ57">
        <v>3.8000000000000002E-5</v>
      </c>
      <c r="AK57">
        <v>3.8000000000000002E-5</v>
      </c>
      <c r="AL57">
        <v>3.8000000000000002E-5</v>
      </c>
      <c r="AM57">
        <v>3.8000000000000002E-5</v>
      </c>
      <c r="AN57">
        <v>3.8000000000000002E-5</v>
      </c>
      <c r="AO57">
        <v>3.8000000000000002E-5</v>
      </c>
      <c r="AP57">
        <v>2.23E-4</v>
      </c>
      <c r="AQ57">
        <v>2.23E-4</v>
      </c>
      <c r="AR57">
        <v>2.23E-4</v>
      </c>
      <c r="AS57">
        <v>2.23E-4</v>
      </c>
      <c r="AT57">
        <v>2.23E-4</v>
      </c>
      <c r="AU57">
        <v>3.86E-4</v>
      </c>
      <c r="AV57">
        <v>3.86E-4</v>
      </c>
      <c r="AW57">
        <v>3.86E-4</v>
      </c>
      <c r="AX57">
        <v>3.86E-4</v>
      </c>
      <c r="AY57">
        <v>3.86E-4</v>
      </c>
      <c r="AZ57">
        <v>5.4000000000000001E-4</v>
      </c>
      <c r="BA57">
        <v>5.4000000000000001E-4</v>
      </c>
      <c r="BB57">
        <v>5.4000000000000001E-4</v>
      </c>
      <c r="BC57">
        <v>5.4000000000000001E-4</v>
      </c>
      <c r="BD57">
        <v>5.4000000000000001E-4</v>
      </c>
      <c r="BE57">
        <v>6.1200000000000002E-4</v>
      </c>
      <c r="BF57">
        <v>6.1200000000000002E-4</v>
      </c>
      <c r="BG57">
        <v>6.1200000000000002E-4</v>
      </c>
      <c r="BH57">
        <v>6.1200000000000002E-4</v>
      </c>
      <c r="BI57">
        <v>6.1200000000000002E-4</v>
      </c>
      <c r="BJ57">
        <v>6.6699999999999995E-4</v>
      </c>
      <c r="BK57">
        <v>6.6699999999999995E-4</v>
      </c>
      <c r="BL57">
        <v>6.6699999999999995E-4</v>
      </c>
      <c r="BM57">
        <v>6.6699999999999995E-4</v>
      </c>
      <c r="BN57">
        <v>6.6699999999999995E-4</v>
      </c>
      <c r="BO57">
        <v>6.7000000000000002E-4</v>
      </c>
      <c r="BP57">
        <v>6.7000000000000002E-4</v>
      </c>
      <c r="BQ57">
        <v>6.7000000000000002E-4</v>
      </c>
      <c r="BR57">
        <v>6.7000000000000002E-4</v>
      </c>
      <c r="BS57">
        <v>6.7000000000000002E-4</v>
      </c>
      <c r="BT57">
        <v>6.5099999999999999E-4</v>
      </c>
      <c r="BU57">
        <v>6.5099999999999999E-4</v>
      </c>
      <c r="BV57">
        <v>6.5099999999999999E-4</v>
      </c>
      <c r="BW57">
        <v>6.5099999999999999E-4</v>
      </c>
      <c r="BX57">
        <v>6.5099999999999999E-4</v>
      </c>
      <c r="BY57">
        <v>6.0700000000000001E-4</v>
      </c>
      <c r="BZ57">
        <v>6.0700000000000001E-4</v>
      </c>
      <c r="CA57">
        <v>6.0700000000000001E-4</v>
      </c>
      <c r="CB57">
        <v>6.0700000000000001E-4</v>
      </c>
      <c r="CC57">
        <v>6.0700000000000001E-4</v>
      </c>
      <c r="CD57">
        <v>6.0700000000000001E-4</v>
      </c>
      <c r="CE57">
        <v>6.0700000000000001E-4</v>
      </c>
      <c r="CF57">
        <v>6.0700000000000001E-4</v>
      </c>
      <c r="CG57">
        <v>6.0700000000000001E-4</v>
      </c>
      <c r="CH57">
        <v>6.0700000000000001E-4</v>
      </c>
      <c r="CI57">
        <v>6.0700000000000001E-4</v>
      </c>
      <c r="CJ57">
        <v>6.0700000000000001E-4</v>
      </c>
      <c r="CK57">
        <v>6.0700000000000001E-4</v>
      </c>
      <c r="CL57">
        <v>6.0700000000000001E-4</v>
      </c>
      <c r="CM57">
        <v>6.0700000000000001E-4</v>
      </c>
      <c r="CN57">
        <v>6.0700000000000001E-4</v>
      </c>
      <c r="CO57">
        <v>6.0700000000000001E-4</v>
      </c>
      <c r="CP57">
        <v>6.0700000000000001E-4</v>
      </c>
      <c r="CQ57">
        <v>6.0700000000000001E-4</v>
      </c>
      <c r="CR57">
        <v>6.0700000000000001E-4</v>
      </c>
      <c r="CS57">
        <v>6.0700000000000001E-4</v>
      </c>
      <c r="CT57">
        <v>6.0700000000000001E-4</v>
      </c>
      <c r="CU57">
        <v>6.0700000000000001E-4</v>
      </c>
      <c r="CV57">
        <v>6.0700000000000001E-4</v>
      </c>
      <c r="CW57">
        <v>6.0700000000000001E-4</v>
      </c>
      <c r="CX57">
        <v>6.0700000000000001E-4</v>
      </c>
    </row>
    <row r="58" spans="1:102" x14ac:dyDescent="0.25">
      <c r="A58" t="s">
        <v>181</v>
      </c>
      <c r="B58" t="e">
        <v>#VALUE!</v>
      </c>
      <c r="C58" t="e">
        <v>#VALUE!</v>
      </c>
      <c r="D58" t="e">
        <v>#VALUE!</v>
      </c>
      <c r="E58" t="e">
        <v>#VALUE!</v>
      </c>
      <c r="F58" t="e">
        <v>#VALUE!</v>
      </c>
      <c r="G58" t="e">
        <v>#VALUE!</v>
      </c>
      <c r="H58" t="e">
        <v>#VALUE!</v>
      </c>
      <c r="I58" t="e">
        <v>#VALUE!</v>
      </c>
      <c r="J58" t="e">
        <v>#VALUE!</v>
      </c>
      <c r="K58" t="e">
        <v>#VALUE!</v>
      </c>
      <c r="L58" t="e">
        <v>#VALUE!</v>
      </c>
      <c r="M58" t="e">
        <v>#VALUE!</v>
      </c>
      <c r="N58" t="e">
        <v>#VALUE!</v>
      </c>
      <c r="O58" t="e">
        <v>#VALUE!</v>
      </c>
      <c r="P58" t="e">
        <v>#VALUE!</v>
      </c>
      <c r="Q58">
        <v>1.85E-4</v>
      </c>
      <c r="R58">
        <v>1.85E-4</v>
      </c>
      <c r="S58">
        <v>1.85E-4</v>
      </c>
      <c r="T58">
        <v>1.85E-4</v>
      </c>
      <c r="U58">
        <v>1.85E-4</v>
      </c>
      <c r="V58">
        <v>1.85E-4</v>
      </c>
      <c r="W58">
        <v>1.85E-4</v>
      </c>
      <c r="X58">
        <v>1.85E-4</v>
      </c>
      <c r="Y58">
        <v>1.85E-4</v>
      </c>
      <c r="Z58">
        <v>1.85E-4</v>
      </c>
      <c r="AA58">
        <v>1.85E-4</v>
      </c>
      <c r="AB58">
        <v>1.85E-4</v>
      </c>
      <c r="AC58">
        <v>1.85E-4</v>
      </c>
      <c r="AD58">
        <v>1.85E-4</v>
      </c>
      <c r="AE58">
        <v>1.85E-4</v>
      </c>
      <c r="AF58">
        <v>1.85E-4</v>
      </c>
      <c r="AG58">
        <v>1.85E-4</v>
      </c>
      <c r="AH58">
        <v>1.85E-4</v>
      </c>
      <c r="AI58">
        <v>1.85E-4</v>
      </c>
      <c r="AJ58">
        <v>1.85E-4</v>
      </c>
      <c r="AK58">
        <v>1.85E-4</v>
      </c>
      <c r="AL58">
        <v>1.85E-4</v>
      </c>
      <c r="AM58">
        <v>1.85E-4</v>
      </c>
      <c r="AN58">
        <v>1.85E-4</v>
      </c>
      <c r="AO58">
        <v>1.85E-4</v>
      </c>
      <c r="AP58">
        <v>4.4200000000000001E-4</v>
      </c>
      <c r="AQ58">
        <v>4.4200000000000001E-4</v>
      </c>
      <c r="AR58">
        <v>4.4200000000000001E-4</v>
      </c>
      <c r="AS58">
        <v>4.4200000000000001E-4</v>
      </c>
      <c r="AT58">
        <v>4.4200000000000001E-4</v>
      </c>
      <c r="AU58">
        <v>4.7199999999999998E-4</v>
      </c>
      <c r="AV58">
        <v>4.7199999999999998E-4</v>
      </c>
      <c r="AW58">
        <v>4.7199999999999998E-4</v>
      </c>
      <c r="AX58">
        <v>4.7199999999999998E-4</v>
      </c>
      <c r="AY58">
        <v>4.7199999999999998E-4</v>
      </c>
      <c r="AZ58">
        <v>4.64E-4</v>
      </c>
      <c r="BA58">
        <v>4.64E-4</v>
      </c>
      <c r="BB58">
        <v>4.64E-4</v>
      </c>
      <c r="BC58">
        <v>4.64E-4</v>
      </c>
      <c r="BD58">
        <v>4.64E-4</v>
      </c>
      <c r="BE58">
        <v>4.26E-4</v>
      </c>
      <c r="BF58">
        <v>4.26E-4</v>
      </c>
      <c r="BG58">
        <v>4.26E-4</v>
      </c>
      <c r="BH58">
        <v>4.26E-4</v>
      </c>
      <c r="BI58">
        <v>4.26E-4</v>
      </c>
      <c r="BJ58">
        <v>3.7800000000000003E-4</v>
      </c>
      <c r="BK58">
        <v>3.7800000000000003E-4</v>
      </c>
      <c r="BL58">
        <v>3.7800000000000003E-4</v>
      </c>
      <c r="BM58">
        <v>3.7800000000000003E-4</v>
      </c>
      <c r="BN58">
        <v>3.7800000000000003E-4</v>
      </c>
      <c r="BO58">
        <v>3.4299999999999999E-4</v>
      </c>
      <c r="BP58">
        <v>3.4299999999999999E-4</v>
      </c>
      <c r="BQ58">
        <v>3.4299999999999999E-4</v>
      </c>
      <c r="BR58">
        <v>3.4299999999999999E-4</v>
      </c>
      <c r="BS58">
        <v>3.4299999999999999E-4</v>
      </c>
      <c r="BT58">
        <v>2.8699999999999998E-4</v>
      </c>
      <c r="BU58">
        <v>2.8699999999999998E-4</v>
      </c>
      <c r="BV58">
        <v>2.8699999999999998E-4</v>
      </c>
      <c r="BW58">
        <v>2.8699999999999998E-4</v>
      </c>
      <c r="BX58">
        <v>2.8699999999999998E-4</v>
      </c>
      <c r="BY58">
        <v>2.13E-4</v>
      </c>
      <c r="BZ58">
        <v>2.13E-4</v>
      </c>
      <c r="CA58">
        <v>2.13E-4</v>
      </c>
      <c r="CB58">
        <v>2.13E-4</v>
      </c>
      <c r="CC58">
        <v>2.13E-4</v>
      </c>
      <c r="CD58">
        <v>2.13E-4</v>
      </c>
      <c r="CE58">
        <v>2.13E-4</v>
      </c>
      <c r="CF58">
        <v>2.13E-4</v>
      </c>
      <c r="CG58">
        <v>2.13E-4</v>
      </c>
      <c r="CH58">
        <v>2.13E-4</v>
      </c>
      <c r="CI58">
        <v>2.13E-4</v>
      </c>
      <c r="CJ58">
        <v>2.13E-4</v>
      </c>
      <c r="CK58">
        <v>2.13E-4</v>
      </c>
      <c r="CL58">
        <v>2.13E-4</v>
      </c>
      <c r="CM58">
        <v>2.13E-4</v>
      </c>
      <c r="CN58">
        <v>2.13E-4</v>
      </c>
      <c r="CO58">
        <v>2.13E-4</v>
      </c>
      <c r="CP58">
        <v>2.13E-4</v>
      </c>
      <c r="CQ58">
        <v>2.13E-4</v>
      </c>
      <c r="CR58">
        <v>2.13E-4</v>
      </c>
      <c r="CS58">
        <v>2.13E-4</v>
      </c>
      <c r="CT58">
        <v>2.13E-4</v>
      </c>
      <c r="CU58">
        <v>2.13E-4</v>
      </c>
      <c r="CV58">
        <v>2.13E-4</v>
      </c>
      <c r="CW58">
        <v>2.13E-4</v>
      </c>
      <c r="CX58">
        <v>2.13E-4</v>
      </c>
    </row>
    <row r="59" spans="1:102" x14ac:dyDescent="0.25">
      <c r="A59" t="s">
        <v>183</v>
      </c>
      <c r="B59" t="e">
        <v>#VALUE!</v>
      </c>
      <c r="C59" t="e">
        <v>#VALUE!</v>
      </c>
      <c r="D59" t="e">
        <v>#VALUE!</v>
      </c>
      <c r="E59" t="e">
        <v>#VALUE!</v>
      </c>
      <c r="F59" t="e">
        <v>#VALUE!</v>
      </c>
      <c r="G59" t="e">
        <v>#VALUE!</v>
      </c>
      <c r="H59" t="e">
        <v>#VALUE!</v>
      </c>
      <c r="I59" t="e">
        <v>#VALUE!</v>
      </c>
      <c r="J59" t="e">
        <v>#VALUE!</v>
      </c>
      <c r="K59" t="e">
        <v>#VALUE!</v>
      </c>
      <c r="L59" t="e">
        <v>#VALUE!</v>
      </c>
      <c r="M59" t="e">
        <v>#VALUE!</v>
      </c>
      <c r="N59" t="e">
        <v>#VALUE!</v>
      </c>
      <c r="O59" t="e">
        <v>#VALUE!</v>
      </c>
      <c r="P59" t="e">
        <v>#VALUE!</v>
      </c>
      <c r="Q59">
        <v>5.3999999999999998E-5</v>
      </c>
      <c r="R59">
        <v>5.3999999999999998E-5</v>
      </c>
      <c r="S59">
        <v>5.3999999999999998E-5</v>
      </c>
      <c r="T59">
        <v>5.3999999999999998E-5</v>
      </c>
      <c r="U59">
        <v>5.3999999999999998E-5</v>
      </c>
      <c r="V59">
        <v>5.3999999999999998E-5</v>
      </c>
      <c r="W59">
        <v>5.3999999999999998E-5</v>
      </c>
      <c r="X59">
        <v>5.3999999999999998E-5</v>
      </c>
      <c r="Y59">
        <v>5.3999999999999998E-5</v>
      </c>
      <c r="Z59">
        <v>5.3999999999999998E-5</v>
      </c>
      <c r="AA59">
        <v>5.3999999999999998E-5</v>
      </c>
      <c r="AB59">
        <v>5.3999999999999998E-5</v>
      </c>
      <c r="AC59">
        <v>5.3999999999999998E-5</v>
      </c>
      <c r="AD59">
        <v>5.3999999999999998E-5</v>
      </c>
      <c r="AE59">
        <v>5.3999999999999998E-5</v>
      </c>
      <c r="AF59">
        <v>5.3999999999999998E-5</v>
      </c>
      <c r="AG59">
        <v>5.3999999999999998E-5</v>
      </c>
      <c r="AH59">
        <v>5.3999999999999998E-5</v>
      </c>
      <c r="AI59">
        <v>5.3999999999999998E-5</v>
      </c>
      <c r="AJ59">
        <v>5.3999999999999998E-5</v>
      </c>
      <c r="AK59">
        <v>5.3999999999999998E-5</v>
      </c>
      <c r="AL59">
        <v>5.3999999999999998E-5</v>
      </c>
      <c r="AM59">
        <v>5.3999999999999998E-5</v>
      </c>
      <c r="AN59">
        <v>5.3999999999999998E-5</v>
      </c>
      <c r="AO59">
        <v>5.3999999999999998E-5</v>
      </c>
      <c r="AP59">
        <v>3.7399999999999998E-4</v>
      </c>
      <c r="AQ59">
        <v>3.7399999999999998E-4</v>
      </c>
      <c r="AR59">
        <v>3.7399999999999998E-4</v>
      </c>
      <c r="AS59">
        <v>3.7399999999999998E-4</v>
      </c>
      <c r="AT59">
        <v>3.7399999999999998E-4</v>
      </c>
      <c r="AU59">
        <v>6.3199999999999997E-4</v>
      </c>
      <c r="AV59">
        <v>6.3199999999999997E-4</v>
      </c>
      <c r="AW59">
        <v>6.3199999999999997E-4</v>
      </c>
      <c r="AX59">
        <v>6.3199999999999997E-4</v>
      </c>
      <c r="AY59">
        <v>6.3199999999999997E-4</v>
      </c>
      <c r="AZ59">
        <v>8.5700000000000001E-4</v>
      </c>
      <c r="BA59">
        <v>8.5700000000000001E-4</v>
      </c>
      <c r="BB59">
        <v>8.5700000000000001E-4</v>
      </c>
      <c r="BC59">
        <v>8.5700000000000001E-4</v>
      </c>
      <c r="BD59">
        <v>8.5700000000000001E-4</v>
      </c>
      <c r="BE59">
        <v>9.810000000000001E-4</v>
      </c>
      <c r="BF59">
        <v>9.810000000000001E-4</v>
      </c>
      <c r="BG59">
        <v>9.810000000000001E-4</v>
      </c>
      <c r="BH59">
        <v>9.810000000000001E-4</v>
      </c>
      <c r="BI59">
        <v>9.810000000000001E-4</v>
      </c>
      <c r="BJ59">
        <v>1.024E-3</v>
      </c>
      <c r="BK59">
        <v>1.024E-3</v>
      </c>
      <c r="BL59">
        <v>1.024E-3</v>
      </c>
      <c r="BM59">
        <v>1.024E-3</v>
      </c>
      <c r="BN59">
        <v>1.024E-3</v>
      </c>
      <c r="BO59">
        <v>9.859999999999999E-4</v>
      </c>
      <c r="BP59">
        <v>9.859999999999999E-4</v>
      </c>
      <c r="BQ59">
        <v>9.859999999999999E-4</v>
      </c>
      <c r="BR59">
        <v>9.859999999999999E-4</v>
      </c>
      <c r="BS59">
        <v>9.859999999999999E-4</v>
      </c>
      <c r="BT59">
        <v>8.6700000000000004E-4</v>
      </c>
      <c r="BU59">
        <v>8.6700000000000004E-4</v>
      </c>
      <c r="BV59">
        <v>8.6700000000000004E-4</v>
      </c>
      <c r="BW59">
        <v>8.6700000000000004E-4</v>
      </c>
      <c r="BX59">
        <v>8.6700000000000004E-4</v>
      </c>
      <c r="BY59">
        <v>6.7199999999999996E-4</v>
      </c>
      <c r="BZ59">
        <v>6.7199999999999996E-4</v>
      </c>
      <c r="CA59">
        <v>6.7199999999999996E-4</v>
      </c>
      <c r="CB59">
        <v>6.7199999999999996E-4</v>
      </c>
      <c r="CC59">
        <v>6.7199999999999996E-4</v>
      </c>
      <c r="CD59">
        <v>6.7199999999999996E-4</v>
      </c>
      <c r="CE59">
        <v>6.7199999999999996E-4</v>
      </c>
      <c r="CF59">
        <v>6.7199999999999996E-4</v>
      </c>
      <c r="CG59">
        <v>6.7199999999999996E-4</v>
      </c>
      <c r="CH59">
        <v>6.7199999999999996E-4</v>
      </c>
      <c r="CI59">
        <v>6.7199999999999996E-4</v>
      </c>
      <c r="CJ59">
        <v>6.7199999999999996E-4</v>
      </c>
      <c r="CK59">
        <v>6.7199999999999996E-4</v>
      </c>
      <c r="CL59">
        <v>6.7199999999999996E-4</v>
      </c>
      <c r="CM59">
        <v>6.7199999999999996E-4</v>
      </c>
      <c r="CN59">
        <v>6.7199999999999996E-4</v>
      </c>
      <c r="CO59">
        <v>6.7199999999999996E-4</v>
      </c>
      <c r="CP59">
        <v>6.7199999999999996E-4</v>
      </c>
      <c r="CQ59">
        <v>6.7199999999999996E-4</v>
      </c>
      <c r="CR59">
        <v>6.7199999999999996E-4</v>
      </c>
      <c r="CS59">
        <v>6.7199999999999996E-4</v>
      </c>
      <c r="CT59">
        <v>6.7199999999999996E-4</v>
      </c>
      <c r="CU59">
        <v>6.7199999999999996E-4</v>
      </c>
      <c r="CV59">
        <v>6.7199999999999996E-4</v>
      </c>
      <c r="CW59">
        <v>6.7199999999999996E-4</v>
      </c>
      <c r="CX59">
        <v>6.7199999999999996E-4</v>
      </c>
    </row>
    <row r="60" spans="1:102" x14ac:dyDescent="0.25">
      <c r="A60" t="s">
        <v>185</v>
      </c>
      <c r="B60" t="e">
        <v>#VALUE!</v>
      </c>
      <c r="C60" t="e">
        <v>#VALUE!</v>
      </c>
      <c r="D60" t="e">
        <v>#VALUE!</v>
      </c>
      <c r="E60" t="e">
        <v>#VALUE!</v>
      </c>
      <c r="F60" t="e">
        <v>#VALUE!</v>
      </c>
      <c r="G60" t="e">
        <v>#VALUE!</v>
      </c>
      <c r="H60" t="e">
        <v>#VALUE!</v>
      </c>
      <c r="I60" t="e">
        <v>#VALUE!</v>
      </c>
      <c r="J60" t="e">
        <v>#VALUE!</v>
      </c>
      <c r="K60" t="e">
        <v>#VALUE!</v>
      </c>
      <c r="L60" t="e">
        <v>#VALUE!</v>
      </c>
      <c r="M60" t="e">
        <v>#VALUE!</v>
      </c>
      <c r="N60" t="e">
        <v>#VALUE!</v>
      </c>
      <c r="O60" t="e">
        <v>#VALUE!</v>
      </c>
      <c r="P60" t="e">
        <v>#VALUE!</v>
      </c>
      <c r="Q60">
        <v>2.12E-4</v>
      </c>
      <c r="R60">
        <v>2.12E-4</v>
      </c>
      <c r="S60">
        <v>2.12E-4</v>
      </c>
      <c r="T60">
        <v>2.12E-4</v>
      </c>
      <c r="U60">
        <v>2.12E-4</v>
      </c>
      <c r="V60">
        <v>2.12E-4</v>
      </c>
      <c r="W60">
        <v>2.12E-4</v>
      </c>
      <c r="X60">
        <v>2.12E-4</v>
      </c>
      <c r="Y60">
        <v>2.12E-4</v>
      </c>
      <c r="Z60">
        <v>2.12E-4</v>
      </c>
      <c r="AA60">
        <v>2.12E-4</v>
      </c>
      <c r="AB60">
        <v>2.12E-4</v>
      </c>
      <c r="AC60">
        <v>2.12E-4</v>
      </c>
      <c r="AD60">
        <v>2.12E-4</v>
      </c>
      <c r="AE60">
        <v>2.12E-4</v>
      </c>
      <c r="AF60">
        <v>2.12E-4</v>
      </c>
      <c r="AG60">
        <v>2.12E-4</v>
      </c>
      <c r="AH60">
        <v>2.12E-4</v>
      </c>
      <c r="AI60">
        <v>2.12E-4</v>
      </c>
      <c r="AJ60">
        <v>2.12E-4</v>
      </c>
      <c r="AK60">
        <v>2.12E-4</v>
      </c>
      <c r="AL60">
        <v>2.12E-4</v>
      </c>
      <c r="AM60">
        <v>2.12E-4</v>
      </c>
      <c r="AN60">
        <v>2.12E-4</v>
      </c>
      <c r="AO60">
        <v>2.12E-4</v>
      </c>
      <c r="AP60">
        <v>1.016E-3</v>
      </c>
      <c r="AQ60">
        <v>1.016E-3</v>
      </c>
      <c r="AR60">
        <v>1.016E-3</v>
      </c>
      <c r="AS60">
        <v>1.016E-3</v>
      </c>
      <c r="AT60">
        <v>1.016E-3</v>
      </c>
      <c r="AU60">
        <v>9.6400000000000001E-4</v>
      </c>
      <c r="AV60">
        <v>9.6400000000000001E-4</v>
      </c>
      <c r="AW60">
        <v>9.6400000000000001E-4</v>
      </c>
      <c r="AX60">
        <v>9.6400000000000001E-4</v>
      </c>
      <c r="AY60">
        <v>9.6400000000000001E-4</v>
      </c>
      <c r="AZ60">
        <v>1.0020000000000001E-3</v>
      </c>
      <c r="BA60">
        <v>1.0020000000000001E-3</v>
      </c>
      <c r="BB60">
        <v>1.0020000000000001E-3</v>
      </c>
      <c r="BC60">
        <v>1.0020000000000001E-3</v>
      </c>
      <c r="BD60">
        <v>1.0020000000000001E-3</v>
      </c>
      <c r="BE60">
        <v>7.0200000000000004E-4</v>
      </c>
      <c r="BF60">
        <v>7.0200000000000004E-4</v>
      </c>
      <c r="BG60">
        <v>7.0200000000000004E-4</v>
      </c>
      <c r="BH60">
        <v>7.0200000000000004E-4</v>
      </c>
      <c r="BI60">
        <v>7.0200000000000004E-4</v>
      </c>
      <c r="BJ60">
        <v>1.2869999999999999E-3</v>
      </c>
      <c r="BK60">
        <v>1.2869999999999999E-3</v>
      </c>
      <c r="BL60">
        <v>1.2869999999999999E-3</v>
      </c>
      <c r="BM60">
        <v>1.2869999999999999E-3</v>
      </c>
      <c r="BN60">
        <v>1.2869999999999999E-3</v>
      </c>
      <c r="BO60">
        <v>7.4299999999999995E-4</v>
      </c>
      <c r="BP60">
        <v>7.4299999999999995E-4</v>
      </c>
      <c r="BQ60">
        <v>7.4299999999999995E-4</v>
      </c>
      <c r="BR60">
        <v>7.4299999999999995E-4</v>
      </c>
      <c r="BS60">
        <v>7.4299999999999995E-4</v>
      </c>
      <c r="BT60">
        <v>8.4699999999999999E-4</v>
      </c>
      <c r="BU60">
        <v>8.4699999999999999E-4</v>
      </c>
      <c r="BV60">
        <v>8.4699999999999999E-4</v>
      </c>
      <c r="BW60">
        <v>8.4699999999999999E-4</v>
      </c>
      <c r="BX60">
        <v>8.4699999999999999E-4</v>
      </c>
      <c r="BY60">
        <v>5.8100000000000003E-4</v>
      </c>
      <c r="BZ60">
        <v>5.8100000000000003E-4</v>
      </c>
      <c r="CA60">
        <v>5.8100000000000003E-4</v>
      </c>
      <c r="CB60">
        <v>5.8100000000000003E-4</v>
      </c>
      <c r="CC60">
        <v>5.8100000000000003E-4</v>
      </c>
      <c r="CD60">
        <v>5.8100000000000003E-4</v>
      </c>
      <c r="CE60">
        <v>5.8100000000000003E-4</v>
      </c>
      <c r="CF60">
        <v>5.8100000000000003E-4</v>
      </c>
      <c r="CG60">
        <v>5.8100000000000003E-4</v>
      </c>
      <c r="CH60">
        <v>5.8100000000000003E-4</v>
      </c>
      <c r="CI60">
        <v>5.8100000000000003E-4</v>
      </c>
      <c r="CJ60">
        <v>5.8100000000000003E-4</v>
      </c>
      <c r="CK60">
        <v>5.8100000000000003E-4</v>
      </c>
      <c r="CL60">
        <v>5.8100000000000003E-4</v>
      </c>
      <c r="CM60">
        <v>5.8100000000000003E-4</v>
      </c>
      <c r="CN60">
        <v>5.8100000000000003E-4</v>
      </c>
      <c r="CO60">
        <v>5.8100000000000003E-4</v>
      </c>
      <c r="CP60">
        <v>5.8100000000000003E-4</v>
      </c>
      <c r="CQ60">
        <v>5.8100000000000003E-4</v>
      </c>
      <c r="CR60">
        <v>5.8100000000000003E-4</v>
      </c>
      <c r="CS60">
        <v>5.8100000000000003E-4</v>
      </c>
      <c r="CT60">
        <v>5.8100000000000003E-4</v>
      </c>
      <c r="CU60">
        <v>5.8100000000000003E-4</v>
      </c>
      <c r="CV60">
        <v>5.8100000000000003E-4</v>
      </c>
      <c r="CW60">
        <v>5.8100000000000003E-4</v>
      </c>
      <c r="CX60">
        <v>5.8100000000000003E-4</v>
      </c>
    </row>
    <row r="61" spans="1:102" x14ac:dyDescent="0.25">
      <c r="A61" t="s">
        <v>187</v>
      </c>
      <c r="B61" t="e">
        <v>#VALUE!</v>
      </c>
      <c r="C61" t="e">
        <v>#VALUE!</v>
      </c>
      <c r="D61" t="e">
        <v>#VALUE!</v>
      </c>
      <c r="E61" t="e">
        <v>#VALUE!</v>
      </c>
      <c r="F61" t="e">
        <v>#VALUE!</v>
      </c>
      <c r="G61" t="e">
        <v>#VALUE!</v>
      </c>
      <c r="H61" t="e">
        <v>#VALUE!</v>
      </c>
      <c r="I61" t="e">
        <v>#VALUE!</v>
      </c>
      <c r="J61" t="e">
        <v>#VALUE!</v>
      </c>
      <c r="K61" t="e">
        <v>#VALUE!</v>
      </c>
      <c r="L61" t="e">
        <v>#VALUE!</v>
      </c>
      <c r="M61" t="e">
        <v>#VALUE!</v>
      </c>
      <c r="N61" t="e">
        <v>#VALUE!</v>
      </c>
      <c r="O61" t="e">
        <v>#VALUE!</v>
      </c>
      <c r="P61" t="e">
        <v>#VALUE!</v>
      </c>
      <c r="Q61">
        <v>5.8E-5</v>
      </c>
      <c r="R61">
        <v>5.8E-5</v>
      </c>
      <c r="S61">
        <v>5.8E-5</v>
      </c>
      <c r="T61">
        <v>5.8E-5</v>
      </c>
      <c r="U61">
        <v>5.8E-5</v>
      </c>
      <c r="V61">
        <v>5.8E-5</v>
      </c>
      <c r="W61">
        <v>5.8E-5</v>
      </c>
      <c r="X61">
        <v>5.8E-5</v>
      </c>
      <c r="Y61">
        <v>5.8E-5</v>
      </c>
      <c r="Z61">
        <v>5.8E-5</v>
      </c>
      <c r="AA61">
        <v>5.8E-5</v>
      </c>
      <c r="AB61">
        <v>5.8E-5</v>
      </c>
      <c r="AC61">
        <v>5.8E-5</v>
      </c>
      <c r="AD61">
        <v>5.8E-5</v>
      </c>
      <c r="AE61">
        <v>5.8E-5</v>
      </c>
      <c r="AF61">
        <v>5.8E-5</v>
      </c>
      <c r="AG61">
        <v>5.8E-5</v>
      </c>
      <c r="AH61">
        <v>5.8E-5</v>
      </c>
      <c r="AI61">
        <v>5.8E-5</v>
      </c>
      <c r="AJ61">
        <v>5.8E-5</v>
      </c>
      <c r="AK61">
        <v>5.8E-5</v>
      </c>
      <c r="AL61">
        <v>5.8E-5</v>
      </c>
      <c r="AM61">
        <v>5.8E-5</v>
      </c>
      <c r="AN61">
        <v>5.8E-5</v>
      </c>
      <c r="AO61">
        <v>5.8E-5</v>
      </c>
      <c r="AP61">
        <v>9.7999999999999997E-5</v>
      </c>
      <c r="AQ61">
        <v>9.7999999999999997E-5</v>
      </c>
      <c r="AR61">
        <v>9.7999999999999997E-5</v>
      </c>
      <c r="AS61">
        <v>9.7999999999999997E-5</v>
      </c>
      <c r="AT61">
        <v>9.7999999999999997E-5</v>
      </c>
      <c r="AU61">
        <v>8.2000000000000001E-5</v>
      </c>
      <c r="AV61">
        <v>8.2000000000000001E-5</v>
      </c>
      <c r="AW61">
        <v>8.2000000000000001E-5</v>
      </c>
      <c r="AX61">
        <v>8.2000000000000001E-5</v>
      </c>
      <c r="AY61">
        <v>8.2000000000000001E-5</v>
      </c>
      <c r="AZ61">
        <v>6.3999999999999997E-5</v>
      </c>
      <c r="BA61">
        <v>6.3999999999999997E-5</v>
      </c>
      <c r="BB61">
        <v>6.3999999999999997E-5</v>
      </c>
      <c r="BC61">
        <v>6.3999999999999997E-5</v>
      </c>
      <c r="BD61">
        <v>6.3999999999999997E-5</v>
      </c>
      <c r="BE61">
        <v>5.3000000000000001E-5</v>
      </c>
      <c r="BF61">
        <v>5.3000000000000001E-5</v>
      </c>
      <c r="BG61">
        <v>5.3000000000000001E-5</v>
      </c>
      <c r="BH61">
        <v>5.3000000000000001E-5</v>
      </c>
      <c r="BI61">
        <v>5.3000000000000001E-5</v>
      </c>
      <c r="BJ61">
        <v>4.8999999999999998E-5</v>
      </c>
      <c r="BK61">
        <v>4.8999999999999998E-5</v>
      </c>
      <c r="BL61">
        <v>4.8999999999999998E-5</v>
      </c>
      <c r="BM61">
        <v>4.8999999999999998E-5</v>
      </c>
      <c r="BN61">
        <v>4.8999999999999998E-5</v>
      </c>
      <c r="BO61">
        <v>4.8000000000000001E-5</v>
      </c>
      <c r="BP61">
        <v>4.8000000000000001E-5</v>
      </c>
      <c r="BQ61">
        <v>4.8000000000000001E-5</v>
      </c>
      <c r="BR61">
        <v>4.8000000000000001E-5</v>
      </c>
      <c r="BS61">
        <v>4.8000000000000001E-5</v>
      </c>
      <c r="BT61">
        <v>4.8999999999999998E-5</v>
      </c>
      <c r="BU61">
        <v>4.8999999999999998E-5</v>
      </c>
      <c r="BV61">
        <v>4.8999999999999998E-5</v>
      </c>
      <c r="BW61">
        <v>4.8999999999999998E-5</v>
      </c>
      <c r="BX61">
        <v>4.8999999999999998E-5</v>
      </c>
      <c r="BY61">
        <v>6.7000000000000002E-5</v>
      </c>
      <c r="BZ61">
        <v>6.7000000000000002E-5</v>
      </c>
      <c r="CA61">
        <v>6.7000000000000002E-5</v>
      </c>
      <c r="CB61">
        <v>6.7000000000000002E-5</v>
      </c>
      <c r="CC61">
        <v>6.7000000000000002E-5</v>
      </c>
      <c r="CD61">
        <v>6.7000000000000002E-5</v>
      </c>
      <c r="CE61">
        <v>6.7000000000000002E-5</v>
      </c>
      <c r="CF61">
        <v>6.7000000000000002E-5</v>
      </c>
      <c r="CG61">
        <v>6.7000000000000002E-5</v>
      </c>
      <c r="CH61">
        <v>6.7000000000000002E-5</v>
      </c>
      <c r="CI61">
        <v>6.7000000000000002E-5</v>
      </c>
      <c r="CJ61">
        <v>6.7000000000000002E-5</v>
      </c>
      <c r="CK61">
        <v>6.7000000000000002E-5</v>
      </c>
      <c r="CL61">
        <v>6.7000000000000002E-5</v>
      </c>
      <c r="CM61">
        <v>6.7000000000000002E-5</v>
      </c>
      <c r="CN61">
        <v>6.7000000000000002E-5</v>
      </c>
      <c r="CO61">
        <v>6.7000000000000002E-5</v>
      </c>
      <c r="CP61">
        <v>6.7000000000000002E-5</v>
      </c>
      <c r="CQ61">
        <v>6.7000000000000002E-5</v>
      </c>
      <c r="CR61">
        <v>6.7000000000000002E-5</v>
      </c>
      <c r="CS61">
        <v>6.7000000000000002E-5</v>
      </c>
      <c r="CT61">
        <v>6.7000000000000002E-5</v>
      </c>
      <c r="CU61">
        <v>6.7000000000000002E-5</v>
      </c>
      <c r="CV61">
        <v>6.7000000000000002E-5</v>
      </c>
      <c r="CW61">
        <v>6.7000000000000002E-5</v>
      </c>
      <c r="CX61">
        <v>6.7000000000000002E-5</v>
      </c>
    </row>
    <row r="62" spans="1:102" x14ac:dyDescent="0.25">
      <c r="A62" t="s">
        <v>189</v>
      </c>
      <c r="B62" t="e">
        <v>#VALUE!</v>
      </c>
      <c r="C62" t="e">
        <v>#VALUE!</v>
      </c>
      <c r="D62" t="e">
        <v>#VALUE!</v>
      </c>
      <c r="E62" t="e">
        <v>#VALUE!</v>
      </c>
      <c r="F62" t="e">
        <v>#VALUE!</v>
      </c>
      <c r="G62" t="e">
        <v>#VALUE!</v>
      </c>
      <c r="H62" t="e">
        <v>#VALUE!</v>
      </c>
      <c r="I62" t="e">
        <v>#VALUE!</v>
      </c>
      <c r="J62" t="e">
        <v>#VALUE!</v>
      </c>
      <c r="K62" t="e">
        <v>#VALUE!</v>
      </c>
      <c r="L62" t="e">
        <v>#VALUE!</v>
      </c>
      <c r="M62" t="e">
        <v>#VALUE!</v>
      </c>
      <c r="N62" t="e">
        <v>#VALUE!</v>
      </c>
      <c r="O62" t="e">
        <v>#VALUE!</v>
      </c>
      <c r="P62" t="e">
        <v>#VALUE!</v>
      </c>
      <c r="Q62">
        <v>6.7000000000000002E-5</v>
      </c>
      <c r="R62">
        <v>6.7000000000000002E-5</v>
      </c>
      <c r="S62">
        <v>6.7000000000000002E-5</v>
      </c>
      <c r="T62">
        <v>6.7000000000000002E-5</v>
      </c>
      <c r="U62">
        <v>6.7000000000000002E-5</v>
      </c>
      <c r="V62">
        <v>6.7000000000000002E-5</v>
      </c>
      <c r="W62">
        <v>6.7000000000000002E-5</v>
      </c>
      <c r="X62">
        <v>6.7000000000000002E-5</v>
      </c>
      <c r="Y62">
        <v>6.7000000000000002E-5</v>
      </c>
      <c r="Z62">
        <v>6.7000000000000002E-5</v>
      </c>
      <c r="AA62">
        <v>6.7000000000000002E-5</v>
      </c>
      <c r="AB62">
        <v>6.7000000000000002E-5</v>
      </c>
      <c r="AC62">
        <v>6.7000000000000002E-5</v>
      </c>
      <c r="AD62">
        <v>6.7000000000000002E-5</v>
      </c>
      <c r="AE62">
        <v>6.7000000000000002E-5</v>
      </c>
      <c r="AF62">
        <v>6.7000000000000002E-5</v>
      </c>
      <c r="AG62">
        <v>6.7000000000000002E-5</v>
      </c>
      <c r="AH62">
        <v>6.7000000000000002E-5</v>
      </c>
      <c r="AI62">
        <v>6.7000000000000002E-5</v>
      </c>
      <c r="AJ62">
        <v>6.7000000000000002E-5</v>
      </c>
      <c r="AK62">
        <v>6.7000000000000002E-5</v>
      </c>
      <c r="AL62">
        <v>6.7000000000000002E-5</v>
      </c>
      <c r="AM62">
        <v>6.7000000000000002E-5</v>
      </c>
      <c r="AN62">
        <v>6.7000000000000002E-5</v>
      </c>
      <c r="AO62">
        <v>6.7000000000000002E-5</v>
      </c>
      <c r="AP62">
        <v>1.63E-4</v>
      </c>
      <c r="AQ62">
        <v>1.63E-4</v>
      </c>
      <c r="AR62">
        <v>1.63E-4</v>
      </c>
      <c r="AS62">
        <v>1.63E-4</v>
      </c>
      <c r="AT62">
        <v>1.63E-4</v>
      </c>
      <c r="AU62">
        <v>1.6100000000000001E-4</v>
      </c>
      <c r="AV62">
        <v>1.6100000000000001E-4</v>
      </c>
      <c r="AW62">
        <v>1.6100000000000001E-4</v>
      </c>
      <c r="AX62">
        <v>1.6100000000000001E-4</v>
      </c>
      <c r="AY62">
        <v>1.6100000000000001E-4</v>
      </c>
      <c r="AZ62">
        <v>1.3200000000000001E-4</v>
      </c>
      <c r="BA62">
        <v>1.3200000000000001E-4</v>
      </c>
      <c r="BB62">
        <v>1.3200000000000001E-4</v>
      </c>
      <c r="BC62">
        <v>1.3200000000000001E-4</v>
      </c>
      <c r="BD62">
        <v>1.3200000000000001E-4</v>
      </c>
      <c r="BE62">
        <v>1.12E-4</v>
      </c>
      <c r="BF62">
        <v>1.12E-4</v>
      </c>
      <c r="BG62">
        <v>1.12E-4</v>
      </c>
      <c r="BH62">
        <v>1.12E-4</v>
      </c>
      <c r="BI62">
        <v>1.12E-4</v>
      </c>
      <c r="BJ62">
        <v>1E-4</v>
      </c>
      <c r="BK62">
        <v>1E-4</v>
      </c>
      <c r="BL62">
        <v>1E-4</v>
      </c>
      <c r="BM62">
        <v>1E-4</v>
      </c>
      <c r="BN62">
        <v>1E-4</v>
      </c>
      <c r="BO62">
        <v>1.1400000000000001E-4</v>
      </c>
      <c r="BP62">
        <v>1.1400000000000001E-4</v>
      </c>
      <c r="BQ62">
        <v>1.1400000000000001E-4</v>
      </c>
      <c r="BR62">
        <v>1.1400000000000001E-4</v>
      </c>
      <c r="BS62">
        <v>1.1400000000000001E-4</v>
      </c>
      <c r="BT62">
        <v>1.2999999999999999E-4</v>
      </c>
      <c r="BU62">
        <v>1.2999999999999999E-4</v>
      </c>
      <c r="BV62">
        <v>1.2999999999999999E-4</v>
      </c>
      <c r="BW62">
        <v>1.2999999999999999E-4</v>
      </c>
      <c r="BX62">
        <v>1.2999999999999999E-4</v>
      </c>
      <c r="BY62">
        <v>1.22E-4</v>
      </c>
      <c r="BZ62">
        <v>1.22E-4</v>
      </c>
      <c r="CA62">
        <v>1.22E-4</v>
      </c>
      <c r="CB62">
        <v>1.22E-4</v>
      </c>
      <c r="CC62">
        <v>1.22E-4</v>
      </c>
      <c r="CD62">
        <v>1.22E-4</v>
      </c>
      <c r="CE62">
        <v>1.22E-4</v>
      </c>
      <c r="CF62">
        <v>1.22E-4</v>
      </c>
      <c r="CG62">
        <v>1.22E-4</v>
      </c>
      <c r="CH62">
        <v>1.22E-4</v>
      </c>
      <c r="CI62">
        <v>1.22E-4</v>
      </c>
      <c r="CJ62">
        <v>1.22E-4</v>
      </c>
      <c r="CK62">
        <v>1.22E-4</v>
      </c>
      <c r="CL62">
        <v>1.22E-4</v>
      </c>
      <c r="CM62">
        <v>1.22E-4</v>
      </c>
      <c r="CN62">
        <v>1.22E-4</v>
      </c>
      <c r="CO62">
        <v>1.22E-4</v>
      </c>
      <c r="CP62">
        <v>1.22E-4</v>
      </c>
      <c r="CQ62">
        <v>1.22E-4</v>
      </c>
      <c r="CR62">
        <v>1.22E-4</v>
      </c>
      <c r="CS62">
        <v>1.22E-4</v>
      </c>
      <c r="CT62">
        <v>1.22E-4</v>
      </c>
      <c r="CU62">
        <v>1.22E-4</v>
      </c>
      <c r="CV62">
        <v>1.22E-4</v>
      </c>
      <c r="CW62">
        <v>1.22E-4</v>
      </c>
      <c r="CX62">
        <v>1.22E-4</v>
      </c>
    </row>
    <row r="63" spans="1:102" x14ac:dyDescent="0.25">
      <c r="A63" t="s">
        <v>191</v>
      </c>
      <c r="B63" t="e">
        <v>#VALUE!</v>
      </c>
      <c r="C63" t="e">
        <v>#VALUE!</v>
      </c>
      <c r="D63" t="e">
        <v>#VALUE!</v>
      </c>
      <c r="E63" t="e">
        <v>#VALUE!</v>
      </c>
      <c r="F63" t="e">
        <v>#VALUE!</v>
      </c>
      <c r="G63" t="e">
        <v>#VALUE!</v>
      </c>
      <c r="H63" t="e">
        <v>#VALUE!</v>
      </c>
      <c r="I63" t="e">
        <v>#VALUE!</v>
      </c>
      <c r="J63" t="e">
        <v>#VALUE!</v>
      </c>
      <c r="K63" t="e">
        <v>#VALUE!</v>
      </c>
      <c r="L63" t="e">
        <v>#VALUE!</v>
      </c>
      <c r="M63" t="e">
        <v>#VALUE!</v>
      </c>
      <c r="N63" t="e">
        <v>#VALUE!</v>
      </c>
      <c r="O63" t="e">
        <v>#VALUE!</v>
      </c>
      <c r="P63" t="e">
        <v>#VALUE!</v>
      </c>
      <c r="Q63">
        <v>7.4999999999999993E-5</v>
      </c>
      <c r="R63">
        <v>7.4999999999999993E-5</v>
      </c>
      <c r="S63">
        <v>7.4999999999999993E-5</v>
      </c>
      <c r="T63">
        <v>7.4999999999999993E-5</v>
      </c>
      <c r="U63">
        <v>7.4999999999999993E-5</v>
      </c>
      <c r="V63">
        <v>7.4999999999999993E-5</v>
      </c>
      <c r="W63">
        <v>7.4999999999999993E-5</v>
      </c>
      <c r="X63">
        <v>7.4999999999999993E-5</v>
      </c>
      <c r="Y63">
        <v>7.4999999999999993E-5</v>
      </c>
      <c r="Z63">
        <v>7.4999999999999993E-5</v>
      </c>
      <c r="AA63">
        <v>7.4999999999999993E-5</v>
      </c>
      <c r="AB63">
        <v>7.4999999999999993E-5</v>
      </c>
      <c r="AC63">
        <v>7.4999999999999993E-5</v>
      </c>
      <c r="AD63">
        <v>7.4999999999999993E-5</v>
      </c>
      <c r="AE63">
        <v>7.4999999999999993E-5</v>
      </c>
      <c r="AF63">
        <v>7.4999999999999993E-5</v>
      </c>
      <c r="AG63">
        <v>7.4999999999999993E-5</v>
      </c>
      <c r="AH63">
        <v>7.4999999999999993E-5</v>
      </c>
      <c r="AI63">
        <v>7.4999999999999993E-5</v>
      </c>
      <c r="AJ63">
        <v>7.4999999999999993E-5</v>
      </c>
      <c r="AK63">
        <v>7.4999999999999993E-5</v>
      </c>
      <c r="AL63">
        <v>7.4999999999999993E-5</v>
      </c>
      <c r="AM63">
        <v>7.4999999999999993E-5</v>
      </c>
      <c r="AN63">
        <v>7.4999999999999993E-5</v>
      </c>
      <c r="AO63">
        <v>7.4999999999999993E-5</v>
      </c>
      <c r="AP63">
        <v>3.8099999999999999E-4</v>
      </c>
      <c r="AQ63">
        <v>3.8099999999999999E-4</v>
      </c>
      <c r="AR63">
        <v>3.8099999999999999E-4</v>
      </c>
      <c r="AS63">
        <v>3.8099999999999999E-4</v>
      </c>
      <c r="AT63">
        <v>3.8099999999999999E-4</v>
      </c>
      <c r="AU63">
        <v>4.8500000000000003E-4</v>
      </c>
      <c r="AV63">
        <v>4.8500000000000003E-4</v>
      </c>
      <c r="AW63">
        <v>4.8500000000000003E-4</v>
      </c>
      <c r="AX63">
        <v>4.8500000000000003E-4</v>
      </c>
      <c r="AY63">
        <v>4.8500000000000003E-4</v>
      </c>
      <c r="AZ63">
        <v>5.7600000000000001E-4</v>
      </c>
      <c r="BA63">
        <v>5.7600000000000001E-4</v>
      </c>
      <c r="BB63">
        <v>5.7600000000000001E-4</v>
      </c>
      <c r="BC63">
        <v>5.7600000000000001E-4</v>
      </c>
      <c r="BD63">
        <v>5.7600000000000001E-4</v>
      </c>
      <c r="BE63">
        <v>6.3400000000000001E-4</v>
      </c>
      <c r="BF63">
        <v>6.3400000000000001E-4</v>
      </c>
      <c r="BG63">
        <v>6.3400000000000001E-4</v>
      </c>
      <c r="BH63">
        <v>6.3400000000000001E-4</v>
      </c>
      <c r="BI63">
        <v>6.3400000000000001E-4</v>
      </c>
      <c r="BJ63">
        <v>6.7100000000000005E-4</v>
      </c>
      <c r="BK63">
        <v>6.7100000000000005E-4</v>
      </c>
      <c r="BL63">
        <v>6.7100000000000005E-4</v>
      </c>
      <c r="BM63">
        <v>6.7100000000000005E-4</v>
      </c>
      <c r="BN63">
        <v>6.7100000000000005E-4</v>
      </c>
      <c r="BO63">
        <v>6.4099999999999997E-4</v>
      </c>
      <c r="BP63">
        <v>6.4099999999999997E-4</v>
      </c>
      <c r="BQ63">
        <v>6.4099999999999997E-4</v>
      </c>
      <c r="BR63">
        <v>6.4099999999999997E-4</v>
      </c>
      <c r="BS63">
        <v>6.4099999999999997E-4</v>
      </c>
      <c r="BT63">
        <v>5.3899999999999998E-4</v>
      </c>
      <c r="BU63">
        <v>5.3899999999999998E-4</v>
      </c>
      <c r="BV63">
        <v>5.3899999999999998E-4</v>
      </c>
      <c r="BW63">
        <v>5.3899999999999998E-4</v>
      </c>
      <c r="BX63">
        <v>5.3899999999999998E-4</v>
      </c>
      <c r="BY63">
        <v>4.15E-4</v>
      </c>
      <c r="BZ63">
        <v>4.15E-4</v>
      </c>
      <c r="CA63">
        <v>4.15E-4</v>
      </c>
      <c r="CB63">
        <v>4.15E-4</v>
      </c>
      <c r="CC63">
        <v>4.15E-4</v>
      </c>
      <c r="CD63">
        <v>4.15E-4</v>
      </c>
      <c r="CE63">
        <v>4.15E-4</v>
      </c>
      <c r="CF63">
        <v>4.15E-4</v>
      </c>
      <c r="CG63">
        <v>4.15E-4</v>
      </c>
      <c r="CH63">
        <v>4.15E-4</v>
      </c>
      <c r="CI63">
        <v>4.15E-4</v>
      </c>
      <c r="CJ63">
        <v>4.15E-4</v>
      </c>
      <c r="CK63">
        <v>4.15E-4</v>
      </c>
      <c r="CL63">
        <v>4.15E-4</v>
      </c>
      <c r="CM63">
        <v>4.15E-4</v>
      </c>
      <c r="CN63">
        <v>4.15E-4</v>
      </c>
      <c r="CO63">
        <v>4.15E-4</v>
      </c>
      <c r="CP63">
        <v>4.15E-4</v>
      </c>
      <c r="CQ63">
        <v>4.15E-4</v>
      </c>
      <c r="CR63">
        <v>4.15E-4</v>
      </c>
      <c r="CS63">
        <v>4.15E-4</v>
      </c>
      <c r="CT63">
        <v>4.15E-4</v>
      </c>
      <c r="CU63">
        <v>4.15E-4</v>
      </c>
      <c r="CV63">
        <v>4.15E-4</v>
      </c>
      <c r="CW63">
        <v>4.15E-4</v>
      </c>
      <c r="CX63">
        <v>4.15E-4</v>
      </c>
    </row>
    <row r="64" spans="1:102" x14ac:dyDescent="0.25">
      <c r="A64" t="s">
        <v>193</v>
      </c>
      <c r="B64" t="e">
        <v>#VALUE!</v>
      </c>
      <c r="C64" t="e">
        <v>#VALUE!</v>
      </c>
      <c r="D64" t="e">
        <v>#VALUE!</v>
      </c>
      <c r="E64" t="e">
        <v>#VALUE!</v>
      </c>
      <c r="F64" t="e">
        <v>#VALUE!</v>
      </c>
      <c r="G64" t="e">
        <v>#VALUE!</v>
      </c>
      <c r="H64" t="e">
        <v>#VALUE!</v>
      </c>
      <c r="I64" t="e">
        <v>#VALUE!</v>
      </c>
      <c r="J64" t="e">
        <v>#VALUE!</v>
      </c>
      <c r="K64" t="e">
        <v>#VALUE!</v>
      </c>
      <c r="L64" t="e">
        <v>#VALUE!</v>
      </c>
      <c r="M64" t="e">
        <v>#VALUE!</v>
      </c>
      <c r="N64" t="e">
        <v>#VALUE!</v>
      </c>
      <c r="O64" t="e">
        <v>#VALUE!</v>
      </c>
      <c r="P64" t="e">
        <v>#VALUE!</v>
      </c>
      <c r="Q64">
        <v>6.2000000000000003E-5</v>
      </c>
      <c r="R64">
        <v>6.2000000000000003E-5</v>
      </c>
      <c r="S64">
        <v>6.2000000000000003E-5</v>
      </c>
      <c r="T64">
        <v>6.2000000000000003E-5</v>
      </c>
      <c r="U64">
        <v>6.2000000000000003E-5</v>
      </c>
      <c r="V64">
        <v>6.2000000000000003E-5</v>
      </c>
      <c r="W64">
        <v>6.2000000000000003E-5</v>
      </c>
      <c r="X64">
        <v>6.2000000000000003E-5</v>
      </c>
      <c r="Y64">
        <v>6.2000000000000003E-5</v>
      </c>
      <c r="Z64">
        <v>6.2000000000000003E-5</v>
      </c>
      <c r="AA64">
        <v>6.2000000000000003E-5</v>
      </c>
      <c r="AB64">
        <v>6.2000000000000003E-5</v>
      </c>
      <c r="AC64">
        <v>6.2000000000000003E-5</v>
      </c>
      <c r="AD64">
        <v>6.2000000000000003E-5</v>
      </c>
      <c r="AE64">
        <v>6.2000000000000003E-5</v>
      </c>
      <c r="AF64">
        <v>6.2000000000000003E-5</v>
      </c>
      <c r="AG64">
        <v>6.2000000000000003E-5</v>
      </c>
      <c r="AH64">
        <v>6.2000000000000003E-5</v>
      </c>
      <c r="AI64">
        <v>6.2000000000000003E-5</v>
      </c>
      <c r="AJ64">
        <v>6.2000000000000003E-5</v>
      </c>
      <c r="AK64">
        <v>6.2000000000000003E-5</v>
      </c>
      <c r="AL64">
        <v>6.2000000000000003E-5</v>
      </c>
      <c r="AM64">
        <v>6.2000000000000003E-5</v>
      </c>
      <c r="AN64">
        <v>6.2000000000000003E-5</v>
      </c>
      <c r="AO64">
        <v>6.2000000000000003E-5</v>
      </c>
      <c r="AP64">
        <v>2.5099999999999998E-4</v>
      </c>
      <c r="AQ64">
        <v>2.5099999999999998E-4</v>
      </c>
      <c r="AR64">
        <v>2.5099999999999998E-4</v>
      </c>
      <c r="AS64">
        <v>2.5099999999999998E-4</v>
      </c>
      <c r="AT64">
        <v>2.5099999999999998E-4</v>
      </c>
      <c r="AU64">
        <v>3.77E-4</v>
      </c>
      <c r="AV64">
        <v>3.77E-4</v>
      </c>
      <c r="AW64">
        <v>3.77E-4</v>
      </c>
      <c r="AX64">
        <v>3.77E-4</v>
      </c>
      <c r="AY64">
        <v>3.77E-4</v>
      </c>
      <c r="AZ64">
        <v>3.3599999999999998E-4</v>
      </c>
      <c r="BA64">
        <v>3.3599999999999998E-4</v>
      </c>
      <c r="BB64">
        <v>3.3599999999999998E-4</v>
      </c>
      <c r="BC64">
        <v>3.3599999999999998E-4</v>
      </c>
      <c r="BD64">
        <v>3.3599999999999998E-4</v>
      </c>
      <c r="BE64">
        <v>2.2499999999999999E-4</v>
      </c>
      <c r="BF64">
        <v>2.2499999999999999E-4</v>
      </c>
      <c r="BG64">
        <v>2.2499999999999999E-4</v>
      </c>
      <c r="BH64">
        <v>2.2499999999999999E-4</v>
      </c>
      <c r="BI64">
        <v>2.2499999999999999E-4</v>
      </c>
      <c r="BJ64">
        <v>5.1599999999999997E-4</v>
      </c>
      <c r="BK64">
        <v>5.1599999999999997E-4</v>
      </c>
      <c r="BL64">
        <v>5.1599999999999997E-4</v>
      </c>
      <c r="BM64">
        <v>5.1599999999999997E-4</v>
      </c>
      <c r="BN64">
        <v>5.1599999999999997E-4</v>
      </c>
      <c r="BO64">
        <v>4.5800000000000002E-4</v>
      </c>
      <c r="BP64">
        <v>4.5800000000000002E-4</v>
      </c>
      <c r="BQ64">
        <v>4.5800000000000002E-4</v>
      </c>
      <c r="BR64">
        <v>4.5800000000000002E-4</v>
      </c>
      <c r="BS64">
        <v>4.5800000000000002E-4</v>
      </c>
      <c r="BT64">
        <v>5.0500000000000002E-4</v>
      </c>
      <c r="BU64">
        <v>5.0500000000000002E-4</v>
      </c>
      <c r="BV64">
        <v>5.0500000000000002E-4</v>
      </c>
      <c r="BW64">
        <v>5.0500000000000002E-4</v>
      </c>
      <c r="BX64">
        <v>5.0500000000000002E-4</v>
      </c>
      <c r="BY64">
        <v>6.5059999999999996E-3</v>
      </c>
      <c r="BZ64">
        <v>6.5059999999999996E-3</v>
      </c>
      <c r="CA64">
        <v>6.5059999999999996E-3</v>
      </c>
      <c r="CB64">
        <v>6.5059999999999996E-3</v>
      </c>
      <c r="CC64">
        <v>6.5059999999999996E-3</v>
      </c>
      <c r="CD64">
        <v>6.5059999999999996E-3</v>
      </c>
      <c r="CE64">
        <v>6.5059999999999996E-3</v>
      </c>
      <c r="CF64">
        <v>6.5059999999999996E-3</v>
      </c>
      <c r="CG64">
        <v>6.5059999999999996E-3</v>
      </c>
      <c r="CH64">
        <v>6.5059999999999996E-3</v>
      </c>
      <c r="CI64">
        <v>6.5059999999999996E-3</v>
      </c>
      <c r="CJ64">
        <v>6.5059999999999996E-3</v>
      </c>
      <c r="CK64">
        <v>6.5059999999999996E-3</v>
      </c>
      <c r="CL64">
        <v>6.5059999999999996E-3</v>
      </c>
      <c r="CM64">
        <v>6.5059999999999996E-3</v>
      </c>
      <c r="CN64">
        <v>6.5059999999999996E-3</v>
      </c>
      <c r="CO64">
        <v>6.5059999999999996E-3</v>
      </c>
      <c r="CP64">
        <v>6.5059999999999996E-3</v>
      </c>
      <c r="CQ64">
        <v>6.5059999999999996E-3</v>
      </c>
      <c r="CR64">
        <v>6.5059999999999996E-3</v>
      </c>
      <c r="CS64">
        <v>6.5059999999999996E-3</v>
      </c>
      <c r="CT64">
        <v>6.5059999999999996E-3</v>
      </c>
      <c r="CU64">
        <v>6.5059999999999996E-3</v>
      </c>
      <c r="CV64">
        <v>6.5059999999999996E-3</v>
      </c>
      <c r="CW64">
        <v>6.5059999999999996E-3</v>
      </c>
      <c r="CX64">
        <v>6.5059999999999996E-3</v>
      </c>
    </row>
    <row r="65" spans="1:102" x14ac:dyDescent="0.25">
      <c r="A65" t="s">
        <v>195</v>
      </c>
      <c r="B65" t="e">
        <v>#VALUE!</v>
      </c>
      <c r="C65" t="e">
        <v>#VALUE!</v>
      </c>
      <c r="D65" t="e">
        <v>#VALUE!</v>
      </c>
      <c r="E65" t="e">
        <v>#VALUE!</v>
      </c>
      <c r="F65" t="e">
        <v>#VALUE!</v>
      </c>
      <c r="G65" t="e">
        <v>#VALUE!</v>
      </c>
      <c r="H65" t="e">
        <v>#VALUE!</v>
      </c>
      <c r="I65" t="e">
        <v>#VALUE!</v>
      </c>
      <c r="J65" t="e">
        <v>#VALUE!</v>
      </c>
      <c r="K65" t="e">
        <v>#VALUE!</v>
      </c>
      <c r="L65" t="e">
        <v>#VALUE!</v>
      </c>
      <c r="M65" t="e">
        <v>#VALUE!</v>
      </c>
      <c r="N65" t="e">
        <v>#VALUE!</v>
      </c>
      <c r="O65" t="e">
        <v>#VALUE!</v>
      </c>
      <c r="P65" t="e">
        <v>#VALUE!</v>
      </c>
      <c r="Q65">
        <v>9.7E-5</v>
      </c>
      <c r="R65">
        <v>9.7E-5</v>
      </c>
      <c r="S65">
        <v>9.7E-5</v>
      </c>
      <c r="T65">
        <v>9.7E-5</v>
      </c>
      <c r="U65">
        <v>9.7E-5</v>
      </c>
      <c r="V65">
        <v>9.7E-5</v>
      </c>
      <c r="W65">
        <v>9.7E-5</v>
      </c>
      <c r="X65">
        <v>9.7E-5</v>
      </c>
      <c r="Y65">
        <v>9.7E-5</v>
      </c>
      <c r="Z65">
        <v>9.7E-5</v>
      </c>
      <c r="AA65">
        <v>9.7E-5</v>
      </c>
      <c r="AB65">
        <v>9.7E-5</v>
      </c>
      <c r="AC65">
        <v>9.7E-5</v>
      </c>
      <c r="AD65">
        <v>9.7E-5</v>
      </c>
      <c r="AE65">
        <v>9.7E-5</v>
      </c>
      <c r="AF65">
        <v>9.7E-5</v>
      </c>
      <c r="AG65">
        <v>9.7E-5</v>
      </c>
      <c r="AH65">
        <v>9.7E-5</v>
      </c>
      <c r="AI65">
        <v>9.7E-5</v>
      </c>
      <c r="AJ65">
        <v>9.7E-5</v>
      </c>
      <c r="AK65">
        <v>9.7E-5</v>
      </c>
      <c r="AL65">
        <v>9.7E-5</v>
      </c>
      <c r="AM65">
        <v>9.7E-5</v>
      </c>
      <c r="AN65">
        <v>9.7E-5</v>
      </c>
      <c r="AO65">
        <v>9.7E-5</v>
      </c>
      <c r="AP65">
        <v>3.8699999999999997E-4</v>
      </c>
      <c r="AQ65">
        <v>3.8699999999999997E-4</v>
      </c>
      <c r="AR65">
        <v>3.8699999999999997E-4</v>
      </c>
      <c r="AS65">
        <v>3.8699999999999997E-4</v>
      </c>
      <c r="AT65">
        <v>3.8699999999999997E-4</v>
      </c>
      <c r="AU65">
        <v>4.06E-4</v>
      </c>
      <c r="AV65">
        <v>4.06E-4</v>
      </c>
      <c r="AW65">
        <v>4.06E-4</v>
      </c>
      <c r="AX65">
        <v>4.06E-4</v>
      </c>
      <c r="AY65">
        <v>4.06E-4</v>
      </c>
      <c r="AZ65">
        <v>4.0099999999999999E-4</v>
      </c>
      <c r="BA65">
        <v>4.0099999999999999E-4</v>
      </c>
      <c r="BB65">
        <v>4.0099999999999999E-4</v>
      </c>
      <c r="BC65">
        <v>4.0099999999999999E-4</v>
      </c>
      <c r="BD65">
        <v>4.0099999999999999E-4</v>
      </c>
      <c r="BE65">
        <v>3.5199999999999999E-4</v>
      </c>
      <c r="BF65">
        <v>3.5199999999999999E-4</v>
      </c>
      <c r="BG65">
        <v>3.5199999999999999E-4</v>
      </c>
      <c r="BH65">
        <v>3.5199999999999999E-4</v>
      </c>
      <c r="BI65">
        <v>3.5199999999999999E-4</v>
      </c>
      <c r="BJ65">
        <v>2.7799999999999998E-4</v>
      </c>
      <c r="BK65">
        <v>2.7799999999999998E-4</v>
      </c>
      <c r="BL65">
        <v>2.7799999999999998E-4</v>
      </c>
      <c r="BM65">
        <v>2.7799999999999998E-4</v>
      </c>
      <c r="BN65">
        <v>2.7799999999999998E-4</v>
      </c>
      <c r="BO65">
        <v>2.1699999999999999E-4</v>
      </c>
      <c r="BP65">
        <v>2.1699999999999999E-4</v>
      </c>
      <c r="BQ65">
        <v>2.1699999999999999E-4</v>
      </c>
      <c r="BR65">
        <v>2.1699999999999999E-4</v>
      </c>
      <c r="BS65">
        <v>2.1699999999999999E-4</v>
      </c>
      <c r="BT65">
        <v>1.7100000000000001E-4</v>
      </c>
      <c r="BU65">
        <v>1.7100000000000001E-4</v>
      </c>
      <c r="BV65">
        <v>1.7100000000000001E-4</v>
      </c>
      <c r="BW65">
        <v>1.7100000000000001E-4</v>
      </c>
      <c r="BX65">
        <v>1.7100000000000001E-4</v>
      </c>
      <c r="BY65">
        <v>1.4200000000000001E-4</v>
      </c>
      <c r="BZ65">
        <v>1.4200000000000001E-4</v>
      </c>
      <c r="CA65">
        <v>1.4200000000000001E-4</v>
      </c>
      <c r="CB65">
        <v>1.4200000000000001E-4</v>
      </c>
      <c r="CC65">
        <v>1.4200000000000001E-4</v>
      </c>
      <c r="CD65">
        <v>1.4200000000000001E-4</v>
      </c>
      <c r="CE65">
        <v>1.4200000000000001E-4</v>
      </c>
      <c r="CF65">
        <v>1.4200000000000001E-4</v>
      </c>
      <c r="CG65">
        <v>1.4200000000000001E-4</v>
      </c>
      <c r="CH65">
        <v>1.4200000000000001E-4</v>
      </c>
      <c r="CI65">
        <v>1.4200000000000001E-4</v>
      </c>
      <c r="CJ65">
        <v>1.4200000000000001E-4</v>
      </c>
      <c r="CK65">
        <v>1.4200000000000001E-4</v>
      </c>
      <c r="CL65">
        <v>1.4200000000000001E-4</v>
      </c>
      <c r="CM65">
        <v>1.4200000000000001E-4</v>
      </c>
      <c r="CN65">
        <v>1.4200000000000001E-4</v>
      </c>
      <c r="CO65">
        <v>1.4200000000000001E-4</v>
      </c>
      <c r="CP65">
        <v>1.4200000000000001E-4</v>
      </c>
      <c r="CQ65">
        <v>1.4200000000000001E-4</v>
      </c>
      <c r="CR65">
        <v>1.4200000000000001E-4</v>
      </c>
      <c r="CS65">
        <v>1.4200000000000001E-4</v>
      </c>
      <c r="CT65">
        <v>1.4200000000000001E-4</v>
      </c>
      <c r="CU65">
        <v>1.4200000000000001E-4</v>
      </c>
      <c r="CV65">
        <v>1.4200000000000001E-4</v>
      </c>
      <c r="CW65">
        <v>1.4200000000000001E-4</v>
      </c>
      <c r="CX65">
        <v>1.4200000000000001E-4</v>
      </c>
    </row>
    <row r="66" spans="1:102" x14ac:dyDescent="0.25">
      <c r="A66" t="s">
        <v>197</v>
      </c>
      <c r="B66" t="e">
        <v>#VALUE!</v>
      </c>
      <c r="C66" t="e">
        <v>#VALUE!</v>
      </c>
      <c r="D66" t="e">
        <v>#VALUE!</v>
      </c>
      <c r="E66" t="e">
        <v>#VALUE!</v>
      </c>
      <c r="F66" t="e">
        <v>#VALUE!</v>
      </c>
      <c r="G66" t="e">
        <v>#VALUE!</v>
      </c>
      <c r="H66" t="e">
        <v>#VALUE!</v>
      </c>
      <c r="I66" t="e">
        <v>#VALUE!</v>
      </c>
      <c r="J66" t="e">
        <v>#VALUE!</v>
      </c>
      <c r="K66" t="e">
        <v>#VALUE!</v>
      </c>
      <c r="L66" t="e">
        <v>#VALUE!</v>
      </c>
      <c r="M66" t="e">
        <v>#VALUE!</v>
      </c>
      <c r="N66" t="e">
        <v>#VALUE!</v>
      </c>
      <c r="O66" t="e">
        <v>#VALUE!</v>
      </c>
      <c r="P66" t="e">
        <v>#VALUE!</v>
      </c>
      <c r="Q66">
        <v>7.7999999999999999E-5</v>
      </c>
      <c r="R66">
        <v>7.7999999999999999E-5</v>
      </c>
      <c r="S66">
        <v>7.7999999999999999E-5</v>
      </c>
      <c r="T66">
        <v>7.7999999999999999E-5</v>
      </c>
      <c r="U66">
        <v>7.7999999999999999E-5</v>
      </c>
      <c r="V66">
        <v>7.7999999999999999E-5</v>
      </c>
      <c r="W66">
        <v>7.7999999999999999E-5</v>
      </c>
      <c r="X66">
        <v>7.7999999999999999E-5</v>
      </c>
      <c r="Y66">
        <v>7.7999999999999999E-5</v>
      </c>
      <c r="Z66">
        <v>7.7999999999999999E-5</v>
      </c>
      <c r="AA66">
        <v>7.7999999999999999E-5</v>
      </c>
      <c r="AB66">
        <v>7.7999999999999999E-5</v>
      </c>
      <c r="AC66">
        <v>7.7999999999999999E-5</v>
      </c>
      <c r="AD66">
        <v>7.7999999999999999E-5</v>
      </c>
      <c r="AE66">
        <v>7.7999999999999999E-5</v>
      </c>
      <c r="AF66">
        <v>7.7999999999999999E-5</v>
      </c>
      <c r="AG66">
        <v>7.7999999999999999E-5</v>
      </c>
      <c r="AH66">
        <v>7.7999999999999999E-5</v>
      </c>
      <c r="AI66">
        <v>7.7999999999999999E-5</v>
      </c>
      <c r="AJ66">
        <v>7.7999999999999999E-5</v>
      </c>
      <c r="AK66">
        <v>7.7999999999999999E-5</v>
      </c>
      <c r="AL66">
        <v>7.7999999999999999E-5</v>
      </c>
      <c r="AM66">
        <v>7.7999999999999999E-5</v>
      </c>
      <c r="AN66">
        <v>7.7999999999999999E-5</v>
      </c>
      <c r="AO66">
        <v>7.7999999999999999E-5</v>
      </c>
      <c r="AP66">
        <v>1.83E-4</v>
      </c>
      <c r="AQ66">
        <v>1.83E-4</v>
      </c>
      <c r="AR66">
        <v>1.83E-4</v>
      </c>
      <c r="AS66">
        <v>1.83E-4</v>
      </c>
      <c r="AT66">
        <v>1.83E-4</v>
      </c>
      <c r="AU66">
        <v>1.8599999999999999E-4</v>
      </c>
      <c r="AV66">
        <v>1.8599999999999999E-4</v>
      </c>
      <c r="AW66">
        <v>1.8599999999999999E-4</v>
      </c>
      <c r="AX66">
        <v>1.8599999999999999E-4</v>
      </c>
      <c r="AY66">
        <v>1.8599999999999999E-4</v>
      </c>
      <c r="AZ66">
        <v>1.7000000000000001E-4</v>
      </c>
      <c r="BA66">
        <v>1.7000000000000001E-4</v>
      </c>
      <c r="BB66">
        <v>1.7000000000000001E-4</v>
      </c>
      <c r="BC66">
        <v>1.7000000000000001E-4</v>
      </c>
      <c r="BD66">
        <v>1.7000000000000001E-4</v>
      </c>
      <c r="BE66">
        <v>1.56E-4</v>
      </c>
      <c r="BF66">
        <v>1.56E-4</v>
      </c>
      <c r="BG66">
        <v>1.56E-4</v>
      </c>
      <c r="BH66">
        <v>1.56E-4</v>
      </c>
      <c r="BI66">
        <v>1.56E-4</v>
      </c>
      <c r="BJ66">
        <v>1.4300000000000001E-4</v>
      </c>
      <c r="BK66">
        <v>1.4300000000000001E-4</v>
      </c>
      <c r="BL66">
        <v>1.4300000000000001E-4</v>
      </c>
      <c r="BM66">
        <v>1.4300000000000001E-4</v>
      </c>
      <c r="BN66">
        <v>1.4300000000000001E-4</v>
      </c>
      <c r="BO66">
        <v>1.4200000000000001E-4</v>
      </c>
      <c r="BP66">
        <v>1.4200000000000001E-4</v>
      </c>
      <c r="BQ66">
        <v>1.4200000000000001E-4</v>
      </c>
      <c r="BR66">
        <v>1.4200000000000001E-4</v>
      </c>
      <c r="BS66">
        <v>1.4200000000000001E-4</v>
      </c>
      <c r="BT66">
        <v>1.46E-4</v>
      </c>
      <c r="BU66">
        <v>1.46E-4</v>
      </c>
      <c r="BV66">
        <v>1.46E-4</v>
      </c>
      <c r="BW66">
        <v>1.46E-4</v>
      </c>
      <c r="BX66">
        <v>1.46E-4</v>
      </c>
      <c r="BY66">
        <v>1.6899999999999999E-4</v>
      </c>
      <c r="BZ66">
        <v>1.6899999999999999E-4</v>
      </c>
      <c r="CA66">
        <v>1.6899999999999999E-4</v>
      </c>
      <c r="CB66">
        <v>1.6899999999999999E-4</v>
      </c>
      <c r="CC66">
        <v>1.6899999999999999E-4</v>
      </c>
      <c r="CD66">
        <v>1.6899999999999999E-4</v>
      </c>
      <c r="CE66">
        <v>1.6899999999999999E-4</v>
      </c>
      <c r="CF66">
        <v>1.6899999999999999E-4</v>
      </c>
      <c r="CG66">
        <v>1.6899999999999999E-4</v>
      </c>
      <c r="CH66">
        <v>1.6899999999999999E-4</v>
      </c>
      <c r="CI66">
        <v>1.6899999999999999E-4</v>
      </c>
      <c r="CJ66">
        <v>1.6899999999999999E-4</v>
      </c>
      <c r="CK66">
        <v>1.6899999999999999E-4</v>
      </c>
      <c r="CL66">
        <v>1.6899999999999999E-4</v>
      </c>
      <c r="CM66">
        <v>1.6899999999999999E-4</v>
      </c>
      <c r="CN66">
        <v>1.6899999999999999E-4</v>
      </c>
      <c r="CO66">
        <v>1.6899999999999999E-4</v>
      </c>
      <c r="CP66">
        <v>1.6899999999999999E-4</v>
      </c>
      <c r="CQ66">
        <v>1.6899999999999999E-4</v>
      </c>
      <c r="CR66">
        <v>1.6899999999999999E-4</v>
      </c>
      <c r="CS66">
        <v>1.6899999999999999E-4</v>
      </c>
      <c r="CT66">
        <v>1.6899999999999999E-4</v>
      </c>
      <c r="CU66">
        <v>1.6899999999999999E-4</v>
      </c>
      <c r="CV66">
        <v>1.6899999999999999E-4</v>
      </c>
      <c r="CW66">
        <v>1.6899999999999999E-4</v>
      </c>
      <c r="CX66">
        <v>1.6899999999999999E-4</v>
      </c>
    </row>
    <row r="67" spans="1:102" x14ac:dyDescent="0.25">
      <c r="A67" t="s">
        <v>199</v>
      </c>
      <c r="B67" t="e">
        <v>#VALUE!</v>
      </c>
      <c r="C67" t="e">
        <v>#VALUE!</v>
      </c>
      <c r="D67" t="e">
        <v>#VALUE!</v>
      </c>
      <c r="E67" t="e">
        <v>#VALUE!</v>
      </c>
      <c r="F67" t="e">
        <v>#VALUE!</v>
      </c>
      <c r="G67" t="e">
        <v>#VALUE!</v>
      </c>
      <c r="H67" t="e">
        <v>#VALUE!</v>
      </c>
      <c r="I67" t="e">
        <v>#VALUE!</v>
      </c>
      <c r="J67" t="e">
        <v>#VALUE!</v>
      </c>
      <c r="K67" t="e">
        <v>#VALUE!</v>
      </c>
      <c r="L67" t="e">
        <v>#VALUE!</v>
      </c>
      <c r="M67" t="e">
        <v>#VALUE!</v>
      </c>
      <c r="N67" t="e">
        <v>#VALUE!</v>
      </c>
      <c r="O67" t="e">
        <v>#VALUE!</v>
      </c>
      <c r="P67" t="e">
        <v>#VALUE!</v>
      </c>
      <c r="Q67">
        <v>1.0399999999999999E-4</v>
      </c>
      <c r="R67">
        <v>1.0399999999999999E-4</v>
      </c>
      <c r="S67">
        <v>1.0399999999999999E-4</v>
      </c>
      <c r="T67">
        <v>1.0399999999999999E-4</v>
      </c>
      <c r="U67">
        <v>1.0399999999999999E-4</v>
      </c>
      <c r="V67">
        <v>1.0399999999999999E-4</v>
      </c>
      <c r="W67">
        <v>1.0399999999999999E-4</v>
      </c>
      <c r="X67">
        <v>1.0399999999999999E-4</v>
      </c>
      <c r="Y67">
        <v>1.0399999999999999E-4</v>
      </c>
      <c r="Z67">
        <v>1.0399999999999999E-4</v>
      </c>
      <c r="AA67">
        <v>1.0399999999999999E-4</v>
      </c>
      <c r="AB67">
        <v>1.0399999999999999E-4</v>
      </c>
      <c r="AC67">
        <v>1.0399999999999999E-4</v>
      </c>
      <c r="AD67">
        <v>1.0399999999999999E-4</v>
      </c>
      <c r="AE67">
        <v>1.0399999999999999E-4</v>
      </c>
      <c r="AF67">
        <v>1.0399999999999999E-4</v>
      </c>
      <c r="AG67">
        <v>1.0399999999999999E-4</v>
      </c>
      <c r="AH67">
        <v>1.0399999999999999E-4</v>
      </c>
      <c r="AI67">
        <v>1.0399999999999999E-4</v>
      </c>
      <c r="AJ67">
        <v>1.0399999999999999E-4</v>
      </c>
      <c r="AK67">
        <v>1.0399999999999999E-4</v>
      </c>
      <c r="AL67">
        <v>1.0399999999999999E-4</v>
      </c>
      <c r="AM67">
        <v>1.0399999999999999E-4</v>
      </c>
      <c r="AN67">
        <v>1.0399999999999999E-4</v>
      </c>
      <c r="AO67">
        <v>1.0399999999999999E-4</v>
      </c>
      <c r="AP67">
        <v>4.9399999999999997E-4</v>
      </c>
      <c r="AQ67">
        <v>4.9399999999999997E-4</v>
      </c>
      <c r="AR67">
        <v>4.9399999999999997E-4</v>
      </c>
      <c r="AS67">
        <v>4.9399999999999997E-4</v>
      </c>
      <c r="AT67">
        <v>4.9399999999999997E-4</v>
      </c>
      <c r="AU67">
        <v>6.2699999999999995E-4</v>
      </c>
      <c r="AV67">
        <v>6.2699999999999995E-4</v>
      </c>
      <c r="AW67">
        <v>6.2699999999999995E-4</v>
      </c>
      <c r="AX67">
        <v>6.2699999999999995E-4</v>
      </c>
      <c r="AY67">
        <v>6.2699999999999995E-4</v>
      </c>
      <c r="AZ67">
        <v>8.0199999999999998E-4</v>
      </c>
      <c r="BA67">
        <v>8.0199999999999998E-4</v>
      </c>
      <c r="BB67">
        <v>8.0199999999999998E-4</v>
      </c>
      <c r="BC67">
        <v>8.0199999999999998E-4</v>
      </c>
      <c r="BD67">
        <v>8.0199999999999998E-4</v>
      </c>
      <c r="BE67">
        <v>1.013E-3</v>
      </c>
      <c r="BF67">
        <v>1.013E-3</v>
      </c>
      <c r="BG67">
        <v>1.013E-3</v>
      </c>
      <c r="BH67">
        <v>1.013E-3</v>
      </c>
      <c r="BI67">
        <v>1.013E-3</v>
      </c>
      <c r="BJ67">
        <v>1.0839999999999999E-3</v>
      </c>
      <c r="BK67">
        <v>1.0839999999999999E-3</v>
      </c>
      <c r="BL67">
        <v>1.0839999999999999E-3</v>
      </c>
      <c r="BM67">
        <v>1.0839999999999999E-3</v>
      </c>
      <c r="BN67">
        <v>1.0839999999999999E-3</v>
      </c>
      <c r="BO67">
        <v>1.356E-3</v>
      </c>
      <c r="BP67">
        <v>1.356E-3</v>
      </c>
      <c r="BQ67">
        <v>1.356E-3</v>
      </c>
      <c r="BR67">
        <v>1.356E-3</v>
      </c>
      <c r="BS67">
        <v>1.356E-3</v>
      </c>
      <c r="BT67">
        <v>1.7930000000000001E-3</v>
      </c>
      <c r="BU67">
        <v>1.7930000000000001E-3</v>
      </c>
      <c r="BV67">
        <v>1.7930000000000001E-3</v>
      </c>
      <c r="BW67">
        <v>1.7930000000000001E-3</v>
      </c>
      <c r="BX67">
        <v>1.7930000000000001E-3</v>
      </c>
      <c r="BY67">
        <v>2.3930000000000002E-3</v>
      </c>
      <c r="BZ67">
        <v>2.3930000000000002E-3</v>
      </c>
      <c r="CA67">
        <v>2.3930000000000002E-3</v>
      </c>
      <c r="CB67">
        <v>2.3930000000000002E-3</v>
      </c>
      <c r="CC67">
        <v>2.3930000000000002E-3</v>
      </c>
      <c r="CD67">
        <v>2.3930000000000002E-3</v>
      </c>
      <c r="CE67">
        <v>2.3930000000000002E-3</v>
      </c>
      <c r="CF67">
        <v>2.3930000000000002E-3</v>
      </c>
      <c r="CG67">
        <v>2.3930000000000002E-3</v>
      </c>
      <c r="CH67">
        <v>2.3930000000000002E-3</v>
      </c>
      <c r="CI67">
        <v>2.3930000000000002E-3</v>
      </c>
      <c r="CJ67">
        <v>2.3930000000000002E-3</v>
      </c>
      <c r="CK67">
        <v>2.3930000000000002E-3</v>
      </c>
      <c r="CL67">
        <v>2.3930000000000002E-3</v>
      </c>
      <c r="CM67">
        <v>2.3930000000000002E-3</v>
      </c>
      <c r="CN67">
        <v>2.3930000000000002E-3</v>
      </c>
      <c r="CO67">
        <v>2.3930000000000002E-3</v>
      </c>
      <c r="CP67">
        <v>2.3930000000000002E-3</v>
      </c>
      <c r="CQ67">
        <v>2.3930000000000002E-3</v>
      </c>
      <c r="CR67">
        <v>2.3930000000000002E-3</v>
      </c>
      <c r="CS67">
        <v>2.3930000000000002E-3</v>
      </c>
      <c r="CT67">
        <v>2.3930000000000002E-3</v>
      </c>
      <c r="CU67">
        <v>2.3930000000000002E-3</v>
      </c>
      <c r="CV67">
        <v>2.3930000000000002E-3</v>
      </c>
      <c r="CW67">
        <v>2.3930000000000002E-3</v>
      </c>
      <c r="CX67">
        <v>2.3930000000000002E-3</v>
      </c>
    </row>
    <row r="68" spans="1:102" x14ac:dyDescent="0.25">
      <c r="A68" t="s">
        <v>201</v>
      </c>
      <c r="B68" t="e">
        <v>#VALUE!</v>
      </c>
      <c r="C68" t="e">
        <v>#VALUE!</v>
      </c>
      <c r="D68" t="e">
        <v>#VALUE!</v>
      </c>
      <c r="E68" t="e">
        <v>#VALUE!</v>
      </c>
      <c r="F68" t="e">
        <v>#VALUE!</v>
      </c>
      <c r="G68" t="e">
        <v>#VALUE!</v>
      </c>
      <c r="H68" t="e">
        <v>#VALUE!</v>
      </c>
      <c r="I68" t="e">
        <v>#VALUE!</v>
      </c>
      <c r="J68" t="e">
        <v>#VALUE!</v>
      </c>
      <c r="K68" t="e">
        <v>#VALUE!</v>
      </c>
      <c r="L68" t="e">
        <v>#VALUE!</v>
      </c>
      <c r="M68" t="e">
        <v>#VALUE!</v>
      </c>
      <c r="N68" t="e">
        <v>#VALUE!</v>
      </c>
      <c r="O68" t="e">
        <v>#VALUE!</v>
      </c>
      <c r="P68" t="e">
        <v>#VALUE!</v>
      </c>
      <c r="Q68">
        <v>3.8000000000000002E-5</v>
      </c>
      <c r="R68">
        <v>3.8000000000000002E-5</v>
      </c>
      <c r="S68">
        <v>3.8000000000000002E-5</v>
      </c>
      <c r="T68">
        <v>3.8000000000000002E-5</v>
      </c>
      <c r="U68">
        <v>3.8000000000000002E-5</v>
      </c>
      <c r="V68">
        <v>3.8000000000000002E-5</v>
      </c>
      <c r="W68">
        <v>3.8000000000000002E-5</v>
      </c>
      <c r="X68">
        <v>3.8000000000000002E-5</v>
      </c>
      <c r="Y68">
        <v>3.8000000000000002E-5</v>
      </c>
      <c r="Z68">
        <v>3.8000000000000002E-5</v>
      </c>
      <c r="AA68">
        <v>3.8000000000000002E-5</v>
      </c>
      <c r="AB68">
        <v>3.8000000000000002E-5</v>
      </c>
      <c r="AC68">
        <v>3.8000000000000002E-5</v>
      </c>
      <c r="AD68">
        <v>3.8000000000000002E-5</v>
      </c>
      <c r="AE68">
        <v>3.8000000000000002E-5</v>
      </c>
      <c r="AF68">
        <v>3.8000000000000002E-5</v>
      </c>
      <c r="AG68">
        <v>3.8000000000000002E-5</v>
      </c>
      <c r="AH68">
        <v>3.8000000000000002E-5</v>
      </c>
      <c r="AI68">
        <v>3.8000000000000002E-5</v>
      </c>
      <c r="AJ68">
        <v>3.8000000000000002E-5</v>
      </c>
      <c r="AK68">
        <v>3.8000000000000002E-5</v>
      </c>
      <c r="AL68">
        <v>3.8000000000000002E-5</v>
      </c>
      <c r="AM68">
        <v>3.8000000000000002E-5</v>
      </c>
      <c r="AN68">
        <v>3.8000000000000002E-5</v>
      </c>
      <c r="AO68">
        <v>3.8000000000000002E-5</v>
      </c>
      <c r="AP68">
        <v>1.15E-4</v>
      </c>
      <c r="AQ68">
        <v>1.15E-4</v>
      </c>
      <c r="AR68">
        <v>1.15E-4</v>
      </c>
      <c r="AS68">
        <v>1.15E-4</v>
      </c>
      <c r="AT68">
        <v>1.15E-4</v>
      </c>
      <c r="AU68">
        <v>1.4200000000000001E-4</v>
      </c>
      <c r="AV68">
        <v>1.4200000000000001E-4</v>
      </c>
      <c r="AW68">
        <v>1.4200000000000001E-4</v>
      </c>
      <c r="AX68">
        <v>1.4200000000000001E-4</v>
      </c>
      <c r="AY68">
        <v>1.4200000000000001E-4</v>
      </c>
      <c r="AZ68">
        <v>1.4899999999999999E-4</v>
      </c>
      <c r="BA68">
        <v>1.4899999999999999E-4</v>
      </c>
      <c r="BB68">
        <v>1.4899999999999999E-4</v>
      </c>
      <c r="BC68">
        <v>1.4899999999999999E-4</v>
      </c>
      <c r="BD68">
        <v>1.4899999999999999E-4</v>
      </c>
      <c r="BE68">
        <v>1.2799999999999999E-4</v>
      </c>
      <c r="BF68">
        <v>1.2799999999999999E-4</v>
      </c>
      <c r="BG68">
        <v>1.2799999999999999E-4</v>
      </c>
      <c r="BH68">
        <v>1.2799999999999999E-4</v>
      </c>
      <c r="BI68">
        <v>1.2799999999999999E-4</v>
      </c>
      <c r="BJ68">
        <v>1.01E-4</v>
      </c>
      <c r="BK68">
        <v>1.01E-4</v>
      </c>
      <c r="BL68">
        <v>1.01E-4</v>
      </c>
      <c r="BM68">
        <v>1.01E-4</v>
      </c>
      <c r="BN68">
        <v>1.01E-4</v>
      </c>
      <c r="BO68">
        <v>8.2999999999999998E-5</v>
      </c>
      <c r="BP68">
        <v>8.2999999999999998E-5</v>
      </c>
      <c r="BQ68">
        <v>8.2999999999999998E-5</v>
      </c>
      <c r="BR68">
        <v>8.2999999999999998E-5</v>
      </c>
      <c r="BS68">
        <v>8.2999999999999998E-5</v>
      </c>
      <c r="BT68">
        <v>6.9999999999999994E-5</v>
      </c>
      <c r="BU68">
        <v>6.9999999999999994E-5</v>
      </c>
      <c r="BV68">
        <v>6.9999999999999994E-5</v>
      </c>
      <c r="BW68">
        <v>6.9999999999999994E-5</v>
      </c>
      <c r="BX68">
        <v>6.9999999999999994E-5</v>
      </c>
      <c r="BY68">
        <v>9.2999999999999997E-5</v>
      </c>
      <c r="BZ68">
        <v>9.2999999999999997E-5</v>
      </c>
      <c r="CA68">
        <v>9.2999999999999997E-5</v>
      </c>
      <c r="CB68">
        <v>9.2999999999999997E-5</v>
      </c>
      <c r="CC68">
        <v>9.2999999999999997E-5</v>
      </c>
      <c r="CD68">
        <v>9.2999999999999997E-5</v>
      </c>
      <c r="CE68">
        <v>9.2999999999999997E-5</v>
      </c>
      <c r="CF68">
        <v>9.2999999999999997E-5</v>
      </c>
      <c r="CG68">
        <v>9.2999999999999997E-5</v>
      </c>
      <c r="CH68">
        <v>9.2999999999999997E-5</v>
      </c>
      <c r="CI68">
        <v>9.2999999999999997E-5</v>
      </c>
      <c r="CJ68">
        <v>9.2999999999999997E-5</v>
      </c>
      <c r="CK68">
        <v>9.2999999999999997E-5</v>
      </c>
      <c r="CL68">
        <v>9.2999999999999997E-5</v>
      </c>
      <c r="CM68">
        <v>9.2999999999999997E-5</v>
      </c>
      <c r="CN68">
        <v>9.2999999999999997E-5</v>
      </c>
      <c r="CO68">
        <v>9.2999999999999997E-5</v>
      </c>
      <c r="CP68">
        <v>9.2999999999999997E-5</v>
      </c>
      <c r="CQ68">
        <v>9.2999999999999997E-5</v>
      </c>
      <c r="CR68">
        <v>9.2999999999999997E-5</v>
      </c>
      <c r="CS68">
        <v>9.2999999999999997E-5</v>
      </c>
      <c r="CT68">
        <v>9.2999999999999997E-5</v>
      </c>
      <c r="CU68">
        <v>9.2999999999999997E-5</v>
      </c>
      <c r="CV68">
        <v>9.2999999999999997E-5</v>
      </c>
      <c r="CW68">
        <v>9.2999999999999997E-5</v>
      </c>
      <c r="CX68">
        <v>9.2999999999999997E-5</v>
      </c>
    </row>
    <row r="69" spans="1:102" x14ac:dyDescent="0.25">
      <c r="A69" t="s">
        <v>203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1.25E-4</v>
      </c>
      <c r="R69">
        <v>1.25E-4</v>
      </c>
      <c r="S69">
        <v>1.25E-4</v>
      </c>
      <c r="T69">
        <v>1.25E-4</v>
      </c>
      <c r="U69">
        <v>1.25E-4</v>
      </c>
      <c r="V69">
        <v>1.25E-4</v>
      </c>
      <c r="W69">
        <v>1.25E-4</v>
      </c>
      <c r="X69">
        <v>1.25E-4</v>
      </c>
      <c r="Y69">
        <v>1.25E-4</v>
      </c>
      <c r="Z69">
        <v>1.25E-4</v>
      </c>
      <c r="AA69">
        <v>1.25E-4</v>
      </c>
      <c r="AB69">
        <v>1.25E-4</v>
      </c>
      <c r="AC69">
        <v>1.25E-4</v>
      </c>
      <c r="AD69">
        <v>1.25E-4</v>
      </c>
      <c r="AE69">
        <v>1.25E-4</v>
      </c>
      <c r="AF69">
        <v>1.25E-4</v>
      </c>
      <c r="AG69">
        <v>1.25E-4</v>
      </c>
      <c r="AH69">
        <v>1.25E-4</v>
      </c>
      <c r="AI69">
        <v>1.25E-4</v>
      </c>
      <c r="AJ69">
        <v>1.25E-4</v>
      </c>
      <c r="AK69">
        <v>1.25E-4</v>
      </c>
      <c r="AL69">
        <v>1.25E-4</v>
      </c>
      <c r="AM69">
        <v>1.25E-4</v>
      </c>
      <c r="AN69">
        <v>1.25E-4</v>
      </c>
      <c r="AO69">
        <v>1.25E-4</v>
      </c>
      <c r="AP69">
        <v>3.1500000000000001E-4</v>
      </c>
      <c r="AQ69">
        <v>3.1500000000000001E-4</v>
      </c>
      <c r="AR69">
        <v>3.1500000000000001E-4</v>
      </c>
      <c r="AS69">
        <v>3.1500000000000001E-4</v>
      </c>
      <c r="AT69">
        <v>3.1500000000000001E-4</v>
      </c>
      <c r="AU69">
        <v>3.21E-4</v>
      </c>
      <c r="AV69">
        <v>3.21E-4</v>
      </c>
      <c r="AW69">
        <v>3.21E-4</v>
      </c>
      <c r="AX69">
        <v>3.21E-4</v>
      </c>
      <c r="AY69">
        <v>3.21E-4</v>
      </c>
      <c r="AZ69">
        <v>3.1100000000000002E-4</v>
      </c>
      <c r="BA69">
        <v>3.1100000000000002E-4</v>
      </c>
      <c r="BB69">
        <v>3.1100000000000002E-4</v>
      </c>
      <c r="BC69">
        <v>3.1100000000000002E-4</v>
      </c>
      <c r="BD69">
        <v>3.1100000000000002E-4</v>
      </c>
      <c r="BE69">
        <v>3.1199999999999999E-4</v>
      </c>
      <c r="BF69">
        <v>3.1199999999999999E-4</v>
      </c>
      <c r="BG69">
        <v>3.1199999999999999E-4</v>
      </c>
      <c r="BH69">
        <v>3.1199999999999999E-4</v>
      </c>
      <c r="BI69">
        <v>3.1199999999999999E-4</v>
      </c>
      <c r="BJ69">
        <v>3.1599999999999998E-4</v>
      </c>
      <c r="BK69">
        <v>3.1599999999999998E-4</v>
      </c>
      <c r="BL69">
        <v>3.1599999999999998E-4</v>
      </c>
      <c r="BM69">
        <v>3.1599999999999998E-4</v>
      </c>
      <c r="BN69">
        <v>3.1599999999999998E-4</v>
      </c>
      <c r="BO69">
        <v>3.3199999999999999E-4</v>
      </c>
      <c r="BP69">
        <v>3.3199999999999999E-4</v>
      </c>
      <c r="BQ69">
        <v>3.3199999999999999E-4</v>
      </c>
      <c r="BR69">
        <v>3.3199999999999999E-4</v>
      </c>
      <c r="BS69">
        <v>3.3199999999999999E-4</v>
      </c>
      <c r="BT69">
        <v>3.6299999999999999E-4</v>
      </c>
      <c r="BU69">
        <v>3.6299999999999999E-4</v>
      </c>
      <c r="BV69">
        <v>3.6299999999999999E-4</v>
      </c>
      <c r="BW69">
        <v>3.6299999999999999E-4</v>
      </c>
      <c r="BX69">
        <v>3.6299999999999999E-4</v>
      </c>
      <c r="BY69">
        <v>3.3599999999999998E-4</v>
      </c>
      <c r="BZ69">
        <v>3.3599999999999998E-4</v>
      </c>
      <c r="CA69">
        <v>3.3599999999999998E-4</v>
      </c>
      <c r="CB69">
        <v>3.3599999999999998E-4</v>
      </c>
      <c r="CC69">
        <v>3.3599999999999998E-4</v>
      </c>
      <c r="CD69">
        <v>3.3599999999999998E-4</v>
      </c>
      <c r="CE69">
        <v>3.3599999999999998E-4</v>
      </c>
      <c r="CF69">
        <v>3.3599999999999998E-4</v>
      </c>
      <c r="CG69">
        <v>3.3599999999999998E-4</v>
      </c>
      <c r="CH69">
        <v>3.3599999999999998E-4</v>
      </c>
      <c r="CI69">
        <v>3.3599999999999998E-4</v>
      </c>
      <c r="CJ69">
        <v>3.3599999999999998E-4</v>
      </c>
      <c r="CK69">
        <v>3.3599999999999998E-4</v>
      </c>
      <c r="CL69">
        <v>3.3599999999999998E-4</v>
      </c>
      <c r="CM69">
        <v>3.3599999999999998E-4</v>
      </c>
      <c r="CN69">
        <v>3.3599999999999998E-4</v>
      </c>
      <c r="CO69">
        <v>3.3599999999999998E-4</v>
      </c>
      <c r="CP69">
        <v>3.3599999999999998E-4</v>
      </c>
      <c r="CQ69">
        <v>3.3599999999999998E-4</v>
      </c>
      <c r="CR69">
        <v>3.3599999999999998E-4</v>
      </c>
      <c r="CS69">
        <v>3.3599999999999998E-4</v>
      </c>
      <c r="CT69">
        <v>3.3599999999999998E-4</v>
      </c>
      <c r="CU69">
        <v>3.3599999999999998E-4</v>
      </c>
      <c r="CV69">
        <v>3.3599999999999998E-4</v>
      </c>
      <c r="CW69">
        <v>3.3599999999999998E-4</v>
      </c>
      <c r="CX69">
        <v>3.3599999999999998E-4</v>
      </c>
    </row>
    <row r="70" spans="1:102" x14ac:dyDescent="0.25">
      <c r="A70" t="s">
        <v>205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2.1599999999999999E-4</v>
      </c>
      <c r="R70">
        <v>2.1599999999999999E-4</v>
      </c>
      <c r="S70">
        <v>2.1599999999999999E-4</v>
      </c>
      <c r="T70">
        <v>2.1599999999999999E-4</v>
      </c>
      <c r="U70">
        <v>2.1599999999999999E-4</v>
      </c>
      <c r="V70">
        <v>2.1599999999999999E-4</v>
      </c>
      <c r="W70">
        <v>2.1599999999999999E-4</v>
      </c>
      <c r="X70">
        <v>2.1599999999999999E-4</v>
      </c>
      <c r="Y70">
        <v>2.1599999999999999E-4</v>
      </c>
      <c r="Z70">
        <v>2.1599999999999999E-4</v>
      </c>
      <c r="AA70">
        <v>2.1599999999999999E-4</v>
      </c>
      <c r="AB70">
        <v>2.1599999999999999E-4</v>
      </c>
      <c r="AC70">
        <v>2.1599999999999999E-4</v>
      </c>
      <c r="AD70">
        <v>2.1599999999999999E-4</v>
      </c>
      <c r="AE70">
        <v>2.1599999999999999E-4</v>
      </c>
      <c r="AF70">
        <v>2.1599999999999999E-4</v>
      </c>
      <c r="AG70">
        <v>2.1599999999999999E-4</v>
      </c>
      <c r="AH70">
        <v>2.1599999999999999E-4</v>
      </c>
      <c r="AI70">
        <v>2.1599999999999999E-4</v>
      </c>
      <c r="AJ70">
        <v>2.1599999999999999E-4</v>
      </c>
      <c r="AK70">
        <v>2.1599999999999999E-4</v>
      </c>
      <c r="AL70">
        <v>2.1599999999999999E-4</v>
      </c>
      <c r="AM70">
        <v>2.1599999999999999E-4</v>
      </c>
      <c r="AN70">
        <v>2.1599999999999999E-4</v>
      </c>
      <c r="AO70">
        <v>2.1599999999999999E-4</v>
      </c>
      <c r="AP70">
        <v>6.2200000000000005E-4</v>
      </c>
      <c r="AQ70">
        <v>6.2200000000000005E-4</v>
      </c>
      <c r="AR70">
        <v>6.2200000000000005E-4</v>
      </c>
      <c r="AS70">
        <v>6.2200000000000005E-4</v>
      </c>
      <c r="AT70">
        <v>6.2200000000000005E-4</v>
      </c>
      <c r="AU70">
        <v>6.0300000000000002E-4</v>
      </c>
      <c r="AV70">
        <v>6.0300000000000002E-4</v>
      </c>
      <c r="AW70">
        <v>6.0300000000000002E-4</v>
      </c>
      <c r="AX70">
        <v>6.0300000000000002E-4</v>
      </c>
      <c r="AY70">
        <v>6.0300000000000002E-4</v>
      </c>
      <c r="AZ70">
        <v>5.04E-4</v>
      </c>
      <c r="BA70">
        <v>5.04E-4</v>
      </c>
      <c r="BB70">
        <v>5.04E-4</v>
      </c>
      <c r="BC70">
        <v>5.04E-4</v>
      </c>
      <c r="BD70">
        <v>5.04E-4</v>
      </c>
      <c r="BE70">
        <v>3.7300000000000001E-4</v>
      </c>
      <c r="BF70">
        <v>3.7300000000000001E-4</v>
      </c>
      <c r="BG70">
        <v>3.7300000000000001E-4</v>
      </c>
      <c r="BH70">
        <v>3.7300000000000001E-4</v>
      </c>
      <c r="BI70">
        <v>3.7300000000000001E-4</v>
      </c>
      <c r="BJ70">
        <v>2.8600000000000001E-4</v>
      </c>
      <c r="BK70">
        <v>2.8600000000000001E-4</v>
      </c>
      <c r="BL70">
        <v>2.8600000000000001E-4</v>
      </c>
      <c r="BM70">
        <v>2.8600000000000001E-4</v>
      </c>
      <c r="BN70">
        <v>2.8600000000000001E-4</v>
      </c>
      <c r="BO70">
        <v>2.43E-4</v>
      </c>
      <c r="BP70">
        <v>2.43E-4</v>
      </c>
      <c r="BQ70">
        <v>2.43E-4</v>
      </c>
      <c r="BR70">
        <v>2.43E-4</v>
      </c>
      <c r="BS70">
        <v>2.43E-4</v>
      </c>
      <c r="BT70">
        <v>2.42E-4</v>
      </c>
      <c r="BU70">
        <v>2.42E-4</v>
      </c>
      <c r="BV70">
        <v>2.42E-4</v>
      </c>
      <c r="BW70">
        <v>2.42E-4</v>
      </c>
      <c r="BX70">
        <v>2.42E-4</v>
      </c>
      <c r="BY70">
        <v>2.7700000000000001E-4</v>
      </c>
      <c r="BZ70">
        <v>2.7700000000000001E-4</v>
      </c>
      <c r="CA70">
        <v>2.7700000000000001E-4</v>
      </c>
      <c r="CB70">
        <v>2.7700000000000001E-4</v>
      </c>
      <c r="CC70">
        <v>2.7700000000000001E-4</v>
      </c>
      <c r="CD70">
        <v>2.7700000000000001E-4</v>
      </c>
      <c r="CE70">
        <v>2.7700000000000001E-4</v>
      </c>
      <c r="CF70">
        <v>2.7700000000000001E-4</v>
      </c>
      <c r="CG70">
        <v>2.7700000000000001E-4</v>
      </c>
      <c r="CH70">
        <v>2.7700000000000001E-4</v>
      </c>
      <c r="CI70">
        <v>2.7700000000000001E-4</v>
      </c>
      <c r="CJ70">
        <v>2.7700000000000001E-4</v>
      </c>
      <c r="CK70">
        <v>2.7700000000000001E-4</v>
      </c>
      <c r="CL70">
        <v>2.7700000000000001E-4</v>
      </c>
      <c r="CM70">
        <v>2.7700000000000001E-4</v>
      </c>
      <c r="CN70">
        <v>2.7700000000000001E-4</v>
      </c>
      <c r="CO70">
        <v>2.7700000000000001E-4</v>
      </c>
      <c r="CP70">
        <v>2.7700000000000001E-4</v>
      </c>
      <c r="CQ70">
        <v>2.7700000000000001E-4</v>
      </c>
      <c r="CR70">
        <v>2.7700000000000001E-4</v>
      </c>
      <c r="CS70">
        <v>2.7700000000000001E-4</v>
      </c>
      <c r="CT70">
        <v>2.7700000000000001E-4</v>
      </c>
      <c r="CU70">
        <v>2.7700000000000001E-4</v>
      </c>
      <c r="CV70">
        <v>2.7700000000000001E-4</v>
      </c>
      <c r="CW70">
        <v>2.7700000000000001E-4</v>
      </c>
      <c r="CX70">
        <v>2.7700000000000001E-4</v>
      </c>
    </row>
    <row r="71" spans="1:102" x14ac:dyDescent="0.25">
      <c r="A71" t="s">
        <v>207</v>
      </c>
      <c r="B71" t="e">
        <v>#VALUE!</v>
      </c>
      <c r="C71" t="e">
        <v>#VALUE!</v>
      </c>
      <c r="D71" t="e">
        <v>#VALUE!</v>
      </c>
      <c r="E71" t="e">
        <v>#VALUE!</v>
      </c>
      <c r="F71" t="e">
        <v>#VALUE!</v>
      </c>
      <c r="G71" t="e">
        <v>#VALUE!</v>
      </c>
      <c r="H71" t="e">
        <v>#VALUE!</v>
      </c>
      <c r="I71" t="e">
        <v>#VALUE!</v>
      </c>
      <c r="J71" t="e">
        <v>#VALUE!</v>
      </c>
      <c r="K71" t="e">
        <v>#VALUE!</v>
      </c>
      <c r="L71" t="e">
        <v>#VALUE!</v>
      </c>
      <c r="M71" t="e">
        <v>#VALUE!</v>
      </c>
      <c r="N71" t="e">
        <v>#VALUE!</v>
      </c>
      <c r="O71" t="e">
        <v>#VALUE!</v>
      </c>
      <c r="P71" t="e">
        <v>#VALUE!</v>
      </c>
      <c r="Q71">
        <v>9.7E-5</v>
      </c>
      <c r="R71">
        <v>9.7E-5</v>
      </c>
      <c r="S71">
        <v>9.7E-5</v>
      </c>
      <c r="T71">
        <v>9.7E-5</v>
      </c>
      <c r="U71">
        <v>9.7E-5</v>
      </c>
      <c r="V71">
        <v>9.7E-5</v>
      </c>
      <c r="W71">
        <v>9.7E-5</v>
      </c>
      <c r="X71">
        <v>9.7E-5</v>
      </c>
      <c r="Y71">
        <v>9.7E-5</v>
      </c>
      <c r="Z71">
        <v>9.7E-5</v>
      </c>
      <c r="AA71">
        <v>9.7E-5</v>
      </c>
      <c r="AB71">
        <v>9.7E-5</v>
      </c>
      <c r="AC71">
        <v>9.7E-5</v>
      </c>
      <c r="AD71">
        <v>9.7E-5</v>
      </c>
      <c r="AE71">
        <v>9.7E-5</v>
      </c>
      <c r="AF71">
        <v>9.7E-5</v>
      </c>
      <c r="AG71">
        <v>9.7E-5</v>
      </c>
      <c r="AH71">
        <v>9.7E-5</v>
      </c>
      <c r="AI71">
        <v>9.7E-5</v>
      </c>
      <c r="AJ71">
        <v>9.7E-5</v>
      </c>
      <c r="AK71">
        <v>9.7E-5</v>
      </c>
      <c r="AL71">
        <v>9.7E-5</v>
      </c>
      <c r="AM71">
        <v>9.7E-5</v>
      </c>
      <c r="AN71">
        <v>9.7E-5</v>
      </c>
      <c r="AO71">
        <v>9.7E-5</v>
      </c>
      <c r="AP71">
        <v>5.2099999999999998E-4</v>
      </c>
      <c r="AQ71">
        <v>5.2099999999999998E-4</v>
      </c>
      <c r="AR71">
        <v>5.2099999999999998E-4</v>
      </c>
      <c r="AS71">
        <v>5.2099999999999998E-4</v>
      </c>
      <c r="AT71">
        <v>5.2099999999999998E-4</v>
      </c>
      <c r="AU71">
        <v>6.8300000000000001E-4</v>
      </c>
      <c r="AV71">
        <v>6.8300000000000001E-4</v>
      </c>
      <c r="AW71">
        <v>6.8300000000000001E-4</v>
      </c>
      <c r="AX71">
        <v>6.8300000000000001E-4</v>
      </c>
      <c r="AY71">
        <v>6.8300000000000001E-4</v>
      </c>
      <c r="AZ71">
        <v>9.0799999999999995E-4</v>
      </c>
      <c r="BA71">
        <v>9.0799999999999995E-4</v>
      </c>
      <c r="BB71">
        <v>9.0799999999999995E-4</v>
      </c>
      <c r="BC71">
        <v>9.0799999999999995E-4</v>
      </c>
      <c r="BD71">
        <v>9.0799999999999995E-4</v>
      </c>
      <c r="BE71">
        <v>1.1280000000000001E-3</v>
      </c>
      <c r="BF71">
        <v>1.1280000000000001E-3</v>
      </c>
      <c r="BG71">
        <v>1.1280000000000001E-3</v>
      </c>
      <c r="BH71">
        <v>1.1280000000000001E-3</v>
      </c>
      <c r="BI71">
        <v>1.1280000000000001E-3</v>
      </c>
      <c r="BJ71">
        <v>1.431E-3</v>
      </c>
      <c r="BK71">
        <v>1.431E-3</v>
      </c>
      <c r="BL71">
        <v>1.431E-3</v>
      </c>
      <c r="BM71">
        <v>1.431E-3</v>
      </c>
      <c r="BN71">
        <v>1.431E-3</v>
      </c>
      <c r="BO71">
        <v>1.6850000000000001E-3</v>
      </c>
      <c r="BP71">
        <v>1.6850000000000001E-3</v>
      </c>
      <c r="BQ71">
        <v>1.6850000000000001E-3</v>
      </c>
      <c r="BR71">
        <v>1.6850000000000001E-3</v>
      </c>
      <c r="BS71">
        <v>1.6850000000000001E-3</v>
      </c>
      <c r="BT71">
        <v>1.872E-3</v>
      </c>
      <c r="BU71">
        <v>1.872E-3</v>
      </c>
      <c r="BV71">
        <v>1.872E-3</v>
      </c>
      <c r="BW71">
        <v>1.872E-3</v>
      </c>
      <c r="BX71">
        <v>1.872E-3</v>
      </c>
      <c r="BY71">
        <v>2.0240000000000002E-3</v>
      </c>
      <c r="BZ71">
        <v>2.0240000000000002E-3</v>
      </c>
      <c r="CA71">
        <v>2.0240000000000002E-3</v>
      </c>
      <c r="CB71">
        <v>2.0240000000000002E-3</v>
      </c>
      <c r="CC71">
        <v>2.0240000000000002E-3</v>
      </c>
      <c r="CD71">
        <v>2.0240000000000002E-3</v>
      </c>
      <c r="CE71">
        <v>2.0240000000000002E-3</v>
      </c>
      <c r="CF71">
        <v>2.0240000000000002E-3</v>
      </c>
      <c r="CG71">
        <v>2.0240000000000002E-3</v>
      </c>
      <c r="CH71">
        <v>2.0240000000000002E-3</v>
      </c>
      <c r="CI71">
        <v>2.0240000000000002E-3</v>
      </c>
      <c r="CJ71">
        <v>2.0240000000000002E-3</v>
      </c>
      <c r="CK71">
        <v>2.0240000000000002E-3</v>
      </c>
      <c r="CL71">
        <v>2.0240000000000002E-3</v>
      </c>
      <c r="CM71">
        <v>2.0240000000000002E-3</v>
      </c>
      <c r="CN71">
        <v>2.0240000000000002E-3</v>
      </c>
      <c r="CO71">
        <v>2.0240000000000002E-3</v>
      </c>
      <c r="CP71">
        <v>2.0240000000000002E-3</v>
      </c>
      <c r="CQ71">
        <v>2.0240000000000002E-3</v>
      </c>
      <c r="CR71">
        <v>2.0240000000000002E-3</v>
      </c>
      <c r="CS71">
        <v>2.0240000000000002E-3</v>
      </c>
      <c r="CT71">
        <v>2.0240000000000002E-3</v>
      </c>
      <c r="CU71">
        <v>2.0240000000000002E-3</v>
      </c>
      <c r="CV71">
        <v>2.0240000000000002E-3</v>
      </c>
      <c r="CW71">
        <v>2.0240000000000002E-3</v>
      </c>
      <c r="CX71">
        <v>2.0240000000000002E-3</v>
      </c>
    </row>
    <row r="72" spans="1:102" x14ac:dyDescent="0.25">
      <c r="A72" t="s">
        <v>465</v>
      </c>
      <c r="B72" t="e">
        <v>#VALUE!</v>
      </c>
      <c r="C72" t="e">
        <v>#VALUE!</v>
      </c>
      <c r="D72" t="e">
        <v>#VALUE!</v>
      </c>
      <c r="E72" t="e">
        <v>#VALUE!</v>
      </c>
      <c r="F72" t="e">
        <v>#VALUE!</v>
      </c>
      <c r="G72" t="e">
        <v>#VALUE!</v>
      </c>
      <c r="H72" t="e">
        <v>#VALUE!</v>
      </c>
      <c r="I72" t="e">
        <v>#VALUE!</v>
      </c>
      <c r="J72" t="e">
        <v>#VALUE!</v>
      </c>
      <c r="K72" t="e">
        <v>#VALUE!</v>
      </c>
      <c r="L72" t="e">
        <v>#VALUE!</v>
      </c>
      <c r="M72" t="e">
        <v>#VALUE!</v>
      </c>
      <c r="N72" t="e">
        <v>#VALUE!</v>
      </c>
      <c r="O72" t="e">
        <v>#VALUE!</v>
      </c>
      <c r="P72" t="e">
        <v>#VALUE!</v>
      </c>
      <c r="Q72">
        <v>7.4999999999999993E-5</v>
      </c>
      <c r="R72">
        <v>7.4999999999999993E-5</v>
      </c>
      <c r="S72">
        <v>7.4999999999999993E-5</v>
      </c>
      <c r="T72">
        <v>7.4999999999999993E-5</v>
      </c>
      <c r="U72">
        <v>7.4999999999999993E-5</v>
      </c>
      <c r="V72">
        <v>7.4999999999999993E-5</v>
      </c>
      <c r="W72">
        <v>7.4999999999999993E-5</v>
      </c>
      <c r="X72">
        <v>7.4999999999999993E-5</v>
      </c>
      <c r="Y72">
        <v>7.4999999999999993E-5</v>
      </c>
      <c r="Z72">
        <v>7.4999999999999993E-5</v>
      </c>
      <c r="AA72">
        <v>7.4999999999999993E-5</v>
      </c>
      <c r="AB72">
        <v>7.4999999999999993E-5</v>
      </c>
      <c r="AC72">
        <v>7.4999999999999993E-5</v>
      </c>
      <c r="AD72">
        <v>7.4999999999999993E-5</v>
      </c>
      <c r="AE72">
        <v>7.4999999999999993E-5</v>
      </c>
      <c r="AF72">
        <v>7.4999999999999993E-5</v>
      </c>
      <c r="AG72">
        <v>7.4999999999999993E-5</v>
      </c>
      <c r="AH72">
        <v>7.4999999999999993E-5</v>
      </c>
      <c r="AI72">
        <v>7.4999999999999993E-5</v>
      </c>
      <c r="AJ72">
        <v>7.4999999999999993E-5</v>
      </c>
      <c r="AK72">
        <v>7.4999999999999993E-5</v>
      </c>
      <c r="AL72">
        <v>7.4999999999999993E-5</v>
      </c>
      <c r="AM72">
        <v>7.4999999999999993E-5</v>
      </c>
      <c r="AN72">
        <v>7.4999999999999993E-5</v>
      </c>
      <c r="AO72">
        <v>7.4999999999999993E-5</v>
      </c>
      <c r="AP72">
        <v>4.2200000000000001E-4</v>
      </c>
      <c r="AQ72">
        <v>4.2200000000000001E-4</v>
      </c>
      <c r="AR72">
        <v>4.2200000000000001E-4</v>
      </c>
      <c r="AS72">
        <v>4.2200000000000001E-4</v>
      </c>
      <c r="AT72">
        <v>4.2200000000000001E-4</v>
      </c>
      <c r="AU72">
        <v>6.0499999999999996E-4</v>
      </c>
      <c r="AV72">
        <v>6.0499999999999996E-4</v>
      </c>
      <c r="AW72">
        <v>6.0499999999999996E-4</v>
      </c>
      <c r="AX72">
        <v>6.0499999999999996E-4</v>
      </c>
      <c r="AY72">
        <v>6.0499999999999996E-4</v>
      </c>
      <c r="AZ72">
        <v>7.2199999999999999E-4</v>
      </c>
      <c r="BA72">
        <v>7.2199999999999999E-4</v>
      </c>
      <c r="BB72">
        <v>7.2199999999999999E-4</v>
      </c>
      <c r="BC72">
        <v>7.2199999999999999E-4</v>
      </c>
      <c r="BD72">
        <v>7.2199999999999999E-4</v>
      </c>
      <c r="BE72">
        <v>8.4599999999999996E-4</v>
      </c>
      <c r="BF72">
        <v>8.4599999999999996E-4</v>
      </c>
      <c r="BG72">
        <v>8.4599999999999996E-4</v>
      </c>
      <c r="BH72">
        <v>8.4599999999999996E-4</v>
      </c>
      <c r="BI72">
        <v>8.4599999999999996E-4</v>
      </c>
      <c r="BJ72">
        <v>9.9200000000000004E-4</v>
      </c>
      <c r="BK72">
        <v>9.9200000000000004E-4</v>
      </c>
      <c r="BL72">
        <v>9.9200000000000004E-4</v>
      </c>
      <c r="BM72">
        <v>9.9200000000000004E-4</v>
      </c>
      <c r="BN72">
        <v>9.9200000000000004E-4</v>
      </c>
      <c r="BO72">
        <v>1.09E-3</v>
      </c>
      <c r="BP72">
        <v>1.09E-3</v>
      </c>
      <c r="BQ72">
        <v>1.09E-3</v>
      </c>
      <c r="BR72">
        <v>1.09E-3</v>
      </c>
      <c r="BS72">
        <v>1.09E-3</v>
      </c>
      <c r="BT72">
        <v>1.0759999999999999E-3</v>
      </c>
      <c r="BU72">
        <v>1.0759999999999999E-3</v>
      </c>
      <c r="BV72">
        <v>1.0759999999999999E-3</v>
      </c>
      <c r="BW72">
        <v>1.0759999999999999E-3</v>
      </c>
      <c r="BX72">
        <v>1.0759999999999999E-3</v>
      </c>
      <c r="BY72">
        <v>2.2369999999999998E-3</v>
      </c>
      <c r="BZ72">
        <v>2.2369999999999998E-3</v>
      </c>
      <c r="CA72">
        <v>2.2369999999999998E-3</v>
      </c>
      <c r="CB72">
        <v>2.2369999999999998E-3</v>
      </c>
      <c r="CC72">
        <v>2.2369999999999998E-3</v>
      </c>
      <c r="CD72">
        <v>2.2369999999999998E-3</v>
      </c>
      <c r="CE72">
        <v>2.2369999999999998E-3</v>
      </c>
      <c r="CF72">
        <v>2.2369999999999998E-3</v>
      </c>
      <c r="CG72">
        <v>2.2369999999999998E-3</v>
      </c>
      <c r="CH72">
        <v>2.2369999999999998E-3</v>
      </c>
      <c r="CI72">
        <v>2.2369999999999998E-3</v>
      </c>
      <c r="CJ72">
        <v>2.2369999999999998E-3</v>
      </c>
      <c r="CK72">
        <v>2.2369999999999998E-3</v>
      </c>
      <c r="CL72">
        <v>2.2369999999999998E-3</v>
      </c>
      <c r="CM72">
        <v>2.2369999999999998E-3</v>
      </c>
      <c r="CN72">
        <v>2.2369999999999998E-3</v>
      </c>
      <c r="CO72">
        <v>2.2369999999999998E-3</v>
      </c>
      <c r="CP72">
        <v>2.2369999999999998E-3</v>
      </c>
      <c r="CQ72">
        <v>2.2369999999999998E-3</v>
      </c>
      <c r="CR72">
        <v>2.2369999999999998E-3</v>
      </c>
      <c r="CS72">
        <v>2.2369999999999998E-3</v>
      </c>
      <c r="CT72">
        <v>2.2369999999999998E-3</v>
      </c>
      <c r="CU72">
        <v>2.2369999999999998E-3</v>
      </c>
      <c r="CV72">
        <v>2.2369999999999998E-3</v>
      </c>
      <c r="CW72">
        <v>2.2369999999999998E-3</v>
      </c>
      <c r="CX72">
        <v>2.2369999999999998E-3</v>
      </c>
    </row>
    <row r="73" spans="1:102" x14ac:dyDescent="0.25">
      <c r="A73" t="s">
        <v>211</v>
      </c>
      <c r="B73" t="e">
        <v>#VALUE!</v>
      </c>
      <c r="C73" t="e">
        <v>#VALUE!</v>
      </c>
      <c r="D73" t="e">
        <v>#VALUE!</v>
      </c>
      <c r="E73" t="e">
        <v>#VALUE!</v>
      </c>
      <c r="F73" t="e">
        <v>#VALUE!</v>
      </c>
      <c r="G73" t="e">
        <v>#VALUE!</v>
      </c>
      <c r="H73" t="e">
        <v>#VALUE!</v>
      </c>
      <c r="I73" t="e">
        <v>#VALUE!</v>
      </c>
      <c r="J73" t="e">
        <v>#VALUE!</v>
      </c>
      <c r="K73" t="e">
        <v>#VALUE!</v>
      </c>
      <c r="L73" t="e">
        <v>#VALUE!</v>
      </c>
      <c r="M73" t="e">
        <v>#VALUE!</v>
      </c>
      <c r="N73" t="e">
        <v>#VALUE!</v>
      </c>
      <c r="O73" t="e">
        <v>#VALUE!</v>
      </c>
      <c r="P73" t="e">
        <v>#VALUE!</v>
      </c>
      <c r="Q73">
        <v>2.0100000000000001E-4</v>
      </c>
      <c r="R73">
        <v>2.0100000000000001E-4</v>
      </c>
      <c r="S73">
        <v>2.0100000000000001E-4</v>
      </c>
      <c r="T73">
        <v>2.0100000000000001E-4</v>
      </c>
      <c r="U73">
        <v>2.0100000000000001E-4</v>
      </c>
      <c r="V73">
        <v>2.0100000000000001E-4</v>
      </c>
      <c r="W73">
        <v>2.0100000000000001E-4</v>
      </c>
      <c r="X73">
        <v>2.0100000000000001E-4</v>
      </c>
      <c r="Y73">
        <v>2.0100000000000001E-4</v>
      </c>
      <c r="Z73">
        <v>2.0100000000000001E-4</v>
      </c>
      <c r="AA73">
        <v>2.0100000000000001E-4</v>
      </c>
      <c r="AB73">
        <v>2.0100000000000001E-4</v>
      </c>
      <c r="AC73">
        <v>2.0100000000000001E-4</v>
      </c>
      <c r="AD73">
        <v>2.0100000000000001E-4</v>
      </c>
      <c r="AE73">
        <v>2.0100000000000001E-4</v>
      </c>
      <c r="AF73">
        <v>2.0100000000000001E-4</v>
      </c>
      <c r="AG73">
        <v>2.0100000000000001E-4</v>
      </c>
      <c r="AH73">
        <v>2.0100000000000001E-4</v>
      </c>
      <c r="AI73">
        <v>2.0100000000000001E-4</v>
      </c>
      <c r="AJ73">
        <v>2.0100000000000001E-4</v>
      </c>
      <c r="AK73">
        <v>2.0100000000000001E-4</v>
      </c>
      <c r="AL73">
        <v>2.0100000000000001E-4</v>
      </c>
      <c r="AM73">
        <v>2.0100000000000001E-4</v>
      </c>
      <c r="AN73">
        <v>2.0100000000000001E-4</v>
      </c>
      <c r="AO73">
        <v>2.0100000000000001E-4</v>
      </c>
      <c r="AP73">
        <v>8.92E-4</v>
      </c>
      <c r="AQ73">
        <v>8.92E-4</v>
      </c>
      <c r="AR73">
        <v>8.92E-4</v>
      </c>
      <c r="AS73">
        <v>8.92E-4</v>
      </c>
      <c r="AT73">
        <v>8.92E-4</v>
      </c>
      <c r="AU73">
        <v>1.01E-3</v>
      </c>
      <c r="AV73">
        <v>1.01E-3</v>
      </c>
      <c r="AW73">
        <v>1.01E-3</v>
      </c>
      <c r="AX73">
        <v>1.01E-3</v>
      </c>
      <c r="AY73">
        <v>1.01E-3</v>
      </c>
      <c r="AZ73">
        <v>1.188E-3</v>
      </c>
      <c r="BA73">
        <v>1.188E-3</v>
      </c>
      <c r="BB73">
        <v>1.188E-3</v>
      </c>
      <c r="BC73">
        <v>1.188E-3</v>
      </c>
      <c r="BD73">
        <v>1.188E-3</v>
      </c>
      <c r="BE73">
        <v>1.423E-3</v>
      </c>
      <c r="BF73">
        <v>1.423E-3</v>
      </c>
      <c r="BG73">
        <v>1.423E-3</v>
      </c>
      <c r="BH73">
        <v>1.423E-3</v>
      </c>
      <c r="BI73">
        <v>1.423E-3</v>
      </c>
      <c r="BJ73">
        <v>1.521E-3</v>
      </c>
      <c r="BK73">
        <v>1.521E-3</v>
      </c>
      <c r="BL73">
        <v>1.521E-3</v>
      </c>
      <c r="BM73">
        <v>1.521E-3</v>
      </c>
      <c r="BN73">
        <v>1.521E-3</v>
      </c>
      <c r="BO73">
        <v>1.5219999999999999E-3</v>
      </c>
      <c r="BP73">
        <v>1.5219999999999999E-3</v>
      </c>
      <c r="BQ73">
        <v>1.5219999999999999E-3</v>
      </c>
      <c r="BR73">
        <v>1.5219999999999999E-3</v>
      </c>
      <c r="BS73">
        <v>1.5219999999999999E-3</v>
      </c>
      <c r="BT73">
        <v>1.405E-3</v>
      </c>
      <c r="BU73">
        <v>1.405E-3</v>
      </c>
      <c r="BV73">
        <v>1.405E-3</v>
      </c>
      <c r="BW73">
        <v>1.405E-3</v>
      </c>
      <c r="BX73">
        <v>1.405E-3</v>
      </c>
      <c r="BY73">
        <v>1.457E-3</v>
      </c>
      <c r="BZ73">
        <v>1.457E-3</v>
      </c>
      <c r="CA73">
        <v>1.457E-3</v>
      </c>
      <c r="CB73">
        <v>1.457E-3</v>
      </c>
      <c r="CC73">
        <v>1.457E-3</v>
      </c>
      <c r="CD73">
        <v>1.457E-3</v>
      </c>
      <c r="CE73">
        <v>1.457E-3</v>
      </c>
      <c r="CF73">
        <v>1.457E-3</v>
      </c>
      <c r="CG73">
        <v>1.457E-3</v>
      </c>
      <c r="CH73">
        <v>1.457E-3</v>
      </c>
      <c r="CI73">
        <v>1.457E-3</v>
      </c>
      <c r="CJ73">
        <v>1.457E-3</v>
      </c>
      <c r="CK73">
        <v>1.457E-3</v>
      </c>
      <c r="CL73">
        <v>1.457E-3</v>
      </c>
      <c r="CM73">
        <v>1.457E-3</v>
      </c>
      <c r="CN73">
        <v>1.457E-3</v>
      </c>
      <c r="CO73">
        <v>1.457E-3</v>
      </c>
      <c r="CP73">
        <v>1.457E-3</v>
      </c>
      <c r="CQ73">
        <v>1.457E-3</v>
      </c>
      <c r="CR73">
        <v>1.457E-3</v>
      </c>
      <c r="CS73">
        <v>1.457E-3</v>
      </c>
      <c r="CT73">
        <v>1.457E-3</v>
      </c>
      <c r="CU73">
        <v>1.457E-3</v>
      </c>
      <c r="CV73">
        <v>1.457E-3</v>
      </c>
      <c r="CW73">
        <v>1.457E-3</v>
      </c>
      <c r="CX73">
        <v>1.457E-3</v>
      </c>
    </row>
    <row r="74" spans="1:102" x14ac:dyDescent="0.25">
      <c r="A74" t="s">
        <v>213</v>
      </c>
      <c r="B74">
        <v>5.0000000000000004E-6</v>
      </c>
      <c r="C74">
        <v>5.0000000000000004E-6</v>
      </c>
      <c r="D74">
        <v>5.0000000000000004E-6</v>
      </c>
      <c r="E74">
        <v>5.0000000000000004E-6</v>
      </c>
      <c r="F74">
        <v>5.0000000000000004E-6</v>
      </c>
      <c r="G74">
        <v>5.0000000000000004E-6</v>
      </c>
      <c r="H74">
        <v>5.0000000000000004E-6</v>
      </c>
      <c r="I74">
        <v>5.0000000000000004E-6</v>
      </c>
      <c r="J74">
        <v>5.0000000000000004E-6</v>
      </c>
      <c r="K74">
        <v>5.0000000000000004E-6</v>
      </c>
      <c r="L74">
        <v>5.0000000000000004E-6</v>
      </c>
      <c r="M74">
        <v>5.0000000000000004E-6</v>
      </c>
      <c r="N74">
        <v>5.0000000000000004E-6</v>
      </c>
      <c r="O74">
        <v>5.0000000000000004E-6</v>
      </c>
      <c r="P74">
        <v>5.0000000000000004E-6</v>
      </c>
      <c r="Q74">
        <v>1.5100000000000001E-4</v>
      </c>
      <c r="R74">
        <v>1.5100000000000001E-4</v>
      </c>
      <c r="S74">
        <v>1.5100000000000001E-4</v>
      </c>
      <c r="T74">
        <v>1.5100000000000001E-4</v>
      </c>
      <c r="U74">
        <v>1.5100000000000001E-4</v>
      </c>
      <c r="V74">
        <v>1.5100000000000001E-4</v>
      </c>
      <c r="W74">
        <v>1.5100000000000001E-4</v>
      </c>
      <c r="X74">
        <v>1.5100000000000001E-4</v>
      </c>
      <c r="Y74">
        <v>1.5100000000000001E-4</v>
      </c>
      <c r="Z74">
        <v>1.5100000000000001E-4</v>
      </c>
      <c r="AA74">
        <v>1.5100000000000001E-4</v>
      </c>
      <c r="AB74">
        <v>1.5100000000000001E-4</v>
      </c>
      <c r="AC74">
        <v>1.5100000000000001E-4</v>
      </c>
      <c r="AD74">
        <v>1.5100000000000001E-4</v>
      </c>
      <c r="AE74">
        <v>1.5100000000000001E-4</v>
      </c>
      <c r="AF74">
        <v>1.5100000000000001E-4</v>
      </c>
      <c r="AG74">
        <v>1.5100000000000001E-4</v>
      </c>
      <c r="AH74">
        <v>1.5100000000000001E-4</v>
      </c>
      <c r="AI74">
        <v>1.5100000000000001E-4</v>
      </c>
      <c r="AJ74">
        <v>1.5100000000000001E-4</v>
      </c>
      <c r="AK74">
        <v>1.5100000000000001E-4</v>
      </c>
      <c r="AL74">
        <v>1.5100000000000001E-4</v>
      </c>
      <c r="AM74">
        <v>1.5100000000000001E-4</v>
      </c>
      <c r="AN74">
        <v>1.5100000000000001E-4</v>
      </c>
      <c r="AO74">
        <v>1.5100000000000001E-4</v>
      </c>
      <c r="AP74">
        <v>3.8099999999999999E-4</v>
      </c>
      <c r="AQ74">
        <v>3.8099999999999999E-4</v>
      </c>
      <c r="AR74">
        <v>3.8099999999999999E-4</v>
      </c>
      <c r="AS74">
        <v>3.8099999999999999E-4</v>
      </c>
      <c r="AT74">
        <v>3.8099999999999999E-4</v>
      </c>
      <c r="AU74">
        <v>3.79E-4</v>
      </c>
      <c r="AV74">
        <v>3.79E-4</v>
      </c>
      <c r="AW74">
        <v>3.79E-4</v>
      </c>
      <c r="AX74">
        <v>3.79E-4</v>
      </c>
      <c r="AY74">
        <v>3.79E-4</v>
      </c>
      <c r="AZ74">
        <v>2.8699999999999998E-4</v>
      </c>
      <c r="BA74">
        <v>2.8699999999999998E-4</v>
      </c>
      <c r="BB74">
        <v>2.8699999999999998E-4</v>
      </c>
      <c r="BC74">
        <v>2.8699999999999998E-4</v>
      </c>
      <c r="BD74">
        <v>2.8699999999999998E-4</v>
      </c>
      <c r="BE74">
        <v>2.7999999999999998E-4</v>
      </c>
      <c r="BF74">
        <v>2.7999999999999998E-4</v>
      </c>
      <c r="BG74">
        <v>2.7999999999999998E-4</v>
      </c>
      <c r="BH74">
        <v>2.7999999999999998E-4</v>
      </c>
      <c r="BI74">
        <v>2.7999999999999998E-4</v>
      </c>
      <c r="BJ74">
        <v>5.13E-4</v>
      </c>
      <c r="BK74">
        <v>5.13E-4</v>
      </c>
      <c r="BL74">
        <v>5.13E-4</v>
      </c>
      <c r="BM74">
        <v>5.13E-4</v>
      </c>
      <c r="BN74">
        <v>5.13E-4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1.462E-3</v>
      </c>
      <c r="BU74">
        <v>1.462E-3</v>
      </c>
      <c r="BV74">
        <v>1.462E-3</v>
      </c>
      <c r="BW74">
        <v>1.462E-3</v>
      </c>
      <c r="BX74">
        <v>1.462E-3</v>
      </c>
      <c r="BY74">
        <v>2.1979999999999999E-3</v>
      </c>
      <c r="BZ74">
        <v>2.1979999999999999E-3</v>
      </c>
      <c r="CA74">
        <v>2.1979999999999999E-3</v>
      </c>
      <c r="CB74">
        <v>2.1979999999999999E-3</v>
      </c>
      <c r="CC74">
        <v>2.1979999999999999E-3</v>
      </c>
      <c r="CD74">
        <v>2.1979999999999999E-3</v>
      </c>
      <c r="CE74">
        <v>2.1979999999999999E-3</v>
      </c>
      <c r="CF74">
        <v>2.1979999999999999E-3</v>
      </c>
      <c r="CG74">
        <v>2.1979999999999999E-3</v>
      </c>
      <c r="CH74">
        <v>2.1979999999999999E-3</v>
      </c>
      <c r="CI74">
        <v>2.1979999999999999E-3</v>
      </c>
      <c r="CJ74">
        <v>2.1979999999999999E-3</v>
      </c>
      <c r="CK74">
        <v>2.1979999999999999E-3</v>
      </c>
      <c r="CL74">
        <v>2.1979999999999999E-3</v>
      </c>
      <c r="CM74">
        <v>2.1979999999999999E-3</v>
      </c>
      <c r="CN74">
        <v>2.1979999999999999E-3</v>
      </c>
      <c r="CO74">
        <v>2.1979999999999999E-3</v>
      </c>
      <c r="CP74">
        <v>2.1979999999999999E-3</v>
      </c>
      <c r="CQ74">
        <v>2.1979999999999999E-3</v>
      </c>
      <c r="CR74">
        <v>2.1979999999999999E-3</v>
      </c>
      <c r="CS74">
        <v>2.1979999999999999E-3</v>
      </c>
      <c r="CT74">
        <v>2.1979999999999999E-3</v>
      </c>
      <c r="CU74">
        <v>2.1979999999999999E-3</v>
      </c>
      <c r="CV74">
        <v>2.1979999999999999E-3</v>
      </c>
      <c r="CW74">
        <v>2.1979999999999999E-3</v>
      </c>
      <c r="CX74">
        <v>2.1979999999999999E-3</v>
      </c>
    </row>
    <row r="75" spans="1:102" x14ac:dyDescent="0.25">
      <c r="A75" t="s">
        <v>215</v>
      </c>
      <c r="B75" t="e">
        <v>#VALUE!</v>
      </c>
      <c r="C75" t="e">
        <v>#VALUE!</v>
      </c>
      <c r="D75" t="e">
        <v>#VALUE!</v>
      </c>
      <c r="E75" t="e">
        <v>#VALUE!</v>
      </c>
      <c r="F75" t="e">
        <v>#VALUE!</v>
      </c>
      <c r="G75" t="e">
        <v>#VALUE!</v>
      </c>
      <c r="H75" t="e">
        <v>#VALUE!</v>
      </c>
      <c r="I75" t="e">
        <v>#VALUE!</v>
      </c>
      <c r="J75" t="e">
        <v>#VALUE!</v>
      </c>
      <c r="K75" t="e">
        <v>#VALUE!</v>
      </c>
      <c r="L75" t="e">
        <v>#VALUE!</v>
      </c>
      <c r="M75" t="e">
        <v>#VALUE!</v>
      </c>
      <c r="N75" t="e">
        <v>#VALUE!</v>
      </c>
      <c r="O75" t="e">
        <v>#VALUE!</v>
      </c>
      <c r="P75" t="e">
        <v>#VALUE!</v>
      </c>
      <c r="Q75">
        <v>2.6400000000000002E-4</v>
      </c>
      <c r="R75">
        <v>2.6400000000000002E-4</v>
      </c>
      <c r="S75">
        <v>2.6400000000000002E-4</v>
      </c>
      <c r="T75">
        <v>2.6400000000000002E-4</v>
      </c>
      <c r="U75">
        <v>2.6400000000000002E-4</v>
      </c>
      <c r="V75">
        <v>2.6400000000000002E-4</v>
      </c>
      <c r="W75">
        <v>2.6400000000000002E-4</v>
      </c>
      <c r="X75">
        <v>2.6400000000000002E-4</v>
      </c>
      <c r="Y75">
        <v>2.6400000000000002E-4</v>
      </c>
      <c r="Z75">
        <v>2.6400000000000002E-4</v>
      </c>
      <c r="AA75">
        <v>2.6400000000000002E-4</v>
      </c>
      <c r="AB75">
        <v>2.6400000000000002E-4</v>
      </c>
      <c r="AC75">
        <v>2.6400000000000002E-4</v>
      </c>
      <c r="AD75">
        <v>2.6400000000000002E-4</v>
      </c>
      <c r="AE75">
        <v>2.6400000000000002E-4</v>
      </c>
      <c r="AF75">
        <v>2.6400000000000002E-4</v>
      </c>
      <c r="AG75">
        <v>2.6400000000000002E-4</v>
      </c>
      <c r="AH75">
        <v>2.6400000000000002E-4</v>
      </c>
      <c r="AI75">
        <v>2.6400000000000002E-4</v>
      </c>
      <c r="AJ75">
        <v>2.6400000000000002E-4</v>
      </c>
      <c r="AK75">
        <v>2.6400000000000002E-4</v>
      </c>
      <c r="AL75">
        <v>2.6400000000000002E-4</v>
      </c>
      <c r="AM75">
        <v>2.6400000000000002E-4</v>
      </c>
      <c r="AN75">
        <v>2.6400000000000002E-4</v>
      </c>
      <c r="AO75">
        <v>2.6400000000000002E-4</v>
      </c>
      <c r="AP75">
        <v>7.3099999999999999E-4</v>
      </c>
      <c r="AQ75">
        <v>7.3099999999999999E-4</v>
      </c>
      <c r="AR75">
        <v>7.3099999999999999E-4</v>
      </c>
      <c r="AS75">
        <v>7.3099999999999999E-4</v>
      </c>
      <c r="AT75">
        <v>7.3099999999999999E-4</v>
      </c>
      <c r="AU75">
        <v>7.2599999999999997E-4</v>
      </c>
      <c r="AV75">
        <v>7.2599999999999997E-4</v>
      </c>
      <c r="AW75">
        <v>7.2599999999999997E-4</v>
      </c>
      <c r="AX75">
        <v>7.2599999999999997E-4</v>
      </c>
      <c r="AY75">
        <v>7.2599999999999997E-4</v>
      </c>
      <c r="AZ75">
        <v>6.5399999999999996E-4</v>
      </c>
      <c r="BA75">
        <v>6.5399999999999996E-4</v>
      </c>
      <c r="BB75">
        <v>6.5399999999999996E-4</v>
      </c>
      <c r="BC75">
        <v>6.5399999999999996E-4</v>
      </c>
      <c r="BD75">
        <v>6.5399999999999996E-4</v>
      </c>
      <c r="BE75">
        <v>5.7200000000000003E-4</v>
      </c>
      <c r="BF75">
        <v>5.7200000000000003E-4</v>
      </c>
      <c r="BG75">
        <v>5.7200000000000003E-4</v>
      </c>
      <c r="BH75">
        <v>5.7200000000000003E-4</v>
      </c>
      <c r="BI75">
        <v>5.7200000000000003E-4</v>
      </c>
      <c r="BJ75">
        <v>5.0500000000000002E-4</v>
      </c>
      <c r="BK75">
        <v>5.0500000000000002E-4</v>
      </c>
      <c r="BL75">
        <v>5.0500000000000002E-4</v>
      </c>
      <c r="BM75">
        <v>5.0500000000000002E-4</v>
      </c>
      <c r="BN75">
        <v>5.0500000000000002E-4</v>
      </c>
      <c r="BO75">
        <v>4.6700000000000002E-4</v>
      </c>
      <c r="BP75">
        <v>4.6700000000000002E-4</v>
      </c>
      <c r="BQ75">
        <v>4.6700000000000002E-4</v>
      </c>
      <c r="BR75">
        <v>4.6700000000000002E-4</v>
      </c>
      <c r="BS75">
        <v>4.6700000000000002E-4</v>
      </c>
      <c r="BT75">
        <v>4.6999999999999999E-4</v>
      </c>
      <c r="BU75">
        <v>4.6999999999999999E-4</v>
      </c>
      <c r="BV75">
        <v>4.6999999999999999E-4</v>
      </c>
      <c r="BW75">
        <v>4.6999999999999999E-4</v>
      </c>
      <c r="BX75">
        <v>4.6999999999999999E-4</v>
      </c>
      <c r="BY75">
        <v>4.86E-4</v>
      </c>
      <c r="BZ75">
        <v>4.86E-4</v>
      </c>
      <c r="CA75">
        <v>4.86E-4</v>
      </c>
      <c r="CB75">
        <v>4.86E-4</v>
      </c>
      <c r="CC75">
        <v>4.86E-4</v>
      </c>
      <c r="CD75">
        <v>4.86E-4</v>
      </c>
      <c r="CE75">
        <v>4.86E-4</v>
      </c>
      <c r="CF75">
        <v>4.86E-4</v>
      </c>
      <c r="CG75">
        <v>4.86E-4</v>
      </c>
      <c r="CH75">
        <v>4.86E-4</v>
      </c>
      <c r="CI75">
        <v>4.86E-4</v>
      </c>
      <c r="CJ75">
        <v>4.86E-4</v>
      </c>
      <c r="CK75">
        <v>4.86E-4</v>
      </c>
      <c r="CL75">
        <v>4.86E-4</v>
      </c>
      <c r="CM75">
        <v>4.86E-4</v>
      </c>
      <c r="CN75">
        <v>4.86E-4</v>
      </c>
      <c r="CO75">
        <v>4.86E-4</v>
      </c>
      <c r="CP75">
        <v>4.86E-4</v>
      </c>
      <c r="CQ75">
        <v>4.86E-4</v>
      </c>
      <c r="CR75">
        <v>4.86E-4</v>
      </c>
      <c r="CS75">
        <v>4.86E-4</v>
      </c>
      <c r="CT75">
        <v>4.86E-4</v>
      </c>
      <c r="CU75">
        <v>4.86E-4</v>
      </c>
      <c r="CV75">
        <v>4.86E-4</v>
      </c>
      <c r="CW75">
        <v>4.86E-4</v>
      </c>
      <c r="CX75">
        <v>4.86E-4</v>
      </c>
    </row>
    <row r="76" spans="1:102" x14ac:dyDescent="0.25">
      <c r="A76" t="s">
        <v>217</v>
      </c>
      <c r="B76" t="e">
        <v>#VALUE!</v>
      </c>
      <c r="C76" t="e">
        <v>#VALUE!</v>
      </c>
      <c r="D76" t="e">
        <v>#VALUE!</v>
      </c>
      <c r="E76" t="e">
        <v>#VALUE!</v>
      </c>
      <c r="F76" t="e">
        <v>#VALUE!</v>
      </c>
      <c r="G76" t="e">
        <v>#VALUE!</v>
      </c>
      <c r="H76" t="e">
        <v>#VALUE!</v>
      </c>
      <c r="I76" t="e">
        <v>#VALUE!</v>
      </c>
      <c r="J76" t="e">
        <v>#VALUE!</v>
      </c>
      <c r="K76" t="e">
        <v>#VALUE!</v>
      </c>
      <c r="L76" t="e">
        <v>#VALUE!</v>
      </c>
      <c r="M76" t="e">
        <v>#VALUE!</v>
      </c>
      <c r="N76" t="e">
        <v>#VALUE!</v>
      </c>
      <c r="O76" t="e">
        <v>#VALUE!</v>
      </c>
      <c r="P76" t="e">
        <v>#VALUE!</v>
      </c>
      <c r="Q76">
        <v>1.7799999999999999E-4</v>
      </c>
      <c r="R76">
        <v>1.7799999999999999E-4</v>
      </c>
      <c r="S76">
        <v>1.7799999999999999E-4</v>
      </c>
      <c r="T76">
        <v>1.7799999999999999E-4</v>
      </c>
      <c r="U76">
        <v>1.7799999999999999E-4</v>
      </c>
      <c r="V76">
        <v>1.7799999999999999E-4</v>
      </c>
      <c r="W76">
        <v>1.7799999999999999E-4</v>
      </c>
      <c r="X76">
        <v>1.7799999999999999E-4</v>
      </c>
      <c r="Y76">
        <v>1.7799999999999999E-4</v>
      </c>
      <c r="Z76">
        <v>1.7799999999999999E-4</v>
      </c>
      <c r="AA76">
        <v>1.7799999999999999E-4</v>
      </c>
      <c r="AB76">
        <v>1.7799999999999999E-4</v>
      </c>
      <c r="AC76">
        <v>1.7799999999999999E-4</v>
      </c>
      <c r="AD76">
        <v>1.7799999999999999E-4</v>
      </c>
      <c r="AE76">
        <v>1.7799999999999999E-4</v>
      </c>
      <c r="AF76">
        <v>1.7799999999999999E-4</v>
      </c>
      <c r="AG76">
        <v>1.7799999999999999E-4</v>
      </c>
      <c r="AH76">
        <v>1.7799999999999999E-4</v>
      </c>
      <c r="AI76">
        <v>1.7799999999999999E-4</v>
      </c>
      <c r="AJ76">
        <v>1.7799999999999999E-4</v>
      </c>
      <c r="AK76">
        <v>1.7799999999999999E-4</v>
      </c>
      <c r="AL76">
        <v>1.7799999999999999E-4</v>
      </c>
      <c r="AM76">
        <v>1.7799999999999999E-4</v>
      </c>
      <c r="AN76">
        <v>1.7799999999999999E-4</v>
      </c>
      <c r="AO76">
        <v>1.7799999999999999E-4</v>
      </c>
      <c r="AP76">
        <v>4.2200000000000001E-4</v>
      </c>
      <c r="AQ76">
        <v>4.2200000000000001E-4</v>
      </c>
      <c r="AR76">
        <v>4.2200000000000001E-4</v>
      </c>
      <c r="AS76">
        <v>4.2200000000000001E-4</v>
      </c>
      <c r="AT76">
        <v>4.2200000000000001E-4</v>
      </c>
      <c r="AU76">
        <v>4.46E-4</v>
      </c>
      <c r="AV76">
        <v>4.46E-4</v>
      </c>
      <c r="AW76">
        <v>4.46E-4</v>
      </c>
      <c r="AX76">
        <v>4.46E-4</v>
      </c>
      <c r="AY76">
        <v>4.46E-4</v>
      </c>
      <c r="AZ76">
        <v>4.2999999999999999E-4</v>
      </c>
      <c r="BA76">
        <v>4.2999999999999999E-4</v>
      </c>
      <c r="BB76">
        <v>4.2999999999999999E-4</v>
      </c>
      <c r="BC76">
        <v>4.2999999999999999E-4</v>
      </c>
      <c r="BD76">
        <v>4.2999999999999999E-4</v>
      </c>
      <c r="BE76">
        <v>3.6900000000000002E-4</v>
      </c>
      <c r="BF76">
        <v>3.6900000000000002E-4</v>
      </c>
      <c r="BG76">
        <v>3.6900000000000002E-4</v>
      </c>
      <c r="BH76">
        <v>3.6900000000000002E-4</v>
      </c>
      <c r="BI76">
        <v>3.6900000000000002E-4</v>
      </c>
      <c r="BJ76">
        <v>2.8899999999999998E-4</v>
      </c>
      <c r="BK76">
        <v>2.8899999999999998E-4</v>
      </c>
      <c r="BL76">
        <v>2.8899999999999998E-4</v>
      </c>
      <c r="BM76">
        <v>2.8899999999999998E-4</v>
      </c>
      <c r="BN76">
        <v>2.8899999999999998E-4</v>
      </c>
      <c r="BO76">
        <v>2.3499999999999999E-4</v>
      </c>
      <c r="BP76">
        <v>2.3499999999999999E-4</v>
      </c>
      <c r="BQ76">
        <v>2.3499999999999999E-4</v>
      </c>
      <c r="BR76">
        <v>2.3499999999999999E-4</v>
      </c>
      <c r="BS76">
        <v>2.3499999999999999E-4</v>
      </c>
      <c r="BT76">
        <v>1.8900000000000001E-4</v>
      </c>
      <c r="BU76">
        <v>1.8900000000000001E-4</v>
      </c>
      <c r="BV76">
        <v>1.8900000000000001E-4</v>
      </c>
      <c r="BW76">
        <v>1.8900000000000001E-4</v>
      </c>
      <c r="BX76">
        <v>1.8900000000000001E-4</v>
      </c>
      <c r="BY76">
        <v>1.5100000000000001E-4</v>
      </c>
      <c r="BZ76">
        <v>1.5100000000000001E-4</v>
      </c>
      <c r="CA76">
        <v>1.5100000000000001E-4</v>
      </c>
      <c r="CB76">
        <v>1.5100000000000001E-4</v>
      </c>
      <c r="CC76">
        <v>1.5100000000000001E-4</v>
      </c>
      <c r="CD76">
        <v>1.5100000000000001E-4</v>
      </c>
      <c r="CE76">
        <v>1.5100000000000001E-4</v>
      </c>
      <c r="CF76">
        <v>1.5100000000000001E-4</v>
      </c>
      <c r="CG76">
        <v>1.5100000000000001E-4</v>
      </c>
      <c r="CH76">
        <v>1.5100000000000001E-4</v>
      </c>
      <c r="CI76">
        <v>1.5100000000000001E-4</v>
      </c>
      <c r="CJ76">
        <v>1.5100000000000001E-4</v>
      </c>
      <c r="CK76">
        <v>1.5100000000000001E-4</v>
      </c>
      <c r="CL76">
        <v>1.5100000000000001E-4</v>
      </c>
      <c r="CM76">
        <v>1.5100000000000001E-4</v>
      </c>
      <c r="CN76">
        <v>1.5100000000000001E-4</v>
      </c>
      <c r="CO76">
        <v>1.5100000000000001E-4</v>
      </c>
      <c r="CP76">
        <v>1.5100000000000001E-4</v>
      </c>
      <c r="CQ76">
        <v>1.5100000000000001E-4</v>
      </c>
      <c r="CR76">
        <v>1.5100000000000001E-4</v>
      </c>
      <c r="CS76">
        <v>1.5100000000000001E-4</v>
      </c>
      <c r="CT76">
        <v>1.5100000000000001E-4</v>
      </c>
      <c r="CU76">
        <v>1.5100000000000001E-4</v>
      </c>
      <c r="CV76">
        <v>1.5100000000000001E-4</v>
      </c>
      <c r="CW76">
        <v>1.5100000000000001E-4</v>
      </c>
      <c r="CX76">
        <v>1.5100000000000001E-4</v>
      </c>
    </row>
    <row r="77" spans="1:102" x14ac:dyDescent="0.25">
      <c r="A77" t="s">
        <v>219</v>
      </c>
      <c r="B77" t="e">
        <v>#VALUE!</v>
      </c>
      <c r="C77" t="e">
        <v>#VALUE!</v>
      </c>
      <c r="D77" t="e">
        <v>#VALUE!</v>
      </c>
      <c r="E77" t="e">
        <v>#VALUE!</v>
      </c>
      <c r="F77" t="e">
        <v>#VALUE!</v>
      </c>
      <c r="G77" t="e">
        <v>#VALUE!</v>
      </c>
      <c r="H77" t="e">
        <v>#VALUE!</v>
      </c>
      <c r="I77" t="e">
        <v>#VALUE!</v>
      </c>
      <c r="J77" t="e">
        <v>#VALUE!</v>
      </c>
      <c r="K77" t="e">
        <v>#VALUE!</v>
      </c>
      <c r="L77" t="e">
        <v>#VALUE!</v>
      </c>
      <c r="M77" t="e">
        <v>#VALUE!</v>
      </c>
      <c r="N77" t="e">
        <v>#VALUE!</v>
      </c>
      <c r="O77" t="e">
        <v>#VALUE!</v>
      </c>
      <c r="P77" t="e">
        <v>#VALUE!</v>
      </c>
      <c r="Q77">
        <v>1.0399999999999999E-4</v>
      </c>
      <c r="R77">
        <v>1.0399999999999999E-4</v>
      </c>
      <c r="S77">
        <v>1.0399999999999999E-4</v>
      </c>
      <c r="T77">
        <v>1.0399999999999999E-4</v>
      </c>
      <c r="U77">
        <v>1.0399999999999999E-4</v>
      </c>
      <c r="V77">
        <v>1.0399999999999999E-4</v>
      </c>
      <c r="W77">
        <v>1.0399999999999999E-4</v>
      </c>
      <c r="X77">
        <v>1.0399999999999999E-4</v>
      </c>
      <c r="Y77">
        <v>1.0399999999999999E-4</v>
      </c>
      <c r="Z77">
        <v>1.0399999999999999E-4</v>
      </c>
      <c r="AA77">
        <v>1.0399999999999999E-4</v>
      </c>
      <c r="AB77">
        <v>1.0399999999999999E-4</v>
      </c>
      <c r="AC77">
        <v>1.0399999999999999E-4</v>
      </c>
      <c r="AD77">
        <v>1.0399999999999999E-4</v>
      </c>
      <c r="AE77">
        <v>1.0399999999999999E-4</v>
      </c>
      <c r="AF77">
        <v>1.0399999999999999E-4</v>
      </c>
      <c r="AG77">
        <v>1.0399999999999999E-4</v>
      </c>
      <c r="AH77">
        <v>1.0399999999999999E-4</v>
      </c>
      <c r="AI77">
        <v>1.0399999999999999E-4</v>
      </c>
      <c r="AJ77">
        <v>1.0399999999999999E-4</v>
      </c>
      <c r="AK77">
        <v>1.0399999999999999E-4</v>
      </c>
      <c r="AL77">
        <v>1.0399999999999999E-4</v>
      </c>
      <c r="AM77">
        <v>1.0399999999999999E-4</v>
      </c>
      <c r="AN77">
        <v>1.0399999999999999E-4</v>
      </c>
      <c r="AO77">
        <v>1.0399999999999999E-4</v>
      </c>
      <c r="AP77">
        <v>1.8900000000000001E-4</v>
      </c>
      <c r="AQ77">
        <v>1.8900000000000001E-4</v>
      </c>
      <c r="AR77">
        <v>1.8900000000000001E-4</v>
      </c>
      <c r="AS77">
        <v>1.8900000000000001E-4</v>
      </c>
      <c r="AT77">
        <v>1.8900000000000001E-4</v>
      </c>
      <c r="AU77">
        <v>1.8200000000000001E-4</v>
      </c>
      <c r="AV77">
        <v>1.8200000000000001E-4</v>
      </c>
      <c r="AW77">
        <v>1.8200000000000001E-4</v>
      </c>
      <c r="AX77">
        <v>1.8200000000000001E-4</v>
      </c>
      <c r="AY77">
        <v>1.8200000000000001E-4</v>
      </c>
      <c r="AZ77">
        <v>9.2E-5</v>
      </c>
      <c r="BA77">
        <v>9.2E-5</v>
      </c>
      <c r="BB77">
        <v>9.2E-5</v>
      </c>
      <c r="BC77">
        <v>9.2E-5</v>
      </c>
      <c r="BD77">
        <v>9.2E-5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 t="e">
        <v>#VALUE!</v>
      </c>
      <c r="BU77" t="e">
        <v>#VALUE!</v>
      </c>
      <c r="BV77" t="e">
        <v>#VALUE!</v>
      </c>
      <c r="BW77" t="e">
        <v>#VALUE!</v>
      </c>
      <c r="BX77" t="e">
        <v>#VALUE!</v>
      </c>
      <c r="BY77" t="e">
        <v>#VALUE!</v>
      </c>
      <c r="BZ77" t="e">
        <v>#VALUE!</v>
      </c>
      <c r="CA77" t="e">
        <v>#VALUE!</v>
      </c>
      <c r="CB77" t="e">
        <v>#VALUE!</v>
      </c>
      <c r="CC77" t="e">
        <v>#VALUE!</v>
      </c>
      <c r="CD77" t="e">
        <v>#VALUE!</v>
      </c>
      <c r="CE77" t="e">
        <v>#VALUE!</v>
      </c>
      <c r="CF77" t="e">
        <v>#VALUE!</v>
      </c>
      <c r="CG77" t="e">
        <v>#VALUE!</v>
      </c>
      <c r="CH77" t="e">
        <v>#VALUE!</v>
      </c>
      <c r="CI77" t="e">
        <v>#VALUE!</v>
      </c>
      <c r="CJ77" t="e">
        <v>#VALUE!</v>
      </c>
      <c r="CK77" t="e">
        <v>#VALUE!</v>
      </c>
      <c r="CL77" t="e">
        <v>#VALUE!</v>
      </c>
      <c r="CM77" t="e">
        <v>#VALUE!</v>
      </c>
      <c r="CN77" t="e">
        <v>#VALUE!</v>
      </c>
      <c r="CO77" t="e">
        <v>#VALUE!</v>
      </c>
      <c r="CP77" t="e">
        <v>#VALUE!</v>
      </c>
      <c r="CQ77" t="e">
        <v>#VALUE!</v>
      </c>
      <c r="CR77" t="e">
        <v>#VALUE!</v>
      </c>
      <c r="CS77" t="e">
        <v>#VALUE!</v>
      </c>
      <c r="CT77" t="e">
        <v>#VALUE!</v>
      </c>
      <c r="CU77" t="e">
        <v>#VALUE!</v>
      </c>
      <c r="CV77" t="e">
        <v>#VALUE!</v>
      </c>
      <c r="CW77" t="e">
        <v>#VALUE!</v>
      </c>
      <c r="CX77" t="e">
        <v>#VALUE!</v>
      </c>
    </row>
    <row r="78" spans="1:102" x14ac:dyDescent="0.25">
      <c r="A78" t="s">
        <v>221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7.3999999999999996E-5</v>
      </c>
      <c r="R78">
        <v>7.3999999999999996E-5</v>
      </c>
      <c r="S78">
        <v>7.3999999999999996E-5</v>
      </c>
      <c r="T78">
        <v>7.3999999999999996E-5</v>
      </c>
      <c r="U78">
        <v>7.3999999999999996E-5</v>
      </c>
      <c r="V78">
        <v>7.3999999999999996E-5</v>
      </c>
      <c r="W78">
        <v>7.3999999999999996E-5</v>
      </c>
      <c r="X78">
        <v>7.3999999999999996E-5</v>
      </c>
      <c r="Y78">
        <v>7.3999999999999996E-5</v>
      </c>
      <c r="Z78">
        <v>7.3999999999999996E-5</v>
      </c>
      <c r="AA78">
        <v>7.3999999999999996E-5</v>
      </c>
      <c r="AB78">
        <v>7.3999999999999996E-5</v>
      </c>
      <c r="AC78">
        <v>7.3999999999999996E-5</v>
      </c>
      <c r="AD78">
        <v>7.3999999999999996E-5</v>
      </c>
      <c r="AE78">
        <v>7.3999999999999996E-5</v>
      </c>
      <c r="AF78">
        <v>7.3999999999999996E-5</v>
      </c>
      <c r="AG78">
        <v>7.3999999999999996E-5</v>
      </c>
      <c r="AH78">
        <v>7.3999999999999996E-5</v>
      </c>
      <c r="AI78">
        <v>7.3999999999999996E-5</v>
      </c>
      <c r="AJ78">
        <v>7.3999999999999996E-5</v>
      </c>
      <c r="AK78">
        <v>7.3999999999999996E-5</v>
      </c>
      <c r="AL78">
        <v>7.3999999999999996E-5</v>
      </c>
      <c r="AM78">
        <v>7.3999999999999996E-5</v>
      </c>
      <c r="AN78">
        <v>7.3999999999999996E-5</v>
      </c>
      <c r="AO78">
        <v>7.3999999999999996E-5</v>
      </c>
      <c r="AP78">
        <v>4.1899999999999999E-4</v>
      </c>
      <c r="AQ78">
        <v>4.1899999999999999E-4</v>
      </c>
      <c r="AR78">
        <v>4.1899999999999999E-4</v>
      </c>
      <c r="AS78">
        <v>4.1899999999999999E-4</v>
      </c>
      <c r="AT78">
        <v>4.1899999999999999E-4</v>
      </c>
      <c r="AU78">
        <v>6.0400000000000004E-4</v>
      </c>
      <c r="AV78">
        <v>6.0400000000000004E-4</v>
      </c>
      <c r="AW78">
        <v>6.0400000000000004E-4</v>
      </c>
      <c r="AX78">
        <v>6.0400000000000004E-4</v>
      </c>
      <c r="AY78">
        <v>6.0400000000000004E-4</v>
      </c>
      <c r="AZ78">
        <v>7.3999999999999999E-4</v>
      </c>
      <c r="BA78">
        <v>7.3999999999999999E-4</v>
      </c>
      <c r="BB78">
        <v>7.3999999999999999E-4</v>
      </c>
      <c r="BC78">
        <v>7.3999999999999999E-4</v>
      </c>
      <c r="BD78">
        <v>7.3999999999999999E-4</v>
      </c>
      <c r="BE78">
        <v>7.8600000000000002E-4</v>
      </c>
      <c r="BF78">
        <v>7.8600000000000002E-4</v>
      </c>
      <c r="BG78">
        <v>7.8600000000000002E-4</v>
      </c>
      <c r="BH78">
        <v>7.8600000000000002E-4</v>
      </c>
      <c r="BI78">
        <v>7.8600000000000002E-4</v>
      </c>
      <c r="BJ78">
        <v>7.3499999999999998E-4</v>
      </c>
      <c r="BK78">
        <v>7.3499999999999998E-4</v>
      </c>
      <c r="BL78">
        <v>7.3499999999999998E-4</v>
      </c>
      <c r="BM78">
        <v>7.3499999999999998E-4</v>
      </c>
      <c r="BN78">
        <v>7.3499999999999998E-4</v>
      </c>
      <c r="BO78">
        <v>6.3400000000000001E-4</v>
      </c>
      <c r="BP78">
        <v>6.3400000000000001E-4</v>
      </c>
      <c r="BQ78">
        <v>6.3400000000000001E-4</v>
      </c>
      <c r="BR78">
        <v>6.3400000000000001E-4</v>
      </c>
      <c r="BS78">
        <v>6.3400000000000001E-4</v>
      </c>
      <c r="BT78">
        <v>4.6999999999999999E-4</v>
      </c>
      <c r="BU78">
        <v>4.6999999999999999E-4</v>
      </c>
      <c r="BV78">
        <v>4.6999999999999999E-4</v>
      </c>
      <c r="BW78">
        <v>4.6999999999999999E-4</v>
      </c>
      <c r="BX78">
        <v>4.6999999999999999E-4</v>
      </c>
      <c r="BY78">
        <v>2.4699999999999999E-4</v>
      </c>
      <c r="BZ78">
        <v>2.4699999999999999E-4</v>
      </c>
      <c r="CA78">
        <v>2.4699999999999999E-4</v>
      </c>
      <c r="CB78">
        <v>2.4699999999999999E-4</v>
      </c>
      <c r="CC78">
        <v>2.4699999999999999E-4</v>
      </c>
      <c r="CD78">
        <v>2.4699999999999999E-4</v>
      </c>
      <c r="CE78">
        <v>2.4699999999999999E-4</v>
      </c>
      <c r="CF78">
        <v>2.4699999999999999E-4</v>
      </c>
      <c r="CG78">
        <v>2.4699999999999999E-4</v>
      </c>
      <c r="CH78">
        <v>2.4699999999999999E-4</v>
      </c>
      <c r="CI78">
        <v>2.4699999999999999E-4</v>
      </c>
      <c r="CJ78">
        <v>2.4699999999999999E-4</v>
      </c>
      <c r="CK78">
        <v>2.4699999999999999E-4</v>
      </c>
      <c r="CL78">
        <v>2.4699999999999999E-4</v>
      </c>
      <c r="CM78">
        <v>2.4699999999999999E-4</v>
      </c>
      <c r="CN78">
        <v>2.4699999999999999E-4</v>
      </c>
      <c r="CO78">
        <v>2.4699999999999999E-4</v>
      </c>
      <c r="CP78">
        <v>2.4699999999999999E-4</v>
      </c>
      <c r="CQ78">
        <v>2.4699999999999999E-4</v>
      </c>
      <c r="CR78">
        <v>2.4699999999999999E-4</v>
      </c>
      <c r="CS78">
        <v>2.4699999999999999E-4</v>
      </c>
      <c r="CT78">
        <v>2.4699999999999999E-4</v>
      </c>
      <c r="CU78">
        <v>2.4699999999999999E-4</v>
      </c>
      <c r="CV78">
        <v>2.4699999999999999E-4</v>
      </c>
      <c r="CW78">
        <v>2.4699999999999999E-4</v>
      </c>
      <c r="CX78">
        <v>2.4699999999999999E-4</v>
      </c>
    </row>
    <row r="79" spans="1:102" x14ac:dyDescent="0.25">
      <c r="A79" t="s">
        <v>223</v>
      </c>
      <c r="B79" t="e">
        <v>#VALUE!</v>
      </c>
      <c r="C79" t="e">
        <v>#VALUE!</v>
      </c>
      <c r="D79" t="e">
        <v>#VALUE!</v>
      </c>
      <c r="E79" t="e">
        <v>#VALUE!</v>
      </c>
      <c r="F79" t="e">
        <v>#VALUE!</v>
      </c>
      <c r="G79" t="e">
        <v>#VALUE!</v>
      </c>
      <c r="H79" t="e">
        <v>#VALUE!</v>
      </c>
      <c r="I79" t="e">
        <v>#VALUE!</v>
      </c>
      <c r="J79" t="e">
        <v>#VALUE!</v>
      </c>
      <c r="K79" t="e">
        <v>#VALUE!</v>
      </c>
      <c r="L79" t="e">
        <v>#VALUE!</v>
      </c>
      <c r="M79" t="e">
        <v>#VALUE!</v>
      </c>
      <c r="N79" t="e">
        <v>#VALUE!</v>
      </c>
      <c r="O79" t="e">
        <v>#VALUE!</v>
      </c>
      <c r="P79" t="e">
        <v>#VALUE!</v>
      </c>
      <c r="Q79">
        <v>5.1999999999999997E-5</v>
      </c>
      <c r="R79">
        <v>5.1999999999999997E-5</v>
      </c>
      <c r="S79">
        <v>5.1999999999999997E-5</v>
      </c>
      <c r="T79">
        <v>5.1999999999999997E-5</v>
      </c>
      <c r="U79">
        <v>5.1999999999999997E-5</v>
      </c>
      <c r="V79">
        <v>5.1999999999999997E-5</v>
      </c>
      <c r="W79">
        <v>5.1999999999999997E-5</v>
      </c>
      <c r="X79">
        <v>5.1999999999999997E-5</v>
      </c>
      <c r="Y79">
        <v>5.1999999999999997E-5</v>
      </c>
      <c r="Z79">
        <v>5.1999999999999997E-5</v>
      </c>
      <c r="AA79">
        <v>5.1999999999999997E-5</v>
      </c>
      <c r="AB79">
        <v>5.1999999999999997E-5</v>
      </c>
      <c r="AC79">
        <v>5.1999999999999997E-5</v>
      </c>
      <c r="AD79">
        <v>5.1999999999999997E-5</v>
      </c>
      <c r="AE79">
        <v>5.1999999999999997E-5</v>
      </c>
      <c r="AF79">
        <v>5.1999999999999997E-5</v>
      </c>
      <c r="AG79">
        <v>5.1999999999999997E-5</v>
      </c>
      <c r="AH79">
        <v>5.1999999999999997E-5</v>
      </c>
      <c r="AI79">
        <v>5.1999999999999997E-5</v>
      </c>
      <c r="AJ79">
        <v>5.1999999999999997E-5</v>
      </c>
      <c r="AK79">
        <v>5.1999999999999997E-5</v>
      </c>
      <c r="AL79">
        <v>5.1999999999999997E-5</v>
      </c>
      <c r="AM79">
        <v>5.1999999999999997E-5</v>
      </c>
      <c r="AN79">
        <v>5.1999999999999997E-5</v>
      </c>
      <c r="AO79">
        <v>5.1999999999999997E-5</v>
      </c>
      <c r="AP79">
        <v>3.0400000000000002E-4</v>
      </c>
      <c r="AQ79">
        <v>3.0400000000000002E-4</v>
      </c>
      <c r="AR79">
        <v>3.0400000000000002E-4</v>
      </c>
      <c r="AS79">
        <v>3.0400000000000002E-4</v>
      </c>
      <c r="AT79">
        <v>3.0400000000000002E-4</v>
      </c>
      <c r="AU79">
        <v>4.3899999999999999E-4</v>
      </c>
      <c r="AV79">
        <v>4.3899999999999999E-4</v>
      </c>
      <c r="AW79">
        <v>4.3899999999999999E-4</v>
      </c>
      <c r="AX79">
        <v>4.3899999999999999E-4</v>
      </c>
      <c r="AY79">
        <v>4.3899999999999999E-4</v>
      </c>
      <c r="AZ79">
        <v>5.2300000000000003E-4</v>
      </c>
      <c r="BA79">
        <v>5.2300000000000003E-4</v>
      </c>
      <c r="BB79">
        <v>5.2300000000000003E-4</v>
      </c>
      <c r="BC79">
        <v>5.2300000000000003E-4</v>
      </c>
      <c r="BD79">
        <v>5.2300000000000003E-4</v>
      </c>
      <c r="BE79">
        <v>5.6099999999999998E-4</v>
      </c>
      <c r="BF79">
        <v>5.6099999999999998E-4</v>
      </c>
      <c r="BG79">
        <v>5.6099999999999998E-4</v>
      </c>
      <c r="BH79">
        <v>5.6099999999999998E-4</v>
      </c>
      <c r="BI79">
        <v>5.6099999999999998E-4</v>
      </c>
      <c r="BJ79">
        <v>5.8299999999999997E-4</v>
      </c>
      <c r="BK79">
        <v>5.8299999999999997E-4</v>
      </c>
      <c r="BL79">
        <v>5.8299999999999997E-4</v>
      </c>
      <c r="BM79">
        <v>5.8299999999999997E-4</v>
      </c>
      <c r="BN79">
        <v>5.8299999999999997E-4</v>
      </c>
      <c r="BO79">
        <v>5.7300000000000005E-4</v>
      </c>
      <c r="BP79">
        <v>5.7300000000000005E-4</v>
      </c>
      <c r="BQ79">
        <v>5.7300000000000005E-4</v>
      </c>
      <c r="BR79">
        <v>5.7300000000000005E-4</v>
      </c>
      <c r="BS79">
        <v>5.7300000000000005E-4</v>
      </c>
      <c r="BT79">
        <v>5.3300000000000005E-4</v>
      </c>
      <c r="BU79">
        <v>5.3300000000000005E-4</v>
      </c>
      <c r="BV79">
        <v>5.3300000000000005E-4</v>
      </c>
      <c r="BW79">
        <v>5.3300000000000005E-4</v>
      </c>
      <c r="BX79">
        <v>5.3300000000000005E-4</v>
      </c>
      <c r="BY79">
        <v>4.64E-4</v>
      </c>
      <c r="BZ79">
        <v>4.64E-4</v>
      </c>
      <c r="CA79">
        <v>4.64E-4</v>
      </c>
      <c r="CB79">
        <v>4.64E-4</v>
      </c>
      <c r="CC79">
        <v>4.64E-4</v>
      </c>
      <c r="CD79">
        <v>4.64E-4</v>
      </c>
      <c r="CE79">
        <v>4.64E-4</v>
      </c>
      <c r="CF79">
        <v>4.64E-4</v>
      </c>
      <c r="CG79">
        <v>4.64E-4</v>
      </c>
      <c r="CH79">
        <v>4.64E-4</v>
      </c>
      <c r="CI79">
        <v>4.64E-4</v>
      </c>
      <c r="CJ79">
        <v>4.64E-4</v>
      </c>
      <c r="CK79">
        <v>4.64E-4</v>
      </c>
      <c r="CL79">
        <v>4.64E-4</v>
      </c>
      <c r="CM79">
        <v>4.64E-4</v>
      </c>
      <c r="CN79">
        <v>4.64E-4</v>
      </c>
      <c r="CO79">
        <v>4.64E-4</v>
      </c>
      <c r="CP79">
        <v>4.64E-4</v>
      </c>
      <c r="CQ79">
        <v>4.64E-4</v>
      </c>
      <c r="CR79">
        <v>4.64E-4</v>
      </c>
      <c r="CS79">
        <v>4.64E-4</v>
      </c>
      <c r="CT79">
        <v>4.64E-4</v>
      </c>
      <c r="CU79">
        <v>4.64E-4</v>
      </c>
      <c r="CV79">
        <v>4.64E-4</v>
      </c>
      <c r="CW79">
        <v>4.64E-4</v>
      </c>
      <c r="CX79">
        <v>4.64E-4</v>
      </c>
    </row>
    <row r="80" spans="1:102" x14ac:dyDescent="0.25">
      <c r="A80" t="s">
        <v>225</v>
      </c>
      <c r="B80" t="e">
        <v>#VALUE!</v>
      </c>
      <c r="C80" t="e">
        <v>#VALUE!</v>
      </c>
      <c r="D80" t="e">
        <v>#VALUE!</v>
      </c>
      <c r="E80" t="e">
        <v>#VALUE!</v>
      </c>
      <c r="F80" t="e">
        <v>#VALUE!</v>
      </c>
      <c r="G80" t="e">
        <v>#VALUE!</v>
      </c>
      <c r="H80" t="e">
        <v>#VALUE!</v>
      </c>
      <c r="I80" t="e">
        <v>#VALUE!</v>
      </c>
      <c r="J80" t="e">
        <v>#VALUE!</v>
      </c>
      <c r="K80" t="e">
        <v>#VALUE!</v>
      </c>
      <c r="L80" t="e">
        <v>#VALUE!</v>
      </c>
      <c r="M80" t="e">
        <v>#VALUE!</v>
      </c>
      <c r="N80" t="e">
        <v>#VALUE!</v>
      </c>
      <c r="O80" t="e">
        <v>#VALUE!</v>
      </c>
      <c r="P80" t="e">
        <v>#VALUE!</v>
      </c>
      <c r="Q80">
        <v>6.9999999999999999E-6</v>
      </c>
      <c r="R80">
        <v>6.9999999999999999E-6</v>
      </c>
      <c r="S80">
        <v>6.9999999999999999E-6</v>
      </c>
      <c r="T80">
        <v>6.9999999999999999E-6</v>
      </c>
      <c r="U80">
        <v>6.9999999999999999E-6</v>
      </c>
      <c r="V80">
        <v>6.9999999999999999E-6</v>
      </c>
      <c r="W80">
        <v>6.9999999999999999E-6</v>
      </c>
      <c r="X80">
        <v>6.9999999999999999E-6</v>
      </c>
      <c r="Y80">
        <v>6.9999999999999999E-6</v>
      </c>
      <c r="Z80">
        <v>6.9999999999999999E-6</v>
      </c>
      <c r="AA80">
        <v>6.9999999999999999E-6</v>
      </c>
      <c r="AB80">
        <v>6.9999999999999999E-6</v>
      </c>
      <c r="AC80">
        <v>6.9999999999999999E-6</v>
      </c>
      <c r="AD80">
        <v>6.9999999999999999E-6</v>
      </c>
      <c r="AE80">
        <v>6.9999999999999999E-6</v>
      </c>
      <c r="AF80">
        <v>6.9999999999999999E-6</v>
      </c>
      <c r="AG80">
        <v>6.9999999999999999E-6</v>
      </c>
      <c r="AH80">
        <v>6.9999999999999999E-6</v>
      </c>
      <c r="AI80">
        <v>6.9999999999999999E-6</v>
      </c>
      <c r="AJ80">
        <v>6.9999999999999999E-6</v>
      </c>
      <c r="AK80">
        <v>6.9999999999999999E-6</v>
      </c>
      <c r="AL80">
        <v>6.9999999999999999E-6</v>
      </c>
      <c r="AM80">
        <v>6.9999999999999999E-6</v>
      </c>
      <c r="AN80">
        <v>6.9999999999999999E-6</v>
      </c>
      <c r="AO80">
        <v>6.9999999999999999E-6</v>
      </c>
      <c r="AP80">
        <v>4.6E-5</v>
      </c>
      <c r="AQ80">
        <v>4.6E-5</v>
      </c>
      <c r="AR80">
        <v>4.6E-5</v>
      </c>
      <c r="AS80">
        <v>4.6E-5</v>
      </c>
      <c r="AT80">
        <v>4.6E-5</v>
      </c>
      <c r="AU80">
        <v>6.9999999999999994E-5</v>
      </c>
      <c r="AV80">
        <v>6.9999999999999994E-5</v>
      </c>
      <c r="AW80">
        <v>6.9999999999999994E-5</v>
      </c>
      <c r="AX80">
        <v>6.9999999999999994E-5</v>
      </c>
      <c r="AY80">
        <v>6.9999999999999994E-5</v>
      </c>
      <c r="AZ80">
        <v>8.7000000000000001E-5</v>
      </c>
      <c r="BA80">
        <v>8.7000000000000001E-5</v>
      </c>
      <c r="BB80">
        <v>8.7000000000000001E-5</v>
      </c>
      <c r="BC80">
        <v>8.7000000000000001E-5</v>
      </c>
      <c r="BD80">
        <v>8.7000000000000001E-5</v>
      </c>
      <c r="BE80">
        <v>8.5000000000000006E-5</v>
      </c>
      <c r="BF80">
        <v>8.5000000000000006E-5</v>
      </c>
      <c r="BG80">
        <v>8.5000000000000006E-5</v>
      </c>
      <c r="BH80">
        <v>8.5000000000000006E-5</v>
      </c>
      <c r="BI80">
        <v>8.5000000000000006E-5</v>
      </c>
      <c r="BJ80">
        <v>7.7000000000000001E-5</v>
      </c>
      <c r="BK80">
        <v>7.7000000000000001E-5</v>
      </c>
      <c r="BL80">
        <v>7.7000000000000001E-5</v>
      </c>
      <c r="BM80">
        <v>7.7000000000000001E-5</v>
      </c>
      <c r="BN80">
        <v>7.7000000000000001E-5</v>
      </c>
      <c r="BO80">
        <v>1.06E-4</v>
      </c>
      <c r="BP80">
        <v>1.06E-4</v>
      </c>
      <c r="BQ80">
        <v>1.06E-4</v>
      </c>
      <c r="BR80">
        <v>1.06E-4</v>
      </c>
      <c r="BS80">
        <v>1.06E-4</v>
      </c>
      <c r="BT80">
        <v>1.15E-4</v>
      </c>
      <c r="BU80">
        <v>1.15E-4</v>
      </c>
      <c r="BV80">
        <v>1.15E-4</v>
      </c>
      <c r="BW80">
        <v>1.15E-4</v>
      </c>
      <c r="BX80">
        <v>1.15E-4</v>
      </c>
      <c r="BY80">
        <v>1.0900000000000001E-4</v>
      </c>
      <c r="BZ80">
        <v>1.0900000000000001E-4</v>
      </c>
      <c r="CA80">
        <v>1.0900000000000001E-4</v>
      </c>
      <c r="CB80">
        <v>1.0900000000000001E-4</v>
      </c>
      <c r="CC80">
        <v>1.0900000000000001E-4</v>
      </c>
      <c r="CD80">
        <v>1.0900000000000001E-4</v>
      </c>
      <c r="CE80">
        <v>1.0900000000000001E-4</v>
      </c>
      <c r="CF80">
        <v>1.0900000000000001E-4</v>
      </c>
      <c r="CG80">
        <v>1.0900000000000001E-4</v>
      </c>
      <c r="CH80">
        <v>1.0900000000000001E-4</v>
      </c>
      <c r="CI80">
        <v>1.0900000000000001E-4</v>
      </c>
      <c r="CJ80">
        <v>1.0900000000000001E-4</v>
      </c>
      <c r="CK80">
        <v>1.0900000000000001E-4</v>
      </c>
      <c r="CL80">
        <v>1.0900000000000001E-4</v>
      </c>
      <c r="CM80">
        <v>1.0900000000000001E-4</v>
      </c>
      <c r="CN80">
        <v>1.0900000000000001E-4</v>
      </c>
      <c r="CO80">
        <v>1.0900000000000001E-4</v>
      </c>
      <c r="CP80">
        <v>1.0900000000000001E-4</v>
      </c>
      <c r="CQ80">
        <v>1.0900000000000001E-4</v>
      </c>
      <c r="CR80">
        <v>1.0900000000000001E-4</v>
      </c>
      <c r="CS80">
        <v>1.0900000000000001E-4</v>
      </c>
      <c r="CT80">
        <v>1.0900000000000001E-4</v>
      </c>
      <c r="CU80">
        <v>1.0900000000000001E-4</v>
      </c>
      <c r="CV80">
        <v>1.0900000000000001E-4</v>
      </c>
      <c r="CW80">
        <v>1.0900000000000001E-4</v>
      </c>
      <c r="CX80">
        <v>1.0900000000000001E-4</v>
      </c>
    </row>
    <row r="81" spans="1:102" x14ac:dyDescent="0.25">
      <c r="A81" t="s">
        <v>227</v>
      </c>
      <c r="B81" t="e">
        <v>#VALUE!</v>
      </c>
      <c r="C81" t="e">
        <v>#VALUE!</v>
      </c>
      <c r="D81" t="e">
        <v>#VALUE!</v>
      </c>
      <c r="E81" t="e">
        <v>#VALUE!</v>
      </c>
      <c r="F81" t="e">
        <v>#VALUE!</v>
      </c>
      <c r="G81" t="e">
        <v>#VALUE!</v>
      </c>
      <c r="H81" t="e">
        <v>#VALUE!</v>
      </c>
      <c r="I81" t="e">
        <v>#VALUE!</v>
      </c>
      <c r="J81" t="e">
        <v>#VALUE!</v>
      </c>
      <c r="K81" t="e">
        <v>#VALUE!</v>
      </c>
      <c r="L81" t="e">
        <v>#VALUE!</v>
      </c>
      <c r="M81" t="e">
        <v>#VALUE!</v>
      </c>
      <c r="N81" t="e">
        <v>#VALUE!</v>
      </c>
      <c r="O81" t="e">
        <v>#VALUE!</v>
      </c>
      <c r="P81" t="e">
        <v>#VALUE!</v>
      </c>
      <c r="Q81">
        <v>6.9999999999999999E-6</v>
      </c>
      <c r="R81">
        <v>6.9999999999999999E-6</v>
      </c>
      <c r="S81">
        <v>6.9999999999999999E-6</v>
      </c>
      <c r="T81">
        <v>6.9999999999999999E-6</v>
      </c>
      <c r="U81">
        <v>6.9999999999999999E-6</v>
      </c>
      <c r="V81">
        <v>6.9999999999999999E-6</v>
      </c>
      <c r="W81">
        <v>6.9999999999999999E-6</v>
      </c>
      <c r="X81">
        <v>6.9999999999999999E-6</v>
      </c>
      <c r="Y81">
        <v>6.9999999999999999E-6</v>
      </c>
      <c r="Z81">
        <v>6.9999999999999999E-6</v>
      </c>
      <c r="AA81">
        <v>6.9999999999999999E-6</v>
      </c>
      <c r="AB81">
        <v>6.9999999999999999E-6</v>
      </c>
      <c r="AC81">
        <v>6.9999999999999999E-6</v>
      </c>
      <c r="AD81">
        <v>6.9999999999999999E-6</v>
      </c>
      <c r="AE81">
        <v>6.9999999999999999E-6</v>
      </c>
      <c r="AF81">
        <v>6.9999999999999999E-6</v>
      </c>
      <c r="AG81">
        <v>6.9999999999999999E-6</v>
      </c>
      <c r="AH81">
        <v>6.9999999999999999E-6</v>
      </c>
      <c r="AI81">
        <v>6.9999999999999999E-6</v>
      </c>
      <c r="AJ81">
        <v>6.9999999999999999E-6</v>
      </c>
      <c r="AK81">
        <v>6.9999999999999999E-6</v>
      </c>
      <c r="AL81">
        <v>6.9999999999999999E-6</v>
      </c>
      <c r="AM81">
        <v>6.9999999999999999E-6</v>
      </c>
      <c r="AN81">
        <v>6.9999999999999999E-6</v>
      </c>
      <c r="AO81">
        <v>6.9999999999999999E-6</v>
      </c>
      <c r="AP81">
        <v>4.6999999999999997E-5</v>
      </c>
      <c r="AQ81">
        <v>4.6999999999999997E-5</v>
      </c>
      <c r="AR81">
        <v>4.6999999999999997E-5</v>
      </c>
      <c r="AS81">
        <v>4.6999999999999997E-5</v>
      </c>
      <c r="AT81">
        <v>4.6999999999999997E-5</v>
      </c>
      <c r="AU81">
        <v>6.9999999999999994E-5</v>
      </c>
      <c r="AV81">
        <v>6.9999999999999994E-5</v>
      </c>
      <c r="AW81">
        <v>6.9999999999999994E-5</v>
      </c>
      <c r="AX81">
        <v>6.9999999999999994E-5</v>
      </c>
      <c r="AY81">
        <v>6.9999999999999994E-5</v>
      </c>
      <c r="AZ81">
        <v>8.2999999999999998E-5</v>
      </c>
      <c r="BA81">
        <v>8.2999999999999998E-5</v>
      </c>
      <c r="BB81">
        <v>8.2999999999999998E-5</v>
      </c>
      <c r="BC81">
        <v>8.2999999999999998E-5</v>
      </c>
      <c r="BD81">
        <v>8.2999999999999998E-5</v>
      </c>
      <c r="BE81">
        <v>8.8999999999999995E-5</v>
      </c>
      <c r="BF81">
        <v>8.8999999999999995E-5</v>
      </c>
      <c r="BG81">
        <v>8.8999999999999995E-5</v>
      </c>
      <c r="BH81">
        <v>8.8999999999999995E-5</v>
      </c>
      <c r="BI81">
        <v>8.8999999999999995E-5</v>
      </c>
      <c r="BJ81">
        <v>9.5000000000000005E-5</v>
      </c>
      <c r="BK81">
        <v>9.5000000000000005E-5</v>
      </c>
      <c r="BL81">
        <v>9.5000000000000005E-5</v>
      </c>
      <c r="BM81">
        <v>9.5000000000000005E-5</v>
      </c>
      <c r="BN81">
        <v>9.5000000000000005E-5</v>
      </c>
      <c r="BO81">
        <v>9.7999999999999997E-5</v>
      </c>
      <c r="BP81">
        <v>9.7999999999999997E-5</v>
      </c>
      <c r="BQ81">
        <v>9.7999999999999997E-5</v>
      </c>
      <c r="BR81">
        <v>9.7999999999999997E-5</v>
      </c>
      <c r="BS81">
        <v>9.7999999999999997E-5</v>
      </c>
      <c r="BT81">
        <v>9.7E-5</v>
      </c>
      <c r="BU81">
        <v>9.7E-5</v>
      </c>
      <c r="BV81">
        <v>9.7E-5</v>
      </c>
      <c r="BW81">
        <v>9.7E-5</v>
      </c>
      <c r="BX81">
        <v>9.7E-5</v>
      </c>
      <c r="BY81">
        <v>8.8999999999999995E-5</v>
      </c>
      <c r="BZ81">
        <v>8.8999999999999995E-5</v>
      </c>
      <c r="CA81">
        <v>8.8999999999999995E-5</v>
      </c>
      <c r="CB81">
        <v>8.8999999999999995E-5</v>
      </c>
      <c r="CC81">
        <v>8.8999999999999995E-5</v>
      </c>
      <c r="CD81">
        <v>8.8999999999999995E-5</v>
      </c>
      <c r="CE81">
        <v>8.8999999999999995E-5</v>
      </c>
      <c r="CF81">
        <v>8.8999999999999995E-5</v>
      </c>
      <c r="CG81">
        <v>8.8999999999999995E-5</v>
      </c>
      <c r="CH81">
        <v>8.8999999999999995E-5</v>
      </c>
      <c r="CI81">
        <v>8.8999999999999995E-5</v>
      </c>
      <c r="CJ81">
        <v>8.8999999999999995E-5</v>
      </c>
      <c r="CK81">
        <v>8.8999999999999995E-5</v>
      </c>
      <c r="CL81">
        <v>8.8999999999999995E-5</v>
      </c>
      <c r="CM81">
        <v>8.8999999999999995E-5</v>
      </c>
      <c r="CN81">
        <v>8.8999999999999995E-5</v>
      </c>
      <c r="CO81">
        <v>8.8999999999999995E-5</v>
      </c>
      <c r="CP81">
        <v>8.8999999999999995E-5</v>
      </c>
      <c r="CQ81">
        <v>8.8999999999999995E-5</v>
      </c>
      <c r="CR81">
        <v>8.8999999999999995E-5</v>
      </c>
      <c r="CS81">
        <v>8.8999999999999995E-5</v>
      </c>
      <c r="CT81">
        <v>8.8999999999999995E-5</v>
      </c>
      <c r="CU81">
        <v>8.8999999999999995E-5</v>
      </c>
      <c r="CV81">
        <v>8.8999999999999995E-5</v>
      </c>
      <c r="CW81">
        <v>8.8999999999999995E-5</v>
      </c>
      <c r="CX81">
        <v>8.8999999999999995E-5</v>
      </c>
    </row>
    <row r="82" spans="1:102" x14ac:dyDescent="0.25">
      <c r="A82" t="s">
        <v>229</v>
      </c>
      <c r="B82" t="e">
        <v>#VALUE!</v>
      </c>
      <c r="C82" t="e">
        <v>#VALUE!</v>
      </c>
      <c r="D82" t="e">
        <v>#VALUE!</v>
      </c>
      <c r="E82" t="e">
        <v>#VALUE!</v>
      </c>
      <c r="F82" t="e">
        <v>#VALUE!</v>
      </c>
      <c r="G82" t="e">
        <v>#VALUE!</v>
      </c>
      <c r="H82" t="e">
        <v>#VALUE!</v>
      </c>
      <c r="I82" t="e">
        <v>#VALUE!</v>
      </c>
      <c r="J82" t="e">
        <v>#VALUE!</v>
      </c>
      <c r="K82" t="e">
        <v>#VALUE!</v>
      </c>
      <c r="L82" t="e">
        <v>#VALUE!</v>
      </c>
      <c r="M82" t="e">
        <v>#VALUE!</v>
      </c>
      <c r="N82" t="e">
        <v>#VALUE!</v>
      </c>
      <c r="O82" t="e">
        <v>#VALUE!</v>
      </c>
      <c r="P82" t="e">
        <v>#VALUE!</v>
      </c>
      <c r="Q82">
        <v>1.6899999999999999E-4</v>
      </c>
      <c r="R82">
        <v>1.6899999999999999E-4</v>
      </c>
      <c r="S82">
        <v>1.6899999999999999E-4</v>
      </c>
      <c r="T82">
        <v>1.6899999999999999E-4</v>
      </c>
      <c r="U82">
        <v>1.6899999999999999E-4</v>
      </c>
      <c r="V82">
        <v>1.6899999999999999E-4</v>
      </c>
      <c r="W82">
        <v>1.6899999999999999E-4</v>
      </c>
      <c r="X82">
        <v>1.6899999999999999E-4</v>
      </c>
      <c r="Y82">
        <v>1.6899999999999999E-4</v>
      </c>
      <c r="Z82">
        <v>1.6899999999999999E-4</v>
      </c>
      <c r="AA82">
        <v>1.6899999999999999E-4</v>
      </c>
      <c r="AB82">
        <v>1.6899999999999999E-4</v>
      </c>
      <c r="AC82">
        <v>1.6899999999999999E-4</v>
      </c>
      <c r="AD82">
        <v>1.6899999999999999E-4</v>
      </c>
      <c r="AE82">
        <v>1.6899999999999999E-4</v>
      </c>
      <c r="AF82">
        <v>1.6899999999999999E-4</v>
      </c>
      <c r="AG82">
        <v>1.6899999999999999E-4</v>
      </c>
      <c r="AH82">
        <v>1.6899999999999999E-4</v>
      </c>
      <c r="AI82">
        <v>1.6899999999999999E-4</v>
      </c>
      <c r="AJ82">
        <v>1.6899999999999999E-4</v>
      </c>
      <c r="AK82">
        <v>1.6899999999999999E-4</v>
      </c>
      <c r="AL82">
        <v>1.6899999999999999E-4</v>
      </c>
      <c r="AM82">
        <v>1.6899999999999999E-4</v>
      </c>
      <c r="AN82">
        <v>1.6899999999999999E-4</v>
      </c>
      <c r="AO82">
        <v>1.6899999999999999E-4</v>
      </c>
      <c r="AP82">
        <v>2.99E-4</v>
      </c>
      <c r="AQ82">
        <v>2.99E-4</v>
      </c>
      <c r="AR82">
        <v>2.99E-4</v>
      </c>
      <c r="AS82">
        <v>2.99E-4</v>
      </c>
      <c r="AT82">
        <v>2.99E-4</v>
      </c>
      <c r="AU82">
        <v>2.7099999999999997E-4</v>
      </c>
      <c r="AV82">
        <v>2.7099999999999997E-4</v>
      </c>
      <c r="AW82">
        <v>2.7099999999999997E-4</v>
      </c>
      <c r="AX82">
        <v>2.7099999999999997E-4</v>
      </c>
      <c r="AY82">
        <v>2.7099999999999997E-4</v>
      </c>
      <c r="AZ82">
        <v>2.3000000000000001E-4</v>
      </c>
      <c r="BA82">
        <v>2.3000000000000001E-4</v>
      </c>
      <c r="BB82">
        <v>2.3000000000000001E-4</v>
      </c>
      <c r="BC82">
        <v>2.3000000000000001E-4</v>
      </c>
      <c r="BD82">
        <v>2.3000000000000001E-4</v>
      </c>
      <c r="BE82">
        <v>2.1000000000000001E-4</v>
      </c>
      <c r="BF82">
        <v>2.1000000000000001E-4</v>
      </c>
      <c r="BG82">
        <v>2.1000000000000001E-4</v>
      </c>
      <c r="BH82">
        <v>2.1000000000000001E-4</v>
      </c>
      <c r="BI82">
        <v>2.1000000000000001E-4</v>
      </c>
      <c r="BJ82">
        <v>1.8699999999999999E-4</v>
      </c>
      <c r="BK82">
        <v>1.8699999999999999E-4</v>
      </c>
      <c r="BL82">
        <v>1.8699999999999999E-4</v>
      </c>
      <c r="BM82">
        <v>1.8699999999999999E-4</v>
      </c>
      <c r="BN82">
        <v>1.8699999999999999E-4</v>
      </c>
      <c r="BO82">
        <v>1.75E-4</v>
      </c>
      <c r="BP82">
        <v>1.75E-4</v>
      </c>
      <c r="BQ82">
        <v>1.75E-4</v>
      </c>
      <c r="BR82">
        <v>1.75E-4</v>
      </c>
      <c r="BS82">
        <v>1.75E-4</v>
      </c>
      <c r="BT82">
        <v>1.7000000000000001E-4</v>
      </c>
      <c r="BU82">
        <v>1.7000000000000001E-4</v>
      </c>
      <c r="BV82">
        <v>1.7000000000000001E-4</v>
      </c>
      <c r="BW82">
        <v>1.7000000000000001E-4</v>
      </c>
      <c r="BX82">
        <v>1.7000000000000001E-4</v>
      </c>
      <c r="BY82">
        <v>1.5699999999999999E-4</v>
      </c>
      <c r="BZ82">
        <v>1.5699999999999999E-4</v>
      </c>
      <c r="CA82">
        <v>1.5699999999999999E-4</v>
      </c>
      <c r="CB82">
        <v>1.5699999999999999E-4</v>
      </c>
      <c r="CC82">
        <v>1.5699999999999999E-4</v>
      </c>
      <c r="CD82">
        <v>1.5699999999999999E-4</v>
      </c>
      <c r="CE82">
        <v>1.5699999999999999E-4</v>
      </c>
      <c r="CF82">
        <v>1.5699999999999999E-4</v>
      </c>
      <c r="CG82">
        <v>1.5699999999999999E-4</v>
      </c>
      <c r="CH82">
        <v>1.5699999999999999E-4</v>
      </c>
      <c r="CI82">
        <v>1.5699999999999999E-4</v>
      </c>
      <c r="CJ82">
        <v>1.5699999999999999E-4</v>
      </c>
      <c r="CK82">
        <v>1.5699999999999999E-4</v>
      </c>
      <c r="CL82">
        <v>1.5699999999999999E-4</v>
      </c>
      <c r="CM82">
        <v>1.5699999999999999E-4</v>
      </c>
      <c r="CN82">
        <v>1.5699999999999999E-4</v>
      </c>
      <c r="CO82">
        <v>1.5699999999999999E-4</v>
      </c>
      <c r="CP82">
        <v>1.5699999999999999E-4</v>
      </c>
      <c r="CQ82">
        <v>1.5699999999999999E-4</v>
      </c>
      <c r="CR82">
        <v>1.5699999999999999E-4</v>
      </c>
      <c r="CS82">
        <v>1.5699999999999999E-4</v>
      </c>
      <c r="CT82">
        <v>1.5699999999999999E-4</v>
      </c>
      <c r="CU82">
        <v>1.5699999999999999E-4</v>
      </c>
      <c r="CV82">
        <v>1.5699999999999999E-4</v>
      </c>
      <c r="CW82">
        <v>1.5699999999999999E-4</v>
      </c>
      <c r="CX82">
        <v>1.5699999999999999E-4</v>
      </c>
    </row>
    <row r="83" spans="1:102" x14ac:dyDescent="0.25">
      <c r="A83" t="s">
        <v>231</v>
      </c>
      <c r="B83" t="e">
        <v>#VALUE!</v>
      </c>
      <c r="C83" t="e">
        <v>#VALUE!</v>
      </c>
      <c r="D83" t="e">
        <v>#VALUE!</v>
      </c>
      <c r="E83" t="e">
        <v>#VALUE!</v>
      </c>
      <c r="F83" t="e">
        <v>#VALUE!</v>
      </c>
      <c r="G83" t="e">
        <v>#VALUE!</v>
      </c>
      <c r="H83" t="e">
        <v>#VALUE!</v>
      </c>
      <c r="I83" t="e">
        <v>#VALUE!</v>
      </c>
      <c r="J83" t="e">
        <v>#VALUE!</v>
      </c>
      <c r="K83" t="e">
        <v>#VALUE!</v>
      </c>
      <c r="L83" t="e">
        <v>#VALUE!</v>
      </c>
      <c r="M83" t="e">
        <v>#VALUE!</v>
      </c>
      <c r="N83" t="e">
        <v>#VALUE!</v>
      </c>
      <c r="O83" t="e">
        <v>#VALUE!</v>
      </c>
      <c r="P83" t="e">
        <v>#VALUE!</v>
      </c>
      <c r="Q83">
        <v>3.0000000000000001E-5</v>
      </c>
      <c r="R83">
        <v>3.0000000000000001E-5</v>
      </c>
      <c r="S83">
        <v>3.0000000000000001E-5</v>
      </c>
      <c r="T83">
        <v>3.0000000000000001E-5</v>
      </c>
      <c r="U83">
        <v>3.0000000000000001E-5</v>
      </c>
      <c r="V83">
        <v>3.0000000000000001E-5</v>
      </c>
      <c r="W83">
        <v>3.0000000000000001E-5</v>
      </c>
      <c r="X83">
        <v>3.0000000000000001E-5</v>
      </c>
      <c r="Y83">
        <v>3.0000000000000001E-5</v>
      </c>
      <c r="Z83">
        <v>3.0000000000000001E-5</v>
      </c>
      <c r="AA83">
        <v>3.0000000000000001E-5</v>
      </c>
      <c r="AB83">
        <v>3.0000000000000001E-5</v>
      </c>
      <c r="AC83">
        <v>3.0000000000000001E-5</v>
      </c>
      <c r="AD83">
        <v>3.0000000000000001E-5</v>
      </c>
      <c r="AE83">
        <v>3.0000000000000001E-5</v>
      </c>
      <c r="AF83">
        <v>3.0000000000000001E-5</v>
      </c>
      <c r="AG83">
        <v>3.0000000000000001E-5</v>
      </c>
      <c r="AH83">
        <v>3.0000000000000001E-5</v>
      </c>
      <c r="AI83">
        <v>3.0000000000000001E-5</v>
      </c>
      <c r="AJ83">
        <v>3.0000000000000001E-5</v>
      </c>
      <c r="AK83">
        <v>3.0000000000000001E-5</v>
      </c>
      <c r="AL83">
        <v>3.0000000000000001E-5</v>
      </c>
      <c r="AM83">
        <v>3.0000000000000001E-5</v>
      </c>
      <c r="AN83">
        <v>3.0000000000000001E-5</v>
      </c>
      <c r="AO83">
        <v>3.0000000000000001E-5</v>
      </c>
      <c r="AP83">
        <v>1.0900000000000001E-4</v>
      </c>
      <c r="AQ83">
        <v>1.0900000000000001E-4</v>
      </c>
      <c r="AR83">
        <v>1.0900000000000001E-4</v>
      </c>
      <c r="AS83">
        <v>1.0900000000000001E-4</v>
      </c>
      <c r="AT83">
        <v>1.0900000000000001E-4</v>
      </c>
      <c r="AU83">
        <v>1.22E-4</v>
      </c>
      <c r="AV83">
        <v>1.22E-4</v>
      </c>
      <c r="AW83">
        <v>1.22E-4</v>
      </c>
      <c r="AX83">
        <v>1.22E-4</v>
      </c>
      <c r="AY83">
        <v>1.22E-4</v>
      </c>
      <c r="AZ83">
        <v>1.13E-4</v>
      </c>
      <c r="BA83">
        <v>1.13E-4</v>
      </c>
      <c r="BB83">
        <v>1.13E-4</v>
      </c>
      <c r="BC83">
        <v>1.13E-4</v>
      </c>
      <c r="BD83">
        <v>1.13E-4</v>
      </c>
      <c r="BE83">
        <v>1.05E-4</v>
      </c>
      <c r="BF83">
        <v>1.05E-4</v>
      </c>
      <c r="BG83">
        <v>1.05E-4</v>
      </c>
      <c r="BH83">
        <v>1.05E-4</v>
      </c>
      <c r="BI83">
        <v>1.05E-4</v>
      </c>
      <c r="BJ83">
        <v>1.01E-4</v>
      </c>
      <c r="BK83">
        <v>1.01E-4</v>
      </c>
      <c r="BL83">
        <v>1.01E-4</v>
      </c>
      <c r="BM83">
        <v>1.01E-4</v>
      </c>
      <c r="BN83">
        <v>1.01E-4</v>
      </c>
      <c r="BO83">
        <v>1.05E-4</v>
      </c>
      <c r="BP83">
        <v>1.05E-4</v>
      </c>
      <c r="BQ83">
        <v>1.05E-4</v>
      </c>
      <c r="BR83">
        <v>1.05E-4</v>
      </c>
      <c r="BS83">
        <v>1.05E-4</v>
      </c>
      <c r="BT83">
        <v>9.8999999999999994E-5</v>
      </c>
      <c r="BU83">
        <v>9.8999999999999994E-5</v>
      </c>
      <c r="BV83">
        <v>9.8999999999999994E-5</v>
      </c>
      <c r="BW83">
        <v>9.8999999999999994E-5</v>
      </c>
      <c r="BX83">
        <v>9.8999999999999994E-5</v>
      </c>
      <c r="BY83">
        <v>1.05E-4</v>
      </c>
      <c r="BZ83">
        <v>1.05E-4</v>
      </c>
      <c r="CA83">
        <v>1.05E-4</v>
      </c>
      <c r="CB83">
        <v>1.05E-4</v>
      </c>
      <c r="CC83">
        <v>1.05E-4</v>
      </c>
      <c r="CD83">
        <v>1.05E-4</v>
      </c>
      <c r="CE83">
        <v>1.05E-4</v>
      </c>
      <c r="CF83">
        <v>1.05E-4</v>
      </c>
      <c r="CG83">
        <v>1.05E-4</v>
      </c>
      <c r="CH83">
        <v>1.05E-4</v>
      </c>
      <c r="CI83">
        <v>1.05E-4</v>
      </c>
      <c r="CJ83">
        <v>1.05E-4</v>
      </c>
      <c r="CK83">
        <v>1.05E-4</v>
      </c>
      <c r="CL83">
        <v>1.05E-4</v>
      </c>
      <c r="CM83">
        <v>1.05E-4</v>
      </c>
      <c r="CN83">
        <v>1.05E-4</v>
      </c>
      <c r="CO83">
        <v>1.05E-4</v>
      </c>
      <c r="CP83">
        <v>1.05E-4</v>
      </c>
      <c r="CQ83">
        <v>1.05E-4</v>
      </c>
      <c r="CR83">
        <v>1.05E-4</v>
      </c>
      <c r="CS83">
        <v>1.05E-4</v>
      </c>
      <c r="CT83">
        <v>1.05E-4</v>
      </c>
      <c r="CU83">
        <v>1.05E-4</v>
      </c>
      <c r="CV83">
        <v>1.05E-4</v>
      </c>
      <c r="CW83">
        <v>1.05E-4</v>
      </c>
      <c r="CX83">
        <v>1.05E-4</v>
      </c>
    </row>
    <row r="84" spans="1:102" x14ac:dyDescent="0.25">
      <c r="A84" t="s">
        <v>233</v>
      </c>
      <c r="B84" t="e">
        <v>#VALUE!</v>
      </c>
      <c r="C84" t="e">
        <v>#VALUE!</v>
      </c>
      <c r="D84" t="e">
        <v>#VALUE!</v>
      </c>
      <c r="E84" t="e">
        <v>#VALUE!</v>
      </c>
      <c r="F84" t="e">
        <v>#VALUE!</v>
      </c>
      <c r="G84" t="e">
        <v>#VALUE!</v>
      </c>
      <c r="H84" t="e">
        <v>#VALUE!</v>
      </c>
      <c r="I84" t="e">
        <v>#VALUE!</v>
      </c>
      <c r="J84" t="e">
        <v>#VALUE!</v>
      </c>
      <c r="K84" t="e">
        <v>#VALUE!</v>
      </c>
      <c r="L84" t="e">
        <v>#VALUE!</v>
      </c>
      <c r="M84" t="e">
        <v>#VALUE!</v>
      </c>
      <c r="N84" t="e">
        <v>#VALUE!</v>
      </c>
      <c r="O84" t="e">
        <v>#VALUE!</v>
      </c>
      <c r="P84" t="e">
        <v>#VALUE!</v>
      </c>
      <c r="Q84">
        <v>6.2000000000000003E-5</v>
      </c>
      <c r="R84">
        <v>6.2000000000000003E-5</v>
      </c>
      <c r="S84">
        <v>6.2000000000000003E-5</v>
      </c>
      <c r="T84">
        <v>6.2000000000000003E-5</v>
      </c>
      <c r="U84">
        <v>6.2000000000000003E-5</v>
      </c>
      <c r="V84">
        <v>6.2000000000000003E-5</v>
      </c>
      <c r="W84">
        <v>6.2000000000000003E-5</v>
      </c>
      <c r="X84">
        <v>6.2000000000000003E-5</v>
      </c>
      <c r="Y84">
        <v>6.2000000000000003E-5</v>
      </c>
      <c r="Z84">
        <v>6.2000000000000003E-5</v>
      </c>
      <c r="AA84">
        <v>6.2000000000000003E-5</v>
      </c>
      <c r="AB84">
        <v>6.2000000000000003E-5</v>
      </c>
      <c r="AC84">
        <v>6.2000000000000003E-5</v>
      </c>
      <c r="AD84">
        <v>6.2000000000000003E-5</v>
      </c>
      <c r="AE84">
        <v>6.2000000000000003E-5</v>
      </c>
      <c r="AF84">
        <v>6.2000000000000003E-5</v>
      </c>
      <c r="AG84">
        <v>6.2000000000000003E-5</v>
      </c>
      <c r="AH84">
        <v>6.2000000000000003E-5</v>
      </c>
      <c r="AI84">
        <v>6.2000000000000003E-5</v>
      </c>
      <c r="AJ84">
        <v>6.2000000000000003E-5</v>
      </c>
      <c r="AK84">
        <v>6.2000000000000003E-5</v>
      </c>
      <c r="AL84">
        <v>6.2000000000000003E-5</v>
      </c>
      <c r="AM84">
        <v>6.2000000000000003E-5</v>
      </c>
      <c r="AN84">
        <v>6.2000000000000003E-5</v>
      </c>
      <c r="AO84">
        <v>6.2000000000000003E-5</v>
      </c>
      <c r="AP84">
        <v>1.4100000000000001E-4</v>
      </c>
      <c r="AQ84">
        <v>1.4100000000000001E-4</v>
      </c>
      <c r="AR84">
        <v>1.4100000000000001E-4</v>
      </c>
      <c r="AS84">
        <v>1.4100000000000001E-4</v>
      </c>
      <c r="AT84">
        <v>1.4100000000000001E-4</v>
      </c>
      <c r="AU84">
        <v>1.4899999999999999E-4</v>
      </c>
      <c r="AV84">
        <v>1.4899999999999999E-4</v>
      </c>
      <c r="AW84">
        <v>1.4899999999999999E-4</v>
      </c>
      <c r="AX84">
        <v>1.4899999999999999E-4</v>
      </c>
      <c r="AY84">
        <v>1.4899999999999999E-4</v>
      </c>
      <c r="AZ84">
        <v>1.4200000000000001E-4</v>
      </c>
      <c r="BA84">
        <v>1.4200000000000001E-4</v>
      </c>
      <c r="BB84">
        <v>1.4200000000000001E-4</v>
      </c>
      <c r="BC84">
        <v>1.4200000000000001E-4</v>
      </c>
      <c r="BD84">
        <v>1.4200000000000001E-4</v>
      </c>
      <c r="BE84">
        <v>1.3799999999999999E-4</v>
      </c>
      <c r="BF84">
        <v>1.3799999999999999E-4</v>
      </c>
      <c r="BG84">
        <v>1.3799999999999999E-4</v>
      </c>
      <c r="BH84">
        <v>1.3799999999999999E-4</v>
      </c>
      <c r="BI84">
        <v>1.3799999999999999E-4</v>
      </c>
      <c r="BJ84">
        <v>1.3300000000000001E-4</v>
      </c>
      <c r="BK84">
        <v>1.3300000000000001E-4</v>
      </c>
      <c r="BL84">
        <v>1.3300000000000001E-4</v>
      </c>
      <c r="BM84">
        <v>1.3300000000000001E-4</v>
      </c>
      <c r="BN84">
        <v>1.3300000000000001E-4</v>
      </c>
      <c r="BO84">
        <v>1.3200000000000001E-4</v>
      </c>
      <c r="BP84">
        <v>1.3200000000000001E-4</v>
      </c>
      <c r="BQ84">
        <v>1.3200000000000001E-4</v>
      </c>
      <c r="BR84">
        <v>1.3200000000000001E-4</v>
      </c>
      <c r="BS84">
        <v>1.3200000000000001E-4</v>
      </c>
      <c r="BT84">
        <v>1.2799999999999999E-4</v>
      </c>
      <c r="BU84">
        <v>1.2799999999999999E-4</v>
      </c>
      <c r="BV84">
        <v>1.2799999999999999E-4</v>
      </c>
      <c r="BW84">
        <v>1.2799999999999999E-4</v>
      </c>
      <c r="BX84">
        <v>1.2799999999999999E-4</v>
      </c>
      <c r="BY84">
        <v>1.01E-4</v>
      </c>
      <c r="BZ84">
        <v>1.01E-4</v>
      </c>
      <c r="CA84">
        <v>1.01E-4</v>
      </c>
      <c r="CB84">
        <v>1.01E-4</v>
      </c>
      <c r="CC84">
        <v>1.01E-4</v>
      </c>
      <c r="CD84">
        <v>1.01E-4</v>
      </c>
      <c r="CE84">
        <v>1.01E-4</v>
      </c>
      <c r="CF84">
        <v>1.01E-4</v>
      </c>
      <c r="CG84">
        <v>1.01E-4</v>
      </c>
      <c r="CH84">
        <v>1.01E-4</v>
      </c>
      <c r="CI84">
        <v>1.01E-4</v>
      </c>
      <c r="CJ84">
        <v>1.01E-4</v>
      </c>
      <c r="CK84">
        <v>1.01E-4</v>
      </c>
      <c r="CL84">
        <v>1.01E-4</v>
      </c>
      <c r="CM84">
        <v>1.01E-4</v>
      </c>
      <c r="CN84">
        <v>1.01E-4</v>
      </c>
      <c r="CO84">
        <v>1.01E-4</v>
      </c>
      <c r="CP84">
        <v>1.01E-4</v>
      </c>
      <c r="CQ84">
        <v>1.01E-4</v>
      </c>
      <c r="CR84">
        <v>1.01E-4</v>
      </c>
      <c r="CS84">
        <v>1.01E-4</v>
      </c>
      <c r="CT84">
        <v>1.01E-4</v>
      </c>
      <c r="CU84">
        <v>1.01E-4</v>
      </c>
      <c r="CV84">
        <v>1.01E-4</v>
      </c>
      <c r="CW84">
        <v>1.01E-4</v>
      </c>
      <c r="CX84">
        <v>1.01E-4</v>
      </c>
    </row>
    <row r="85" spans="1:102" x14ac:dyDescent="0.25">
      <c r="A85" t="s">
        <v>235</v>
      </c>
      <c r="B85" t="e">
        <v>#VALUE!</v>
      </c>
      <c r="C85" t="e">
        <v>#VALUE!</v>
      </c>
      <c r="D85" t="e">
        <v>#VALUE!</v>
      </c>
      <c r="E85" t="e">
        <v>#VALUE!</v>
      </c>
      <c r="F85" t="e">
        <v>#VALUE!</v>
      </c>
      <c r="G85" t="e">
        <v>#VALUE!</v>
      </c>
      <c r="H85" t="e">
        <v>#VALUE!</v>
      </c>
      <c r="I85" t="e">
        <v>#VALUE!</v>
      </c>
      <c r="J85" t="e">
        <v>#VALUE!</v>
      </c>
      <c r="K85" t="e">
        <v>#VALUE!</v>
      </c>
      <c r="L85" t="e">
        <v>#VALUE!</v>
      </c>
      <c r="M85" t="e">
        <v>#VALUE!</v>
      </c>
      <c r="N85" t="e">
        <v>#VALUE!</v>
      </c>
      <c r="O85" t="e">
        <v>#VALUE!</v>
      </c>
      <c r="P85" t="e">
        <v>#VALUE!</v>
      </c>
      <c r="Q85">
        <v>1.7200000000000001E-4</v>
      </c>
      <c r="R85">
        <v>1.7200000000000001E-4</v>
      </c>
      <c r="S85">
        <v>1.7200000000000001E-4</v>
      </c>
      <c r="T85">
        <v>1.7200000000000001E-4</v>
      </c>
      <c r="U85">
        <v>1.7200000000000001E-4</v>
      </c>
      <c r="V85">
        <v>1.7200000000000001E-4</v>
      </c>
      <c r="W85">
        <v>1.7200000000000001E-4</v>
      </c>
      <c r="X85">
        <v>1.7200000000000001E-4</v>
      </c>
      <c r="Y85">
        <v>1.7200000000000001E-4</v>
      </c>
      <c r="Z85">
        <v>1.7200000000000001E-4</v>
      </c>
      <c r="AA85">
        <v>1.7200000000000001E-4</v>
      </c>
      <c r="AB85">
        <v>1.7200000000000001E-4</v>
      </c>
      <c r="AC85">
        <v>1.7200000000000001E-4</v>
      </c>
      <c r="AD85">
        <v>1.7200000000000001E-4</v>
      </c>
      <c r="AE85">
        <v>1.7200000000000001E-4</v>
      </c>
      <c r="AF85">
        <v>1.7200000000000001E-4</v>
      </c>
      <c r="AG85">
        <v>1.7200000000000001E-4</v>
      </c>
      <c r="AH85">
        <v>1.7200000000000001E-4</v>
      </c>
      <c r="AI85">
        <v>1.7200000000000001E-4</v>
      </c>
      <c r="AJ85">
        <v>1.7200000000000001E-4</v>
      </c>
      <c r="AK85">
        <v>1.7200000000000001E-4</v>
      </c>
      <c r="AL85">
        <v>1.7200000000000001E-4</v>
      </c>
      <c r="AM85">
        <v>1.7200000000000001E-4</v>
      </c>
      <c r="AN85">
        <v>1.7200000000000001E-4</v>
      </c>
      <c r="AO85">
        <v>1.7200000000000001E-4</v>
      </c>
      <c r="AP85">
        <v>5.5199999999999997E-4</v>
      </c>
      <c r="AQ85">
        <v>5.5199999999999997E-4</v>
      </c>
      <c r="AR85">
        <v>5.5199999999999997E-4</v>
      </c>
      <c r="AS85">
        <v>5.5199999999999997E-4</v>
      </c>
      <c r="AT85">
        <v>5.5199999999999997E-4</v>
      </c>
      <c r="AU85">
        <v>6.4499999999999996E-4</v>
      </c>
      <c r="AV85">
        <v>6.4499999999999996E-4</v>
      </c>
      <c r="AW85">
        <v>6.4499999999999996E-4</v>
      </c>
      <c r="AX85">
        <v>6.4499999999999996E-4</v>
      </c>
      <c r="AY85">
        <v>6.4499999999999996E-4</v>
      </c>
      <c r="AZ85">
        <v>6.5799999999999995E-4</v>
      </c>
      <c r="BA85">
        <v>6.5799999999999995E-4</v>
      </c>
      <c r="BB85">
        <v>6.5799999999999995E-4</v>
      </c>
      <c r="BC85">
        <v>6.5799999999999995E-4</v>
      </c>
      <c r="BD85">
        <v>6.5799999999999995E-4</v>
      </c>
      <c r="BE85">
        <v>6.3299999999999999E-4</v>
      </c>
      <c r="BF85">
        <v>6.3299999999999999E-4</v>
      </c>
      <c r="BG85">
        <v>6.3299999999999999E-4</v>
      </c>
      <c r="BH85">
        <v>6.3299999999999999E-4</v>
      </c>
      <c r="BI85">
        <v>6.3299999999999999E-4</v>
      </c>
      <c r="BJ85">
        <v>6.2200000000000005E-4</v>
      </c>
      <c r="BK85">
        <v>6.2200000000000005E-4</v>
      </c>
      <c r="BL85">
        <v>6.2200000000000005E-4</v>
      </c>
      <c r="BM85">
        <v>6.2200000000000005E-4</v>
      </c>
      <c r="BN85">
        <v>6.2200000000000005E-4</v>
      </c>
      <c r="BO85">
        <v>6.1600000000000001E-4</v>
      </c>
      <c r="BP85">
        <v>6.1600000000000001E-4</v>
      </c>
      <c r="BQ85">
        <v>6.1600000000000001E-4</v>
      </c>
      <c r="BR85">
        <v>6.1600000000000001E-4</v>
      </c>
      <c r="BS85">
        <v>6.1600000000000001E-4</v>
      </c>
      <c r="BT85">
        <v>6.3500000000000004E-4</v>
      </c>
      <c r="BU85">
        <v>6.3500000000000004E-4</v>
      </c>
      <c r="BV85">
        <v>6.3500000000000004E-4</v>
      </c>
      <c r="BW85">
        <v>6.3500000000000004E-4</v>
      </c>
      <c r="BX85">
        <v>6.3500000000000004E-4</v>
      </c>
      <c r="BY85">
        <v>6.3199999999999997E-4</v>
      </c>
      <c r="BZ85">
        <v>6.3199999999999997E-4</v>
      </c>
      <c r="CA85">
        <v>6.3199999999999997E-4</v>
      </c>
      <c r="CB85">
        <v>6.3199999999999997E-4</v>
      </c>
      <c r="CC85">
        <v>6.3199999999999997E-4</v>
      </c>
      <c r="CD85">
        <v>6.3199999999999997E-4</v>
      </c>
      <c r="CE85">
        <v>6.3199999999999997E-4</v>
      </c>
      <c r="CF85">
        <v>6.3199999999999997E-4</v>
      </c>
      <c r="CG85">
        <v>6.3199999999999997E-4</v>
      </c>
      <c r="CH85">
        <v>6.3199999999999997E-4</v>
      </c>
      <c r="CI85">
        <v>6.3199999999999997E-4</v>
      </c>
      <c r="CJ85">
        <v>6.3199999999999997E-4</v>
      </c>
      <c r="CK85">
        <v>6.3199999999999997E-4</v>
      </c>
      <c r="CL85">
        <v>6.3199999999999997E-4</v>
      </c>
      <c r="CM85">
        <v>6.3199999999999997E-4</v>
      </c>
      <c r="CN85">
        <v>6.3199999999999997E-4</v>
      </c>
      <c r="CO85">
        <v>6.3199999999999997E-4</v>
      </c>
      <c r="CP85">
        <v>6.3199999999999997E-4</v>
      </c>
      <c r="CQ85">
        <v>6.3199999999999997E-4</v>
      </c>
      <c r="CR85">
        <v>6.3199999999999997E-4</v>
      </c>
      <c r="CS85">
        <v>6.3199999999999997E-4</v>
      </c>
      <c r="CT85">
        <v>6.3199999999999997E-4</v>
      </c>
      <c r="CU85">
        <v>6.3199999999999997E-4</v>
      </c>
      <c r="CV85">
        <v>6.3199999999999997E-4</v>
      </c>
      <c r="CW85">
        <v>6.3199999999999997E-4</v>
      </c>
      <c r="CX85">
        <v>6.3199999999999997E-4</v>
      </c>
    </row>
    <row r="86" spans="1:102" x14ac:dyDescent="0.25">
      <c r="A86" t="s">
        <v>237</v>
      </c>
      <c r="B86" t="e">
        <v>#VALUE!</v>
      </c>
      <c r="C86" t="e">
        <v>#VALUE!</v>
      </c>
      <c r="D86" t="e">
        <v>#VALUE!</v>
      </c>
      <c r="E86" t="e">
        <v>#VALUE!</v>
      </c>
      <c r="F86" t="e">
        <v>#VALUE!</v>
      </c>
      <c r="G86" t="e">
        <v>#VALUE!</v>
      </c>
      <c r="H86" t="e">
        <v>#VALUE!</v>
      </c>
      <c r="I86" t="e">
        <v>#VALUE!</v>
      </c>
      <c r="J86" t="e">
        <v>#VALUE!</v>
      </c>
      <c r="K86" t="e">
        <v>#VALUE!</v>
      </c>
      <c r="L86" t="e">
        <v>#VALUE!</v>
      </c>
      <c r="M86" t="e">
        <v>#VALUE!</v>
      </c>
      <c r="N86" t="e">
        <v>#VALUE!</v>
      </c>
      <c r="O86" t="e">
        <v>#VALUE!</v>
      </c>
      <c r="P86" t="e">
        <v>#VALUE!</v>
      </c>
      <c r="Q86">
        <v>1.2899999999999999E-4</v>
      </c>
      <c r="R86">
        <v>1.2899999999999999E-4</v>
      </c>
      <c r="S86">
        <v>1.2899999999999999E-4</v>
      </c>
      <c r="T86">
        <v>1.2899999999999999E-4</v>
      </c>
      <c r="U86">
        <v>1.2899999999999999E-4</v>
      </c>
      <c r="V86">
        <v>1.2899999999999999E-4</v>
      </c>
      <c r="W86">
        <v>1.2899999999999999E-4</v>
      </c>
      <c r="X86">
        <v>1.2899999999999999E-4</v>
      </c>
      <c r="Y86">
        <v>1.2899999999999999E-4</v>
      </c>
      <c r="Z86">
        <v>1.2899999999999999E-4</v>
      </c>
      <c r="AA86">
        <v>1.2899999999999999E-4</v>
      </c>
      <c r="AB86">
        <v>1.2899999999999999E-4</v>
      </c>
      <c r="AC86">
        <v>1.2899999999999999E-4</v>
      </c>
      <c r="AD86">
        <v>1.2899999999999999E-4</v>
      </c>
      <c r="AE86">
        <v>1.2899999999999999E-4</v>
      </c>
      <c r="AF86">
        <v>1.2899999999999999E-4</v>
      </c>
      <c r="AG86">
        <v>1.2899999999999999E-4</v>
      </c>
      <c r="AH86">
        <v>1.2899999999999999E-4</v>
      </c>
      <c r="AI86">
        <v>1.2899999999999999E-4</v>
      </c>
      <c r="AJ86">
        <v>1.2899999999999999E-4</v>
      </c>
      <c r="AK86">
        <v>1.2899999999999999E-4</v>
      </c>
      <c r="AL86">
        <v>1.2899999999999999E-4</v>
      </c>
      <c r="AM86">
        <v>1.2899999999999999E-4</v>
      </c>
      <c r="AN86">
        <v>1.2899999999999999E-4</v>
      </c>
      <c r="AO86">
        <v>1.2899999999999999E-4</v>
      </c>
      <c r="AP86">
        <v>2.3699999999999999E-4</v>
      </c>
      <c r="AQ86">
        <v>2.3699999999999999E-4</v>
      </c>
      <c r="AR86">
        <v>2.3699999999999999E-4</v>
      </c>
      <c r="AS86">
        <v>2.3699999999999999E-4</v>
      </c>
      <c r="AT86">
        <v>2.3699999999999999E-4</v>
      </c>
      <c r="AU86">
        <v>2.2100000000000001E-4</v>
      </c>
      <c r="AV86">
        <v>2.2100000000000001E-4</v>
      </c>
      <c r="AW86">
        <v>2.2100000000000001E-4</v>
      </c>
      <c r="AX86">
        <v>2.2100000000000001E-4</v>
      </c>
      <c r="AY86">
        <v>2.2100000000000001E-4</v>
      </c>
      <c r="AZ86">
        <v>1.94E-4</v>
      </c>
      <c r="BA86">
        <v>1.94E-4</v>
      </c>
      <c r="BB86">
        <v>1.94E-4</v>
      </c>
      <c r="BC86">
        <v>1.94E-4</v>
      </c>
      <c r="BD86">
        <v>1.94E-4</v>
      </c>
      <c r="BE86">
        <v>1.74E-4</v>
      </c>
      <c r="BF86">
        <v>1.74E-4</v>
      </c>
      <c r="BG86">
        <v>1.74E-4</v>
      </c>
      <c r="BH86">
        <v>1.74E-4</v>
      </c>
      <c r="BI86">
        <v>1.74E-4</v>
      </c>
      <c r="BJ86">
        <v>1.5699999999999999E-4</v>
      </c>
      <c r="BK86">
        <v>1.5699999999999999E-4</v>
      </c>
      <c r="BL86">
        <v>1.5699999999999999E-4</v>
      </c>
      <c r="BM86">
        <v>1.5699999999999999E-4</v>
      </c>
      <c r="BN86">
        <v>1.5699999999999999E-4</v>
      </c>
      <c r="BO86">
        <v>1.4999999999999999E-4</v>
      </c>
      <c r="BP86">
        <v>1.4999999999999999E-4</v>
      </c>
      <c r="BQ86">
        <v>1.4999999999999999E-4</v>
      </c>
      <c r="BR86">
        <v>1.4999999999999999E-4</v>
      </c>
      <c r="BS86">
        <v>1.4999999999999999E-4</v>
      </c>
      <c r="BT86">
        <v>1.4999999999999999E-4</v>
      </c>
      <c r="BU86">
        <v>1.4999999999999999E-4</v>
      </c>
      <c r="BV86">
        <v>1.4999999999999999E-4</v>
      </c>
      <c r="BW86">
        <v>1.4999999999999999E-4</v>
      </c>
      <c r="BX86">
        <v>1.4999999999999999E-4</v>
      </c>
      <c r="BY86">
        <v>1.8100000000000001E-4</v>
      </c>
      <c r="BZ86">
        <v>1.8100000000000001E-4</v>
      </c>
      <c r="CA86">
        <v>1.8100000000000001E-4</v>
      </c>
      <c r="CB86">
        <v>1.8100000000000001E-4</v>
      </c>
      <c r="CC86">
        <v>1.8100000000000001E-4</v>
      </c>
      <c r="CD86">
        <v>1.8100000000000001E-4</v>
      </c>
      <c r="CE86">
        <v>1.8100000000000001E-4</v>
      </c>
      <c r="CF86">
        <v>1.8100000000000001E-4</v>
      </c>
      <c r="CG86">
        <v>1.8100000000000001E-4</v>
      </c>
      <c r="CH86">
        <v>1.8100000000000001E-4</v>
      </c>
      <c r="CI86">
        <v>1.8100000000000001E-4</v>
      </c>
      <c r="CJ86">
        <v>1.8100000000000001E-4</v>
      </c>
      <c r="CK86">
        <v>1.8100000000000001E-4</v>
      </c>
      <c r="CL86">
        <v>1.8100000000000001E-4</v>
      </c>
      <c r="CM86">
        <v>1.8100000000000001E-4</v>
      </c>
      <c r="CN86">
        <v>1.8100000000000001E-4</v>
      </c>
      <c r="CO86">
        <v>1.8100000000000001E-4</v>
      </c>
      <c r="CP86">
        <v>1.8100000000000001E-4</v>
      </c>
      <c r="CQ86">
        <v>1.8100000000000001E-4</v>
      </c>
      <c r="CR86">
        <v>1.8100000000000001E-4</v>
      </c>
      <c r="CS86">
        <v>1.8100000000000001E-4</v>
      </c>
      <c r="CT86">
        <v>1.8100000000000001E-4</v>
      </c>
      <c r="CU86">
        <v>1.8100000000000001E-4</v>
      </c>
      <c r="CV86">
        <v>1.8100000000000001E-4</v>
      </c>
      <c r="CW86">
        <v>1.8100000000000001E-4</v>
      </c>
      <c r="CX86">
        <v>1.8100000000000001E-4</v>
      </c>
    </row>
    <row r="87" spans="1:102" x14ac:dyDescent="0.25">
      <c r="A87" t="s">
        <v>239</v>
      </c>
      <c r="B87" t="e">
        <v>#VALUE!</v>
      </c>
      <c r="C87" t="e">
        <v>#VALUE!</v>
      </c>
      <c r="D87" t="e">
        <v>#VALUE!</v>
      </c>
      <c r="E87" t="e">
        <v>#VALUE!</v>
      </c>
      <c r="F87" t="e">
        <v>#VALUE!</v>
      </c>
      <c r="G87" t="e">
        <v>#VALUE!</v>
      </c>
      <c r="H87" t="e">
        <v>#VALUE!</v>
      </c>
      <c r="I87" t="e">
        <v>#VALUE!</v>
      </c>
      <c r="J87" t="e">
        <v>#VALUE!</v>
      </c>
      <c r="K87" t="e">
        <v>#VALUE!</v>
      </c>
      <c r="L87" t="e">
        <v>#VALUE!</v>
      </c>
      <c r="M87" t="e">
        <v>#VALUE!</v>
      </c>
      <c r="N87" t="e">
        <v>#VALUE!</v>
      </c>
      <c r="O87" t="e">
        <v>#VALUE!</v>
      </c>
      <c r="P87" t="e">
        <v>#VALUE!</v>
      </c>
      <c r="Q87">
        <v>6.9999999999999999E-6</v>
      </c>
      <c r="R87">
        <v>6.9999999999999999E-6</v>
      </c>
      <c r="S87">
        <v>6.9999999999999999E-6</v>
      </c>
      <c r="T87">
        <v>6.9999999999999999E-6</v>
      </c>
      <c r="U87">
        <v>6.9999999999999999E-6</v>
      </c>
      <c r="V87">
        <v>6.9999999999999999E-6</v>
      </c>
      <c r="W87">
        <v>6.9999999999999999E-6</v>
      </c>
      <c r="X87">
        <v>6.9999999999999999E-6</v>
      </c>
      <c r="Y87">
        <v>6.9999999999999999E-6</v>
      </c>
      <c r="Z87">
        <v>6.9999999999999999E-6</v>
      </c>
      <c r="AA87">
        <v>6.9999999999999999E-6</v>
      </c>
      <c r="AB87">
        <v>6.9999999999999999E-6</v>
      </c>
      <c r="AC87">
        <v>6.9999999999999999E-6</v>
      </c>
      <c r="AD87">
        <v>6.9999999999999999E-6</v>
      </c>
      <c r="AE87">
        <v>6.9999999999999999E-6</v>
      </c>
      <c r="AF87">
        <v>6.9999999999999999E-6</v>
      </c>
      <c r="AG87">
        <v>6.9999999999999999E-6</v>
      </c>
      <c r="AH87">
        <v>6.9999999999999999E-6</v>
      </c>
      <c r="AI87">
        <v>6.9999999999999999E-6</v>
      </c>
      <c r="AJ87">
        <v>6.9999999999999999E-6</v>
      </c>
      <c r="AK87">
        <v>6.9999999999999999E-6</v>
      </c>
      <c r="AL87">
        <v>6.9999999999999999E-6</v>
      </c>
      <c r="AM87">
        <v>6.9999999999999999E-6</v>
      </c>
      <c r="AN87">
        <v>6.9999999999999999E-6</v>
      </c>
      <c r="AO87">
        <v>6.9999999999999999E-6</v>
      </c>
      <c r="AP87">
        <v>5.0000000000000002E-5</v>
      </c>
      <c r="AQ87">
        <v>5.0000000000000002E-5</v>
      </c>
      <c r="AR87">
        <v>5.0000000000000002E-5</v>
      </c>
      <c r="AS87">
        <v>5.0000000000000002E-5</v>
      </c>
      <c r="AT87">
        <v>5.0000000000000002E-5</v>
      </c>
      <c r="AU87">
        <v>8.7000000000000001E-5</v>
      </c>
      <c r="AV87">
        <v>8.7000000000000001E-5</v>
      </c>
      <c r="AW87">
        <v>8.7000000000000001E-5</v>
      </c>
      <c r="AX87">
        <v>8.7000000000000001E-5</v>
      </c>
      <c r="AY87">
        <v>8.7000000000000001E-5</v>
      </c>
      <c r="AZ87">
        <v>5.7000000000000003E-5</v>
      </c>
      <c r="BA87">
        <v>5.7000000000000003E-5</v>
      </c>
      <c r="BB87">
        <v>5.7000000000000003E-5</v>
      </c>
      <c r="BC87">
        <v>5.7000000000000003E-5</v>
      </c>
      <c r="BD87">
        <v>5.7000000000000003E-5</v>
      </c>
      <c r="BE87">
        <v>9.8999999999999994E-5</v>
      </c>
      <c r="BF87">
        <v>9.8999999999999994E-5</v>
      </c>
      <c r="BG87">
        <v>9.8999999999999994E-5</v>
      </c>
      <c r="BH87">
        <v>9.8999999999999994E-5</v>
      </c>
      <c r="BI87">
        <v>9.8999999999999994E-5</v>
      </c>
      <c r="BJ87">
        <v>5.1E-5</v>
      </c>
      <c r="BK87">
        <v>5.1E-5</v>
      </c>
      <c r="BL87">
        <v>5.1E-5</v>
      </c>
      <c r="BM87">
        <v>5.1E-5</v>
      </c>
      <c r="BN87">
        <v>5.1E-5</v>
      </c>
      <c r="BO87">
        <v>6.0000000000000002E-5</v>
      </c>
      <c r="BP87">
        <v>6.0000000000000002E-5</v>
      </c>
      <c r="BQ87">
        <v>6.0000000000000002E-5</v>
      </c>
      <c r="BR87">
        <v>6.0000000000000002E-5</v>
      </c>
      <c r="BS87">
        <v>6.0000000000000002E-5</v>
      </c>
      <c r="BT87">
        <v>2.6999999999999999E-5</v>
      </c>
      <c r="BU87">
        <v>2.6999999999999999E-5</v>
      </c>
      <c r="BV87">
        <v>2.6999999999999999E-5</v>
      </c>
      <c r="BW87">
        <v>2.6999999999999999E-5</v>
      </c>
      <c r="BX87">
        <v>2.6999999999999999E-5</v>
      </c>
      <c r="BY87">
        <v>7.4999999999999993E-5</v>
      </c>
      <c r="BZ87">
        <v>7.4999999999999993E-5</v>
      </c>
      <c r="CA87">
        <v>7.4999999999999993E-5</v>
      </c>
      <c r="CB87">
        <v>7.4999999999999993E-5</v>
      </c>
      <c r="CC87">
        <v>7.4999999999999993E-5</v>
      </c>
      <c r="CD87">
        <v>7.4999999999999993E-5</v>
      </c>
      <c r="CE87">
        <v>7.4999999999999993E-5</v>
      </c>
      <c r="CF87">
        <v>7.4999999999999993E-5</v>
      </c>
      <c r="CG87">
        <v>7.4999999999999993E-5</v>
      </c>
      <c r="CH87">
        <v>7.4999999999999993E-5</v>
      </c>
      <c r="CI87">
        <v>7.4999999999999993E-5</v>
      </c>
      <c r="CJ87">
        <v>7.4999999999999993E-5</v>
      </c>
      <c r="CK87">
        <v>7.4999999999999993E-5</v>
      </c>
      <c r="CL87">
        <v>7.4999999999999993E-5</v>
      </c>
      <c r="CM87">
        <v>7.4999999999999993E-5</v>
      </c>
      <c r="CN87">
        <v>7.4999999999999993E-5</v>
      </c>
      <c r="CO87">
        <v>7.4999999999999993E-5</v>
      </c>
      <c r="CP87">
        <v>7.4999999999999993E-5</v>
      </c>
      <c r="CQ87">
        <v>7.4999999999999993E-5</v>
      </c>
      <c r="CR87">
        <v>7.4999999999999993E-5</v>
      </c>
      <c r="CS87">
        <v>7.4999999999999993E-5</v>
      </c>
      <c r="CT87">
        <v>7.4999999999999993E-5</v>
      </c>
      <c r="CU87">
        <v>7.4999999999999993E-5</v>
      </c>
      <c r="CV87">
        <v>7.4999999999999993E-5</v>
      </c>
      <c r="CW87">
        <v>7.4999999999999993E-5</v>
      </c>
      <c r="CX87">
        <v>7.4999999999999993E-5</v>
      </c>
    </row>
    <row r="88" spans="1:102" x14ac:dyDescent="0.25">
      <c r="A88" t="s">
        <v>241</v>
      </c>
      <c r="B88" t="e">
        <v>#VALUE!</v>
      </c>
      <c r="C88" t="e">
        <v>#VALUE!</v>
      </c>
      <c r="D88" t="e">
        <v>#VALUE!</v>
      </c>
      <c r="E88" t="e">
        <v>#VALUE!</v>
      </c>
      <c r="F88" t="e">
        <v>#VALUE!</v>
      </c>
      <c r="G88" t="e">
        <v>#VALUE!</v>
      </c>
      <c r="H88" t="e">
        <v>#VALUE!</v>
      </c>
      <c r="I88" t="e">
        <v>#VALUE!</v>
      </c>
      <c r="J88" t="e">
        <v>#VALUE!</v>
      </c>
      <c r="K88" t="e">
        <v>#VALUE!</v>
      </c>
      <c r="L88" t="e">
        <v>#VALUE!</v>
      </c>
      <c r="M88" t="e">
        <v>#VALUE!</v>
      </c>
      <c r="N88" t="e">
        <v>#VALUE!</v>
      </c>
      <c r="O88" t="e">
        <v>#VALUE!</v>
      </c>
      <c r="P88" t="e">
        <v>#VALUE!</v>
      </c>
      <c r="Q88">
        <v>3.1500000000000001E-4</v>
      </c>
      <c r="R88">
        <v>3.1500000000000001E-4</v>
      </c>
      <c r="S88">
        <v>3.1500000000000001E-4</v>
      </c>
      <c r="T88">
        <v>3.1500000000000001E-4</v>
      </c>
      <c r="U88">
        <v>3.1500000000000001E-4</v>
      </c>
      <c r="V88">
        <v>3.1500000000000001E-4</v>
      </c>
      <c r="W88">
        <v>3.1500000000000001E-4</v>
      </c>
      <c r="X88">
        <v>3.1500000000000001E-4</v>
      </c>
      <c r="Y88">
        <v>3.1500000000000001E-4</v>
      </c>
      <c r="Z88">
        <v>3.1500000000000001E-4</v>
      </c>
      <c r="AA88">
        <v>3.1500000000000001E-4</v>
      </c>
      <c r="AB88">
        <v>3.1500000000000001E-4</v>
      </c>
      <c r="AC88">
        <v>3.1500000000000001E-4</v>
      </c>
      <c r="AD88">
        <v>3.1500000000000001E-4</v>
      </c>
      <c r="AE88">
        <v>3.1500000000000001E-4</v>
      </c>
      <c r="AF88">
        <v>3.1500000000000001E-4</v>
      </c>
      <c r="AG88">
        <v>3.1500000000000001E-4</v>
      </c>
      <c r="AH88">
        <v>3.1500000000000001E-4</v>
      </c>
      <c r="AI88">
        <v>3.1500000000000001E-4</v>
      </c>
      <c r="AJ88">
        <v>3.1500000000000001E-4</v>
      </c>
      <c r="AK88">
        <v>3.1500000000000001E-4</v>
      </c>
      <c r="AL88">
        <v>3.1500000000000001E-4</v>
      </c>
      <c r="AM88">
        <v>3.1500000000000001E-4</v>
      </c>
      <c r="AN88">
        <v>3.1500000000000001E-4</v>
      </c>
      <c r="AO88">
        <v>3.1500000000000001E-4</v>
      </c>
      <c r="AP88">
        <v>6.4099999999999997E-4</v>
      </c>
      <c r="AQ88">
        <v>6.4099999999999997E-4</v>
      </c>
      <c r="AR88">
        <v>6.4099999999999997E-4</v>
      </c>
      <c r="AS88">
        <v>6.4099999999999997E-4</v>
      </c>
      <c r="AT88">
        <v>6.4099999999999997E-4</v>
      </c>
      <c r="AU88">
        <v>5.9599999999999996E-4</v>
      </c>
      <c r="AV88">
        <v>5.9599999999999996E-4</v>
      </c>
      <c r="AW88">
        <v>5.9599999999999996E-4</v>
      </c>
      <c r="AX88">
        <v>5.9599999999999996E-4</v>
      </c>
      <c r="AY88">
        <v>5.9599999999999996E-4</v>
      </c>
      <c r="AZ88">
        <v>5.4900000000000001E-4</v>
      </c>
      <c r="BA88">
        <v>5.4900000000000001E-4</v>
      </c>
      <c r="BB88">
        <v>5.4900000000000001E-4</v>
      </c>
      <c r="BC88">
        <v>5.4900000000000001E-4</v>
      </c>
      <c r="BD88">
        <v>5.4900000000000001E-4</v>
      </c>
      <c r="BE88">
        <v>5.2099999999999998E-4</v>
      </c>
      <c r="BF88">
        <v>5.2099999999999998E-4</v>
      </c>
      <c r="BG88">
        <v>5.2099999999999998E-4</v>
      </c>
      <c r="BH88">
        <v>5.2099999999999998E-4</v>
      </c>
      <c r="BI88">
        <v>5.2099999999999998E-4</v>
      </c>
      <c r="BJ88">
        <v>5.0500000000000002E-4</v>
      </c>
      <c r="BK88">
        <v>5.0500000000000002E-4</v>
      </c>
      <c r="BL88">
        <v>5.0500000000000002E-4</v>
      </c>
      <c r="BM88">
        <v>5.0500000000000002E-4</v>
      </c>
      <c r="BN88">
        <v>5.0500000000000002E-4</v>
      </c>
      <c r="BO88">
        <v>4.9700000000000005E-4</v>
      </c>
      <c r="BP88">
        <v>4.9700000000000005E-4</v>
      </c>
      <c r="BQ88">
        <v>4.9700000000000005E-4</v>
      </c>
      <c r="BR88">
        <v>4.9700000000000005E-4</v>
      </c>
      <c r="BS88">
        <v>4.9700000000000005E-4</v>
      </c>
      <c r="BT88">
        <v>4.8899999999999996E-4</v>
      </c>
      <c r="BU88">
        <v>4.8899999999999996E-4</v>
      </c>
      <c r="BV88">
        <v>4.8899999999999996E-4</v>
      </c>
      <c r="BW88">
        <v>4.8899999999999996E-4</v>
      </c>
      <c r="BX88">
        <v>4.8899999999999996E-4</v>
      </c>
      <c r="BY88">
        <v>4.8500000000000003E-4</v>
      </c>
      <c r="BZ88">
        <v>4.8500000000000003E-4</v>
      </c>
      <c r="CA88">
        <v>4.8500000000000003E-4</v>
      </c>
      <c r="CB88">
        <v>4.8500000000000003E-4</v>
      </c>
      <c r="CC88">
        <v>4.8500000000000003E-4</v>
      </c>
      <c r="CD88">
        <v>4.8500000000000003E-4</v>
      </c>
      <c r="CE88">
        <v>4.8500000000000003E-4</v>
      </c>
      <c r="CF88">
        <v>4.8500000000000003E-4</v>
      </c>
      <c r="CG88">
        <v>4.8500000000000003E-4</v>
      </c>
      <c r="CH88">
        <v>4.8500000000000003E-4</v>
      </c>
      <c r="CI88">
        <v>4.8500000000000003E-4</v>
      </c>
      <c r="CJ88">
        <v>4.8500000000000003E-4</v>
      </c>
      <c r="CK88">
        <v>4.8500000000000003E-4</v>
      </c>
      <c r="CL88">
        <v>4.8500000000000003E-4</v>
      </c>
      <c r="CM88">
        <v>4.8500000000000003E-4</v>
      </c>
      <c r="CN88">
        <v>4.8500000000000003E-4</v>
      </c>
      <c r="CO88">
        <v>4.8500000000000003E-4</v>
      </c>
      <c r="CP88">
        <v>4.8500000000000003E-4</v>
      </c>
      <c r="CQ88">
        <v>4.8500000000000003E-4</v>
      </c>
      <c r="CR88">
        <v>4.8500000000000003E-4</v>
      </c>
      <c r="CS88">
        <v>4.8500000000000003E-4</v>
      </c>
      <c r="CT88">
        <v>4.8500000000000003E-4</v>
      </c>
      <c r="CU88">
        <v>4.8500000000000003E-4</v>
      </c>
      <c r="CV88">
        <v>4.8500000000000003E-4</v>
      </c>
      <c r="CW88">
        <v>4.8500000000000003E-4</v>
      </c>
      <c r="CX88">
        <v>4.8500000000000003E-4</v>
      </c>
    </row>
    <row r="89" spans="1:102" x14ac:dyDescent="0.25">
      <c r="A89" t="s">
        <v>243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1.13E-4</v>
      </c>
      <c r="R89">
        <v>1.13E-4</v>
      </c>
      <c r="S89">
        <v>1.13E-4</v>
      </c>
      <c r="T89">
        <v>1.13E-4</v>
      </c>
      <c r="U89">
        <v>1.13E-4</v>
      </c>
      <c r="V89">
        <v>1.13E-4</v>
      </c>
      <c r="W89">
        <v>1.13E-4</v>
      </c>
      <c r="X89">
        <v>1.13E-4</v>
      </c>
      <c r="Y89">
        <v>1.13E-4</v>
      </c>
      <c r="Z89">
        <v>1.13E-4</v>
      </c>
      <c r="AA89">
        <v>1.13E-4</v>
      </c>
      <c r="AB89">
        <v>1.13E-4</v>
      </c>
      <c r="AC89">
        <v>1.13E-4</v>
      </c>
      <c r="AD89">
        <v>1.13E-4</v>
      </c>
      <c r="AE89">
        <v>1.13E-4</v>
      </c>
      <c r="AF89">
        <v>1.13E-4</v>
      </c>
      <c r="AG89">
        <v>1.13E-4</v>
      </c>
      <c r="AH89">
        <v>1.13E-4</v>
      </c>
      <c r="AI89">
        <v>1.13E-4</v>
      </c>
      <c r="AJ89">
        <v>1.13E-4</v>
      </c>
      <c r="AK89">
        <v>1.13E-4</v>
      </c>
      <c r="AL89">
        <v>1.13E-4</v>
      </c>
      <c r="AM89">
        <v>1.13E-4</v>
      </c>
      <c r="AN89">
        <v>1.13E-4</v>
      </c>
      <c r="AO89">
        <v>1.13E-4</v>
      </c>
      <c r="AP89">
        <v>6.3500000000000004E-4</v>
      </c>
      <c r="AQ89">
        <v>6.3500000000000004E-4</v>
      </c>
      <c r="AR89">
        <v>6.3500000000000004E-4</v>
      </c>
      <c r="AS89">
        <v>6.3500000000000004E-4</v>
      </c>
      <c r="AT89">
        <v>6.3500000000000004E-4</v>
      </c>
      <c r="AU89">
        <v>8.4000000000000003E-4</v>
      </c>
      <c r="AV89">
        <v>8.4000000000000003E-4</v>
      </c>
      <c r="AW89">
        <v>8.4000000000000003E-4</v>
      </c>
      <c r="AX89">
        <v>8.4000000000000003E-4</v>
      </c>
      <c r="AY89">
        <v>8.4000000000000003E-4</v>
      </c>
      <c r="AZ89">
        <v>1.0449999999999999E-3</v>
      </c>
      <c r="BA89">
        <v>1.0449999999999999E-3</v>
      </c>
      <c r="BB89">
        <v>1.0449999999999999E-3</v>
      </c>
      <c r="BC89">
        <v>1.0449999999999999E-3</v>
      </c>
      <c r="BD89">
        <v>1.0449999999999999E-3</v>
      </c>
      <c r="BE89">
        <v>1.3129999999999999E-3</v>
      </c>
      <c r="BF89">
        <v>1.3129999999999999E-3</v>
      </c>
      <c r="BG89">
        <v>1.3129999999999999E-3</v>
      </c>
      <c r="BH89">
        <v>1.3129999999999999E-3</v>
      </c>
      <c r="BI89">
        <v>1.3129999999999999E-3</v>
      </c>
      <c r="BJ89">
        <v>1.518E-3</v>
      </c>
      <c r="BK89">
        <v>1.518E-3</v>
      </c>
      <c r="BL89">
        <v>1.518E-3</v>
      </c>
      <c r="BM89">
        <v>1.518E-3</v>
      </c>
      <c r="BN89">
        <v>1.518E-3</v>
      </c>
      <c r="BO89">
        <v>1.58E-3</v>
      </c>
      <c r="BP89">
        <v>1.58E-3</v>
      </c>
      <c r="BQ89">
        <v>1.58E-3</v>
      </c>
      <c r="BR89">
        <v>1.58E-3</v>
      </c>
      <c r="BS89">
        <v>1.58E-3</v>
      </c>
      <c r="BT89">
        <v>1.524E-3</v>
      </c>
      <c r="BU89">
        <v>1.524E-3</v>
      </c>
      <c r="BV89">
        <v>1.524E-3</v>
      </c>
      <c r="BW89">
        <v>1.524E-3</v>
      </c>
      <c r="BX89">
        <v>1.524E-3</v>
      </c>
      <c r="BY89">
        <v>1.346E-3</v>
      </c>
      <c r="BZ89">
        <v>1.346E-3</v>
      </c>
      <c r="CA89">
        <v>1.346E-3</v>
      </c>
      <c r="CB89">
        <v>1.346E-3</v>
      </c>
      <c r="CC89">
        <v>1.346E-3</v>
      </c>
      <c r="CD89">
        <v>1.346E-3</v>
      </c>
      <c r="CE89">
        <v>1.346E-3</v>
      </c>
      <c r="CF89">
        <v>1.346E-3</v>
      </c>
      <c r="CG89">
        <v>1.346E-3</v>
      </c>
      <c r="CH89">
        <v>1.346E-3</v>
      </c>
      <c r="CI89">
        <v>1.346E-3</v>
      </c>
      <c r="CJ89">
        <v>1.346E-3</v>
      </c>
      <c r="CK89">
        <v>1.346E-3</v>
      </c>
      <c r="CL89">
        <v>1.346E-3</v>
      </c>
      <c r="CM89">
        <v>1.346E-3</v>
      </c>
      <c r="CN89">
        <v>1.346E-3</v>
      </c>
      <c r="CO89">
        <v>1.346E-3</v>
      </c>
      <c r="CP89">
        <v>1.346E-3</v>
      </c>
      <c r="CQ89">
        <v>1.346E-3</v>
      </c>
      <c r="CR89">
        <v>1.346E-3</v>
      </c>
      <c r="CS89">
        <v>1.346E-3</v>
      </c>
      <c r="CT89">
        <v>1.346E-3</v>
      </c>
      <c r="CU89">
        <v>1.346E-3</v>
      </c>
      <c r="CV89">
        <v>1.346E-3</v>
      </c>
      <c r="CW89">
        <v>1.346E-3</v>
      </c>
      <c r="CX89">
        <v>1.346E-3</v>
      </c>
    </row>
    <row r="90" spans="1:102" x14ac:dyDescent="0.25">
      <c r="A90" t="s">
        <v>245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7.2000000000000002E-5</v>
      </c>
      <c r="R90">
        <v>7.2000000000000002E-5</v>
      </c>
      <c r="S90">
        <v>7.2000000000000002E-5</v>
      </c>
      <c r="T90">
        <v>7.2000000000000002E-5</v>
      </c>
      <c r="U90">
        <v>7.2000000000000002E-5</v>
      </c>
      <c r="V90">
        <v>7.2000000000000002E-5</v>
      </c>
      <c r="W90">
        <v>7.2000000000000002E-5</v>
      </c>
      <c r="X90">
        <v>7.2000000000000002E-5</v>
      </c>
      <c r="Y90">
        <v>7.2000000000000002E-5</v>
      </c>
      <c r="Z90">
        <v>7.2000000000000002E-5</v>
      </c>
      <c r="AA90">
        <v>7.2000000000000002E-5</v>
      </c>
      <c r="AB90">
        <v>7.2000000000000002E-5</v>
      </c>
      <c r="AC90">
        <v>7.2000000000000002E-5</v>
      </c>
      <c r="AD90">
        <v>7.2000000000000002E-5</v>
      </c>
      <c r="AE90">
        <v>7.2000000000000002E-5</v>
      </c>
      <c r="AF90">
        <v>7.2000000000000002E-5</v>
      </c>
      <c r="AG90">
        <v>7.2000000000000002E-5</v>
      </c>
      <c r="AH90">
        <v>7.2000000000000002E-5</v>
      </c>
      <c r="AI90">
        <v>7.2000000000000002E-5</v>
      </c>
      <c r="AJ90">
        <v>7.2000000000000002E-5</v>
      </c>
      <c r="AK90">
        <v>7.2000000000000002E-5</v>
      </c>
      <c r="AL90">
        <v>7.2000000000000002E-5</v>
      </c>
      <c r="AM90">
        <v>7.2000000000000002E-5</v>
      </c>
      <c r="AN90">
        <v>7.2000000000000002E-5</v>
      </c>
      <c r="AO90">
        <v>7.2000000000000002E-5</v>
      </c>
      <c r="AP90">
        <v>1.9000000000000001E-4</v>
      </c>
      <c r="AQ90">
        <v>1.9000000000000001E-4</v>
      </c>
      <c r="AR90">
        <v>1.9000000000000001E-4</v>
      </c>
      <c r="AS90">
        <v>1.9000000000000001E-4</v>
      </c>
      <c r="AT90">
        <v>1.9000000000000001E-4</v>
      </c>
      <c r="AU90">
        <v>2.02E-4</v>
      </c>
      <c r="AV90">
        <v>2.02E-4</v>
      </c>
      <c r="AW90">
        <v>2.02E-4</v>
      </c>
      <c r="AX90">
        <v>2.02E-4</v>
      </c>
      <c r="AY90">
        <v>2.02E-4</v>
      </c>
      <c r="AZ90">
        <v>2.0100000000000001E-4</v>
      </c>
      <c r="BA90">
        <v>2.0100000000000001E-4</v>
      </c>
      <c r="BB90">
        <v>2.0100000000000001E-4</v>
      </c>
      <c r="BC90">
        <v>2.0100000000000001E-4</v>
      </c>
      <c r="BD90">
        <v>2.0100000000000001E-4</v>
      </c>
      <c r="BE90">
        <v>1.8200000000000001E-4</v>
      </c>
      <c r="BF90">
        <v>1.8200000000000001E-4</v>
      </c>
      <c r="BG90">
        <v>1.8200000000000001E-4</v>
      </c>
      <c r="BH90">
        <v>1.8200000000000001E-4</v>
      </c>
      <c r="BI90">
        <v>1.8200000000000001E-4</v>
      </c>
      <c r="BJ90">
        <v>1.6000000000000001E-4</v>
      </c>
      <c r="BK90">
        <v>1.6000000000000001E-4</v>
      </c>
      <c r="BL90">
        <v>1.6000000000000001E-4</v>
      </c>
      <c r="BM90">
        <v>1.6000000000000001E-4</v>
      </c>
      <c r="BN90">
        <v>1.6000000000000001E-4</v>
      </c>
      <c r="BO90">
        <v>1.5100000000000001E-4</v>
      </c>
      <c r="BP90">
        <v>1.5100000000000001E-4</v>
      </c>
      <c r="BQ90">
        <v>1.5100000000000001E-4</v>
      </c>
      <c r="BR90">
        <v>1.5100000000000001E-4</v>
      </c>
      <c r="BS90">
        <v>1.5100000000000001E-4</v>
      </c>
      <c r="BT90">
        <v>1.45E-4</v>
      </c>
      <c r="BU90">
        <v>1.45E-4</v>
      </c>
      <c r="BV90">
        <v>1.45E-4</v>
      </c>
      <c r="BW90">
        <v>1.45E-4</v>
      </c>
      <c r="BX90">
        <v>1.45E-4</v>
      </c>
      <c r="BY90">
        <v>1.5300000000000001E-4</v>
      </c>
      <c r="BZ90">
        <v>1.5300000000000001E-4</v>
      </c>
      <c r="CA90">
        <v>1.5300000000000001E-4</v>
      </c>
      <c r="CB90">
        <v>1.5300000000000001E-4</v>
      </c>
      <c r="CC90">
        <v>1.5300000000000001E-4</v>
      </c>
      <c r="CD90">
        <v>1.5300000000000001E-4</v>
      </c>
      <c r="CE90">
        <v>1.5300000000000001E-4</v>
      </c>
      <c r="CF90">
        <v>1.5300000000000001E-4</v>
      </c>
      <c r="CG90">
        <v>1.5300000000000001E-4</v>
      </c>
      <c r="CH90">
        <v>1.5300000000000001E-4</v>
      </c>
      <c r="CI90">
        <v>1.5300000000000001E-4</v>
      </c>
      <c r="CJ90">
        <v>1.5300000000000001E-4</v>
      </c>
      <c r="CK90">
        <v>1.5300000000000001E-4</v>
      </c>
      <c r="CL90">
        <v>1.5300000000000001E-4</v>
      </c>
      <c r="CM90">
        <v>1.5300000000000001E-4</v>
      </c>
      <c r="CN90">
        <v>1.5300000000000001E-4</v>
      </c>
      <c r="CO90">
        <v>1.5300000000000001E-4</v>
      </c>
      <c r="CP90">
        <v>1.5300000000000001E-4</v>
      </c>
      <c r="CQ90">
        <v>1.5300000000000001E-4</v>
      </c>
      <c r="CR90">
        <v>1.5300000000000001E-4</v>
      </c>
      <c r="CS90">
        <v>1.5300000000000001E-4</v>
      </c>
      <c r="CT90">
        <v>1.5300000000000001E-4</v>
      </c>
      <c r="CU90">
        <v>1.5300000000000001E-4</v>
      </c>
      <c r="CV90">
        <v>1.5300000000000001E-4</v>
      </c>
      <c r="CW90">
        <v>1.5300000000000001E-4</v>
      </c>
      <c r="CX90">
        <v>1.5300000000000001E-4</v>
      </c>
    </row>
    <row r="91" spans="1:102" x14ac:dyDescent="0.25">
      <c r="A91" t="s">
        <v>247</v>
      </c>
      <c r="B91" t="e">
        <v>#VALUE!</v>
      </c>
      <c r="C91" t="e">
        <v>#VALUE!</v>
      </c>
      <c r="D91" t="e">
        <v>#VALUE!</v>
      </c>
      <c r="E91" t="e">
        <v>#VALUE!</v>
      </c>
      <c r="F91" t="e">
        <v>#VALUE!</v>
      </c>
      <c r="G91" t="e">
        <v>#VALUE!</v>
      </c>
      <c r="H91" t="e">
        <v>#VALUE!</v>
      </c>
      <c r="I91" t="e">
        <v>#VALUE!</v>
      </c>
      <c r="J91" t="e">
        <v>#VALUE!</v>
      </c>
      <c r="K91" t="e">
        <v>#VALUE!</v>
      </c>
      <c r="L91" t="e">
        <v>#VALUE!</v>
      </c>
      <c r="M91" t="e">
        <v>#VALUE!</v>
      </c>
      <c r="N91" t="e">
        <v>#VALUE!</v>
      </c>
      <c r="O91" t="e">
        <v>#VALUE!</v>
      </c>
      <c r="P91" t="e">
        <v>#VALUE!</v>
      </c>
      <c r="Q91">
        <v>9.7999999999999997E-5</v>
      </c>
      <c r="R91">
        <v>9.7999999999999997E-5</v>
      </c>
      <c r="S91">
        <v>9.7999999999999997E-5</v>
      </c>
      <c r="T91">
        <v>9.7999999999999997E-5</v>
      </c>
      <c r="U91">
        <v>9.7999999999999997E-5</v>
      </c>
      <c r="V91">
        <v>9.7999999999999997E-5</v>
      </c>
      <c r="W91">
        <v>9.7999999999999997E-5</v>
      </c>
      <c r="X91">
        <v>9.7999999999999997E-5</v>
      </c>
      <c r="Y91">
        <v>9.7999999999999997E-5</v>
      </c>
      <c r="Z91">
        <v>9.7999999999999997E-5</v>
      </c>
      <c r="AA91">
        <v>9.7999999999999997E-5</v>
      </c>
      <c r="AB91">
        <v>9.7999999999999997E-5</v>
      </c>
      <c r="AC91">
        <v>9.7999999999999997E-5</v>
      </c>
      <c r="AD91">
        <v>9.7999999999999997E-5</v>
      </c>
      <c r="AE91">
        <v>9.7999999999999997E-5</v>
      </c>
      <c r="AF91">
        <v>9.7999999999999997E-5</v>
      </c>
      <c r="AG91">
        <v>9.7999999999999997E-5</v>
      </c>
      <c r="AH91">
        <v>9.7999999999999997E-5</v>
      </c>
      <c r="AI91">
        <v>9.7999999999999997E-5</v>
      </c>
      <c r="AJ91">
        <v>9.7999999999999997E-5</v>
      </c>
      <c r="AK91">
        <v>9.7999999999999997E-5</v>
      </c>
      <c r="AL91">
        <v>9.7999999999999997E-5</v>
      </c>
      <c r="AM91">
        <v>9.7999999999999997E-5</v>
      </c>
      <c r="AN91">
        <v>9.7999999999999997E-5</v>
      </c>
      <c r="AO91">
        <v>9.7999999999999997E-5</v>
      </c>
      <c r="AP91">
        <v>3.2000000000000003E-4</v>
      </c>
      <c r="AQ91">
        <v>3.2000000000000003E-4</v>
      </c>
      <c r="AR91">
        <v>3.2000000000000003E-4</v>
      </c>
      <c r="AS91">
        <v>3.2000000000000003E-4</v>
      </c>
      <c r="AT91">
        <v>3.2000000000000003E-4</v>
      </c>
      <c r="AU91">
        <v>3.5199999999999999E-4</v>
      </c>
      <c r="AV91">
        <v>3.5199999999999999E-4</v>
      </c>
      <c r="AW91">
        <v>3.5199999999999999E-4</v>
      </c>
      <c r="AX91">
        <v>3.5199999999999999E-4</v>
      </c>
      <c r="AY91">
        <v>3.5199999999999999E-4</v>
      </c>
      <c r="AZ91">
        <v>3.2000000000000003E-4</v>
      </c>
      <c r="BA91">
        <v>3.2000000000000003E-4</v>
      </c>
      <c r="BB91">
        <v>3.2000000000000003E-4</v>
      </c>
      <c r="BC91">
        <v>3.2000000000000003E-4</v>
      </c>
      <c r="BD91">
        <v>3.2000000000000003E-4</v>
      </c>
      <c r="BE91">
        <v>2.5599999999999999E-4</v>
      </c>
      <c r="BF91">
        <v>2.5599999999999999E-4</v>
      </c>
      <c r="BG91">
        <v>2.5599999999999999E-4</v>
      </c>
      <c r="BH91">
        <v>2.5599999999999999E-4</v>
      </c>
      <c r="BI91">
        <v>2.5599999999999999E-4</v>
      </c>
      <c r="BJ91">
        <v>1.93E-4</v>
      </c>
      <c r="BK91">
        <v>1.93E-4</v>
      </c>
      <c r="BL91">
        <v>1.93E-4</v>
      </c>
      <c r="BM91">
        <v>1.93E-4</v>
      </c>
      <c r="BN91">
        <v>1.93E-4</v>
      </c>
      <c r="BO91">
        <v>1.92E-4</v>
      </c>
      <c r="BP91">
        <v>1.92E-4</v>
      </c>
      <c r="BQ91">
        <v>1.92E-4</v>
      </c>
      <c r="BR91">
        <v>1.92E-4</v>
      </c>
      <c r="BS91">
        <v>1.92E-4</v>
      </c>
      <c r="BT91">
        <v>1.9699999999999999E-4</v>
      </c>
      <c r="BU91">
        <v>1.9699999999999999E-4</v>
      </c>
      <c r="BV91">
        <v>1.9699999999999999E-4</v>
      </c>
      <c r="BW91">
        <v>1.9699999999999999E-4</v>
      </c>
      <c r="BX91">
        <v>1.9699999999999999E-4</v>
      </c>
      <c r="BY91">
        <v>1.73E-4</v>
      </c>
      <c r="BZ91">
        <v>1.73E-4</v>
      </c>
      <c r="CA91">
        <v>1.73E-4</v>
      </c>
      <c r="CB91">
        <v>1.73E-4</v>
      </c>
      <c r="CC91">
        <v>1.73E-4</v>
      </c>
      <c r="CD91">
        <v>1.73E-4</v>
      </c>
      <c r="CE91">
        <v>1.73E-4</v>
      </c>
      <c r="CF91">
        <v>1.73E-4</v>
      </c>
      <c r="CG91">
        <v>1.73E-4</v>
      </c>
      <c r="CH91">
        <v>1.73E-4</v>
      </c>
      <c r="CI91">
        <v>1.73E-4</v>
      </c>
      <c r="CJ91">
        <v>1.73E-4</v>
      </c>
      <c r="CK91">
        <v>1.73E-4</v>
      </c>
      <c r="CL91">
        <v>1.73E-4</v>
      </c>
      <c r="CM91">
        <v>1.73E-4</v>
      </c>
      <c r="CN91">
        <v>1.73E-4</v>
      </c>
      <c r="CO91">
        <v>1.73E-4</v>
      </c>
      <c r="CP91">
        <v>1.73E-4</v>
      </c>
      <c r="CQ91">
        <v>1.73E-4</v>
      </c>
      <c r="CR91">
        <v>1.73E-4</v>
      </c>
      <c r="CS91">
        <v>1.73E-4</v>
      </c>
      <c r="CT91">
        <v>1.73E-4</v>
      </c>
      <c r="CU91">
        <v>1.73E-4</v>
      </c>
      <c r="CV91">
        <v>1.73E-4</v>
      </c>
      <c r="CW91">
        <v>1.73E-4</v>
      </c>
      <c r="CX91">
        <v>1.73E-4</v>
      </c>
    </row>
    <row r="92" spans="1:102" x14ac:dyDescent="0.25">
      <c r="A92" t="s">
        <v>249</v>
      </c>
      <c r="B92" t="e">
        <v>#VALUE!</v>
      </c>
      <c r="C92" t="e">
        <v>#VALUE!</v>
      </c>
      <c r="D92" t="e">
        <v>#VALUE!</v>
      </c>
      <c r="E92" t="e">
        <v>#VALUE!</v>
      </c>
      <c r="F92" t="e">
        <v>#VALUE!</v>
      </c>
      <c r="G92" t="e">
        <v>#VALUE!</v>
      </c>
      <c r="H92" t="e">
        <v>#VALUE!</v>
      </c>
      <c r="I92" t="e">
        <v>#VALUE!</v>
      </c>
      <c r="J92" t="e">
        <v>#VALUE!</v>
      </c>
      <c r="K92" t="e">
        <v>#VALUE!</v>
      </c>
      <c r="L92" t="e">
        <v>#VALUE!</v>
      </c>
      <c r="M92" t="e">
        <v>#VALUE!</v>
      </c>
      <c r="N92" t="e">
        <v>#VALUE!</v>
      </c>
      <c r="O92" t="e">
        <v>#VALUE!</v>
      </c>
      <c r="P92" t="e">
        <v>#VALUE!</v>
      </c>
      <c r="Q92">
        <v>7.2999999999999999E-5</v>
      </c>
      <c r="R92">
        <v>7.2999999999999999E-5</v>
      </c>
      <c r="S92">
        <v>7.2999999999999999E-5</v>
      </c>
      <c r="T92">
        <v>7.2999999999999999E-5</v>
      </c>
      <c r="U92">
        <v>7.2999999999999999E-5</v>
      </c>
      <c r="V92">
        <v>7.2999999999999999E-5</v>
      </c>
      <c r="W92">
        <v>7.2999999999999999E-5</v>
      </c>
      <c r="X92">
        <v>7.2999999999999999E-5</v>
      </c>
      <c r="Y92">
        <v>7.2999999999999999E-5</v>
      </c>
      <c r="Z92">
        <v>7.2999999999999999E-5</v>
      </c>
      <c r="AA92">
        <v>7.2999999999999999E-5</v>
      </c>
      <c r="AB92">
        <v>7.2999999999999999E-5</v>
      </c>
      <c r="AC92">
        <v>7.2999999999999999E-5</v>
      </c>
      <c r="AD92">
        <v>7.2999999999999999E-5</v>
      </c>
      <c r="AE92">
        <v>7.2999999999999999E-5</v>
      </c>
      <c r="AF92">
        <v>7.2999999999999999E-5</v>
      </c>
      <c r="AG92">
        <v>7.2999999999999999E-5</v>
      </c>
      <c r="AH92">
        <v>7.2999999999999999E-5</v>
      </c>
      <c r="AI92">
        <v>7.2999999999999999E-5</v>
      </c>
      <c r="AJ92">
        <v>7.2999999999999999E-5</v>
      </c>
      <c r="AK92">
        <v>7.2999999999999999E-5</v>
      </c>
      <c r="AL92">
        <v>7.2999999999999999E-5</v>
      </c>
      <c r="AM92">
        <v>7.2999999999999999E-5</v>
      </c>
      <c r="AN92">
        <v>7.2999999999999999E-5</v>
      </c>
      <c r="AO92">
        <v>7.2999999999999999E-5</v>
      </c>
      <c r="AP92">
        <v>1.6899999999999999E-4</v>
      </c>
      <c r="AQ92">
        <v>1.6899999999999999E-4</v>
      </c>
      <c r="AR92">
        <v>1.6899999999999999E-4</v>
      </c>
      <c r="AS92">
        <v>1.6899999999999999E-4</v>
      </c>
      <c r="AT92">
        <v>1.6899999999999999E-4</v>
      </c>
      <c r="AU92">
        <v>1.84E-4</v>
      </c>
      <c r="AV92">
        <v>1.84E-4</v>
      </c>
      <c r="AW92">
        <v>1.84E-4</v>
      </c>
      <c r="AX92">
        <v>1.84E-4</v>
      </c>
      <c r="AY92">
        <v>1.84E-4</v>
      </c>
      <c r="AZ92">
        <v>1.9799999999999999E-4</v>
      </c>
      <c r="BA92">
        <v>1.9799999999999999E-4</v>
      </c>
      <c r="BB92">
        <v>1.9799999999999999E-4</v>
      </c>
      <c r="BC92">
        <v>1.9799999999999999E-4</v>
      </c>
      <c r="BD92">
        <v>1.9799999999999999E-4</v>
      </c>
      <c r="BE92">
        <v>2.1800000000000001E-4</v>
      </c>
      <c r="BF92">
        <v>2.1800000000000001E-4</v>
      </c>
      <c r="BG92">
        <v>2.1800000000000001E-4</v>
      </c>
      <c r="BH92">
        <v>2.1800000000000001E-4</v>
      </c>
      <c r="BI92">
        <v>2.1800000000000001E-4</v>
      </c>
      <c r="BJ92">
        <v>2.3800000000000001E-4</v>
      </c>
      <c r="BK92">
        <v>2.3800000000000001E-4</v>
      </c>
      <c r="BL92">
        <v>2.3800000000000001E-4</v>
      </c>
      <c r="BM92">
        <v>2.3800000000000001E-4</v>
      </c>
      <c r="BN92">
        <v>2.3800000000000001E-4</v>
      </c>
      <c r="BO92">
        <v>2.5799999999999998E-4</v>
      </c>
      <c r="BP92">
        <v>2.5799999999999998E-4</v>
      </c>
      <c r="BQ92">
        <v>2.5799999999999998E-4</v>
      </c>
      <c r="BR92">
        <v>2.5799999999999998E-4</v>
      </c>
      <c r="BS92">
        <v>2.5799999999999998E-4</v>
      </c>
      <c r="BT92">
        <v>2.7300000000000002E-4</v>
      </c>
      <c r="BU92">
        <v>2.7300000000000002E-4</v>
      </c>
      <c r="BV92">
        <v>2.7300000000000002E-4</v>
      </c>
      <c r="BW92">
        <v>2.7300000000000002E-4</v>
      </c>
      <c r="BX92">
        <v>2.7300000000000002E-4</v>
      </c>
      <c r="BY92">
        <v>2.8400000000000002E-4</v>
      </c>
      <c r="BZ92">
        <v>2.8400000000000002E-4</v>
      </c>
      <c r="CA92">
        <v>2.8400000000000002E-4</v>
      </c>
      <c r="CB92">
        <v>2.8400000000000002E-4</v>
      </c>
      <c r="CC92">
        <v>2.8400000000000002E-4</v>
      </c>
      <c r="CD92">
        <v>2.8400000000000002E-4</v>
      </c>
      <c r="CE92">
        <v>2.8400000000000002E-4</v>
      </c>
      <c r="CF92">
        <v>2.8400000000000002E-4</v>
      </c>
      <c r="CG92">
        <v>2.8400000000000002E-4</v>
      </c>
      <c r="CH92">
        <v>2.8400000000000002E-4</v>
      </c>
      <c r="CI92">
        <v>2.8400000000000002E-4</v>
      </c>
      <c r="CJ92">
        <v>2.8400000000000002E-4</v>
      </c>
      <c r="CK92">
        <v>2.8400000000000002E-4</v>
      </c>
      <c r="CL92">
        <v>2.8400000000000002E-4</v>
      </c>
      <c r="CM92">
        <v>2.8400000000000002E-4</v>
      </c>
      <c r="CN92">
        <v>2.8400000000000002E-4</v>
      </c>
      <c r="CO92">
        <v>2.8400000000000002E-4</v>
      </c>
      <c r="CP92">
        <v>2.8400000000000002E-4</v>
      </c>
      <c r="CQ92">
        <v>2.8400000000000002E-4</v>
      </c>
      <c r="CR92">
        <v>2.8400000000000002E-4</v>
      </c>
      <c r="CS92">
        <v>2.8400000000000002E-4</v>
      </c>
      <c r="CT92">
        <v>2.8400000000000002E-4</v>
      </c>
      <c r="CU92">
        <v>2.8400000000000002E-4</v>
      </c>
      <c r="CV92">
        <v>2.8400000000000002E-4</v>
      </c>
      <c r="CW92">
        <v>2.8400000000000002E-4</v>
      </c>
      <c r="CX92">
        <v>2.8400000000000002E-4</v>
      </c>
    </row>
    <row r="93" spans="1:102" x14ac:dyDescent="0.25">
      <c r="A93" t="s">
        <v>251</v>
      </c>
      <c r="B93" t="e">
        <v>#VALUE!</v>
      </c>
      <c r="C93" t="e">
        <v>#VALUE!</v>
      </c>
      <c r="D93" t="e">
        <v>#VALUE!</v>
      </c>
      <c r="E93" t="e">
        <v>#VALUE!</v>
      </c>
      <c r="F93" t="e">
        <v>#VALUE!</v>
      </c>
      <c r="G93" t="e">
        <v>#VALUE!</v>
      </c>
      <c r="H93" t="e">
        <v>#VALUE!</v>
      </c>
      <c r="I93" t="e">
        <v>#VALUE!</v>
      </c>
      <c r="J93" t="e">
        <v>#VALUE!</v>
      </c>
      <c r="K93" t="e">
        <v>#VALUE!</v>
      </c>
      <c r="L93" t="e">
        <v>#VALUE!</v>
      </c>
      <c r="M93" t="e">
        <v>#VALUE!</v>
      </c>
      <c r="N93" t="e">
        <v>#VALUE!</v>
      </c>
      <c r="O93" t="e">
        <v>#VALUE!</v>
      </c>
      <c r="P93" t="e">
        <v>#VALUE!</v>
      </c>
      <c r="Q93">
        <v>1.2999999999999999E-5</v>
      </c>
      <c r="R93">
        <v>1.2999999999999999E-5</v>
      </c>
      <c r="S93">
        <v>1.2999999999999999E-5</v>
      </c>
      <c r="T93">
        <v>1.2999999999999999E-5</v>
      </c>
      <c r="U93">
        <v>1.2999999999999999E-5</v>
      </c>
      <c r="V93">
        <v>1.2999999999999999E-5</v>
      </c>
      <c r="W93">
        <v>1.2999999999999999E-5</v>
      </c>
      <c r="X93">
        <v>1.2999999999999999E-5</v>
      </c>
      <c r="Y93">
        <v>1.2999999999999999E-5</v>
      </c>
      <c r="Z93">
        <v>1.2999999999999999E-5</v>
      </c>
      <c r="AA93">
        <v>1.2999999999999999E-5</v>
      </c>
      <c r="AB93">
        <v>1.2999999999999999E-5</v>
      </c>
      <c r="AC93">
        <v>1.2999999999999999E-5</v>
      </c>
      <c r="AD93">
        <v>1.2999999999999999E-5</v>
      </c>
      <c r="AE93">
        <v>1.2999999999999999E-5</v>
      </c>
      <c r="AF93">
        <v>1.2999999999999999E-5</v>
      </c>
      <c r="AG93">
        <v>1.2999999999999999E-5</v>
      </c>
      <c r="AH93">
        <v>1.2999999999999999E-5</v>
      </c>
      <c r="AI93">
        <v>1.2999999999999999E-5</v>
      </c>
      <c r="AJ93">
        <v>1.2999999999999999E-5</v>
      </c>
      <c r="AK93">
        <v>1.2999999999999999E-5</v>
      </c>
      <c r="AL93">
        <v>1.2999999999999999E-5</v>
      </c>
      <c r="AM93">
        <v>1.2999999999999999E-5</v>
      </c>
      <c r="AN93">
        <v>1.2999999999999999E-5</v>
      </c>
      <c r="AO93">
        <v>1.2999999999999999E-5</v>
      </c>
      <c r="AP93">
        <v>4.6999999999999997E-5</v>
      </c>
      <c r="AQ93">
        <v>4.6999999999999997E-5</v>
      </c>
      <c r="AR93">
        <v>4.6999999999999997E-5</v>
      </c>
      <c r="AS93">
        <v>4.6999999999999997E-5</v>
      </c>
      <c r="AT93">
        <v>4.6999999999999997E-5</v>
      </c>
      <c r="AU93">
        <v>7.1000000000000005E-5</v>
      </c>
      <c r="AV93">
        <v>7.1000000000000005E-5</v>
      </c>
      <c r="AW93">
        <v>7.1000000000000005E-5</v>
      </c>
      <c r="AX93">
        <v>7.1000000000000005E-5</v>
      </c>
      <c r="AY93">
        <v>7.1000000000000005E-5</v>
      </c>
      <c r="AZ93">
        <v>1.25E-4</v>
      </c>
      <c r="BA93">
        <v>1.25E-4</v>
      </c>
      <c r="BB93">
        <v>1.25E-4</v>
      </c>
      <c r="BC93">
        <v>1.25E-4</v>
      </c>
      <c r="BD93">
        <v>1.25E-4</v>
      </c>
      <c r="BE93">
        <v>1.5899999999999999E-4</v>
      </c>
      <c r="BF93">
        <v>1.5899999999999999E-4</v>
      </c>
      <c r="BG93">
        <v>1.5899999999999999E-4</v>
      </c>
      <c r="BH93">
        <v>1.5899999999999999E-4</v>
      </c>
      <c r="BI93">
        <v>1.5899999999999999E-4</v>
      </c>
      <c r="BJ93">
        <v>1.2E-4</v>
      </c>
      <c r="BK93">
        <v>1.2E-4</v>
      </c>
      <c r="BL93">
        <v>1.2E-4</v>
      </c>
      <c r="BM93">
        <v>1.2E-4</v>
      </c>
      <c r="BN93">
        <v>1.2E-4</v>
      </c>
      <c r="BO93">
        <v>2.12E-4</v>
      </c>
      <c r="BP93">
        <v>2.12E-4</v>
      </c>
      <c r="BQ93">
        <v>2.12E-4</v>
      </c>
      <c r="BR93">
        <v>2.12E-4</v>
      </c>
      <c r="BS93">
        <v>2.12E-4</v>
      </c>
      <c r="BT93">
        <v>1.2799999999999999E-4</v>
      </c>
      <c r="BU93">
        <v>1.2799999999999999E-4</v>
      </c>
      <c r="BV93">
        <v>1.2799999999999999E-4</v>
      </c>
      <c r="BW93">
        <v>1.2799999999999999E-4</v>
      </c>
      <c r="BX93">
        <v>1.2799999999999999E-4</v>
      </c>
      <c r="BY93">
        <v>9.5000000000000005E-5</v>
      </c>
      <c r="BZ93">
        <v>9.5000000000000005E-5</v>
      </c>
      <c r="CA93">
        <v>9.5000000000000005E-5</v>
      </c>
      <c r="CB93">
        <v>9.5000000000000005E-5</v>
      </c>
      <c r="CC93">
        <v>9.5000000000000005E-5</v>
      </c>
      <c r="CD93">
        <v>9.5000000000000005E-5</v>
      </c>
      <c r="CE93">
        <v>9.5000000000000005E-5</v>
      </c>
      <c r="CF93">
        <v>9.5000000000000005E-5</v>
      </c>
      <c r="CG93">
        <v>9.5000000000000005E-5</v>
      </c>
      <c r="CH93">
        <v>9.5000000000000005E-5</v>
      </c>
      <c r="CI93">
        <v>9.5000000000000005E-5</v>
      </c>
      <c r="CJ93">
        <v>9.5000000000000005E-5</v>
      </c>
      <c r="CK93">
        <v>9.5000000000000005E-5</v>
      </c>
      <c r="CL93">
        <v>9.5000000000000005E-5</v>
      </c>
      <c r="CM93">
        <v>9.5000000000000005E-5</v>
      </c>
      <c r="CN93">
        <v>9.5000000000000005E-5</v>
      </c>
      <c r="CO93">
        <v>9.5000000000000005E-5</v>
      </c>
      <c r="CP93">
        <v>9.5000000000000005E-5</v>
      </c>
      <c r="CQ93">
        <v>9.5000000000000005E-5</v>
      </c>
      <c r="CR93">
        <v>9.5000000000000005E-5</v>
      </c>
      <c r="CS93">
        <v>9.5000000000000005E-5</v>
      </c>
      <c r="CT93">
        <v>9.5000000000000005E-5</v>
      </c>
      <c r="CU93">
        <v>9.5000000000000005E-5</v>
      </c>
      <c r="CV93">
        <v>9.5000000000000005E-5</v>
      </c>
      <c r="CW93">
        <v>9.5000000000000005E-5</v>
      </c>
      <c r="CX93">
        <v>9.5000000000000005E-5</v>
      </c>
    </row>
    <row r="94" spans="1:102" x14ac:dyDescent="0.25">
      <c r="A94" t="s">
        <v>253</v>
      </c>
      <c r="B94" t="e">
        <v>#VALUE!</v>
      </c>
      <c r="C94" t="e">
        <v>#VALUE!</v>
      </c>
      <c r="D94" t="e">
        <v>#VALUE!</v>
      </c>
      <c r="E94" t="e">
        <v>#VALUE!</v>
      </c>
      <c r="F94" t="e">
        <v>#VALUE!</v>
      </c>
      <c r="G94" t="e">
        <v>#VALUE!</v>
      </c>
      <c r="H94" t="e">
        <v>#VALUE!</v>
      </c>
      <c r="I94" t="e">
        <v>#VALUE!</v>
      </c>
      <c r="J94" t="e">
        <v>#VALUE!</v>
      </c>
      <c r="K94" t="e">
        <v>#VALUE!</v>
      </c>
      <c r="L94" t="e">
        <v>#VALUE!</v>
      </c>
      <c r="M94" t="e">
        <v>#VALUE!</v>
      </c>
      <c r="N94" t="e">
        <v>#VALUE!</v>
      </c>
      <c r="O94" t="e">
        <v>#VALUE!</v>
      </c>
      <c r="P94" t="e">
        <v>#VALUE!</v>
      </c>
      <c r="Q94">
        <v>2.12E-4</v>
      </c>
      <c r="R94">
        <v>2.12E-4</v>
      </c>
      <c r="S94">
        <v>2.12E-4</v>
      </c>
      <c r="T94">
        <v>2.12E-4</v>
      </c>
      <c r="U94">
        <v>2.12E-4</v>
      </c>
      <c r="V94">
        <v>2.12E-4</v>
      </c>
      <c r="W94">
        <v>2.12E-4</v>
      </c>
      <c r="X94">
        <v>2.12E-4</v>
      </c>
      <c r="Y94">
        <v>2.12E-4</v>
      </c>
      <c r="Z94">
        <v>2.12E-4</v>
      </c>
      <c r="AA94">
        <v>2.12E-4</v>
      </c>
      <c r="AB94">
        <v>2.12E-4</v>
      </c>
      <c r="AC94">
        <v>2.12E-4</v>
      </c>
      <c r="AD94">
        <v>2.12E-4</v>
      </c>
      <c r="AE94">
        <v>2.12E-4</v>
      </c>
      <c r="AF94">
        <v>2.12E-4</v>
      </c>
      <c r="AG94">
        <v>2.12E-4</v>
      </c>
      <c r="AH94">
        <v>2.12E-4</v>
      </c>
      <c r="AI94">
        <v>2.12E-4</v>
      </c>
      <c r="AJ94">
        <v>2.12E-4</v>
      </c>
      <c r="AK94">
        <v>2.12E-4</v>
      </c>
      <c r="AL94">
        <v>2.12E-4</v>
      </c>
      <c r="AM94">
        <v>2.12E-4</v>
      </c>
      <c r="AN94">
        <v>2.12E-4</v>
      </c>
      <c r="AO94">
        <v>2.12E-4</v>
      </c>
      <c r="AP94">
        <v>5.6999999999999998E-4</v>
      </c>
      <c r="AQ94">
        <v>5.6999999999999998E-4</v>
      </c>
      <c r="AR94">
        <v>5.6999999999999998E-4</v>
      </c>
      <c r="AS94">
        <v>5.6999999999999998E-4</v>
      </c>
      <c r="AT94">
        <v>5.6999999999999998E-4</v>
      </c>
      <c r="AU94">
        <v>5.5999999999999995E-4</v>
      </c>
      <c r="AV94">
        <v>5.5999999999999995E-4</v>
      </c>
      <c r="AW94">
        <v>5.5999999999999995E-4</v>
      </c>
      <c r="AX94">
        <v>5.5999999999999995E-4</v>
      </c>
      <c r="AY94">
        <v>5.5999999999999995E-4</v>
      </c>
      <c r="AZ94">
        <v>5.2400000000000005E-4</v>
      </c>
      <c r="BA94">
        <v>5.2400000000000005E-4</v>
      </c>
      <c r="BB94">
        <v>5.2400000000000005E-4</v>
      </c>
      <c r="BC94">
        <v>5.2400000000000005E-4</v>
      </c>
      <c r="BD94">
        <v>5.2400000000000005E-4</v>
      </c>
      <c r="BE94">
        <v>4.9200000000000003E-4</v>
      </c>
      <c r="BF94">
        <v>4.9200000000000003E-4</v>
      </c>
      <c r="BG94">
        <v>4.9200000000000003E-4</v>
      </c>
      <c r="BH94">
        <v>4.9200000000000003E-4</v>
      </c>
      <c r="BI94">
        <v>4.9200000000000003E-4</v>
      </c>
      <c r="BJ94">
        <v>4.4999999999999999E-4</v>
      </c>
      <c r="BK94">
        <v>4.4999999999999999E-4</v>
      </c>
      <c r="BL94">
        <v>4.4999999999999999E-4</v>
      </c>
      <c r="BM94">
        <v>4.4999999999999999E-4</v>
      </c>
      <c r="BN94">
        <v>4.4999999999999999E-4</v>
      </c>
      <c r="BO94">
        <v>4.1599999999999997E-4</v>
      </c>
      <c r="BP94">
        <v>4.1599999999999997E-4</v>
      </c>
      <c r="BQ94">
        <v>4.1599999999999997E-4</v>
      </c>
      <c r="BR94">
        <v>4.1599999999999997E-4</v>
      </c>
      <c r="BS94">
        <v>4.1599999999999997E-4</v>
      </c>
      <c r="BT94">
        <v>3.7800000000000003E-4</v>
      </c>
      <c r="BU94">
        <v>3.7800000000000003E-4</v>
      </c>
      <c r="BV94">
        <v>3.7800000000000003E-4</v>
      </c>
      <c r="BW94">
        <v>3.7800000000000003E-4</v>
      </c>
      <c r="BX94">
        <v>3.7800000000000003E-4</v>
      </c>
      <c r="BY94">
        <v>3.6200000000000002E-4</v>
      </c>
      <c r="BZ94">
        <v>3.6200000000000002E-4</v>
      </c>
      <c r="CA94">
        <v>3.6200000000000002E-4</v>
      </c>
      <c r="CB94">
        <v>3.6200000000000002E-4</v>
      </c>
      <c r="CC94">
        <v>3.6200000000000002E-4</v>
      </c>
      <c r="CD94">
        <v>3.6200000000000002E-4</v>
      </c>
      <c r="CE94">
        <v>3.6200000000000002E-4</v>
      </c>
      <c r="CF94">
        <v>3.6200000000000002E-4</v>
      </c>
      <c r="CG94">
        <v>3.6200000000000002E-4</v>
      </c>
      <c r="CH94">
        <v>3.6200000000000002E-4</v>
      </c>
      <c r="CI94">
        <v>3.6200000000000002E-4</v>
      </c>
      <c r="CJ94">
        <v>3.6200000000000002E-4</v>
      </c>
      <c r="CK94">
        <v>3.6200000000000002E-4</v>
      </c>
      <c r="CL94">
        <v>3.6200000000000002E-4</v>
      </c>
      <c r="CM94">
        <v>3.6200000000000002E-4</v>
      </c>
      <c r="CN94">
        <v>3.6200000000000002E-4</v>
      </c>
      <c r="CO94">
        <v>3.6200000000000002E-4</v>
      </c>
      <c r="CP94">
        <v>3.6200000000000002E-4</v>
      </c>
      <c r="CQ94">
        <v>3.6200000000000002E-4</v>
      </c>
      <c r="CR94">
        <v>3.6200000000000002E-4</v>
      </c>
      <c r="CS94">
        <v>3.6200000000000002E-4</v>
      </c>
      <c r="CT94">
        <v>3.6200000000000002E-4</v>
      </c>
      <c r="CU94">
        <v>3.6200000000000002E-4</v>
      </c>
      <c r="CV94">
        <v>3.6200000000000002E-4</v>
      </c>
      <c r="CW94">
        <v>3.6200000000000002E-4</v>
      </c>
      <c r="CX94">
        <v>3.6200000000000002E-4</v>
      </c>
    </row>
    <row r="95" spans="1:102" x14ac:dyDescent="0.25">
      <c r="A95" t="s">
        <v>255</v>
      </c>
      <c r="B95" t="e">
        <v>#VALUE!</v>
      </c>
      <c r="C95" t="e">
        <v>#VALUE!</v>
      </c>
      <c r="D95" t="e">
        <v>#VALUE!</v>
      </c>
      <c r="E95" t="e">
        <v>#VALUE!</v>
      </c>
      <c r="F95" t="e">
        <v>#VALUE!</v>
      </c>
      <c r="G95" t="e">
        <v>#VALUE!</v>
      </c>
      <c r="H95" t="e">
        <v>#VALUE!</v>
      </c>
      <c r="I95" t="e">
        <v>#VALUE!</v>
      </c>
      <c r="J95" t="e">
        <v>#VALUE!</v>
      </c>
      <c r="K95" t="e">
        <v>#VALUE!</v>
      </c>
      <c r="L95" t="e">
        <v>#VALUE!</v>
      </c>
      <c r="M95" t="e">
        <v>#VALUE!</v>
      </c>
      <c r="N95" t="e">
        <v>#VALUE!</v>
      </c>
      <c r="O95" t="e">
        <v>#VALUE!</v>
      </c>
      <c r="P95" t="e">
        <v>#VALUE!</v>
      </c>
      <c r="Q95">
        <v>5.3000000000000001E-5</v>
      </c>
      <c r="R95">
        <v>5.3000000000000001E-5</v>
      </c>
      <c r="S95">
        <v>5.3000000000000001E-5</v>
      </c>
      <c r="T95">
        <v>5.3000000000000001E-5</v>
      </c>
      <c r="U95">
        <v>5.3000000000000001E-5</v>
      </c>
      <c r="V95">
        <v>5.3000000000000001E-5</v>
      </c>
      <c r="W95">
        <v>5.3000000000000001E-5</v>
      </c>
      <c r="X95">
        <v>5.3000000000000001E-5</v>
      </c>
      <c r="Y95">
        <v>5.3000000000000001E-5</v>
      </c>
      <c r="Z95">
        <v>5.3000000000000001E-5</v>
      </c>
      <c r="AA95">
        <v>5.3000000000000001E-5</v>
      </c>
      <c r="AB95">
        <v>5.3000000000000001E-5</v>
      </c>
      <c r="AC95">
        <v>5.3000000000000001E-5</v>
      </c>
      <c r="AD95">
        <v>5.3000000000000001E-5</v>
      </c>
      <c r="AE95">
        <v>5.3000000000000001E-5</v>
      </c>
      <c r="AF95">
        <v>5.3000000000000001E-5</v>
      </c>
      <c r="AG95">
        <v>5.3000000000000001E-5</v>
      </c>
      <c r="AH95">
        <v>5.3000000000000001E-5</v>
      </c>
      <c r="AI95">
        <v>5.3000000000000001E-5</v>
      </c>
      <c r="AJ95">
        <v>5.3000000000000001E-5</v>
      </c>
      <c r="AK95">
        <v>5.3000000000000001E-5</v>
      </c>
      <c r="AL95">
        <v>5.3000000000000001E-5</v>
      </c>
      <c r="AM95">
        <v>5.3000000000000001E-5</v>
      </c>
      <c r="AN95">
        <v>5.3000000000000001E-5</v>
      </c>
      <c r="AO95">
        <v>5.3000000000000001E-5</v>
      </c>
      <c r="AP95">
        <v>2.6899999999999998E-4</v>
      </c>
      <c r="AQ95">
        <v>2.6899999999999998E-4</v>
      </c>
      <c r="AR95">
        <v>2.6899999999999998E-4</v>
      </c>
      <c r="AS95">
        <v>2.6899999999999998E-4</v>
      </c>
      <c r="AT95">
        <v>2.6899999999999998E-4</v>
      </c>
      <c r="AU95">
        <v>3.3300000000000002E-4</v>
      </c>
      <c r="AV95">
        <v>3.3300000000000002E-4</v>
      </c>
      <c r="AW95">
        <v>3.3300000000000002E-4</v>
      </c>
      <c r="AX95">
        <v>3.3300000000000002E-4</v>
      </c>
      <c r="AY95">
        <v>3.3300000000000002E-4</v>
      </c>
      <c r="AZ95">
        <v>3.7100000000000002E-4</v>
      </c>
      <c r="BA95">
        <v>3.7100000000000002E-4</v>
      </c>
      <c r="BB95">
        <v>3.7100000000000002E-4</v>
      </c>
      <c r="BC95">
        <v>3.7100000000000002E-4</v>
      </c>
      <c r="BD95">
        <v>3.7100000000000002E-4</v>
      </c>
      <c r="BE95">
        <v>3.6900000000000002E-4</v>
      </c>
      <c r="BF95">
        <v>3.6900000000000002E-4</v>
      </c>
      <c r="BG95">
        <v>3.6900000000000002E-4</v>
      </c>
      <c r="BH95">
        <v>3.6900000000000002E-4</v>
      </c>
      <c r="BI95">
        <v>3.6900000000000002E-4</v>
      </c>
      <c r="BJ95">
        <v>3.48E-4</v>
      </c>
      <c r="BK95">
        <v>3.48E-4</v>
      </c>
      <c r="BL95">
        <v>3.48E-4</v>
      </c>
      <c r="BM95">
        <v>3.48E-4</v>
      </c>
      <c r="BN95">
        <v>3.48E-4</v>
      </c>
      <c r="BO95">
        <v>3.3700000000000001E-4</v>
      </c>
      <c r="BP95">
        <v>3.3700000000000001E-4</v>
      </c>
      <c r="BQ95">
        <v>3.3700000000000001E-4</v>
      </c>
      <c r="BR95">
        <v>3.3700000000000001E-4</v>
      </c>
      <c r="BS95">
        <v>3.3700000000000001E-4</v>
      </c>
      <c r="BT95">
        <v>3.0499999999999999E-4</v>
      </c>
      <c r="BU95">
        <v>3.0499999999999999E-4</v>
      </c>
      <c r="BV95">
        <v>3.0499999999999999E-4</v>
      </c>
      <c r="BW95">
        <v>3.0499999999999999E-4</v>
      </c>
      <c r="BX95">
        <v>3.0499999999999999E-4</v>
      </c>
      <c r="BY95">
        <v>2.9E-4</v>
      </c>
      <c r="BZ95">
        <v>2.9E-4</v>
      </c>
      <c r="CA95">
        <v>2.9E-4</v>
      </c>
      <c r="CB95">
        <v>2.9E-4</v>
      </c>
      <c r="CC95">
        <v>2.9E-4</v>
      </c>
      <c r="CD95">
        <v>2.9E-4</v>
      </c>
      <c r="CE95">
        <v>2.9E-4</v>
      </c>
      <c r="CF95">
        <v>2.9E-4</v>
      </c>
      <c r="CG95">
        <v>2.9E-4</v>
      </c>
      <c r="CH95">
        <v>2.9E-4</v>
      </c>
      <c r="CI95">
        <v>2.9E-4</v>
      </c>
      <c r="CJ95">
        <v>2.9E-4</v>
      </c>
      <c r="CK95">
        <v>2.9E-4</v>
      </c>
      <c r="CL95">
        <v>2.9E-4</v>
      </c>
      <c r="CM95">
        <v>2.9E-4</v>
      </c>
      <c r="CN95">
        <v>2.9E-4</v>
      </c>
      <c r="CO95">
        <v>2.9E-4</v>
      </c>
      <c r="CP95">
        <v>2.9E-4</v>
      </c>
      <c r="CQ95">
        <v>2.9E-4</v>
      </c>
      <c r="CR95">
        <v>2.9E-4</v>
      </c>
      <c r="CS95">
        <v>2.9E-4</v>
      </c>
      <c r="CT95">
        <v>2.9E-4</v>
      </c>
      <c r="CU95">
        <v>2.9E-4</v>
      </c>
      <c r="CV95">
        <v>2.9E-4</v>
      </c>
      <c r="CW95">
        <v>2.9E-4</v>
      </c>
      <c r="CX95">
        <v>2.9E-4</v>
      </c>
    </row>
    <row r="96" spans="1:102" x14ac:dyDescent="0.25">
      <c r="A96" t="s">
        <v>257</v>
      </c>
      <c r="B96" t="e">
        <v>#VALUE!</v>
      </c>
      <c r="C96" t="e">
        <v>#VALUE!</v>
      </c>
      <c r="D96" t="e">
        <v>#VALUE!</v>
      </c>
      <c r="E96" t="e">
        <v>#VALUE!</v>
      </c>
      <c r="F96" t="e">
        <v>#VALUE!</v>
      </c>
      <c r="G96" t="e">
        <v>#VALUE!</v>
      </c>
      <c r="H96" t="e">
        <v>#VALUE!</v>
      </c>
      <c r="I96" t="e">
        <v>#VALUE!</v>
      </c>
      <c r="J96" t="e">
        <v>#VALUE!</v>
      </c>
      <c r="K96" t="e">
        <v>#VALUE!</v>
      </c>
      <c r="L96" t="e">
        <v>#VALUE!</v>
      </c>
      <c r="M96" t="e">
        <v>#VALUE!</v>
      </c>
      <c r="N96" t="e">
        <v>#VALUE!</v>
      </c>
      <c r="O96" t="e">
        <v>#VALUE!</v>
      </c>
      <c r="P96" t="e">
        <v>#VALUE!</v>
      </c>
      <c r="Q96">
        <v>1.34E-4</v>
      </c>
      <c r="R96">
        <v>1.34E-4</v>
      </c>
      <c r="S96">
        <v>1.34E-4</v>
      </c>
      <c r="T96">
        <v>1.34E-4</v>
      </c>
      <c r="U96">
        <v>1.34E-4</v>
      </c>
      <c r="V96">
        <v>1.34E-4</v>
      </c>
      <c r="W96">
        <v>1.34E-4</v>
      </c>
      <c r="X96">
        <v>1.34E-4</v>
      </c>
      <c r="Y96">
        <v>1.34E-4</v>
      </c>
      <c r="Z96">
        <v>1.34E-4</v>
      </c>
      <c r="AA96">
        <v>1.34E-4</v>
      </c>
      <c r="AB96">
        <v>1.34E-4</v>
      </c>
      <c r="AC96">
        <v>1.34E-4</v>
      </c>
      <c r="AD96">
        <v>1.34E-4</v>
      </c>
      <c r="AE96">
        <v>1.34E-4</v>
      </c>
      <c r="AF96">
        <v>1.34E-4</v>
      </c>
      <c r="AG96">
        <v>1.34E-4</v>
      </c>
      <c r="AH96">
        <v>1.34E-4</v>
      </c>
      <c r="AI96">
        <v>1.34E-4</v>
      </c>
      <c r="AJ96">
        <v>1.34E-4</v>
      </c>
      <c r="AK96">
        <v>1.34E-4</v>
      </c>
      <c r="AL96">
        <v>1.34E-4</v>
      </c>
      <c r="AM96">
        <v>1.34E-4</v>
      </c>
      <c r="AN96">
        <v>1.34E-4</v>
      </c>
      <c r="AO96">
        <v>1.34E-4</v>
      </c>
      <c r="AP96">
        <v>4.0499999999999998E-4</v>
      </c>
      <c r="AQ96">
        <v>4.0499999999999998E-4</v>
      </c>
      <c r="AR96">
        <v>4.0499999999999998E-4</v>
      </c>
      <c r="AS96">
        <v>4.0499999999999998E-4</v>
      </c>
      <c r="AT96">
        <v>4.0499999999999998E-4</v>
      </c>
      <c r="AU96">
        <v>4.4799999999999999E-4</v>
      </c>
      <c r="AV96">
        <v>4.4799999999999999E-4</v>
      </c>
      <c r="AW96">
        <v>4.4799999999999999E-4</v>
      </c>
      <c r="AX96">
        <v>4.4799999999999999E-4</v>
      </c>
      <c r="AY96">
        <v>4.4799999999999999E-4</v>
      </c>
      <c r="AZ96">
        <v>4.4499999999999997E-4</v>
      </c>
      <c r="BA96">
        <v>4.4499999999999997E-4</v>
      </c>
      <c r="BB96">
        <v>4.4499999999999997E-4</v>
      </c>
      <c r="BC96">
        <v>4.4499999999999997E-4</v>
      </c>
      <c r="BD96">
        <v>4.4499999999999997E-4</v>
      </c>
      <c r="BE96">
        <v>4.0700000000000003E-4</v>
      </c>
      <c r="BF96">
        <v>4.0700000000000003E-4</v>
      </c>
      <c r="BG96">
        <v>4.0700000000000003E-4</v>
      </c>
      <c r="BH96">
        <v>4.0700000000000003E-4</v>
      </c>
      <c r="BI96">
        <v>4.0700000000000003E-4</v>
      </c>
      <c r="BJ96">
        <v>3.4699999999999998E-4</v>
      </c>
      <c r="BK96">
        <v>3.4699999999999998E-4</v>
      </c>
      <c r="BL96">
        <v>3.4699999999999998E-4</v>
      </c>
      <c r="BM96">
        <v>3.4699999999999998E-4</v>
      </c>
      <c r="BN96">
        <v>3.4699999999999998E-4</v>
      </c>
      <c r="BO96">
        <v>3.1100000000000002E-4</v>
      </c>
      <c r="BP96">
        <v>3.1100000000000002E-4</v>
      </c>
      <c r="BQ96">
        <v>3.1100000000000002E-4</v>
      </c>
      <c r="BR96">
        <v>3.1100000000000002E-4</v>
      </c>
      <c r="BS96">
        <v>3.1100000000000002E-4</v>
      </c>
      <c r="BT96">
        <v>2.7700000000000001E-4</v>
      </c>
      <c r="BU96">
        <v>2.7700000000000001E-4</v>
      </c>
      <c r="BV96">
        <v>2.7700000000000001E-4</v>
      </c>
      <c r="BW96">
        <v>2.7700000000000001E-4</v>
      </c>
      <c r="BX96">
        <v>2.7700000000000001E-4</v>
      </c>
      <c r="BY96">
        <v>2.1900000000000001E-4</v>
      </c>
      <c r="BZ96">
        <v>2.1900000000000001E-4</v>
      </c>
      <c r="CA96">
        <v>2.1900000000000001E-4</v>
      </c>
      <c r="CB96">
        <v>2.1900000000000001E-4</v>
      </c>
      <c r="CC96">
        <v>2.1900000000000001E-4</v>
      </c>
      <c r="CD96">
        <v>2.1900000000000001E-4</v>
      </c>
      <c r="CE96">
        <v>2.1900000000000001E-4</v>
      </c>
      <c r="CF96">
        <v>2.1900000000000001E-4</v>
      </c>
      <c r="CG96">
        <v>2.1900000000000001E-4</v>
      </c>
      <c r="CH96">
        <v>2.1900000000000001E-4</v>
      </c>
      <c r="CI96">
        <v>2.1900000000000001E-4</v>
      </c>
      <c r="CJ96">
        <v>2.1900000000000001E-4</v>
      </c>
      <c r="CK96">
        <v>2.1900000000000001E-4</v>
      </c>
      <c r="CL96">
        <v>2.1900000000000001E-4</v>
      </c>
      <c r="CM96">
        <v>2.1900000000000001E-4</v>
      </c>
      <c r="CN96">
        <v>2.1900000000000001E-4</v>
      </c>
      <c r="CO96">
        <v>2.1900000000000001E-4</v>
      </c>
      <c r="CP96">
        <v>2.1900000000000001E-4</v>
      </c>
      <c r="CQ96">
        <v>2.1900000000000001E-4</v>
      </c>
      <c r="CR96">
        <v>2.1900000000000001E-4</v>
      </c>
      <c r="CS96">
        <v>2.1900000000000001E-4</v>
      </c>
      <c r="CT96">
        <v>2.1900000000000001E-4</v>
      </c>
      <c r="CU96">
        <v>2.1900000000000001E-4</v>
      </c>
      <c r="CV96">
        <v>2.1900000000000001E-4</v>
      </c>
      <c r="CW96">
        <v>2.1900000000000001E-4</v>
      </c>
      <c r="CX96">
        <v>2.1900000000000001E-4</v>
      </c>
    </row>
    <row r="97" spans="1:102" x14ac:dyDescent="0.25">
      <c r="A97" t="s">
        <v>259</v>
      </c>
      <c r="B97" t="e">
        <v>#VALUE!</v>
      </c>
      <c r="C97" t="e">
        <v>#VALUE!</v>
      </c>
      <c r="D97" t="e">
        <v>#VALUE!</v>
      </c>
      <c r="E97" t="e">
        <v>#VALUE!</v>
      </c>
      <c r="F97" t="e">
        <v>#VALUE!</v>
      </c>
      <c r="G97" t="e">
        <v>#VALUE!</v>
      </c>
      <c r="H97" t="e">
        <v>#VALUE!</v>
      </c>
      <c r="I97" t="e">
        <v>#VALUE!</v>
      </c>
      <c r="J97" t="e">
        <v>#VALUE!</v>
      </c>
      <c r="K97" t="e">
        <v>#VALUE!</v>
      </c>
      <c r="L97" t="e">
        <v>#VALUE!</v>
      </c>
      <c r="M97" t="e">
        <v>#VALUE!</v>
      </c>
      <c r="N97" t="e">
        <v>#VALUE!</v>
      </c>
      <c r="O97" t="e">
        <v>#VALUE!</v>
      </c>
      <c r="P97" t="e">
        <v>#VALUE!</v>
      </c>
      <c r="Q97">
        <v>2.0000000000000002E-5</v>
      </c>
      <c r="R97">
        <v>2.0000000000000002E-5</v>
      </c>
      <c r="S97">
        <v>2.0000000000000002E-5</v>
      </c>
      <c r="T97">
        <v>2.0000000000000002E-5</v>
      </c>
      <c r="U97">
        <v>2.0000000000000002E-5</v>
      </c>
      <c r="V97">
        <v>2.0000000000000002E-5</v>
      </c>
      <c r="W97">
        <v>2.0000000000000002E-5</v>
      </c>
      <c r="X97">
        <v>2.0000000000000002E-5</v>
      </c>
      <c r="Y97">
        <v>2.0000000000000002E-5</v>
      </c>
      <c r="Z97">
        <v>2.0000000000000002E-5</v>
      </c>
      <c r="AA97">
        <v>2.0000000000000002E-5</v>
      </c>
      <c r="AB97">
        <v>2.0000000000000002E-5</v>
      </c>
      <c r="AC97">
        <v>2.0000000000000002E-5</v>
      </c>
      <c r="AD97">
        <v>2.0000000000000002E-5</v>
      </c>
      <c r="AE97">
        <v>2.0000000000000002E-5</v>
      </c>
      <c r="AF97">
        <v>2.0000000000000002E-5</v>
      </c>
      <c r="AG97">
        <v>2.0000000000000002E-5</v>
      </c>
      <c r="AH97">
        <v>2.0000000000000002E-5</v>
      </c>
      <c r="AI97">
        <v>2.0000000000000002E-5</v>
      </c>
      <c r="AJ97">
        <v>2.0000000000000002E-5</v>
      </c>
      <c r="AK97">
        <v>2.0000000000000002E-5</v>
      </c>
      <c r="AL97">
        <v>2.0000000000000002E-5</v>
      </c>
      <c r="AM97">
        <v>2.0000000000000002E-5</v>
      </c>
      <c r="AN97">
        <v>2.0000000000000002E-5</v>
      </c>
      <c r="AO97">
        <v>2.0000000000000002E-5</v>
      </c>
      <c r="AP97">
        <v>7.6000000000000004E-5</v>
      </c>
      <c r="AQ97">
        <v>7.6000000000000004E-5</v>
      </c>
      <c r="AR97">
        <v>7.6000000000000004E-5</v>
      </c>
      <c r="AS97">
        <v>7.6000000000000004E-5</v>
      </c>
      <c r="AT97">
        <v>7.6000000000000004E-5</v>
      </c>
      <c r="AU97">
        <v>1.05E-4</v>
      </c>
      <c r="AV97">
        <v>1.05E-4</v>
      </c>
      <c r="AW97">
        <v>1.05E-4</v>
      </c>
      <c r="AX97">
        <v>1.05E-4</v>
      </c>
      <c r="AY97">
        <v>1.05E-4</v>
      </c>
      <c r="AZ97">
        <v>1.2799999999999999E-4</v>
      </c>
      <c r="BA97">
        <v>1.2799999999999999E-4</v>
      </c>
      <c r="BB97">
        <v>1.2799999999999999E-4</v>
      </c>
      <c r="BC97">
        <v>1.2799999999999999E-4</v>
      </c>
      <c r="BD97">
        <v>1.2799999999999999E-4</v>
      </c>
      <c r="BE97">
        <v>1.4100000000000001E-4</v>
      </c>
      <c r="BF97">
        <v>1.4100000000000001E-4</v>
      </c>
      <c r="BG97">
        <v>1.4100000000000001E-4</v>
      </c>
      <c r="BH97">
        <v>1.4100000000000001E-4</v>
      </c>
      <c r="BI97">
        <v>1.4100000000000001E-4</v>
      </c>
      <c r="BJ97">
        <v>1.3999999999999999E-4</v>
      </c>
      <c r="BK97">
        <v>1.3999999999999999E-4</v>
      </c>
      <c r="BL97">
        <v>1.3999999999999999E-4</v>
      </c>
      <c r="BM97">
        <v>1.3999999999999999E-4</v>
      </c>
      <c r="BN97">
        <v>1.3999999999999999E-4</v>
      </c>
      <c r="BO97">
        <v>1.37E-4</v>
      </c>
      <c r="BP97">
        <v>1.37E-4</v>
      </c>
      <c r="BQ97">
        <v>1.37E-4</v>
      </c>
      <c r="BR97">
        <v>1.37E-4</v>
      </c>
      <c r="BS97">
        <v>1.37E-4</v>
      </c>
      <c r="BT97">
        <v>1.44E-4</v>
      </c>
      <c r="BU97">
        <v>1.44E-4</v>
      </c>
      <c r="BV97">
        <v>1.44E-4</v>
      </c>
      <c r="BW97">
        <v>1.44E-4</v>
      </c>
      <c r="BX97">
        <v>1.44E-4</v>
      </c>
      <c r="BY97">
        <v>1.6699999999999999E-4</v>
      </c>
      <c r="BZ97">
        <v>1.6699999999999999E-4</v>
      </c>
      <c r="CA97">
        <v>1.6699999999999999E-4</v>
      </c>
      <c r="CB97">
        <v>1.6699999999999999E-4</v>
      </c>
      <c r="CC97">
        <v>1.6699999999999999E-4</v>
      </c>
      <c r="CD97">
        <v>1.6699999999999999E-4</v>
      </c>
      <c r="CE97">
        <v>1.6699999999999999E-4</v>
      </c>
      <c r="CF97">
        <v>1.6699999999999999E-4</v>
      </c>
      <c r="CG97">
        <v>1.6699999999999999E-4</v>
      </c>
      <c r="CH97">
        <v>1.6699999999999999E-4</v>
      </c>
      <c r="CI97">
        <v>1.6699999999999999E-4</v>
      </c>
      <c r="CJ97">
        <v>1.6699999999999999E-4</v>
      </c>
      <c r="CK97">
        <v>1.6699999999999999E-4</v>
      </c>
      <c r="CL97">
        <v>1.6699999999999999E-4</v>
      </c>
      <c r="CM97">
        <v>1.6699999999999999E-4</v>
      </c>
      <c r="CN97">
        <v>1.6699999999999999E-4</v>
      </c>
      <c r="CO97">
        <v>1.6699999999999999E-4</v>
      </c>
      <c r="CP97">
        <v>1.6699999999999999E-4</v>
      </c>
      <c r="CQ97">
        <v>1.6699999999999999E-4</v>
      </c>
      <c r="CR97">
        <v>1.6699999999999999E-4</v>
      </c>
      <c r="CS97">
        <v>1.6699999999999999E-4</v>
      </c>
      <c r="CT97">
        <v>1.6699999999999999E-4</v>
      </c>
      <c r="CU97">
        <v>1.6699999999999999E-4</v>
      </c>
      <c r="CV97">
        <v>1.6699999999999999E-4</v>
      </c>
      <c r="CW97">
        <v>1.6699999999999999E-4</v>
      </c>
      <c r="CX97">
        <v>1.6699999999999999E-4</v>
      </c>
    </row>
    <row r="98" spans="1:102" x14ac:dyDescent="0.25">
      <c r="A98" t="s">
        <v>261</v>
      </c>
      <c r="B98" t="e">
        <v>#VALUE!</v>
      </c>
      <c r="C98" t="e">
        <v>#VALUE!</v>
      </c>
      <c r="D98" t="e">
        <v>#VALUE!</v>
      </c>
      <c r="E98" t="e">
        <v>#VALUE!</v>
      </c>
      <c r="F98" t="e">
        <v>#VALUE!</v>
      </c>
      <c r="G98" t="e">
        <v>#VALUE!</v>
      </c>
      <c r="H98" t="e">
        <v>#VALUE!</v>
      </c>
      <c r="I98" t="e">
        <v>#VALUE!</v>
      </c>
      <c r="J98" t="e">
        <v>#VALUE!</v>
      </c>
      <c r="K98" t="e">
        <v>#VALUE!</v>
      </c>
      <c r="L98" t="e">
        <v>#VALUE!</v>
      </c>
      <c r="M98" t="e">
        <v>#VALUE!</v>
      </c>
      <c r="N98" t="e">
        <v>#VALUE!</v>
      </c>
      <c r="O98" t="e">
        <v>#VALUE!</v>
      </c>
      <c r="P98" t="e">
        <v>#VALUE!</v>
      </c>
      <c r="Q98">
        <v>1.4100000000000001E-4</v>
      </c>
      <c r="R98">
        <v>1.4100000000000001E-4</v>
      </c>
      <c r="S98">
        <v>1.4100000000000001E-4</v>
      </c>
      <c r="T98">
        <v>1.4100000000000001E-4</v>
      </c>
      <c r="U98">
        <v>1.4100000000000001E-4</v>
      </c>
      <c r="V98">
        <v>1.4100000000000001E-4</v>
      </c>
      <c r="W98">
        <v>1.4100000000000001E-4</v>
      </c>
      <c r="X98">
        <v>1.4100000000000001E-4</v>
      </c>
      <c r="Y98">
        <v>1.4100000000000001E-4</v>
      </c>
      <c r="Z98">
        <v>1.4100000000000001E-4</v>
      </c>
      <c r="AA98">
        <v>1.4100000000000001E-4</v>
      </c>
      <c r="AB98">
        <v>1.4100000000000001E-4</v>
      </c>
      <c r="AC98">
        <v>1.4100000000000001E-4</v>
      </c>
      <c r="AD98">
        <v>1.4100000000000001E-4</v>
      </c>
      <c r="AE98">
        <v>1.4100000000000001E-4</v>
      </c>
      <c r="AF98">
        <v>1.4100000000000001E-4</v>
      </c>
      <c r="AG98">
        <v>1.4100000000000001E-4</v>
      </c>
      <c r="AH98">
        <v>1.4100000000000001E-4</v>
      </c>
      <c r="AI98">
        <v>1.4100000000000001E-4</v>
      </c>
      <c r="AJ98">
        <v>1.4100000000000001E-4</v>
      </c>
      <c r="AK98">
        <v>1.4100000000000001E-4</v>
      </c>
      <c r="AL98">
        <v>1.4100000000000001E-4</v>
      </c>
      <c r="AM98">
        <v>1.4100000000000001E-4</v>
      </c>
      <c r="AN98">
        <v>1.4100000000000001E-4</v>
      </c>
      <c r="AO98">
        <v>1.4100000000000001E-4</v>
      </c>
      <c r="AP98">
        <v>6.7000000000000002E-4</v>
      </c>
      <c r="AQ98">
        <v>6.7000000000000002E-4</v>
      </c>
      <c r="AR98">
        <v>6.7000000000000002E-4</v>
      </c>
      <c r="AS98">
        <v>6.7000000000000002E-4</v>
      </c>
      <c r="AT98">
        <v>6.7000000000000002E-4</v>
      </c>
      <c r="AU98">
        <v>9.2599999999999996E-4</v>
      </c>
      <c r="AV98">
        <v>9.2599999999999996E-4</v>
      </c>
      <c r="AW98">
        <v>9.2599999999999996E-4</v>
      </c>
      <c r="AX98">
        <v>9.2599999999999996E-4</v>
      </c>
      <c r="AY98">
        <v>9.2599999999999996E-4</v>
      </c>
      <c r="AZ98">
        <v>9.0600000000000001E-4</v>
      </c>
      <c r="BA98">
        <v>9.0600000000000001E-4</v>
      </c>
      <c r="BB98">
        <v>9.0600000000000001E-4</v>
      </c>
      <c r="BC98">
        <v>9.0600000000000001E-4</v>
      </c>
      <c r="BD98">
        <v>9.0600000000000001E-4</v>
      </c>
      <c r="BE98">
        <v>1.0640000000000001E-3</v>
      </c>
      <c r="BF98">
        <v>1.0640000000000001E-3</v>
      </c>
      <c r="BG98">
        <v>1.0640000000000001E-3</v>
      </c>
      <c r="BH98">
        <v>1.0640000000000001E-3</v>
      </c>
      <c r="BI98">
        <v>1.0640000000000001E-3</v>
      </c>
      <c r="BJ98">
        <v>1.3500000000000001E-3</v>
      </c>
      <c r="BK98">
        <v>1.3500000000000001E-3</v>
      </c>
      <c r="BL98">
        <v>1.3500000000000001E-3</v>
      </c>
      <c r="BM98">
        <v>1.3500000000000001E-3</v>
      </c>
      <c r="BN98">
        <v>1.3500000000000001E-3</v>
      </c>
      <c r="BO98">
        <v>1.0690000000000001E-3</v>
      </c>
      <c r="BP98">
        <v>1.0690000000000001E-3</v>
      </c>
      <c r="BQ98">
        <v>1.0690000000000001E-3</v>
      </c>
      <c r="BR98">
        <v>1.0690000000000001E-3</v>
      </c>
      <c r="BS98">
        <v>1.0690000000000001E-3</v>
      </c>
      <c r="BT98">
        <v>9.7499999999999996E-4</v>
      </c>
      <c r="BU98">
        <v>9.7499999999999996E-4</v>
      </c>
      <c r="BV98">
        <v>9.7499999999999996E-4</v>
      </c>
      <c r="BW98">
        <v>9.7499999999999996E-4</v>
      </c>
      <c r="BX98">
        <v>9.7499999999999996E-4</v>
      </c>
      <c r="BY98">
        <v>2.1280000000000001E-3</v>
      </c>
      <c r="BZ98">
        <v>2.1280000000000001E-3</v>
      </c>
      <c r="CA98">
        <v>2.1280000000000001E-3</v>
      </c>
      <c r="CB98">
        <v>2.1280000000000001E-3</v>
      </c>
      <c r="CC98">
        <v>2.1280000000000001E-3</v>
      </c>
      <c r="CD98">
        <v>2.1280000000000001E-3</v>
      </c>
      <c r="CE98">
        <v>2.1280000000000001E-3</v>
      </c>
      <c r="CF98">
        <v>2.1280000000000001E-3</v>
      </c>
      <c r="CG98">
        <v>2.1280000000000001E-3</v>
      </c>
      <c r="CH98">
        <v>2.1280000000000001E-3</v>
      </c>
      <c r="CI98">
        <v>2.1280000000000001E-3</v>
      </c>
      <c r="CJ98">
        <v>2.1280000000000001E-3</v>
      </c>
      <c r="CK98">
        <v>2.1280000000000001E-3</v>
      </c>
      <c r="CL98">
        <v>2.1280000000000001E-3</v>
      </c>
      <c r="CM98">
        <v>2.1280000000000001E-3</v>
      </c>
      <c r="CN98">
        <v>2.1280000000000001E-3</v>
      </c>
      <c r="CO98">
        <v>2.1280000000000001E-3</v>
      </c>
      <c r="CP98">
        <v>2.1280000000000001E-3</v>
      </c>
      <c r="CQ98">
        <v>2.1280000000000001E-3</v>
      </c>
      <c r="CR98">
        <v>2.1280000000000001E-3</v>
      </c>
      <c r="CS98">
        <v>2.1280000000000001E-3</v>
      </c>
      <c r="CT98">
        <v>2.1280000000000001E-3</v>
      </c>
      <c r="CU98">
        <v>2.1280000000000001E-3</v>
      </c>
      <c r="CV98">
        <v>2.1280000000000001E-3</v>
      </c>
      <c r="CW98">
        <v>2.1280000000000001E-3</v>
      </c>
      <c r="CX98">
        <v>2.1280000000000001E-3</v>
      </c>
    </row>
    <row r="99" spans="1:102" x14ac:dyDescent="0.25">
      <c r="A99" t="s">
        <v>263</v>
      </c>
      <c r="B99" t="e">
        <v>#VALUE!</v>
      </c>
      <c r="C99" t="e">
        <v>#VALUE!</v>
      </c>
      <c r="D99" t="e">
        <v>#VALUE!</v>
      </c>
      <c r="E99" t="e">
        <v>#VALUE!</v>
      </c>
      <c r="F99" t="e">
        <v>#VALUE!</v>
      </c>
      <c r="G99" t="e">
        <v>#VALUE!</v>
      </c>
      <c r="H99" t="e">
        <v>#VALUE!</v>
      </c>
      <c r="I99" t="e">
        <v>#VALUE!</v>
      </c>
      <c r="J99" t="e">
        <v>#VALUE!</v>
      </c>
      <c r="K99" t="e">
        <v>#VALUE!</v>
      </c>
      <c r="L99" t="e">
        <v>#VALUE!</v>
      </c>
      <c r="M99" t="e">
        <v>#VALUE!</v>
      </c>
      <c r="N99" t="e">
        <v>#VALUE!</v>
      </c>
      <c r="O99" t="e">
        <v>#VALUE!</v>
      </c>
      <c r="P99" t="e">
        <v>#VALUE!</v>
      </c>
      <c r="Q99">
        <v>8.1000000000000004E-5</v>
      </c>
      <c r="R99">
        <v>8.1000000000000004E-5</v>
      </c>
      <c r="S99">
        <v>8.1000000000000004E-5</v>
      </c>
      <c r="T99">
        <v>8.1000000000000004E-5</v>
      </c>
      <c r="U99">
        <v>8.1000000000000004E-5</v>
      </c>
      <c r="V99">
        <v>8.1000000000000004E-5</v>
      </c>
      <c r="W99">
        <v>8.1000000000000004E-5</v>
      </c>
      <c r="X99">
        <v>8.1000000000000004E-5</v>
      </c>
      <c r="Y99">
        <v>8.1000000000000004E-5</v>
      </c>
      <c r="Z99">
        <v>8.1000000000000004E-5</v>
      </c>
      <c r="AA99">
        <v>8.1000000000000004E-5</v>
      </c>
      <c r="AB99">
        <v>8.1000000000000004E-5</v>
      </c>
      <c r="AC99">
        <v>8.1000000000000004E-5</v>
      </c>
      <c r="AD99">
        <v>8.1000000000000004E-5</v>
      </c>
      <c r="AE99">
        <v>8.1000000000000004E-5</v>
      </c>
      <c r="AF99">
        <v>8.1000000000000004E-5</v>
      </c>
      <c r="AG99">
        <v>8.1000000000000004E-5</v>
      </c>
      <c r="AH99">
        <v>8.1000000000000004E-5</v>
      </c>
      <c r="AI99">
        <v>8.1000000000000004E-5</v>
      </c>
      <c r="AJ99">
        <v>8.1000000000000004E-5</v>
      </c>
      <c r="AK99">
        <v>8.1000000000000004E-5</v>
      </c>
      <c r="AL99">
        <v>8.1000000000000004E-5</v>
      </c>
      <c r="AM99">
        <v>8.1000000000000004E-5</v>
      </c>
      <c r="AN99">
        <v>8.1000000000000004E-5</v>
      </c>
      <c r="AO99">
        <v>8.1000000000000004E-5</v>
      </c>
      <c r="AP99">
        <v>4.2299999999999998E-4</v>
      </c>
      <c r="AQ99">
        <v>4.2299999999999998E-4</v>
      </c>
      <c r="AR99">
        <v>4.2299999999999998E-4</v>
      </c>
      <c r="AS99">
        <v>4.2299999999999998E-4</v>
      </c>
      <c r="AT99">
        <v>4.2299999999999998E-4</v>
      </c>
      <c r="AU99">
        <v>5.53E-4</v>
      </c>
      <c r="AV99">
        <v>5.53E-4</v>
      </c>
      <c r="AW99">
        <v>5.53E-4</v>
      </c>
      <c r="AX99">
        <v>5.53E-4</v>
      </c>
      <c r="AY99">
        <v>5.53E-4</v>
      </c>
      <c r="AZ99">
        <v>7.4700000000000005E-4</v>
      </c>
      <c r="BA99">
        <v>7.4700000000000005E-4</v>
      </c>
      <c r="BB99">
        <v>7.4700000000000005E-4</v>
      </c>
      <c r="BC99">
        <v>7.4700000000000005E-4</v>
      </c>
      <c r="BD99">
        <v>7.4700000000000005E-4</v>
      </c>
      <c r="BE99">
        <v>9.1100000000000003E-4</v>
      </c>
      <c r="BF99">
        <v>9.1100000000000003E-4</v>
      </c>
      <c r="BG99">
        <v>9.1100000000000003E-4</v>
      </c>
      <c r="BH99">
        <v>9.1100000000000003E-4</v>
      </c>
      <c r="BI99">
        <v>9.1100000000000003E-4</v>
      </c>
      <c r="BJ99">
        <v>1.075E-3</v>
      </c>
      <c r="BK99">
        <v>1.075E-3</v>
      </c>
      <c r="BL99">
        <v>1.075E-3</v>
      </c>
      <c r="BM99">
        <v>1.075E-3</v>
      </c>
      <c r="BN99">
        <v>1.075E-3</v>
      </c>
      <c r="BO99">
        <v>1.235E-3</v>
      </c>
      <c r="BP99">
        <v>1.235E-3</v>
      </c>
      <c r="BQ99">
        <v>1.235E-3</v>
      </c>
      <c r="BR99">
        <v>1.235E-3</v>
      </c>
      <c r="BS99">
        <v>1.235E-3</v>
      </c>
      <c r="BT99">
        <v>1.3780000000000001E-3</v>
      </c>
      <c r="BU99">
        <v>1.3780000000000001E-3</v>
      </c>
      <c r="BV99">
        <v>1.3780000000000001E-3</v>
      </c>
      <c r="BW99">
        <v>1.3780000000000001E-3</v>
      </c>
      <c r="BX99">
        <v>1.3780000000000001E-3</v>
      </c>
      <c r="BY99">
        <v>1.557E-3</v>
      </c>
      <c r="BZ99">
        <v>1.557E-3</v>
      </c>
      <c r="CA99">
        <v>1.557E-3</v>
      </c>
      <c r="CB99">
        <v>1.557E-3</v>
      </c>
      <c r="CC99">
        <v>1.557E-3</v>
      </c>
      <c r="CD99">
        <v>1.557E-3</v>
      </c>
      <c r="CE99">
        <v>1.557E-3</v>
      </c>
      <c r="CF99">
        <v>1.557E-3</v>
      </c>
      <c r="CG99">
        <v>1.557E-3</v>
      </c>
      <c r="CH99">
        <v>1.557E-3</v>
      </c>
      <c r="CI99">
        <v>1.557E-3</v>
      </c>
      <c r="CJ99">
        <v>1.557E-3</v>
      </c>
      <c r="CK99">
        <v>1.557E-3</v>
      </c>
      <c r="CL99">
        <v>1.557E-3</v>
      </c>
      <c r="CM99">
        <v>1.557E-3</v>
      </c>
      <c r="CN99">
        <v>1.557E-3</v>
      </c>
      <c r="CO99">
        <v>1.557E-3</v>
      </c>
      <c r="CP99">
        <v>1.557E-3</v>
      </c>
      <c r="CQ99">
        <v>1.557E-3</v>
      </c>
      <c r="CR99">
        <v>1.557E-3</v>
      </c>
      <c r="CS99">
        <v>1.557E-3</v>
      </c>
      <c r="CT99">
        <v>1.557E-3</v>
      </c>
      <c r="CU99">
        <v>1.557E-3</v>
      </c>
      <c r="CV99">
        <v>1.557E-3</v>
      </c>
      <c r="CW99">
        <v>1.557E-3</v>
      </c>
      <c r="CX99">
        <v>1.557E-3</v>
      </c>
    </row>
    <row r="100" spans="1:102" x14ac:dyDescent="0.25">
      <c r="A100" t="s">
        <v>265</v>
      </c>
      <c r="B100" t="e">
        <v>#VALUE!</v>
      </c>
      <c r="C100" t="e">
        <v>#VALUE!</v>
      </c>
      <c r="D100" t="e">
        <v>#VALUE!</v>
      </c>
      <c r="E100" t="e">
        <v>#VALUE!</v>
      </c>
      <c r="F100" t="e">
        <v>#VALUE!</v>
      </c>
      <c r="G100" t="e">
        <v>#VALUE!</v>
      </c>
      <c r="H100" t="e">
        <v>#VALUE!</v>
      </c>
      <c r="I100" t="e">
        <v>#VALUE!</v>
      </c>
      <c r="J100" t="e">
        <v>#VALUE!</v>
      </c>
      <c r="K100" t="e">
        <v>#VALUE!</v>
      </c>
      <c r="L100" t="e">
        <v>#VALUE!</v>
      </c>
      <c r="M100" t="e">
        <v>#VALUE!</v>
      </c>
      <c r="N100" t="e">
        <v>#VALUE!</v>
      </c>
      <c r="O100" t="e">
        <v>#VALUE!</v>
      </c>
      <c r="P100" t="e">
        <v>#VALUE!</v>
      </c>
      <c r="Q100">
        <v>7.9999999999999996E-6</v>
      </c>
      <c r="R100">
        <v>7.9999999999999996E-6</v>
      </c>
      <c r="S100">
        <v>7.9999999999999996E-6</v>
      </c>
      <c r="T100">
        <v>7.9999999999999996E-6</v>
      </c>
      <c r="U100">
        <v>7.9999999999999996E-6</v>
      </c>
      <c r="V100">
        <v>7.9999999999999996E-6</v>
      </c>
      <c r="W100">
        <v>7.9999999999999996E-6</v>
      </c>
      <c r="X100">
        <v>7.9999999999999996E-6</v>
      </c>
      <c r="Y100">
        <v>7.9999999999999996E-6</v>
      </c>
      <c r="Z100">
        <v>7.9999999999999996E-6</v>
      </c>
      <c r="AA100">
        <v>7.9999999999999996E-6</v>
      </c>
      <c r="AB100">
        <v>7.9999999999999996E-6</v>
      </c>
      <c r="AC100">
        <v>7.9999999999999996E-6</v>
      </c>
      <c r="AD100">
        <v>7.9999999999999996E-6</v>
      </c>
      <c r="AE100">
        <v>7.9999999999999996E-6</v>
      </c>
      <c r="AF100">
        <v>7.9999999999999996E-6</v>
      </c>
      <c r="AG100">
        <v>7.9999999999999996E-6</v>
      </c>
      <c r="AH100">
        <v>7.9999999999999996E-6</v>
      </c>
      <c r="AI100">
        <v>7.9999999999999996E-6</v>
      </c>
      <c r="AJ100">
        <v>7.9999999999999996E-6</v>
      </c>
      <c r="AK100">
        <v>7.9999999999999996E-6</v>
      </c>
      <c r="AL100">
        <v>7.9999999999999996E-6</v>
      </c>
      <c r="AM100">
        <v>7.9999999999999996E-6</v>
      </c>
      <c r="AN100">
        <v>7.9999999999999996E-6</v>
      </c>
      <c r="AO100">
        <v>7.9999999999999996E-6</v>
      </c>
      <c r="AP100">
        <v>1.15E-4</v>
      </c>
      <c r="AQ100">
        <v>1.15E-4</v>
      </c>
      <c r="AR100">
        <v>1.15E-4</v>
      </c>
      <c r="AS100">
        <v>1.15E-4</v>
      </c>
      <c r="AT100">
        <v>1.15E-4</v>
      </c>
      <c r="AU100">
        <v>2.4000000000000001E-4</v>
      </c>
      <c r="AV100">
        <v>2.4000000000000001E-4</v>
      </c>
      <c r="AW100">
        <v>2.4000000000000001E-4</v>
      </c>
      <c r="AX100">
        <v>2.4000000000000001E-4</v>
      </c>
      <c r="AY100">
        <v>2.4000000000000001E-4</v>
      </c>
      <c r="AZ100">
        <v>3.2299999999999999E-4</v>
      </c>
      <c r="BA100">
        <v>3.2299999999999999E-4</v>
      </c>
      <c r="BB100">
        <v>3.2299999999999999E-4</v>
      </c>
      <c r="BC100">
        <v>3.2299999999999999E-4</v>
      </c>
      <c r="BD100">
        <v>3.2299999999999999E-4</v>
      </c>
      <c r="BE100">
        <v>3.2499999999999999E-4</v>
      </c>
      <c r="BF100">
        <v>3.2499999999999999E-4</v>
      </c>
      <c r="BG100">
        <v>3.2499999999999999E-4</v>
      </c>
      <c r="BH100">
        <v>3.2499999999999999E-4</v>
      </c>
      <c r="BI100">
        <v>3.2499999999999999E-4</v>
      </c>
      <c r="BJ100">
        <v>3.1500000000000001E-4</v>
      </c>
      <c r="BK100">
        <v>3.1500000000000001E-4</v>
      </c>
      <c r="BL100">
        <v>3.1500000000000001E-4</v>
      </c>
      <c r="BM100">
        <v>3.1500000000000001E-4</v>
      </c>
      <c r="BN100">
        <v>3.1500000000000001E-4</v>
      </c>
      <c r="BO100">
        <v>3.6999999999999999E-4</v>
      </c>
      <c r="BP100">
        <v>3.6999999999999999E-4</v>
      </c>
      <c r="BQ100">
        <v>3.6999999999999999E-4</v>
      </c>
      <c r="BR100">
        <v>3.6999999999999999E-4</v>
      </c>
      <c r="BS100">
        <v>3.6999999999999999E-4</v>
      </c>
      <c r="BT100">
        <v>4.4200000000000001E-4</v>
      </c>
      <c r="BU100">
        <v>4.4200000000000001E-4</v>
      </c>
      <c r="BV100">
        <v>4.4200000000000001E-4</v>
      </c>
      <c r="BW100">
        <v>4.4200000000000001E-4</v>
      </c>
      <c r="BX100">
        <v>4.4200000000000001E-4</v>
      </c>
      <c r="BY100">
        <v>5.6099999999999998E-4</v>
      </c>
      <c r="BZ100">
        <v>5.6099999999999998E-4</v>
      </c>
      <c r="CA100">
        <v>5.6099999999999998E-4</v>
      </c>
      <c r="CB100">
        <v>5.6099999999999998E-4</v>
      </c>
      <c r="CC100">
        <v>5.6099999999999998E-4</v>
      </c>
      <c r="CD100">
        <v>5.6099999999999998E-4</v>
      </c>
      <c r="CE100">
        <v>5.6099999999999998E-4</v>
      </c>
      <c r="CF100">
        <v>5.6099999999999998E-4</v>
      </c>
      <c r="CG100">
        <v>5.6099999999999998E-4</v>
      </c>
      <c r="CH100">
        <v>5.6099999999999998E-4</v>
      </c>
      <c r="CI100">
        <v>5.6099999999999998E-4</v>
      </c>
      <c r="CJ100">
        <v>5.6099999999999998E-4</v>
      </c>
      <c r="CK100">
        <v>5.6099999999999998E-4</v>
      </c>
      <c r="CL100">
        <v>5.6099999999999998E-4</v>
      </c>
      <c r="CM100">
        <v>5.6099999999999998E-4</v>
      </c>
      <c r="CN100">
        <v>5.6099999999999998E-4</v>
      </c>
      <c r="CO100">
        <v>5.6099999999999998E-4</v>
      </c>
      <c r="CP100">
        <v>5.6099999999999998E-4</v>
      </c>
      <c r="CQ100">
        <v>5.6099999999999998E-4</v>
      </c>
      <c r="CR100">
        <v>5.6099999999999998E-4</v>
      </c>
      <c r="CS100">
        <v>5.6099999999999998E-4</v>
      </c>
      <c r="CT100">
        <v>5.6099999999999998E-4</v>
      </c>
      <c r="CU100">
        <v>5.6099999999999998E-4</v>
      </c>
      <c r="CV100">
        <v>5.6099999999999998E-4</v>
      </c>
      <c r="CW100">
        <v>5.6099999999999998E-4</v>
      </c>
      <c r="CX100">
        <v>5.6099999999999998E-4</v>
      </c>
    </row>
    <row r="101" spans="1:102" x14ac:dyDescent="0.25">
      <c r="A101" t="s">
        <v>267</v>
      </c>
      <c r="B101" t="e">
        <v>#VALUE!</v>
      </c>
      <c r="C101" t="e">
        <v>#VALUE!</v>
      </c>
      <c r="D101" t="e">
        <v>#VALUE!</v>
      </c>
      <c r="E101" t="e">
        <v>#VALUE!</v>
      </c>
      <c r="F101" t="e">
        <v>#VALUE!</v>
      </c>
      <c r="G101" t="e">
        <v>#VALUE!</v>
      </c>
      <c r="H101" t="e">
        <v>#VALUE!</v>
      </c>
      <c r="I101" t="e">
        <v>#VALUE!</v>
      </c>
      <c r="J101" t="e">
        <v>#VALUE!</v>
      </c>
      <c r="K101" t="e">
        <v>#VALUE!</v>
      </c>
      <c r="L101" t="e">
        <v>#VALUE!</v>
      </c>
      <c r="M101" t="e">
        <v>#VALUE!</v>
      </c>
      <c r="N101" t="e">
        <v>#VALUE!</v>
      </c>
      <c r="O101" t="e">
        <v>#VALUE!</v>
      </c>
      <c r="P101" t="e">
        <v>#VALUE!</v>
      </c>
      <c r="Q101">
        <v>2.0900000000000001E-4</v>
      </c>
      <c r="R101">
        <v>2.0900000000000001E-4</v>
      </c>
      <c r="S101">
        <v>2.0900000000000001E-4</v>
      </c>
      <c r="T101">
        <v>2.0900000000000001E-4</v>
      </c>
      <c r="U101">
        <v>2.0900000000000001E-4</v>
      </c>
      <c r="V101">
        <v>2.0900000000000001E-4</v>
      </c>
      <c r="W101">
        <v>2.0900000000000001E-4</v>
      </c>
      <c r="X101">
        <v>2.0900000000000001E-4</v>
      </c>
      <c r="Y101">
        <v>2.0900000000000001E-4</v>
      </c>
      <c r="Z101">
        <v>2.0900000000000001E-4</v>
      </c>
      <c r="AA101">
        <v>2.0900000000000001E-4</v>
      </c>
      <c r="AB101">
        <v>2.0900000000000001E-4</v>
      </c>
      <c r="AC101">
        <v>2.0900000000000001E-4</v>
      </c>
      <c r="AD101">
        <v>2.0900000000000001E-4</v>
      </c>
      <c r="AE101">
        <v>2.0900000000000001E-4</v>
      </c>
      <c r="AF101">
        <v>2.0900000000000001E-4</v>
      </c>
      <c r="AG101">
        <v>2.0900000000000001E-4</v>
      </c>
      <c r="AH101">
        <v>2.0900000000000001E-4</v>
      </c>
      <c r="AI101">
        <v>2.0900000000000001E-4</v>
      </c>
      <c r="AJ101">
        <v>2.0900000000000001E-4</v>
      </c>
      <c r="AK101">
        <v>2.0900000000000001E-4</v>
      </c>
      <c r="AL101">
        <v>2.0900000000000001E-4</v>
      </c>
      <c r="AM101">
        <v>2.0900000000000001E-4</v>
      </c>
      <c r="AN101">
        <v>2.0900000000000001E-4</v>
      </c>
      <c r="AO101">
        <v>2.0900000000000001E-4</v>
      </c>
      <c r="AP101">
        <v>6.0599999999999998E-4</v>
      </c>
      <c r="AQ101">
        <v>6.0599999999999998E-4</v>
      </c>
      <c r="AR101">
        <v>6.0599999999999998E-4</v>
      </c>
      <c r="AS101">
        <v>6.0599999999999998E-4</v>
      </c>
      <c r="AT101">
        <v>6.0599999999999998E-4</v>
      </c>
      <c r="AU101">
        <v>6.6799999999999997E-4</v>
      </c>
      <c r="AV101">
        <v>6.6799999999999997E-4</v>
      </c>
      <c r="AW101">
        <v>6.6799999999999997E-4</v>
      </c>
      <c r="AX101">
        <v>6.6799999999999997E-4</v>
      </c>
      <c r="AY101">
        <v>6.6799999999999997E-4</v>
      </c>
      <c r="AZ101">
        <v>6.7599999999999995E-4</v>
      </c>
      <c r="BA101">
        <v>6.7599999999999995E-4</v>
      </c>
      <c r="BB101">
        <v>6.7599999999999995E-4</v>
      </c>
      <c r="BC101">
        <v>6.7599999999999995E-4</v>
      </c>
      <c r="BD101">
        <v>6.7599999999999995E-4</v>
      </c>
      <c r="BE101">
        <v>6.3400000000000001E-4</v>
      </c>
      <c r="BF101">
        <v>6.3400000000000001E-4</v>
      </c>
      <c r="BG101">
        <v>6.3400000000000001E-4</v>
      </c>
      <c r="BH101">
        <v>6.3400000000000001E-4</v>
      </c>
      <c r="BI101">
        <v>6.3400000000000001E-4</v>
      </c>
      <c r="BJ101">
        <v>5.4799999999999998E-4</v>
      </c>
      <c r="BK101">
        <v>5.4799999999999998E-4</v>
      </c>
      <c r="BL101">
        <v>5.4799999999999998E-4</v>
      </c>
      <c r="BM101">
        <v>5.4799999999999998E-4</v>
      </c>
      <c r="BN101">
        <v>5.4799999999999998E-4</v>
      </c>
      <c r="BO101">
        <v>4.6200000000000001E-4</v>
      </c>
      <c r="BP101">
        <v>4.6200000000000001E-4</v>
      </c>
      <c r="BQ101">
        <v>4.6200000000000001E-4</v>
      </c>
      <c r="BR101">
        <v>4.6200000000000001E-4</v>
      </c>
      <c r="BS101">
        <v>4.6200000000000001E-4</v>
      </c>
      <c r="BT101">
        <v>3.8299999999999999E-4</v>
      </c>
      <c r="BU101">
        <v>3.8299999999999999E-4</v>
      </c>
      <c r="BV101">
        <v>3.8299999999999999E-4</v>
      </c>
      <c r="BW101">
        <v>3.8299999999999999E-4</v>
      </c>
      <c r="BX101">
        <v>3.8299999999999999E-4</v>
      </c>
      <c r="BY101">
        <v>2.5099999999999998E-4</v>
      </c>
      <c r="BZ101">
        <v>2.5099999999999998E-4</v>
      </c>
      <c r="CA101">
        <v>2.5099999999999998E-4</v>
      </c>
      <c r="CB101">
        <v>2.5099999999999998E-4</v>
      </c>
      <c r="CC101">
        <v>2.5099999999999998E-4</v>
      </c>
      <c r="CD101">
        <v>2.5099999999999998E-4</v>
      </c>
      <c r="CE101">
        <v>2.5099999999999998E-4</v>
      </c>
      <c r="CF101">
        <v>2.5099999999999998E-4</v>
      </c>
      <c r="CG101">
        <v>2.5099999999999998E-4</v>
      </c>
      <c r="CH101">
        <v>2.5099999999999998E-4</v>
      </c>
      <c r="CI101">
        <v>2.5099999999999998E-4</v>
      </c>
      <c r="CJ101">
        <v>2.5099999999999998E-4</v>
      </c>
      <c r="CK101">
        <v>2.5099999999999998E-4</v>
      </c>
      <c r="CL101">
        <v>2.5099999999999998E-4</v>
      </c>
      <c r="CM101">
        <v>2.5099999999999998E-4</v>
      </c>
      <c r="CN101">
        <v>2.5099999999999998E-4</v>
      </c>
      <c r="CO101">
        <v>2.5099999999999998E-4</v>
      </c>
      <c r="CP101">
        <v>2.5099999999999998E-4</v>
      </c>
      <c r="CQ101">
        <v>2.5099999999999998E-4</v>
      </c>
      <c r="CR101">
        <v>2.5099999999999998E-4</v>
      </c>
      <c r="CS101">
        <v>2.5099999999999998E-4</v>
      </c>
      <c r="CT101">
        <v>2.5099999999999998E-4</v>
      </c>
      <c r="CU101">
        <v>2.5099999999999998E-4</v>
      </c>
      <c r="CV101">
        <v>2.5099999999999998E-4</v>
      </c>
      <c r="CW101">
        <v>2.5099999999999998E-4</v>
      </c>
      <c r="CX101">
        <v>2.5099999999999998E-4</v>
      </c>
    </row>
    <row r="102" spans="1:102" x14ac:dyDescent="0.25">
      <c r="A102" t="s">
        <v>269</v>
      </c>
      <c r="B102" t="e">
        <v>#VALUE!</v>
      </c>
      <c r="C102" t="e">
        <v>#VALUE!</v>
      </c>
      <c r="D102" t="e">
        <v>#VALUE!</v>
      </c>
      <c r="E102" t="e">
        <v>#VALUE!</v>
      </c>
      <c r="F102" t="e">
        <v>#VALUE!</v>
      </c>
      <c r="G102" t="e">
        <v>#VALUE!</v>
      </c>
      <c r="H102" t="e">
        <v>#VALUE!</v>
      </c>
      <c r="I102" t="e">
        <v>#VALUE!</v>
      </c>
      <c r="J102" t="e">
        <v>#VALUE!</v>
      </c>
      <c r="K102" t="e">
        <v>#VALUE!</v>
      </c>
      <c r="L102" t="e">
        <v>#VALUE!</v>
      </c>
      <c r="M102" t="e">
        <v>#VALUE!</v>
      </c>
      <c r="N102" t="e">
        <v>#VALUE!</v>
      </c>
      <c r="O102" t="e">
        <v>#VALUE!</v>
      </c>
      <c r="P102" t="e">
        <v>#VALUE!</v>
      </c>
      <c r="Q102" t="e">
        <v>#VALUE!</v>
      </c>
      <c r="R102" t="e">
        <v>#VALUE!</v>
      </c>
      <c r="S102" t="e">
        <v>#VALUE!</v>
      </c>
      <c r="T102" t="e">
        <v>#VALUE!</v>
      </c>
      <c r="U102" t="e">
        <v>#VALUE!</v>
      </c>
      <c r="V102" t="e">
        <v>#VALUE!</v>
      </c>
      <c r="W102" t="e">
        <v>#VALUE!</v>
      </c>
      <c r="X102" t="e">
        <v>#VALUE!</v>
      </c>
      <c r="Y102" t="e">
        <v>#VALUE!</v>
      </c>
      <c r="Z102" t="e">
        <v>#VALUE!</v>
      </c>
      <c r="AA102" t="e">
        <v>#VALUE!</v>
      </c>
      <c r="AB102" t="e">
        <v>#VALUE!</v>
      </c>
      <c r="AC102" t="e">
        <v>#VALUE!</v>
      </c>
      <c r="AD102" t="e">
        <v>#VALUE!</v>
      </c>
      <c r="AE102" t="e">
        <v>#VALUE!</v>
      </c>
      <c r="AF102" t="e">
        <v>#VALUE!</v>
      </c>
      <c r="AG102" t="e">
        <v>#VALUE!</v>
      </c>
      <c r="AH102" t="e">
        <v>#VALUE!</v>
      </c>
      <c r="AI102" t="e">
        <v>#VALUE!</v>
      </c>
      <c r="AJ102" t="e">
        <v>#VALUE!</v>
      </c>
      <c r="AK102" t="e">
        <v>#VALUE!</v>
      </c>
      <c r="AL102" t="e">
        <v>#VALUE!</v>
      </c>
      <c r="AM102" t="e">
        <v>#VALUE!</v>
      </c>
      <c r="AN102" t="e">
        <v>#VALUE!</v>
      </c>
      <c r="AO102" t="e">
        <v>#VALUE!</v>
      </c>
      <c r="AP102">
        <v>4.6999999999999997E-5</v>
      </c>
      <c r="AQ102">
        <v>4.6999999999999997E-5</v>
      </c>
      <c r="AR102">
        <v>4.6999999999999997E-5</v>
      </c>
      <c r="AS102">
        <v>4.6999999999999997E-5</v>
      </c>
      <c r="AT102">
        <v>4.6999999999999997E-5</v>
      </c>
      <c r="AU102" t="e">
        <v>#VALUE!</v>
      </c>
      <c r="AV102" t="e">
        <v>#VALUE!</v>
      </c>
      <c r="AW102" t="e">
        <v>#VALUE!</v>
      </c>
      <c r="AX102" t="e">
        <v>#VALUE!</v>
      </c>
      <c r="AY102" t="e">
        <v>#VALUE!</v>
      </c>
      <c r="AZ102">
        <v>1.0900000000000001E-4</v>
      </c>
      <c r="BA102">
        <v>1.0900000000000001E-4</v>
      </c>
      <c r="BB102">
        <v>1.0900000000000001E-4</v>
      </c>
      <c r="BC102">
        <v>1.0900000000000001E-4</v>
      </c>
      <c r="BD102">
        <v>1.0900000000000001E-4</v>
      </c>
      <c r="BE102">
        <v>1.27E-4</v>
      </c>
      <c r="BF102">
        <v>1.27E-4</v>
      </c>
      <c r="BG102">
        <v>1.27E-4</v>
      </c>
      <c r="BH102">
        <v>1.27E-4</v>
      </c>
      <c r="BI102">
        <v>1.27E-4</v>
      </c>
      <c r="BJ102">
        <v>3.0400000000000002E-4</v>
      </c>
      <c r="BK102">
        <v>3.0400000000000002E-4</v>
      </c>
      <c r="BL102">
        <v>3.0400000000000002E-4</v>
      </c>
      <c r="BM102">
        <v>3.0400000000000002E-4</v>
      </c>
      <c r="BN102">
        <v>3.0400000000000002E-4</v>
      </c>
      <c r="BO102">
        <v>2.8400000000000002E-4</v>
      </c>
      <c r="BP102">
        <v>2.8400000000000002E-4</v>
      </c>
      <c r="BQ102">
        <v>2.8400000000000002E-4</v>
      </c>
      <c r="BR102">
        <v>2.8400000000000002E-4</v>
      </c>
      <c r="BS102">
        <v>2.8400000000000002E-4</v>
      </c>
      <c r="BT102">
        <v>3.2200000000000002E-4</v>
      </c>
      <c r="BU102">
        <v>3.2200000000000002E-4</v>
      </c>
      <c r="BV102">
        <v>3.2200000000000002E-4</v>
      </c>
      <c r="BW102">
        <v>3.2200000000000002E-4</v>
      </c>
      <c r="BX102">
        <v>3.2200000000000002E-4</v>
      </c>
      <c r="BY102">
        <v>4.1399999999999998E-4</v>
      </c>
      <c r="BZ102">
        <v>4.1399999999999998E-4</v>
      </c>
      <c r="CA102">
        <v>4.1399999999999998E-4</v>
      </c>
      <c r="CB102">
        <v>4.1399999999999998E-4</v>
      </c>
      <c r="CC102">
        <v>4.1399999999999998E-4</v>
      </c>
      <c r="CD102">
        <v>4.1399999999999998E-4</v>
      </c>
      <c r="CE102">
        <v>4.1399999999999998E-4</v>
      </c>
      <c r="CF102">
        <v>4.1399999999999998E-4</v>
      </c>
      <c r="CG102">
        <v>4.1399999999999998E-4</v>
      </c>
      <c r="CH102">
        <v>4.1399999999999998E-4</v>
      </c>
      <c r="CI102">
        <v>4.1399999999999998E-4</v>
      </c>
      <c r="CJ102">
        <v>4.1399999999999998E-4</v>
      </c>
      <c r="CK102">
        <v>4.1399999999999998E-4</v>
      </c>
      <c r="CL102">
        <v>4.1399999999999998E-4</v>
      </c>
      <c r="CM102">
        <v>4.1399999999999998E-4</v>
      </c>
      <c r="CN102">
        <v>4.1399999999999998E-4</v>
      </c>
      <c r="CO102">
        <v>4.1399999999999998E-4</v>
      </c>
      <c r="CP102">
        <v>4.1399999999999998E-4</v>
      </c>
      <c r="CQ102">
        <v>4.1399999999999998E-4</v>
      </c>
      <c r="CR102">
        <v>4.1399999999999998E-4</v>
      </c>
      <c r="CS102">
        <v>4.1399999999999998E-4</v>
      </c>
      <c r="CT102">
        <v>4.1399999999999998E-4</v>
      </c>
      <c r="CU102">
        <v>4.1399999999999998E-4</v>
      </c>
      <c r="CV102">
        <v>4.1399999999999998E-4</v>
      </c>
      <c r="CW102">
        <v>4.1399999999999998E-4</v>
      </c>
      <c r="CX102">
        <v>4.1399999999999998E-4</v>
      </c>
    </row>
    <row r="103" spans="1:102" x14ac:dyDescent="0.25">
      <c r="A103" t="s">
        <v>271</v>
      </c>
      <c r="B103" t="e">
        <v>#VALUE!</v>
      </c>
      <c r="C103" t="e">
        <v>#VALUE!</v>
      </c>
      <c r="D103" t="e">
        <v>#VALUE!</v>
      </c>
      <c r="E103" t="e">
        <v>#VALUE!</v>
      </c>
      <c r="F103" t="e">
        <v>#VALUE!</v>
      </c>
      <c r="G103" t="e">
        <v>#VALUE!</v>
      </c>
      <c r="H103" t="e">
        <v>#VALUE!</v>
      </c>
      <c r="I103" t="e">
        <v>#VALUE!</v>
      </c>
      <c r="J103" t="e">
        <v>#VALUE!</v>
      </c>
      <c r="K103" t="e">
        <v>#VALUE!</v>
      </c>
      <c r="L103" t="e">
        <v>#VALUE!</v>
      </c>
      <c r="M103" t="e">
        <v>#VALUE!</v>
      </c>
      <c r="N103" t="e">
        <v>#VALUE!</v>
      </c>
      <c r="O103" t="e">
        <v>#VALUE!</v>
      </c>
      <c r="P103" t="e">
        <v>#VALUE!</v>
      </c>
      <c r="Q103">
        <v>6.0000000000000002E-5</v>
      </c>
      <c r="R103">
        <v>6.0000000000000002E-5</v>
      </c>
      <c r="S103">
        <v>6.0000000000000002E-5</v>
      </c>
      <c r="T103">
        <v>6.0000000000000002E-5</v>
      </c>
      <c r="U103">
        <v>6.0000000000000002E-5</v>
      </c>
      <c r="V103">
        <v>6.0000000000000002E-5</v>
      </c>
      <c r="W103">
        <v>6.0000000000000002E-5</v>
      </c>
      <c r="X103">
        <v>6.0000000000000002E-5</v>
      </c>
      <c r="Y103">
        <v>6.0000000000000002E-5</v>
      </c>
      <c r="Z103">
        <v>6.0000000000000002E-5</v>
      </c>
      <c r="AA103">
        <v>6.0000000000000002E-5</v>
      </c>
      <c r="AB103">
        <v>6.0000000000000002E-5</v>
      </c>
      <c r="AC103">
        <v>6.0000000000000002E-5</v>
      </c>
      <c r="AD103">
        <v>6.0000000000000002E-5</v>
      </c>
      <c r="AE103">
        <v>6.0000000000000002E-5</v>
      </c>
      <c r="AF103">
        <v>6.0000000000000002E-5</v>
      </c>
      <c r="AG103">
        <v>6.0000000000000002E-5</v>
      </c>
      <c r="AH103">
        <v>6.0000000000000002E-5</v>
      </c>
      <c r="AI103">
        <v>6.0000000000000002E-5</v>
      </c>
      <c r="AJ103">
        <v>6.0000000000000002E-5</v>
      </c>
      <c r="AK103">
        <v>6.0000000000000002E-5</v>
      </c>
      <c r="AL103">
        <v>6.0000000000000002E-5</v>
      </c>
      <c r="AM103">
        <v>6.0000000000000002E-5</v>
      </c>
      <c r="AN103">
        <v>6.0000000000000002E-5</v>
      </c>
      <c r="AO103">
        <v>6.0000000000000002E-5</v>
      </c>
      <c r="AP103">
        <v>2.6200000000000003E-4</v>
      </c>
      <c r="AQ103">
        <v>2.6200000000000003E-4</v>
      </c>
      <c r="AR103">
        <v>2.6200000000000003E-4</v>
      </c>
      <c r="AS103">
        <v>2.6200000000000003E-4</v>
      </c>
      <c r="AT103">
        <v>2.6200000000000003E-4</v>
      </c>
      <c r="AU103">
        <v>3.4900000000000003E-4</v>
      </c>
      <c r="AV103">
        <v>3.4900000000000003E-4</v>
      </c>
      <c r="AW103">
        <v>3.4900000000000003E-4</v>
      </c>
      <c r="AX103">
        <v>3.4900000000000003E-4</v>
      </c>
      <c r="AY103">
        <v>3.4900000000000003E-4</v>
      </c>
      <c r="AZ103">
        <v>3.8900000000000002E-4</v>
      </c>
      <c r="BA103">
        <v>3.8900000000000002E-4</v>
      </c>
      <c r="BB103">
        <v>3.8900000000000002E-4</v>
      </c>
      <c r="BC103">
        <v>3.8900000000000002E-4</v>
      </c>
      <c r="BD103">
        <v>3.8900000000000002E-4</v>
      </c>
      <c r="BE103">
        <v>3.7399999999999998E-4</v>
      </c>
      <c r="BF103">
        <v>3.7399999999999998E-4</v>
      </c>
      <c r="BG103">
        <v>3.7399999999999998E-4</v>
      </c>
      <c r="BH103">
        <v>3.7399999999999998E-4</v>
      </c>
      <c r="BI103">
        <v>3.7399999999999998E-4</v>
      </c>
      <c r="BJ103">
        <v>3.3399999999999999E-4</v>
      </c>
      <c r="BK103">
        <v>3.3399999999999999E-4</v>
      </c>
      <c r="BL103">
        <v>3.3399999999999999E-4</v>
      </c>
      <c r="BM103">
        <v>3.3399999999999999E-4</v>
      </c>
      <c r="BN103">
        <v>3.3399999999999999E-4</v>
      </c>
      <c r="BO103">
        <v>2.8899999999999998E-4</v>
      </c>
      <c r="BP103">
        <v>2.8899999999999998E-4</v>
      </c>
      <c r="BQ103">
        <v>2.8899999999999998E-4</v>
      </c>
      <c r="BR103">
        <v>2.8899999999999998E-4</v>
      </c>
      <c r="BS103">
        <v>2.8899999999999998E-4</v>
      </c>
      <c r="BT103">
        <v>2.3900000000000001E-4</v>
      </c>
      <c r="BU103">
        <v>2.3900000000000001E-4</v>
      </c>
      <c r="BV103">
        <v>2.3900000000000001E-4</v>
      </c>
      <c r="BW103">
        <v>2.3900000000000001E-4</v>
      </c>
      <c r="BX103">
        <v>2.3900000000000001E-4</v>
      </c>
      <c r="BY103">
        <v>1.8100000000000001E-4</v>
      </c>
      <c r="BZ103">
        <v>1.8100000000000001E-4</v>
      </c>
      <c r="CA103">
        <v>1.8100000000000001E-4</v>
      </c>
      <c r="CB103">
        <v>1.8100000000000001E-4</v>
      </c>
      <c r="CC103">
        <v>1.8100000000000001E-4</v>
      </c>
      <c r="CD103">
        <v>1.8100000000000001E-4</v>
      </c>
      <c r="CE103">
        <v>1.8100000000000001E-4</v>
      </c>
      <c r="CF103">
        <v>1.8100000000000001E-4</v>
      </c>
      <c r="CG103">
        <v>1.8100000000000001E-4</v>
      </c>
      <c r="CH103">
        <v>1.8100000000000001E-4</v>
      </c>
      <c r="CI103">
        <v>1.8100000000000001E-4</v>
      </c>
      <c r="CJ103">
        <v>1.8100000000000001E-4</v>
      </c>
      <c r="CK103">
        <v>1.8100000000000001E-4</v>
      </c>
      <c r="CL103">
        <v>1.8100000000000001E-4</v>
      </c>
      <c r="CM103">
        <v>1.8100000000000001E-4</v>
      </c>
      <c r="CN103">
        <v>1.8100000000000001E-4</v>
      </c>
      <c r="CO103">
        <v>1.8100000000000001E-4</v>
      </c>
      <c r="CP103">
        <v>1.8100000000000001E-4</v>
      </c>
      <c r="CQ103">
        <v>1.8100000000000001E-4</v>
      </c>
      <c r="CR103">
        <v>1.8100000000000001E-4</v>
      </c>
      <c r="CS103">
        <v>1.8100000000000001E-4</v>
      </c>
      <c r="CT103">
        <v>1.8100000000000001E-4</v>
      </c>
      <c r="CU103">
        <v>1.8100000000000001E-4</v>
      </c>
      <c r="CV103">
        <v>1.8100000000000001E-4</v>
      </c>
      <c r="CW103">
        <v>1.8100000000000001E-4</v>
      </c>
      <c r="CX103">
        <v>1.8100000000000001E-4</v>
      </c>
    </row>
    <row r="104" spans="1:102" x14ac:dyDescent="0.25">
      <c r="A104" t="s">
        <v>273</v>
      </c>
      <c r="B104">
        <v>9.9999999999999995E-7</v>
      </c>
      <c r="C104">
        <v>9.9999999999999995E-7</v>
      </c>
      <c r="D104">
        <v>9.9999999999999995E-7</v>
      </c>
      <c r="E104">
        <v>9.9999999999999995E-7</v>
      </c>
      <c r="F104">
        <v>9.9999999999999995E-7</v>
      </c>
      <c r="G104">
        <v>9.9999999999999995E-7</v>
      </c>
      <c r="H104">
        <v>9.9999999999999995E-7</v>
      </c>
      <c r="I104">
        <v>9.9999999999999995E-7</v>
      </c>
      <c r="J104">
        <v>9.9999999999999995E-7</v>
      </c>
      <c r="K104">
        <v>9.9999999999999995E-7</v>
      </c>
      <c r="L104">
        <v>9.9999999999999995E-7</v>
      </c>
      <c r="M104">
        <v>9.9999999999999995E-7</v>
      </c>
      <c r="N104">
        <v>9.9999999999999995E-7</v>
      </c>
      <c r="O104">
        <v>9.9999999999999995E-7</v>
      </c>
      <c r="P104">
        <v>9.9999999999999995E-7</v>
      </c>
      <c r="Q104">
        <v>2.1599999999999999E-4</v>
      </c>
      <c r="R104">
        <v>2.1599999999999999E-4</v>
      </c>
      <c r="S104">
        <v>2.1599999999999999E-4</v>
      </c>
      <c r="T104">
        <v>2.1599999999999999E-4</v>
      </c>
      <c r="U104">
        <v>2.1599999999999999E-4</v>
      </c>
      <c r="V104">
        <v>2.1599999999999999E-4</v>
      </c>
      <c r="W104">
        <v>2.1599999999999999E-4</v>
      </c>
      <c r="X104">
        <v>2.1599999999999999E-4</v>
      </c>
      <c r="Y104">
        <v>2.1599999999999999E-4</v>
      </c>
      <c r="Z104">
        <v>2.1599999999999999E-4</v>
      </c>
      <c r="AA104">
        <v>2.1599999999999999E-4</v>
      </c>
      <c r="AB104">
        <v>2.1599999999999999E-4</v>
      </c>
      <c r="AC104">
        <v>2.1599999999999999E-4</v>
      </c>
      <c r="AD104">
        <v>2.1599999999999999E-4</v>
      </c>
      <c r="AE104">
        <v>2.1599999999999999E-4</v>
      </c>
      <c r="AF104">
        <v>2.1599999999999999E-4</v>
      </c>
      <c r="AG104">
        <v>2.1599999999999999E-4</v>
      </c>
      <c r="AH104">
        <v>2.1599999999999999E-4</v>
      </c>
      <c r="AI104">
        <v>2.1599999999999999E-4</v>
      </c>
      <c r="AJ104">
        <v>2.1599999999999999E-4</v>
      </c>
      <c r="AK104">
        <v>2.1599999999999999E-4</v>
      </c>
      <c r="AL104">
        <v>2.1599999999999999E-4</v>
      </c>
      <c r="AM104">
        <v>2.1599999999999999E-4</v>
      </c>
      <c r="AN104">
        <v>2.1599999999999999E-4</v>
      </c>
      <c r="AO104">
        <v>2.1599999999999999E-4</v>
      </c>
      <c r="AP104">
        <v>7.1500000000000003E-4</v>
      </c>
      <c r="AQ104">
        <v>7.1500000000000003E-4</v>
      </c>
      <c r="AR104">
        <v>7.1500000000000003E-4</v>
      </c>
      <c r="AS104">
        <v>7.1500000000000003E-4</v>
      </c>
      <c r="AT104">
        <v>7.1500000000000003E-4</v>
      </c>
      <c r="AU104">
        <v>9.0899999999999998E-4</v>
      </c>
      <c r="AV104">
        <v>9.0899999999999998E-4</v>
      </c>
      <c r="AW104">
        <v>9.0899999999999998E-4</v>
      </c>
      <c r="AX104">
        <v>9.0899999999999998E-4</v>
      </c>
      <c r="AY104">
        <v>9.0899999999999998E-4</v>
      </c>
      <c r="AZ104">
        <v>1.1379999999999999E-3</v>
      </c>
      <c r="BA104">
        <v>1.1379999999999999E-3</v>
      </c>
      <c r="BB104">
        <v>1.1379999999999999E-3</v>
      </c>
      <c r="BC104">
        <v>1.1379999999999999E-3</v>
      </c>
      <c r="BD104">
        <v>1.1379999999999999E-3</v>
      </c>
      <c r="BE104">
        <v>1.3129999999999999E-3</v>
      </c>
      <c r="BF104">
        <v>1.3129999999999999E-3</v>
      </c>
      <c r="BG104">
        <v>1.3129999999999999E-3</v>
      </c>
      <c r="BH104">
        <v>1.3129999999999999E-3</v>
      </c>
      <c r="BI104">
        <v>1.3129999999999999E-3</v>
      </c>
      <c r="BJ104">
        <v>1.4009999999999999E-3</v>
      </c>
      <c r="BK104">
        <v>1.4009999999999999E-3</v>
      </c>
      <c r="BL104">
        <v>1.4009999999999999E-3</v>
      </c>
      <c r="BM104">
        <v>1.4009999999999999E-3</v>
      </c>
      <c r="BN104">
        <v>1.4009999999999999E-3</v>
      </c>
      <c r="BO104">
        <v>1.567E-3</v>
      </c>
      <c r="BP104">
        <v>1.567E-3</v>
      </c>
      <c r="BQ104">
        <v>1.567E-3</v>
      </c>
      <c r="BR104">
        <v>1.567E-3</v>
      </c>
      <c r="BS104">
        <v>1.567E-3</v>
      </c>
      <c r="BT104">
        <v>1.441E-3</v>
      </c>
      <c r="BU104">
        <v>1.441E-3</v>
      </c>
      <c r="BV104">
        <v>1.441E-3</v>
      </c>
      <c r="BW104">
        <v>1.441E-3</v>
      </c>
      <c r="BX104">
        <v>1.441E-3</v>
      </c>
      <c r="BY104">
        <v>1.351E-3</v>
      </c>
      <c r="BZ104">
        <v>1.351E-3</v>
      </c>
      <c r="CA104">
        <v>1.351E-3</v>
      </c>
      <c r="CB104">
        <v>1.351E-3</v>
      </c>
      <c r="CC104">
        <v>1.351E-3</v>
      </c>
      <c r="CD104">
        <v>1.351E-3</v>
      </c>
      <c r="CE104">
        <v>1.351E-3</v>
      </c>
      <c r="CF104">
        <v>1.351E-3</v>
      </c>
      <c r="CG104">
        <v>1.351E-3</v>
      </c>
      <c r="CH104">
        <v>1.351E-3</v>
      </c>
      <c r="CI104">
        <v>1.351E-3</v>
      </c>
      <c r="CJ104">
        <v>1.351E-3</v>
      </c>
      <c r="CK104">
        <v>1.351E-3</v>
      </c>
      <c r="CL104">
        <v>1.351E-3</v>
      </c>
      <c r="CM104">
        <v>1.351E-3</v>
      </c>
      <c r="CN104">
        <v>1.351E-3</v>
      </c>
      <c r="CO104">
        <v>1.351E-3</v>
      </c>
      <c r="CP104">
        <v>1.351E-3</v>
      </c>
      <c r="CQ104">
        <v>1.351E-3</v>
      </c>
      <c r="CR104">
        <v>1.351E-3</v>
      </c>
      <c r="CS104">
        <v>1.351E-3</v>
      </c>
      <c r="CT104">
        <v>1.351E-3</v>
      </c>
      <c r="CU104">
        <v>1.351E-3</v>
      </c>
      <c r="CV104">
        <v>1.351E-3</v>
      </c>
      <c r="CW104">
        <v>1.351E-3</v>
      </c>
      <c r="CX104">
        <v>1.351E-3</v>
      </c>
    </row>
    <row r="105" spans="1:102" x14ac:dyDescent="0.25">
      <c r="A105" t="s">
        <v>275</v>
      </c>
      <c r="B105" t="e">
        <v>#VALUE!</v>
      </c>
      <c r="C105" t="e">
        <v>#VALUE!</v>
      </c>
      <c r="D105" t="e">
        <v>#VALUE!</v>
      </c>
      <c r="E105" t="e">
        <v>#VALUE!</v>
      </c>
      <c r="F105" t="e">
        <v>#VALUE!</v>
      </c>
      <c r="G105" t="e">
        <v>#VALUE!</v>
      </c>
      <c r="H105" t="e">
        <v>#VALUE!</v>
      </c>
      <c r="I105" t="e">
        <v>#VALUE!</v>
      </c>
      <c r="J105" t="e">
        <v>#VALUE!</v>
      </c>
      <c r="K105" t="e">
        <v>#VALUE!</v>
      </c>
      <c r="L105" t="e">
        <v>#VALUE!</v>
      </c>
      <c r="M105" t="e">
        <v>#VALUE!</v>
      </c>
      <c r="N105" t="e">
        <v>#VALUE!</v>
      </c>
      <c r="O105" t="e">
        <v>#VALUE!</v>
      </c>
      <c r="P105" t="e">
        <v>#VALUE!</v>
      </c>
      <c r="Q105">
        <v>4.2200000000000001E-4</v>
      </c>
      <c r="R105">
        <v>4.2200000000000001E-4</v>
      </c>
      <c r="S105">
        <v>4.2200000000000001E-4</v>
      </c>
      <c r="T105">
        <v>4.2200000000000001E-4</v>
      </c>
      <c r="U105">
        <v>4.2200000000000001E-4</v>
      </c>
      <c r="V105">
        <v>4.2200000000000001E-4</v>
      </c>
      <c r="W105">
        <v>4.2200000000000001E-4</v>
      </c>
      <c r="X105">
        <v>4.2200000000000001E-4</v>
      </c>
      <c r="Y105">
        <v>4.2200000000000001E-4</v>
      </c>
      <c r="Z105">
        <v>4.2200000000000001E-4</v>
      </c>
      <c r="AA105">
        <v>4.2200000000000001E-4</v>
      </c>
      <c r="AB105">
        <v>4.2200000000000001E-4</v>
      </c>
      <c r="AC105">
        <v>4.2200000000000001E-4</v>
      </c>
      <c r="AD105">
        <v>4.2200000000000001E-4</v>
      </c>
      <c r="AE105">
        <v>4.2200000000000001E-4</v>
      </c>
      <c r="AF105">
        <v>4.2200000000000001E-4</v>
      </c>
      <c r="AG105">
        <v>4.2200000000000001E-4</v>
      </c>
      <c r="AH105">
        <v>4.2200000000000001E-4</v>
      </c>
      <c r="AI105">
        <v>4.2200000000000001E-4</v>
      </c>
      <c r="AJ105">
        <v>4.2200000000000001E-4</v>
      </c>
      <c r="AK105">
        <v>4.2200000000000001E-4</v>
      </c>
      <c r="AL105">
        <v>4.2200000000000001E-4</v>
      </c>
      <c r="AM105">
        <v>4.2200000000000001E-4</v>
      </c>
      <c r="AN105">
        <v>4.2200000000000001E-4</v>
      </c>
      <c r="AO105">
        <v>4.2200000000000001E-4</v>
      </c>
      <c r="AP105">
        <v>1.717E-3</v>
      </c>
      <c r="AQ105">
        <v>1.717E-3</v>
      </c>
      <c r="AR105">
        <v>1.717E-3</v>
      </c>
      <c r="AS105">
        <v>1.717E-3</v>
      </c>
      <c r="AT105">
        <v>1.717E-3</v>
      </c>
      <c r="AU105">
        <v>1.892E-3</v>
      </c>
      <c r="AV105">
        <v>1.892E-3</v>
      </c>
      <c r="AW105">
        <v>1.892E-3</v>
      </c>
      <c r="AX105">
        <v>1.892E-3</v>
      </c>
      <c r="AY105">
        <v>1.892E-3</v>
      </c>
      <c r="AZ105">
        <v>1.964E-3</v>
      </c>
      <c r="BA105">
        <v>1.964E-3</v>
      </c>
      <c r="BB105">
        <v>1.964E-3</v>
      </c>
      <c r="BC105">
        <v>1.964E-3</v>
      </c>
      <c r="BD105">
        <v>1.964E-3</v>
      </c>
      <c r="BE105">
        <v>2.0920000000000001E-3</v>
      </c>
      <c r="BF105">
        <v>2.0920000000000001E-3</v>
      </c>
      <c r="BG105">
        <v>2.0920000000000001E-3</v>
      </c>
      <c r="BH105">
        <v>2.0920000000000001E-3</v>
      </c>
      <c r="BI105">
        <v>2.0920000000000001E-3</v>
      </c>
      <c r="BJ105">
        <v>1.9740000000000001E-3</v>
      </c>
      <c r="BK105">
        <v>1.9740000000000001E-3</v>
      </c>
      <c r="BL105">
        <v>1.9740000000000001E-3</v>
      </c>
      <c r="BM105">
        <v>1.9740000000000001E-3</v>
      </c>
      <c r="BN105">
        <v>1.9740000000000001E-3</v>
      </c>
      <c r="BO105">
        <v>1.8890000000000001E-3</v>
      </c>
      <c r="BP105">
        <v>1.8890000000000001E-3</v>
      </c>
      <c r="BQ105">
        <v>1.8890000000000001E-3</v>
      </c>
      <c r="BR105">
        <v>1.8890000000000001E-3</v>
      </c>
      <c r="BS105">
        <v>1.8890000000000001E-3</v>
      </c>
      <c r="BT105">
        <v>1.789E-3</v>
      </c>
      <c r="BU105">
        <v>1.789E-3</v>
      </c>
      <c r="BV105">
        <v>1.789E-3</v>
      </c>
      <c r="BW105">
        <v>1.789E-3</v>
      </c>
      <c r="BX105">
        <v>1.789E-3</v>
      </c>
      <c r="BY105">
        <v>1.6739999999999999E-3</v>
      </c>
      <c r="BZ105">
        <v>1.6739999999999999E-3</v>
      </c>
      <c r="CA105">
        <v>1.6739999999999999E-3</v>
      </c>
      <c r="CB105">
        <v>1.6739999999999999E-3</v>
      </c>
      <c r="CC105">
        <v>1.6739999999999999E-3</v>
      </c>
      <c r="CD105">
        <v>1.6739999999999999E-3</v>
      </c>
      <c r="CE105">
        <v>1.6739999999999999E-3</v>
      </c>
      <c r="CF105">
        <v>1.6739999999999999E-3</v>
      </c>
      <c r="CG105">
        <v>1.6739999999999999E-3</v>
      </c>
      <c r="CH105">
        <v>1.6739999999999999E-3</v>
      </c>
      <c r="CI105">
        <v>1.6739999999999999E-3</v>
      </c>
      <c r="CJ105">
        <v>1.6739999999999999E-3</v>
      </c>
      <c r="CK105">
        <v>1.6739999999999999E-3</v>
      </c>
      <c r="CL105">
        <v>1.6739999999999999E-3</v>
      </c>
      <c r="CM105">
        <v>1.6739999999999999E-3</v>
      </c>
      <c r="CN105">
        <v>1.6739999999999999E-3</v>
      </c>
      <c r="CO105">
        <v>1.6739999999999999E-3</v>
      </c>
      <c r="CP105">
        <v>1.6739999999999999E-3</v>
      </c>
      <c r="CQ105">
        <v>1.6739999999999999E-3</v>
      </c>
      <c r="CR105">
        <v>1.6739999999999999E-3</v>
      </c>
      <c r="CS105">
        <v>1.6739999999999999E-3</v>
      </c>
      <c r="CT105">
        <v>1.6739999999999999E-3</v>
      </c>
      <c r="CU105">
        <v>1.6739999999999999E-3</v>
      </c>
      <c r="CV105">
        <v>1.6739999999999999E-3</v>
      </c>
      <c r="CW105">
        <v>1.6739999999999999E-3</v>
      </c>
      <c r="CX105">
        <v>1.6739999999999999E-3</v>
      </c>
    </row>
    <row r="106" spans="1:102" x14ac:dyDescent="0.25">
      <c r="A106" t="s">
        <v>277</v>
      </c>
      <c r="B106" t="e">
        <v>#VALUE!</v>
      </c>
      <c r="C106" t="e">
        <v>#VALUE!</v>
      </c>
      <c r="D106" t="e">
        <v>#VALUE!</v>
      </c>
      <c r="E106" t="e">
        <v>#VALUE!</v>
      </c>
      <c r="F106" t="e">
        <v>#VALUE!</v>
      </c>
      <c r="G106" t="e">
        <v>#VALUE!</v>
      </c>
      <c r="H106" t="e">
        <v>#VALUE!</v>
      </c>
      <c r="I106" t="e">
        <v>#VALUE!</v>
      </c>
      <c r="J106" t="e">
        <v>#VALUE!</v>
      </c>
      <c r="K106" t="e">
        <v>#VALUE!</v>
      </c>
      <c r="L106" t="e">
        <v>#VALUE!</v>
      </c>
      <c r="M106" t="e">
        <v>#VALUE!</v>
      </c>
      <c r="N106" t="e">
        <v>#VALUE!</v>
      </c>
      <c r="O106" t="e">
        <v>#VALUE!</v>
      </c>
      <c r="P106" t="e">
        <v>#VALUE!</v>
      </c>
      <c r="Q106">
        <v>5.5000000000000002E-5</v>
      </c>
      <c r="R106">
        <v>5.5000000000000002E-5</v>
      </c>
      <c r="S106">
        <v>5.5000000000000002E-5</v>
      </c>
      <c r="T106">
        <v>5.5000000000000002E-5</v>
      </c>
      <c r="U106">
        <v>5.5000000000000002E-5</v>
      </c>
      <c r="V106">
        <v>5.5000000000000002E-5</v>
      </c>
      <c r="W106">
        <v>5.5000000000000002E-5</v>
      </c>
      <c r="X106">
        <v>5.5000000000000002E-5</v>
      </c>
      <c r="Y106">
        <v>5.5000000000000002E-5</v>
      </c>
      <c r="Z106">
        <v>5.5000000000000002E-5</v>
      </c>
      <c r="AA106">
        <v>5.5000000000000002E-5</v>
      </c>
      <c r="AB106">
        <v>5.5000000000000002E-5</v>
      </c>
      <c r="AC106">
        <v>5.5000000000000002E-5</v>
      </c>
      <c r="AD106">
        <v>5.5000000000000002E-5</v>
      </c>
      <c r="AE106">
        <v>5.5000000000000002E-5</v>
      </c>
      <c r="AF106">
        <v>5.5000000000000002E-5</v>
      </c>
      <c r="AG106">
        <v>5.5000000000000002E-5</v>
      </c>
      <c r="AH106">
        <v>5.5000000000000002E-5</v>
      </c>
      <c r="AI106">
        <v>5.5000000000000002E-5</v>
      </c>
      <c r="AJ106">
        <v>5.5000000000000002E-5</v>
      </c>
      <c r="AK106">
        <v>5.5000000000000002E-5</v>
      </c>
      <c r="AL106">
        <v>5.5000000000000002E-5</v>
      </c>
      <c r="AM106">
        <v>5.5000000000000002E-5</v>
      </c>
      <c r="AN106">
        <v>5.5000000000000002E-5</v>
      </c>
      <c r="AO106">
        <v>5.5000000000000002E-5</v>
      </c>
      <c r="AP106">
        <v>2.5900000000000001E-4</v>
      </c>
      <c r="AQ106">
        <v>2.5900000000000001E-4</v>
      </c>
      <c r="AR106">
        <v>2.5900000000000001E-4</v>
      </c>
      <c r="AS106">
        <v>2.5900000000000001E-4</v>
      </c>
      <c r="AT106">
        <v>2.5900000000000001E-4</v>
      </c>
      <c r="AU106">
        <v>3.5399999999999999E-4</v>
      </c>
      <c r="AV106">
        <v>3.5399999999999999E-4</v>
      </c>
      <c r="AW106">
        <v>3.5399999999999999E-4</v>
      </c>
      <c r="AX106">
        <v>3.5399999999999999E-4</v>
      </c>
      <c r="AY106">
        <v>3.5399999999999999E-4</v>
      </c>
      <c r="AZ106">
        <v>4.3199999999999998E-4</v>
      </c>
      <c r="BA106">
        <v>4.3199999999999998E-4</v>
      </c>
      <c r="BB106">
        <v>4.3199999999999998E-4</v>
      </c>
      <c r="BC106">
        <v>4.3199999999999998E-4</v>
      </c>
      <c r="BD106">
        <v>4.3199999999999998E-4</v>
      </c>
      <c r="BE106">
        <v>4.9399999999999997E-4</v>
      </c>
      <c r="BF106">
        <v>4.9399999999999997E-4</v>
      </c>
      <c r="BG106">
        <v>4.9399999999999997E-4</v>
      </c>
      <c r="BH106">
        <v>4.9399999999999997E-4</v>
      </c>
      <c r="BI106">
        <v>4.9399999999999997E-4</v>
      </c>
      <c r="BJ106">
        <v>5.3399999999999997E-4</v>
      </c>
      <c r="BK106">
        <v>5.3399999999999997E-4</v>
      </c>
      <c r="BL106">
        <v>5.3399999999999997E-4</v>
      </c>
      <c r="BM106">
        <v>5.3399999999999997E-4</v>
      </c>
      <c r="BN106">
        <v>5.3399999999999997E-4</v>
      </c>
      <c r="BO106">
        <v>5.3899999999999998E-4</v>
      </c>
      <c r="BP106">
        <v>5.3899999999999998E-4</v>
      </c>
      <c r="BQ106">
        <v>5.3899999999999998E-4</v>
      </c>
      <c r="BR106">
        <v>5.3899999999999998E-4</v>
      </c>
      <c r="BS106">
        <v>5.3899999999999998E-4</v>
      </c>
      <c r="BT106">
        <v>5.1400000000000003E-4</v>
      </c>
      <c r="BU106">
        <v>5.1400000000000003E-4</v>
      </c>
      <c r="BV106">
        <v>5.1400000000000003E-4</v>
      </c>
      <c r="BW106">
        <v>5.1400000000000003E-4</v>
      </c>
      <c r="BX106">
        <v>5.1400000000000003E-4</v>
      </c>
      <c r="BY106">
        <v>4.5899999999999999E-4</v>
      </c>
      <c r="BZ106">
        <v>4.5899999999999999E-4</v>
      </c>
      <c r="CA106">
        <v>4.5899999999999999E-4</v>
      </c>
      <c r="CB106">
        <v>4.5899999999999999E-4</v>
      </c>
      <c r="CC106">
        <v>4.5899999999999999E-4</v>
      </c>
      <c r="CD106">
        <v>4.5899999999999999E-4</v>
      </c>
      <c r="CE106">
        <v>4.5899999999999999E-4</v>
      </c>
      <c r="CF106">
        <v>4.5899999999999999E-4</v>
      </c>
      <c r="CG106">
        <v>4.5899999999999999E-4</v>
      </c>
      <c r="CH106">
        <v>4.5899999999999999E-4</v>
      </c>
      <c r="CI106">
        <v>4.5899999999999999E-4</v>
      </c>
      <c r="CJ106">
        <v>4.5899999999999999E-4</v>
      </c>
      <c r="CK106">
        <v>4.5899999999999999E-4</v>
      </c>
      <c r="CL106">
        <v>4.5899999999999999E-4</v>
      </c>
      <c r="CM106">
        <v>4.5899999999999999E-4</v>
      </c>
      <c r="CN106">
        <v>4.5899999999999999E-4</v>
      </c>
      <c r="CO106">
        <v>4.5899999999999999E-4</v>
      </c>
      <c r="CP106">
        <v>4.5899999999999999E-4</v>
      </c>
      <c r="CQ106">
        <v>4.5899999999999999E-4</v>
      </c>
      <c r="CR106">
        <v>4.5899999999999999E-4</v>
      </c>
      <c r="CS106">
        <v>4.5899999999999999E-4</v>
      </c>
      <c r="CT106">
        <v>4.5899999999999999E-4</v>
      </c>
      <c r="CU106">
        <v>4.5899999999999999E-4</v>
      </c>
      <c r="CV106">
        <v>4.5899999999999999E-4</v>
      </c>
      <c r="CW106">
        <v>4.5899999999999999E-4</v>
      </c>
      <c r="CX106">
        <v>4.5899999999999999E-4</v>
      </c>
    </row>
    <row r="107" spans="1:102" x14ac:dyDescent="0.25">
      <c r="A107" t="s">
        <v>279</v>
      </c>
      <c r="B107" t="e">
        <v>#VALUE!</v>
      </c>
      <c r="C107" t="e">
        <v>#VALUE!</v>
      </c>
      <c r="D107" t="e">
        <v>#VALUE!</v>
      </c>
      <c r="E107" t="e">
        <v>#VALUE!</v>
      </c>
      <c r="F107" t="e">
        <v>#VALUE!</v>
      </c>
      <c r="G107" t="e">
        <v>#VALUE!</v>
      </c>
      <c r="H107" t="e">
        <v>#VALUE!</v>
      </c>
      <c r="I107" t="e">
        <v>#VALUE!</v>
      </c>
      <c r="J107" t="e">
        <v>#VALUE!</v>
      </c>
      <c r="K107" t="e">
        <v>#VALUE!</v>
      </c>
      <c r="L107" t="e">
        <v>#VALUE!</v>
      </c>
      <c r="M107" t="e">
        <v>#VALUE!</v>
      </c>
      <c r="N107" t="e">
        <v>#VALUE!</v>
      </c>
      <c r="O107" t="e">
        <v>#VALUE!</v>
      </c>
      <c r="P107" t="e">
        <v>#VALUE!</v>
      </c>
      <c r="Q107">
        <v>1.2E-5</v>
      </c>
      <c r="R107">
        <v>1.2E-5</v>
      </c>
      <c r="S107">
        <v>1.2E-5</v>
      </c>
      <c r="T107">
        <v>1.2E-5</v>
      </c>
      <c r="U107">
        <v>1.2E-5</v>
      </c>
      <c r="V107">
        <v>1.2E-5</v>
      </c>
      <c r="W107">
        <v>1.2E-5</v>
      </c>
      <c r="X107">
        <v>1.2E-5</v>
      </c>
      <c r="Y107">
        <v>1.2E-5</v>
      </c>
      <c r="Z107">
        <v>1.2E-5</v>
      </c>
      <c r="AA107">
        <v>1.2E-5</v>
      </c>
      <c r="AB107">
        <v>1.2E-5</v>
      </c>
      <c r="AC107">
        <v>1.2E-5</v>
      </c>
      <c r="AD107">
        <v>1.2E-5</v>
      </c>
      <c r="AE107">
        <v>1.2E-5</v>
      </c>
      <c r="AF107">
        <v>1.2E-5</v>
      </c>
      <c r="AG107">
        <v>1.2E-5</v>
      </c>
      <c r="AH107">
        <v>1.2E-5</v>
      </c>
      <c r="AI107">
        <v>1.2E-5</v>
      </c>
      <c r="AJ107">
        <v>1.2E-5</v>
      </c>
      <c r="AK107">
        <v>1.2E-5</v>
      </c>
      <c r="AL107">
        <v>1.2E-5</v>
      </c>
      <c r="AM107">
        <v>1.2E-5</v>
      </c>
      <c r="AN107">
        <v>1.2E-5</v>
      </c>
      <c r="AO107">
        <v>1.2E-5</v>
      </c>
      <c r="AP107">
        <v>2.03E-4</v>
      </c>
      <c r="AQ107">
        <v>2.03E-4</v>
      </c>
      <c r="AR107">
        <v>2.03E-4</v>
      </c>
      <c r="AS107">
        <v>2.03E-4</v>
      </c>
      <c r="AT107">
        <v>2.03E-4</v>
      </c>
      <c r="AU107">
        <v>2.3499999999999999E-4</v>
      </c>
      <c r="AV107">
        <v>2.3499999999999999E-4</v>
      </c>
      <c r="AW107">
        <v>2.3499999999999999E-4</v>
      </c>
      <c r="AX107">
        <v>2.3499999999999999E-4</v>
      </c>
      <c r="AY107">
        <v>2.3499999999999999E-4</v>
      </c>
      <c r="AZ107">
        <v>4.3100000000000001E-4</v>
      </c>
      <c r="BA107">
        <v>4.3100000000000001E-4</v>
      </c>
      <c r="BB107">
        <v>4.3100000000000001E-4</v>
      </c>
      <c r="BC107">
        <v>4.3100000000000001E-4</v>
      </c>
      <c r="BD107">
        <v>4.3100000000000001E-4</v>
      </c>
      <c r="BE107">
        <v>4.2900000000000002E-4</v>
      </c>
      <c r="BF107">
        <v>4.2900000000000002E-4</v>
      </c>
      <c r="BG107">
        <v>4.2900000000000002E-4</v>
      </c>
      <c r="BH107">
        <v>4.2900000000000002E-4</v>
      </c>
      <c r="BI107">
        <v>4.2900000000000002E-4</v>
      </c>
      <c r="BJ107">
        <v>3.6000000000000002E-4</v>
      </c>
      <c r="BK107">
        <v>3.6000000000000002E-4</v>
      </c>
      <c r="BL107">
        <v>3.6000000000000002E-4</v>
      </c>
      <c r="BM107">
        <v>3.6000000000000002E-4</v>
      </c>
      <c r="BN107">
        <v>3.6000000000000002E-4</v>
      </c>
      <c r="BO107">
        <v>3.7199999999999999E-4</v>
      </c>
      <c r="BP107">
        <v>3.7199999999999999E-4</v>
      </c>
      <c r="BQ107">
        <v>3.7199999999999999E-4</v>
      </c>
      <c r="BR107">
        <v>3.7199999999999999E-4</v>
      </c>
      <c r="BS107">
        <v>3.7199999999999999E-4</v>
      </c>
      <c r="BT107">
        <v>3.7800000000000003E-4</v>
      </c>
      <c r="BU107">
        <v>3.7800000000000003E-4</v>
      </c>
      <c r="BV107">
        <v>3.7800000000000003E-4</v>
      </c>
      <c r="BW107">
        <v>3.7800000000000003E-4</v>
      </c>
      <c r="BX107">
        <v>3.7800000000000003E-4</v>
      </c>
      <c r="BY107">
        <v>3.7199999999999999E-4</v>
      </c>
      <c r="BZ107">
        <v>3.7199999999999999E-4</v>
      </c>
      <c r="CA107">
        <v>3.7199999999999999E-4</v>
      </c>
      <c r="CB107">
        <v>3.7199999999999999E-4</v>
      </c>
      <c r="CC107">
        <v>3.7199999999999999E-4</v>
      </c>
      <c r="CD107">
        <v>3.7199999999999999E-4</v>
      </c>
      <c r="CE107">
        <v>3.7199999999999999E-4</v>
      </c>
      <c r="CF107">
        <v>3.7199999999999999E-4</v>
      </c>
      <c r="CG107">
        <v>3.7199999999999999E-4</v>
      </c>
      <c r="CH107">
        <v>3.7199999999999999E-4</v>
      </c>
      <c r="CI107">
        <v>3.7199999999999999E-4</v>
      </c>
      <c r="CJ107">
        <v>3.7199999999999999E-4</v>
      </c>
      <c r="CK107">
        <v>3.7199999999999999E-4</v>
      </c>
      <c r="CL107">
        <v>3.7199999999999999E-4</v>
      </c>
      <c r="CM107">
        <v>3.7199999999999999E-4</v>
      </c>
      <c r="CN107">
        <v>3.7199999999999999E-4</v>
      </c>
      <c r="CO107">
        <v>3.7199999999999999E-4</v>
      </c>
      <c r="CP107">
        <v>3.7199999999999999E-4</v>
      </c>
      <c r="CQ107">
        <v>3.7199999999999999E-4</v>
      </c>
      <c r="CR107">
        <v>3.7199999999999999E-4</v>
      </c>
      <c r="CS107">
        <v>3.7199999999999999E-4</v>
      </c>
      <c r="CT107">
        <v>3.7199999999999999E-4</v>
      </c>
      <c r="CU107">
        <v>3.7199999999999999E-4</v>
      </c>
      <c r="CV107">
        <v>3.7199999999999999E-4</v>
      </c>
      <c r="CW107">
        <v>3.7199999999999999E-4</v>
      </c>
      <c r="CX107">
        <v>3.7199999999999999E-4</v>
      </c>
    </row>
    <row r="108" spans="1:102" x14ac:dyDescent="0.25">
      <c r="A108" t="s">
        <v>281</v>
      </c>
      <c r="B108" t="e">
        <v>#VALUE!</v>
      </c>
      <c r="C108" t="e">
        <v>#VALUE!</v>
      </c>
      <c r="D108" t="e">
        <v>#VALUE!</v>
      </c>
      <c r="E108" t="e">
        <v>#VALUE!</v>
      </c>
      <c r="F108" t="e">
        <v>#VALUE!</v>
      </c>
      <c r="G108" t="e">
        <v>#VALUE!</v>
      </c>
      <c r="H108" t="e">
        <v>#VALUE!</v>
      </c>
      <c r="I108" t="e">
        <v>#VALUE!</v>
      </c>
      <c r="J108" t="e">
        <v>#VALUE!</v>
      </c>
      <c r="K108" t="e">
        <v>#VALUE!</v>
      </c>
      <c r="L108" t="e">
        <v>#VALUE!</v>
      </c>
      <c r="M108" t="e">
        <v>#VALUE!</v>
      </c>
      <c r="N108" t="e">
        <v>#VALUE!</v>
      </c>
      <c r="O108" t="e">
        <v>#VALUE!</v>
      </c>
      <c r="P108" t="e">
        <v>#VALUE!</v>
      </c>
      <c r="Q108">
        <v>1.06E-4</v>
      </c>
      <c r="R108">
        <v>1.06E-4</v>
      </c>
      <c r="S108">
        <v>1.06E-4</v>
      </c>
      <c r="T108">
        <v>1.06E-4</v>
      </c>
      <c r="U108">
        <v>1.06E-4</v>
      </c>
      <c r="V108">
        <v>1.06E-4</v>
      </c>
      <c r="W108">
        <v>1.06E-4</v>
      </c>
      <c r="X108">
        <v>1.06E-4</v>
      </c>
      <c r="Y108">
        <v>1.06E-4</v>
      </c>
      <c r="Z108">
        <v>1.06E-4</v>
      </c>
      <c r="AA108">
        <v>1.06E-4</v>
      </c>
      <c r="AB108">
        <v>1.06E-4</v>
      </c>
      <c r="AC108">
        <v>1.06E-4</v>
      </c>
      <c r="AD108">
        <v>1.06E-4</v>
      </c>
      <c r="AE108">
        <v>1.06E-4</v>
      </c>
      <c r="AF108">
        <v>1.06E-4</v>
      </c>
      <c r="AG108">
        <v>1.06E-4</v>
      </c>
      <c r="AH108">
        <v>1.06E-4</v>
      </c>
      <c r="AI108">
        <v>1.06E-4</v>
      </c>
      <c r="AJ108">
        <v>1.06E-4</v>
      </c>
      <c r="AK108">
        <v>1.06E-4</v>
      </c>
      <c r="AL108">
        <v>1.06E-4</v>
      </c>
      <c r="AM108">
        <v>1.06E-4</v>
      </c>
      <c r="AN108">
        <v>1.06E-4</v>
      </c>
      <c r="AO108">
        <v>1.06E-4</v>
      </c>
      <c r="AP108">
        <v>7.2499999999999995E-4</v>
      </c>
      <c r="AQ108">
        <v>7.2499999999999995E-4</v>
      </c>
      <c r="AR108">
        <v>7.2499999999999995E-4</v>
      </c>
      <c r="AS108">
        <v>7.2499999999999995E-4</v>
      </c>
      <c r="AT108">
        <v>7.2499999999999995E-4</v>
      </c>
      <c r="AU108">
        <v>1.072E-3</v>
      </c>
      <c r="AV108">
        <v>1.072E-3</v>
      </c>
      <c r="AW108">
        <v>1.072E-3</v>
      </c>
      <c r="AX108">
        <v>1.072E-3</v>
      </c>
      <c r="AY108">
        <v>1.072E-3</v>
      </c>
      <c r="AZ108">
        <v>1.395E-3</v>
      </c>
      <c r="BA108">
        <v>1.395E-3</v>
      </c>
      <c r="BB108">
        <v>1.395E-3</v>
      </c>
      <c r="BC108">
        <v>1.395E-3</v>
      </c>
      <c r="BD108">
        <v>1.395E-3</v>
      </c>
      <c r="BE108">
        <v>1.5460000000000001E-3</v>
      </c>
      <c r="BF108">
        <v>1.5460000000000001E-3</v>
      </c>
      <c r="BG108">
        <v>1.5460000000000001E-3</v>
      </c>
      <c r="BH108">
        <v>1.5460000000000001E-3</v>
      </c>
      <c r="BI108">
        <v>1.5460000000000001E-3</v>
      </c>
      <c r="BJ108">
        <v>1.632E-3</v>
      </c>
      <c r="BK108">
        <v>1.632E-3</v>
      </c>
      <c r="BL108">
        <v>1.632E-3</v>
      </c>
      <c r="BM108">
        <v>1.632E-3</v>
      </c>
      <c r="BN108">
        <v>1.632E-3</v>
      </c>
      <c r="BO108">
        <v>1.5889999999999999E-3</v>
      </c>
      <c r="BP108">
        <v>1.5889999999999999E-3</v>
      </c>
      <c r="BQ108">
        <v>1.5889999999999999E-3</v>
      </c>
      <c r="BR108">
        <v>1.5889999999999999E-3</v>
      </c>
      <c r="BS108">
        <v>1.5889999999999999E-3</v>
      </c>
      <c r="BT108">
        <v>1.4059999999999999E-3</v>
      </c>
      <c r="BU108">
        <v>1.4059999999999999E-3</v>
      </c>
      <c r="BV108">
        <v>1.4059999999999999E-3</v>
      </c>
      <c r="BW108">
        <v>1.4059999999999999E-3</v>
      </c>
      <c r="BX108">
        <v>1.4059999999999999E-3</v>
      </c>
      <c r="BY108">
        <v>1.101E-3</v>
      </c>
      <c r="BZ108">
        <v>1.101E-3</v>
      </c>
      <c r="CA108">
        <v>1.101E-3</v>
      </c>
      <c r="CB108">
        <v>1.101E-3</v>
      </c>
      <c r="CC108">
        <v>1.101E-3</v>
      </c>
      <c r="CD108">
        <v>1.101E-3</v>
      </c>
      <c r="CE108">
        <v>1.101E-3</v>
      </c>
      <c r="CF108">
        <v>1.101E-3</v>
      </c>
      <c r="CG108">
        <v>1.101E-3</v>
      </c>
      <c r="CH108">
        <v>1.101E-3</v>
      </c>
      <c r="CI108">
        <v>1.101E-3</v>
      </c>
      <c r="CJ108">
        <v>1.101E-3</v>
      </c>
      <c r="CK108">
        <v>1.101E-3</v>
      </c>
      <c r="CL108">
        <v>1.101E-3</v>
      </c>
      <c r="CM108">
        <v>1.101E-3</v>
      </c>
      <c r="CN108">
        <v>1.101E-3</v>
      </c>
      <c r="CO108">
        <v>1.101E-3</v>
      </c>
      <c r="CP108">
        <v>1.101E-3</v>
      </c>
      <c r="CQ108">
        <v>1.101E-3</v>
      </c>
      <c r="CR108">
        <v>1.101E-3</v>
      </c>
      <c r="CS108">
        <v>1.101E-3</v>
      </c>
      <c r="CT108">
        <v>1.101E-3</v>
      </c>
      <c r="CU108">
        <v>1.101E-3</v>
      </c>
      <c r="CV108">
        <v>1.101E-3</v>
      </c>
      <c r="CW108">
        <v>1.101E-3</v>
      </c>
      <c r="CX108">
        <v>1.101E-3</v>
      </c>
    </row>
    <row r="109" spans="1:102" x14ac:dyDescent="0.25">
      <c r="A109" t="s">
        <v>283</v>
      </c>
      <c r="B109" t="e">
        <v>#VALUE!</v>
      </c>
      <c r="C109" t="e">
        <v>#VALUE!</v>
      </c>
      <c r="D109" t="e">
        <v>#VALUE!</v>
      </c>
      <c r="E109" t="e">
        <v>#VALUE!</v>
      </c>
      <c r="F109" t="e">
        <v>#VALUE!</v>
      </c>
      <c r="G109" t="e">
        <v>#VALUE!</v>
      </c>
      <c r="H109" t="e">
        <v>#VALUE!</v>
      </c>
      <c r="I109" t="e">
        <v>#VALUE!</v>
      </c>
      <c r="J109" t="e">
        <v>#VALUE!</v>
      </c>
      <c r="K109" t="e">
        <v>#VALUE!</v>
      </c>
      <c r="L109" t="e">
        <v>#VALUE!</v>
      </c>
      <c r="M109" t="e">
        <v>#VALUE!</v>
      </c>
      <c r="N109" t="e">
        <v>#VALUE!</v>
      </c>
      <c r="O109" t="e">
        <v>#VALUE!</v>
      </c>
      <c r="P109" t="e">
        <v>#VALUE!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 t="e">
        <v>#VALUE!</v>
      </c>
      <c r="AV109" t="e">
        <v>#VALUE!</v>
      </c>
      <c r="AW109" t="e">
        <v>#VALUE!</v>
      </c>
      <c r="AX109" t="e">
        <v>#VALUE!</v>
      </c>
      <c r="AY109" t="e">
        <v>#VALUE!</v>
      </c>
      <c r="AZ109">
        <v>1.2999999999999999E-4</v>
      </c>
      <c r="BA109">
        <v>1.2999999999999999E-4</v>
      </c>
      <c r="BB109">
        <v>1.2999999999999999E-4</v>
      </c>
      <c r="BC109">
        <v>1.2999999999999999E-4</v>
      </c>
      <c r="BD109">
        <v>1.2999999999999999E-4</v>
      </c>
      <c r="BE109">
        <v>6.4999999999999994E-5</v>
      </c>
      <c r="BF109">
        <v>6.4999999999999994E-5</v>
      </c>
      <c r="BG109">
        <v>6.4999999999999994E-5</v>
      </c>
      <c r="BH109">
        <v>6.4999999999999994E-5</v>
      </c>
      <c r="BI109">
        <v>6.4999999999999994E-5</v>
      </c>
      <c r="BJ109">
        <v>6.3E-5</v>
      </c>
      <c r="BK109">
        <v>6.3E-5</v>
      </c>
      <c r="BL109">
        <v>6.3E-5</v>
      </c>
      <c r="BM109">
        <v>6.3E-5</v>
      </c>
      <c r="BN109">
        <v>6.3E-5</v>
      </c>
      <c r="BO109">
        <v>0</v>
      </c>
      <c r="BP109">
        <v>0</v>
      </c>
      <c r="BQ109">
        <v>0</v>
      </c>
      <c r="BR109">
        <v>0</v>
      </c>
      <c r="BS109">
        <v>0</v>
      </c>
      <c r="BT109" t="e">
        <v>#VALUE!</v>
      </c>
      <c r="BU109" t="e">
        <v>#VALUE!</v>
      </c>
      <c r="BV109" t="e">
        <v>#VALUE!</v>
      </c>
      <c r="BW109" t="e">
        <v>#VALUE!</v>
      </c>
      <c r="BX109" t="e">
        <v>#VALUE!</v>
      </c>
      <c r="BY109">
        <v>1.84E-4</v>
      </c>
      <c r="BZ109">
        <v>1.84E-4</v>
      </c>
      <c r="CA109">
        <v>1.84E-4</v>
      </c>
      <c r="CB109">
        <v>1.84E-4</v>
      </c>
      <c r="CC109">
        <v>1.84E-4</v>
      </c>
      <c r="CD109">
        <v>1.84E-4</v>
      </c>
      <c r="CE109">
        <v>1.84E-4</v>
      </c>
      <c r="CF109">
        <v>1.84E-4</v>
      </c>
      <c r="CG109">
        <v>1.84E-4</v>
      </c>
      <c r="CH109">
        <v>1.84E-4</v>
      </c>
      <c r="CI109">
        <v>1.84E-4</v>
      </c>
      <c r="CJ109">
        <v>1.84E-4</v>
      </c>
      <c r="CK109">
        <v>1.84E-4</v>
      </c>
      <c r="CL109">
        <v>1.84E-4</v>
      </c>
      <c r="CM109">
        <v>1.84E-4</v>
      </c>
      <c r="CN109">
        <v>1.84E-4</v>
      </c>
      <c r="CO109">
        <v>1.84E-4</v>
      </c>
      <c r="CP109">
        <v>1.84E-4</v>
      </c>
      <c r="CQ109">
        <v>1.84E-4</v>
      </c>
      <c r="CR109">
        <v>1.84E-4</v>
      </c>
      <c r="CS109">
        <v>1.84E-4</v>
      </c>
      <c r="CT109">
        <v>1.84E-4</v>
      </c>
      <c r="CU109">
        <v>1.84E-4</v>
      </c>
      <c r="CV109">
        <v>1.84E-4</v>
      </c>
      <c r="CW109">
        <v>1.84E-4</v>
      </c>
      <c r="CX109">
        <v>1.84E-4</v>
      </c>
    </row>
    <row r="110" spans="1:102" x14ac:dyDescent="0.25">
      <c r="A110" t="s">
        <v>285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7.2000000000000002E-5</v>
      </c>
      <c r="R110">
        <v>7.2000000000000002E-5</v>
      </c>
      <c r="S110">
        <v>7.2000000000000002E-5</v>
      </c>
      <c r="T110">
        <v>7.2000000000000002E-5</v>
      </c>
      <c r="U110">
        <v>7.2000000000000002E-5</v>
      </c>
      <c r="V110">
        <v>7.2000000000000002E-5</v>
      </c>
      <c r="W110">
        <v>7.2000000000000002E-5</v>
      </c>
      <c r="X110">
        <v>7.2000000000000002E-5</v>
      </c>
      <c r="Y110">
        <v>7.2000000000000002E-5</v>
      </c>
      <c r="Z110">
        <v>7.2000000000000002E-5</v>
      </c>
      <c r="AA110">
        <v>7.2000000000000002E-5</v>
      </c>
      <c r="AB110">
        <v>7.2000000000000002E-5</v>
      </c>
      <c r="AC110">
        <v>7.2000000000000002E-5</v>
      </c>
      <c r="AD110">
        <v>7.2000000000000002E-5</v>
      </c>
      <c r="AE110">
        <v>7.2000000000000002E-5</v>
      </c>
      <c r="AF110">
        <v>7.2000000000000002E-5</v>
      </c>
      <c r="AG110">
        <v>7.2000000000000002E-5</v>
      </c>
      <c r="AH110">
        <v>7.2000000000000002E-5</v>
      </c>
      <c r="AI110">
        <v>7.2000000000000002E-5</v>
      </c>
      <c r="AJ110">
        <v>7.2000000000000002E-5</v>
      </c>
      <c r="AK110">
        <v>7.2000000000000002E-5</v>
      </c>
      <c r="AL110">
        <v>7.2000000000000002E-5</v>
      </c>
      <c r="AM110">
        <v>7.2000000000000002E-5</v>
      </c>
      <c r="AN110">
        <v>7.2000000000000002E-5</v>
      </c>
      <c r="AO110">
        <v>7.2000000000000002E-5</v>
      </c>
      <c r="AP110">
        <v>1.9000000000000001E-4</v>
      </c>
      <c r="AQ110">
        <v>1.9000000000000001E-4</v>
      </c>
      <c r="AR110">
        <v>1.9000000000000001E-4</v>
      </c>
      <c r="AS110">
        <v>1.9000000000000001E-4</v>
      </c>
      <c r="AT110">
        <v>1.9000000000000001E-4</v>
      </c>
      <c r="AU110">
        <v>2.02E-4</v>
      </c>
      <c r="AV110">
        <v>2.02E-4</v>
      </c>
      <c r="AW110">
        <v>2.02E-4</v>
      </c>
      <c r="AX110">
        <v>2.02E-4</v>
      </c>
      <c r="AY110">
        <v>2.02E-4</v>
      </c>
      <c r="AZ110">
        <v>2.0100000000000001E-4</v>
      </c>
      <c r="BA110">
        <v>2.0100000000000001E-4</v>
      </c>
      <c r="BB110">
        <v>2.0100000000000001E-4</v>
      </c>
      <c r="BC110">
        <v>2.0100000000000001E-4</v>
      </c>
      <c r="BD110">
        <v>2.0100000000000001E-4</v>
      </c>
      <c r="BE110">
        <v>1.8200000000000001E-4</v>
      </c>
      <c r="BF110">
        <v>1.8200000000000001E-4</v>
      </c>
      <c r="BG110">
        <v>1.8200000000000001E-4</v>
      </c>
      <c r="BH110">
        <v>1.8200000000000001E-4</v>
      </c>
      <c r="BI110">
        <v>1.8200000000000001E-4</v>
      </c>
      <c r="BJ110">
        <v>1.6000000000000001E-4</v>
      </c>
      <c r="BK110">
        <v>1.6000000000000001E-4</v>
      </c>
      <c r="BL110">
        <v>1.6000000000000001E-4</v>
      </c>
      <c r="BM110">
        <v>1.6000000000000001E-4</v>
      </c>
      <c r="BN110">
        <v>1.6000000000000001E-4</v>
      </c>
      <c r="BO110">
        <v>1.5100000000000001E-4</v>
      </c>
      <c r="BP110">
        <v>1.5100000000000001E-4</v>
      </c>
      <c r="BQ110">
        <v>1.5100000000000001E-4</v>
      </c>
      <c r="BR110">
        <v>1.5100000000000001E-4</v>
      </c>
      <c r="BS110">
        <v>1.5100000000000001E-4</v>
      </c>
      <c r="BT110">
        <v>1.45E-4</v>
      </c>
      <c r="BU110">
        <v>1.45E-4</v>
      </c>
      <c r="BV110">
        <v>1.45E-4</v>
      </c>
      <c r="BW110">
        <v>1.45E-4</v>
      </c>
      <c r="BX110">
        <v>1.45E-4</v>
      </c>
      <c r="BY110">
        <v>1.5300000000000001E-4</v>
      </c>
      <c r="BZ110">
        <v>1.5300000000000001E-4</v>
      </c>
      <c r="CA110">
        <v>1.5300000000000001E-4</v>
      </c>
      <c r="CB110">
        <v>1.5300000000000001E-4</v>
      </c>
      <c r="CC110">
        <v>1.5300000000000001E-4</v>
      </c>
      <c r="CD110">
        <v>1.5300000000000001E-4</v>
      </c>
      <c r="CE110">
        <v>1.5300000000000001E-4</v>
      </c>
      <c r="CF110">
        <v>1.5300000000000001E-4</v>
      </c>
      <c r="CG110">
        <v>1.5300000000000001E-4</v>
      </c>
      <c r="CH110">
        <v>1.5300000000000001E-4</v>
      </c>
      <c r="CI110">
        <v>1.5300000000000001E-4</v>
      </c>
      <c r="CJ110">
        <v>1.5300000000000001E-4</v>
      </c>
      <c r="CK110">
        <v>1.5300000000000001E-4</v>
      </c>
      <c r="CL110">
        <v>1.5300000000000001E-4</v>
      </c>
      <c r="CM110">
        <v>1.5300000000000001E-4</v>
      </c>
      <c r="CN110">
        <v>1.5300000000000001E-4</v>
      </c>
      <c r="CO110">
        <v>1.5300000000000001E-4</v>
      </c>
      <c r="CP110">
        <v>1.5300000000000001E-4</v>
      </c>
      <c r="CQ110">
        <v>1.5300000000000001E-4</v>
      </c>
      <c r="CR110">
        <v>1.5300000000000001E-4</v>
      </c>
      <c r="CS110">
        <v>1.5300000000000001E-4</v>
      </c>
      <c r="CT110">
        <v>1.5300000000000001E-4</v>
      </c>
      <c r="CU110">
        <v>1.5300000000000001E-4</v>
      </c>
      <c r="CV110">
        <v>1.5300000000000001E-4</v>
      </c>
      <c r="CW110">
        <v>1.5300000000000001E-4</v>
      </c>
      <c r="CX110">
        <v>1.5300000000000001E-4</v>
      </c>
    </row>
    <row r="111" spans="1:102" x14ac:dyDescent="0.25">
      <c r="A111" t="s">
        <v>287</v>
      </c>
      <c r="B111" t="e">
        <v>#VALUE!</v>
      </c>
      <c r="C111" t="e">
        <v>#VALUE!</v>
      </c>
      <c r="D111" t="e">
        <v>#VALUE!</v>
      </c>
      <c r="E111" t="e">
        <v>#VALUE!</v>
      </c>
      <c r="F111" t="e">
        <v>#VALUE!</v>
      </c>
      <c r="G111" t="e">
        <v>#VALUE!</v>
      </c>
      <c r="H111" t="e">
        <v>#VALUE!</v>
      </c>
      <c r="I111" t="e">
        <v>#VALUE!</v>
      </c>
      <c r="J111" t="e">
        <v>#VALUE!</v>
      </c>
      <c r="K111" t="e">
        <v>#VALUE!</v>
      </c>
      <c r="L111" t="e">
        <v>#VALUE!</v>
      </c>
      <c r="M111" t="e">
        <v>#VALUE!</v>
      </c>
      <c r="N111" t="e">
        <v>#VALUE!</v>
      </c>
      <c r="O111" t="e">
        <v>#VALUE!</v>
      </c>
      <c r="P111" t="e">
        <v>#VALUE!</v>
      </c>
      <c r="Q111">
        <v>7.4999999999999993E-5</v>
      </c>
      <c r="R111">
        <v>7.4999999999999993E-5</v>
      </c>
      <c r="S111">
        <v>7.4999999999999993E-5</v>
      </c>
      <c r="T111">
        <v>7.4999999999999993E-5</v>
      </c>
      <c r="U111">
        <v>7.4999999999999993E-5</v>
      </c>
      <c r="V111">
        <v>7.4999999999999993E-5</v>
      </c>
      <c r="W111">
        <v>7.4999999999999993E-5</v>
      </c>
      <c r="X111">
        <v>7.4999999999999993E-5</v>
      </c>
      <c r="Y111">
        <v>7.4999999999999993E-5</v>
      </c>
      <c r="Z111">
        <v>7.4999999999999993E-5</v>
      </c>
      <c r="AA111">
        <v>7.4999999999999993E-5</v>
      </c>
      <c r="AB111">
        <v>7.4999999999999993E-5</v>
      </c>
      <c r="AC111">
        <v>7.4999999999999993E-5</v>
      </c>
      <c r="AD111">
        <v>7.4999999999999993E-5</v>
      </c>
      <c r="AE111">
        <v>7.4999999999999993E-5</v>
      </c>
      <c r="AF111">
        <v>7.4999999999999993E-5</v>
      </c>
      <c r="AG111">
        <v>7.4999999999999993E-5</v>
      </c>
      <c r="AH111">
        <v>7.4999999999999993E-5</v>
      </c>
      <c r="AI111">
        <v>7.4999999999999993E-5</v>
      </c>
      <c r="AJ111">
        <v>7.4999999999999993E-5</v>
      </c>
      <c r="AK111">
        <v>7.4999999999999993E-5</v>
      </c>
      <c r="AL111">
        <v>7.4999999999999993E-5</v>
      </c>
      <c r="AM111">
        <v>7.4999999999999993E-5</v>
      </c>
      <c r="AN111">
        <v>7.4999999999999993E-5</v>
      </c>
      <c r="AO111">
        <v>7.4999999999999993E-5</v>
      </c>
      <c r="AP111">
        <v>4.08E-4</v>
      </c>
      <c r="AQ111">
        <v>4.08E-4</v>
      </c>
      <c r="AR111">
        <v>4.08E-4</v>
      </c>
      <c r="AS111">
        <v>4.08E-4</v>
      </c>
      <c r="AT111">
        <v>4.08E-4</v>
      </c>
      <c r="AU111">
        <v>5.8699999999999996E-4</v>
      </c>
      <c r="AV111">
        <v>5.8699999999999996E-4</v>
      </c>
      <c r="AW111">
        <v>5.8699999999999996E-4</v>
      </c>
      <c r="AX111">
        <v>5.8699999999999996E-4</v>
      </c>
      <c r="AY111">
        <v>5.8699999999999996E-4</v>
      </c>
      <c r="AZ111">
        <v>7.2800000000000002E-4</v>
      </c>
      <c r="BA111">
        <v>7.2800000000000002E-4</v>
      </c>
      <c r="BB111">
        <v>7.2800000000000002E-4</v>
      </c>
      <c r="BC111">
        <v>7.2800000000000002E-4</v>
      </c>
      <c r="BD111">
        <v>7.2800000000000002E-4</v>
      </c>
      <c r="BE111">
        <v>8.3799999999999999E-4</v>
      </c>
      <c r="BF111">
        <v>8.3799999999999999E-4</v>
      </c>
      <c r="BG111">
        <v>8.3799999999999999E-4</v>
      </c>
      <c r="BH111">
        <v>8.3799999999999999E-4</v>
      </c>
      <c r="BI111">
        <v>8.3799999999999999E-4</v>
      </c>
      <c r="BJ111">
        <v>1.0009999999999999E-3</v>
      </c>
      <c r="BK111">
        <v>1.0009999999999999E-3</v>
      </c>
      <c r="BL111">
        <v>1.0009999999999999E-3</v>
      </c>
      <c r="BM111">
        <v>1.0009999999999999E-3</v>
      </c>
      <c r="BN111">
        <v>1.0009999999999999E-3</v>
      </c>
      <c r="BO111">
        <v>1.0560000000000001E-3</v>
      </c>
      <c r="BP111">
        <v>1.0560000000000001E-3</v>
      </c>
      <c r="BQ111">
        <v>1.0560000000000001E-3</v>
      </c>
      <c r="BR111">
        <v>1.0560000000000001E-3</v>
      </c>
      <c r="BS111">
        <v>1.0560000000000001E-3</v>
      </c>
      <c r="BT111">
        <v>1.0300000000000001E-3</v>
      </c>
      <c r="BU111">
        <v>1.0300000000000001E-3</v>
      </c>
      <c r="BV111">
        <v>1.0300000000000001E-3</v>
      </c>
      <c r="BW111">
        <v>1.0300000000000001E-3</v>
      </c>
      <c r="BX111">
        <v>1.0300000000000001E-3</v>
      </c>
      <c r="BY111">
        <v>2.212E-3</v>
      </c>
      <c r="BZ111">
        <v>2.212E-3</v>
      </c>
      <c r="CA111">
        <v>2.212E-3</v>
      </c>
      <c r="CB111">
        <v>2.212E-3</v>
      </c>
      <c r="CC111">
        <v>2.212E-3</v>
      </c>
      <c r="CD111">
        <v>2.212E-3</v>
      </c>
      <c r="CE111">
        <v>2.212E-3</v>
      </c>
      <c r="CF111">
        <v>2.212E-3</v>
      </c>
      <c r="CG111">
        <v>2.212E-3</v>
      </c>
      <c r="CH111">
        <v>2.212E-3</v>
      </c>
      <c r="CI111">
        <v>2.212E-3</v>
      </c>
      <c r="CJ111">
        <v>2.212E-3</v>
      </c>
      <c r="CK111">
        <v>2.212E-3</v>
      </c>
      <c r="CL111">
        <v>2.212E-3</v>
      </c>
      <c r="CM111">
        <v>2.212E-3</v>
      </c>
      <c r="CN111">
        <v>2.212E-3</v>
      </c>
      <c r="CO111">
        <v>2.212E-3</v>
      </c>
      <c r="CP111">
        <v>2.212E-3</v>
      </c>
      <c r="CQ111">
        <v>2.212E-3</v>
      </c>
      <c r="CR111">
        <v>2.212E-3</v>
      </c>
      <c r="CS111">
        <v>2.212E-3</v>
      </c>
      <c r="CT111">
        <v>2.212E-3</v>
      </c>
      <c r="CU111">
        <v>2.212E-3</v>
      </c>
      <c r="CV111">
        <v>2.212E-3</v>
      </c>
      <c r="CW111">
        <v>2.212E-3</v>
      </c>
      <c r="CX111">
        <v>2.212E-3</v>
      </c>
    </row>
    <row r="112" spans="1:102" x14ac:dyDescent="0.25">
      <c r="A112" t="s">
        <v>289</v>
      </c>
      <c r="B112" t="e">
        <v>#VALUE!</v>
      </c>
      <c r="C112" t="e">
        <v>#VALUE!</v>
      </c>
      <c r="D112" t="e">
        <v>#VALUE!</v>
      </c>
      <c r="E112" t="e">
        <v>#VALUE!</v>
      </c>
      <c r="F112" t="e">
        <v>#VALUE!</v>
      </c>
      <c r="G112" t="e">
        <v>#VALUE!</v>
      </c>
      <c r="H112" t="e">
        <v>#VALUE!</v>
      </c>
      <c r="I112" t="e">
        <v>#VALUE!</v>
      </c>
      <c r="J112" t="e">
        <v>#VALUE!</v>
      </c>
      <c r="K112" t="e">
        <v>#VALUE!</v>
      </c>
      <c r="L112" t="e">
        <v>#VALUE!</v>
      </c>
      <c r="M112" t="e">
        <v>#VALUE!</v>
      </c>
      <c r="N112" t="e">
        <v>#VALUE!</v>
      </c>
      <c r="O112" t="e">
        <v>#VALUE!</v>
      </c>
      <c r="P112" t="e">
        <v>#VALUE!</v>
      </c>
      <c r="Q112">
        <v>5.0000000000000002E-5</v>
      </c>
      <c r="R112">
        <v>5.0000000000000002E-5</v>
      </c>
      <c r="S112">
        <v>5.0000000000000002E-5</v>
      </c>
      <c r="T112">
        <v>5.0000000000000002E-5</v>
      </c>
      <c r="U112">
        <v>5.0000000000000002E-5</v>
      </c>
      <c r="V112">
        <v>5.0000000000000002E-5</v>
      </c>
      <c r="W112">
        <v>5.0000000000000002E-5</v>
      </c>
      <c r="X112">
        <v>5.0000000000000002E-5</v>
      </c>
      <c r="Y112">
        <v>5.0000000000000002E-5</v>
      </c>
      <c r="Z112">
        <v>5.0000000000000002E-5</v>
      </c>
      <c r="AA112">
        <v>5.0000000000000002E-5</v>
      </c>
      <c r="AB112">
        <v>5.0000000000000002E-5</v>
      </c>
      <c r="AC112">
        <v>5.0000000000000002E-5</v>
      </c>
      <c r="AD112">
        <v>5.0000000000000002E-5</v>
      </c>
      <c r="AE112">
        <v>5.0000000000000002E-5</v>
      </c>
      <c r="AF112">
        <v>5.0000000000000002E-5</v>
      </c>
      <c r="AG112">
        <v>5.0000000000000002E-5</v>
      </c>
      <c r="AH112">
        <v>5.0000000000000002E-5</v>
      </c>
      <c r="AI112">
        <v>5.0000000000000002E-5</v>
      </c>
      <c r="AJ112">
        <v>5.0000000000000002E-5</v>
      </c>
      <c r="AK112">
        <v>5.0000000000000002E-5</v>
      </c>
      <c r="AL112">
        <v>5.0000000000000002E-5</v>
      </c>
      <c r="AM112">
        <v>5.0000000000000002E-5</v>
      </c>
      <c r="AN112">
        <v>5.0000000000000002E-5</v>
      </c>
      <c r="AO112">
        <v>5.0000000000000002E-5</v>
      </c>
      <c r="AP112">
        <v>2.0699999999999999E-4</v>
      </c>
      <c r="AQ112">
        <v>2.0699999999999999E-4</v>
      </c>
      <c r="AR112">
        <v>2.0699999999999999E-4</v>
      </c>
      <c r="AS112">
        <v>2.0699999999999999E-4</v>
      </c>
      <c r="AT112">
        <v>2.0699999999999999E-4</v>
      </c>
      <c r="AU112">
        <v>2.5999999999999998E-4</v>
      </c>
      <c r="AV112">
        <v>2.5999999999999998E-4</v>
      </c>
      <c r="AW112">
        <v>2.5999999999999998E-4</v>
      </c>
      <c r="AX112">
        <v>2.5999999999999998E-4</v>
      </c>
      <c r="AY112">
        <v>2.5999999999999998E-4</v>
      </c>
      <c r="AZ112">
        <v>2.8800000000000001E-4</v>
      </c>
      <c r="BA112">
        <v>2.8800000000000001E-4</v>
      </c>
      <c r="BB112">
        <v>2.8800000000000001E-4</v>
      </c>
      <c r="BC112">
        <v>2.8800000000000001E-4</v>
      </c>
      <c r="BD112">
        <v>2.8800000000000001E-4</v>
      </c>
      <c r="BE112">
        <v>4.8099999999999998E-4</v>
      </c>
      <c r="BF112">
        <v>4.8099999999999998E-4</v>
      </c>
      <c r="BG112">
        <v>4.8099999999999998E-4</v>
      </c>
      <c r="BH112">
        <v>4.8099999999999998E-4</v>
      </c>
      <c r="BI112">
        <v>4.8099999999999998E-4</v>
      </c>
      <c r="BJ112">
        <v>3.6400000000000001E-4</v>
      </c>
      <c r="BK112">
        <v>3.6400000000000001E-4</v>
      </c>
      <c r="BL112">
        <v>3.6400000000000001E-4</v>
      </c>
      <c r="BM112">
        <v>3.6400000000000001E-4</v>
      </c>
      <c r="BN112">
        <v>3.6400000000000001E-4</v>
      </c>
      <c r="BO112">
        <v>7.0200000000000004E-4</v>
      </c>
      <c r="BP112">
        <v>7.0200000000000004E-4</v>
      </c>
      <c r="BQ112">
        <v>7.0200000000000004E-4</v>
      </c>
      <c r="BR112">
        <v>7.0200000000000004E-4</v>
      </c>
      <c r="BS112">
        <v>7.0200000000000004E-4</v>
      </c>
      <c r="BT112">
        <v>9.9700000000000006E-4</v>
      </c>
      <c r="BU112">
        <v>9.9700000000000006E-4</v>
      </c>
      <c r="BV112">
        <v>9.9700000000000006E-4</v>
      </c>
      <c r="BW112">
        <v>9.9700000000000006E-4</v>
      </c>
      <c r="BX112">
        <v>9.9700000000000006E-4</v>
      </c>
      <c r="BY112">
        <v>7.2300000000000001E-4</v>
      </c>
      <c r="BZ112">
        <v>7.2300000000000001E-4</v>
      </c>
      <c r="CA112">
        <v>7.2300000000000001E-4</v>
      </c>
      <c r="CB112">
        <v>7.2300000000000001E-4</v>
      </c>
      <c r="CC112">
        <v>7.2300000000000001E-4</v>
      </c>
      <c r="CD112">
        <v>7.2300000000000001E-4</v>
      </c>
      <c r="CE112">
        <v>7.2300000000000001E-4</v>
      </c>
      <c r="CF112">
        <v>7.2300000000000001E-4</v>
      </c>
      <c r="CG112">
        <v>7.2300000000000001E-4</v>
      </c>
      <c r="CH112">
        <v>7.2300000000000001E-4</v>
      </c>
      <c r="CI112">
        <v>7.2300000000000001E-4</v>
      </c>
      <c r="CJ112">
        <v>7.2300000000000001E-4</v>
      </c>
      <c r="CK112">
        <v>7.2300000000000001E-4</v>
      </c>
      <c r="CL112">
        <v>7.2300000000000001E-4</v>
      </c>
      <c r="CM112">
        <v>7.2300000000000001E-4</v>
      </c>
      <c r="CN112">
        <v>7.2300000000000001E-4</v>
      </c>
      <c r="CO112">
        <v>7.2300000000000001E-4</v>
      </c>
      <c r="CP112">
        <v>7.2300000000000001E-4</v>
      </c>
      <c r="CQ112">
        <v>7.2300000000000001E-4</v>
      </c>
      <c r="CR112">
        <v>7.2300000000000001E-4</v>
      </c>
      <c r="CS112">
        <v>7.2300000000000001E-4</v>
      </c>
      <c r="CT112">
        <v>7.2300000000000001E-4</v>
      </c>
      <c r="CU112">
        <v>7.2300000000000001E-4</v>
      </c>
      <c r="CV112">
        <v>7.2300000000000001E-4</v>
      </c>
      <c r="CW112">
        <v>7.2300000000000001E-4</v>
      </c>
      <c r="CX112">
        <v>7.2300000000000001E-4</v>
      </c>
    </row>
    <row r="113" spans="1:102" x14ac:dyDescent="0.25">
      <c r="A113" t="s">
        <v>291</v>
      </c>
      <c r="B113" t="e">
        <v>#VALUE!</v>
      </c>
      <c r="C113" t="e">
        <v>#VALUE!</v>
      </c>
      <c r="D113" t="e">
        <v>#VALUE!</v>
      </c>
      <c r="E113" t="e">
        <v>#VALUE!</v>
      </c>
      <c r="F113" t="e">
        <v>#VALUE!</v>
      </c>
      <c r="G113" t="e">
        <v>#VALUE!</v>
      </c>
      <c r="H113" t="e">
        <v>#VALUE!</v>
      </c>
      <c r="I113" t="e">
        <v>#VALUE!</v>
      </c>
      <c r="J113" t="e">
        <v>#VALUE!</v>
      </c>
      <c r="K113" t="e">
        <v>#VALUE!</v>
      </c>
      <c r="L113" t="e">
        <v>#VALUE!</v>
      </c>
      <c r="M113" t="e">
        <v>#VALUE!</v>
      </c>
      <c r="N113" t="e">
        <v>#VALUE!</v>
      </c>
      <c r="O113" t="e">
        <v>#VALUE!</v>
      </c>
      <c r="P113" t="e">
        <v>#VALUE!</v>
      </c>
      <c r="Q113">
        <v>1.6699999999999999E-4</v>
      </c>
      <c r="R113">
        <v>1.6699999999999999E-4</v>
      </c>
      <c r="S113">
        <v>1.6699999999999999E-4</v>
      </c>
      <c r="T113">
        <v>1.6699999999999999E-4</v>
      </c>
      <c r="U113">
        <v>1.6699999999999999E-4</v>
      </c>
      <c r="V113">
        <v>1.6699999999999999E-4</v>
      </c>
      <c r="W113">
        <v>1.6699999999999999E-4</v>
      </c>
      <c r="X113">
        <v>1.6699999999999999E-4</v>
      </c>
      <c r="Y113">
        <v>1.6699999999999999E-4</v>
      </c>
      <c r="Z113">
        <v>1.6699999999999999E-4</v>
      </c>
      <c r="AA113">
        <v>1.6699999999999999E-4</v>
      </c>
      <c r="AB113">
        <v>1.6699999999999999E-4</v>
      </c>
      <c r="AC113">
        <v>1.6699999999999999E-4</v>
      </c>
      <c r="AD113">
        <v>1.6699999999999999E-4</v>
      </c>
      <c r="AE113">
        <v>1.6699999999999999E-4</v>
      </c>
      <c r="AF113">
        <v>1.6699999999999999E-4</v>
      </c>
      <c r="AG113">
        <v>1.6699999999999999E-4</v>
      </c>
      <c r="AH113">
        <v>1.6699999999999999E-4</v>
      </c>
      <c r="AI113">
        <v>1.6699999999999999E-4</v>
      </c>
      <c r="AJ113">
        <v>1.6699999999999999E-4</v>
      </c>
      <c r="AK113">
        <v>1.6699999999999999E-4</v>
      </c>
      <c r="AL113">
        <v>1.6699999999999999E-4</v>
      </c>
      <c r="AM113">
        <v>1.6699999999999999E-4</v>
      </c>
      <c r="AN113">
        <v>1.6699999999999999E-4</v>
      </c>
      <c r="AO113">
        <v>1.6699999999999999E-4</v>
      </c>
      <c r="AP113">
        <v>4.6700000000000002E-4</v>
      </c>
      <c r="AQ113">
        <v>4.6700000000000002E-4</v>
      </c>
      <c r="AR113">
        <v>4.6700000000000002E-4</v>
      </c>
      <c r="AS113">
        <v>4.6700000000000002E-4</v>
      </c>
      <c r="AT113">
        <v>4.6700000000000002E-4</v>
      </c>
      <c r="AU113">
        <v>5.1099999999999995E-4</v>
      </c>
      <c r="AV113">
        <v>5.1099999999999995E-4</v>
      </c>
      <c r="AW113">
        <v>5.1099999999999995E-4</v>
      </c>
      <c r="AX113">
        <v>5.1099999999999995E-4</v>
      </c>
      <c r="AY113">
        <v>5.1099999999999995E-4</v>
      </c>
      <c r="AZ113">
        <v>5.3200000000000003E-4</v>
      </c>
      <c r="BA113">
        <v>5.3200000000000003E-4</v>
      </c>
      <c r="BB113">
        <v>5.3200000000000003E-4</v>
      </c>
      <c r="BC113">
        <v>5.3200000000000003E-4</v>
      </c>
      <c r="BD113">
        <v>5.3200000000000003E-4</v>
      </c>
      <c r="BE113">
        <v>5.4199999999999995E-4</v>
      </c>
      <c r="BF113">
        <v>5.4199999999999995E-4</v>
      </c>
      <c r="BG113">
        <v>5.4199999999999995E-4</v>
      </c>
      <c r="BH113">
        <v>5.4199999999999995E-4</v>
      </c>
      <c r="BI113">
        <v>5.4199999999999995E-4</v>
      </c>
      <c r="BJ113">
        <v>5.5500000000000005E-4</v>
      </c>
      <c r="BK113">
        <v>5.5500000000000005E-4</v>
      </c>
      <c r="BL113">
        <v>5.5500000000000005E-4</v>
      </c>
      <c r="BM113">
        <v>5.5500000000000005E-4</v>
      </c>
      <c r="BN113">
        <v>5.5500000000000005E-4</v>
      </c>
      <c r="BO113">
        <v>5.7499999999999999E-4</v>
      </c>
      <c r="BP113">
        <v>5.7499999999999999E-4</v>
      </c>
      <c r="BQ113">
        <v>5.7499999999999999E-4</v>
      </c>
      <c r="BR113">
        <v>5.7499999999999999E-4</v>
      </c>
      <c r="BS113">
        <v>5.7499999999999999E-4</v>
      </c>
      <c r="BT113">
        <v>5.9900000000000003E-4</v>
      </c>
      <c r="BU113">
        <v>5.9900000000000003E-4</v>
      </c>
      <c r="BV113">
        <v>5.9900000000000003E-4</v>
      </c>
      <c r="BW113">
        <v>5.9900000000000003E-4</v>
      </c>
      <c r="BX113">
        <v>5.9900000000000003E-4</v>
      </c>
      <c r="BY113">
        <v>6.29E-4</v>
      </c>
      <c r="BZ113">
        <v>6.29E-4</v>
      </c>
      <c r="CA113">
        <v>6.29E-4</v>
      </c>
      <c r="CB113">
        <v>6.29E-4</v>
      </c>
      <c r="CC113">
        <v>6.29E-4</v>
      </c>
      <c r="CD113">
        <v>6.29E-4</v>
      </c>
      <c r="CE113">
        <v>6.29E-4</v>
      </c>
      <c r="CF113">
        <v>6.29E-4</v>
      </c>
      <c r="CG113">
        <v>6.29E-4</v>
      </c>
      <c r="CH113">
        <v>6.29E-4</v>
      </c>
      <c r="CI113">
        <v>6.29E-4</v>
      </c>
      <c r="CJ113">
        <v>6.29E-4</v>
      </c>
      <c r="CK113">
        <v>6.29E-4</v>
      </c>
      <c r="CL113">
        <v>6.29E-4</v>
      </c>
      <c r="CM113">
        <v>6.29E-4</v>
      </c>
      <c r="CN113">
        <v>6.29E-4</v>
      </c>
      <c r="CO113">
        <v>6.29E-4</v>
      </c>
      <c r="CP113">
        <v>6.29E-4</v>
      </c>
      <c r="CQ113">
        <v>6.29E-4</v>
      </c>
      <c r="CR113">
        <v>6.29E-4</v>
      </c>
      <c r="CS113">
        <v>6.29E-4</v>
      </c>
      <c r="CT113">
        <v>6.29E-4</v>
      </c>
      <c r="CU113">
        <v>6.29E-4</v>
      </c>
      <c r="CV113">
        <v>6.29E-4</v>
      </c>
      <c r="CW113">
        <v>6.29E-4</v>
      </c>
      <c r="CX113">
        <v>6.29E-4</v>
      </c>
    </row>
    <row r="114" spans="1:102" x14ac:dyDescent="0.25">
      <c r="A114" t="s">
        <v>293</v>
      </c>
      <c r="B114" t="e">
        <v>#VALUE!</v>
      </c>
      <c r="C114" t="e">
        <v>#VALUE!</v>
      </c>
      <c r="D114" t="e">
        <v>#VALUE!</v>
      </c>
      <c r="E114" t="e">
        <v>#VALUE!</v>
      </c>
      <c r="F114" t="e">
        <v>#VALUE!</v>
      </c>
      <c r="G114" t="e">
        <v>#VALUE!</v>
      </c>
      <c r="H114" t="e">
        <v>#VALUE!</v>
      </c>
      <c r="I114" t="e">
        <v>#VALUE!</v>
      </c>
      <c r="J114" t="e">
        <v>#VALUE!</v>
      </c>
      <c r="K114" t="e">
        <v>#VALUE!</v>
      </c>
      <c r="L114" t="e">
        <v>#VALUE!</v>
      </c>
      <c r="M114" t="e">
        <v>#VALUE!</v>
      </c>
      <c r="N114" t="e">
        <v>#VALUE!</v>
      </c>
      <c r="O114" t="e">
        <v>#VALUE!</v>
      </c>
      <c r="P114" t="e">
        <v>#VALUE!</v>
      </c>
      <c r="Q114">
        <v>5.5999999999999999E-5</v>
      </c>
      <c r="R114">
        <v>5.5999999999999999E-5</v>
      </c>
      <c r="S114">
        <v>5.5999999999999999E-5</v>
      </c>
      <c r="T114">
        <v>5.5999999999999999E-5</v>
      </c>
      <c r="U114">
        <v>5.5999999999999999E-5</v>
      </c>
      <c r="V114">
        <v>5.5999999999999999E-5</v>
      </c>
      <c r="W114">
        <v>5.5999999999999999E-5</v>
      </c>
      <c r="X114">
        <v>5.5999999999999999E-5</v>
      </c>
      <c r="Y114">
        <v>5.5999999999999999E-5</v>
      </c>
      <c r="Z114">
        <v>5.5999999999999999E-5</v>
      </c>
      <c r="AA114">
        <v>5.5999999999999999E-5</v>
      </c>
      <c r="AB114">
        <v>5.5999999999999999E-5</v>
      </c>
      <c r="AC114">
        <v>5.5999999999999999E-5</v>
      </c>
      <c r="AD114">
        <v>5.5999999999999999E-5</v>
      </c>
      <c r="AE114">
        <v>5.5999999999999999E-5</v>
      </c>
      <c r="AF114">
        <v>5.5999999999999999E-5</v>
      </c>
      <c r="AG114">
        <v>5.5999999999999999E-5</v>
      </c>
      <c r="AH114">
        <v>5.5999999999999999E-5</v>
      </c>
      <c r="AI114">
        <v>5.5999999999999999E-5</v>
      </c>
      <c r="AJ114">
        <v>5.5999999999999999E-5</v>
      </c>
      <c r="AK114">
        <v>5.5999999999999999E-5</v>
      </c>
      <c r="AL114">
        <v>5.5999999999999999E-5</v>
      </c>
      <c r="AM114">
        <v>5.5999999999999999E-5</v>
      </c>
      <c r="AN114">
        <v>5.5999999999999999E-5</v>
      </c>
      <c r="AO114">
        <v>5.5999999999999999E-5</v>
      </c>
      <c r="AP114">
        <v>1.6100000000000001E-4</v>
      </c>
      <c r="AQ114">
        <v>1.6100000000000001E-4</v>
      </c>
      <c r="AR114">
        <v>1.6100000000000001E-4</v>
      </c>
      <c r="AS114">
        <v>1.6100000000000001E-4</v>
      </c>
      <c r="AT114">
        <v>1.6100000000000001E-4</v>
      </c>
      <c r="AU114">
        <v>1.7699999999999999E-4</v>
      </c>
      <c r="AV114">
        <v>1.7699999999999999E-4</v>
      </c>
      <c r="AW114">
        <v>1.7699999999999999E-4</v>
      </c>
      <c r="AX114">
        <v>1.7699999999999999E-4</v>
      </c>
      <c r="AY114">
        <v>1.7699999999999999E-4</v>
      </c>
      <c r="AZ114">
        <v>2.1100000000000001E-4</v>
      </c>
      <c r="BA114">
        <v>2.1100000000000001E-4</v>
      </c>
      <c r="BB114">
        <v>2.1100000000000001E-4</v>
      </c>
      <c r="BC114">
        <v>2.1100000000000001E-4</v>
      </c>
      <c r="BD114">
        <v>2.1100000000000001E-4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3.3300000000000002E-4</v>
      </c>
      <c r="BP114">
        <v>3.3300000000000002E-4</v>
      </c>
      <c r="BQ114">
        <v>3.3300000000000002E-4</v>
      </c>
      <c r="BR114">
        <v>3.3300000000000002E-4</v>
      </c>
      <c r="BS114">
        <v>3.3300000000000002E-4</v>
      </c>
      <c r="BT114">
        <v>4.8099999999999998E-4</v>
      </c>
      <c r="BU114">
        <v>4.8099999999999998E-4</v>
      </c>
      <c r="BV114">
        <v>4.8099999999999998E-4</v>
      </c>
      <c r="BW114">
        <v>4.8099999999999998E-4</v>
      </c>
      <c r="BX114">
        <v>4.8099999999999998E-4</v>
      </c>
      <c r="BY114">
        <v>3.5799999999999997E-4</v>
      </c>
      <c r="BZ114">
        <v>3.5799999999999997E-4</v>
      </c>
      <c r="CA114">
        <v>3.5799999999999997E-4</v>
      </c>
      <c r="CB114">
        <v>3.5799999999999997E-4</v>
      </c>
      <c r="CC114">
        <v>3.5799999999999997E-4</v>
      </c>
      <c r="CD114">
        <v>3.5799999999999997E-4</v>
      </c>
      <c r="CE114">
        <v>3.5799999999999997E-4</v>
      </c>
      <c r="CF114">
        <v>3.5799999999999997E-4</v>
      </c>
      <c r="CG114">
        <v>3.5799999999999997E-4</v>
      </c>
      <c r="CH114">
        <v>3.5799999999999997E-4</v>
      </c>
      <c r="CI114">
        <v>3.5799999999999997E-4</v>
      </c>
      <c r="CJ114">
        <v>3.5799999999999997E-4</v>
      </c>
      <c r="CK114">
        <v>3.5799999999999997E-4</v>
      </c>
      <c r="CL114">
        <v>3.5799999999999997E-4</v>
      </c>
      <c r="CM114">
        <v>3.5799999999999997E-4</v>
      </c>
      <c r="CN114">
        <v>3.5799999999999997E-4</v>
      </c>
      <c r="CO114">
        <v>3.5799999999999997E-4</v>
      </c>
      <c r="CP114">
        <v>3.5799999999999997E-4</v>
      </c>
      <c r="CQ114">
        <v>3.5799999999999997E-4</v>
      </c>
      <c r="CR114">
        <v>3.5799999999999997E-4</v>
      </c>
      <c r="CS114">
        <v>3.5799999999999997E-4</v>
      </c>
      <c r="CT114">
        <v>3.5799999999999997E-4</v>
      </c>
      <c r="CU114">
        <v>3.5799999999999997E-4</v>
      </c>
      <c r="CV114">
        <v>3.5799999999999997E-4</v>
      </c>
      <c r="CW114">
        <v>3.5799999999999997E-4</v>
      </c>
      <c r="CX114">
        <v>3.5799999999999997E-4</v>
      </c>
    </row>
    <row r="115" spans="1:102" x14ac:dyDescent="0.25">
      <c r="A115" t="s">
        <v>295</v>
      </c>
      <c r="B115" t="e">
        <v>#VALUE!</v>
      </c>
      <c r="C115" t="e">
        <v>#VALUE!</v>
      </c>
      <c r="D115" t="e">
        <v>#VALUE!</v>
      </c>
      <c r="E115" t="e">
        <v>#VALUE!</v>
      </c>
      <c r="F115" t="e">
        <v>#VALUE!</v>
      </c>
      <c r="G115" t="e">
        <v>#VALUE!</v>
      </c>
      <c r="H115" t="e">
        <v>#VALUE!</v>
      </c>
      <c r="I115" t="e">
        <v>#VALUE!</v>
      </c>
      <c r="J115" t="e">
        <v>#VALUE!</v>
      </c>
      <c r="K115" t="e">
        <v>#VALUE!</v>
      </c>
      <c r="L115" t="e">
        <v>#VALUE!</v>
      </c>
      <c r="M115" t="e">
        <v>#VALUE!</v>
      </c>
      <c r="N115" t="e">
        <v>#VALUE!</v>
      </c>
      <c r="O115" t="e">
        <v>#VALUE!</v>
      </c>
      <c r="P115" t="e">
        <v>#VALUE!</v>
      </c>
      <c r="Q115">
        <v>1.5300000000000001E-4</v>
      </c>
      <c r="R115">
        <v>1.5300000000000001E-4</v>
      </c>
      <c r="S115">
        <v>1.5300000000000001E-4</v>
      </c>
      <c r="T115">
        <v>1.5300000000000001E-4</v>
      </c>
      <c r="U115">
        <v>1.5300000000000001E-4</v>
      </c>
      <c r="V115">
        <v>1.5300000000000001E-4</v>
      </c>
      <c r="W115">
        <v>1.5300000000000001E-4</v>
      </c>
      <c r="X115">
        <v>1.5300000000000001E-4</v>
      </c>
      <c r="Y115">
        <v>1.5300000000000001E-4</v>
      </c>
      <c r="Z115">
        <v>1.5300000000000001E-4</v>
      </c>
      <c r="AA115">
        <v>1.5300000000000001E-4</v>
      </c>
      <c r="AB115">
        <v>1.5300000000000001E-4</v>
      </c>
      <c r="AC115">
        <v>1.5300000000000001E-4</v>
      </c>
      <c r="AD115">
        <v>1.5300000000000001E-4</v>
      </c>
      <c r="AE115">
        <v>1.5300000000000001E-4</v>
      </c>
      <c r="AF115">
        <v>1.5300000000000001E-4</v>
      </c>
      <c r="AG115">
        <v>1.5300000000000001E-4</v>
      </c>
      <c r="AH115">
        <v>1.5300000000000001E-4</v>
      </c>
      <c r="AI115">
        <v>1.5300000000000001E-4</v>
      </c>
      <c r="AJ115">
        <v>1.5300000000000001E-4</v>
      </c>
      <c r="AK115">
        <v>1.5300000000000001E-4</v>
      </c>
      <c r="AL115">
        <v>1.5300000000000001E-4</v>
      </c>
      <c r="AM115">
        <v>1.5300000000000001E-4</v>
      </c>
      <c r="AN115">
        <v>1.5300000000000001E-4</v>
      </c>
      <c r="AO115">
        <v>1.5300000000000001E-4</v>
      </c>
      <c r="AP115">
        <v>4.2000000000000002E-4</v>
      </c>
      <c r="AQ115">
        <v>4.2000000000000002E-4</v>
      </c>
      <c r="AR115">
        <v>4.2000000000000002E-4</v>
      </c>
      <c r="AS115">
        <v>4.2000000000000002E-4</v>
      </c>
      <c r="AT115">
        <v>4.2000000000000002E-4</v>
      </c>
      <c r="AU115">
        <v>4.5199999999999998E-4</v>
      </c>
      <c r="AV115">
        <v>4.5199999999999998E-4</v>
      </c>
      <c r="AW115">
        <v>4.5199999999999998E-4</v>
      </c>
      <c r="AX115">
        <v>4.5199999999999998E-4</v>
      </c>
      <c r="AY115">
        <v>4.5199999999999998E-4</v>
      </c>
      <c r="AZ115">
        <v>4.66E-4</v>
      </c>
      <c r="BA115">
        <v>4.66E-4</v>
      </c>
      <c r="BB115">
        <v>4.66E-4</v>
      </c>
      <c r="BC115">
        <v>4.66E-4</v>
      </c>
      <c r="BD115">
        <v>4.66E-4</v>
      </c>
      <c r="BE115">
        <v>4.64E-4</v>
      </c>
      <c r="BF115">
        <v>4.64E-4</v>
      </c>
      <c r="BG115">
        <v>4.64E-4</v>
      </c>
      <c r="BH115">
        <v>4.64E-4</v>
      </c>
      <c r="BI115">
        <v>4.64E-4</v>
      </c>
      <c r="BJ115">
        <v>4.5199999999999998E-4</v>
      </c>
      <c r="BK115">
        <v>4.5199999999999998E-4</v>
      </c>
      <c r="BL115">
        <v>4.5199999999999998E-4</v>
      </c>
      <c r="BM115">
        <v>4.5199999999999998E-4</v>
      </c>
      <c r="BN115">
        <v>4.5199999999999998E-4</v>
      </c>
      <c r="BO115">
        <v>4.4099999999999999E-4</v>
      </c>
      <c r="BP115">
        <v>4.4099999999999999E-4</v>
      </c>
      <c r="BQ115">
        <v>4.4099999999999999E-4</v>
      </c>
      <c r="BR115">
        <v>4.4099999999999999E-4</v>
      </c>
      <c r="BS115">
        <v>4.4099999999999999E-4</v>
      </c>
      <c r="BT115">
        <v>3.9800000000000002E-4</v>
      </c>
      <c r="BU115">
        <v>3.9800000000000002E-4</v>
      </c>
      <c r="BV115">
        <v>3.9800000000000002E-4</v>
      </c>
      <c r="BW115">
        <v>3.9800000000000002E-4</v>
      </c>
      <c r="BX115">
        <v>3.9800000000000002E-4</v>
      </c>
      <c r="BY115">
        <v>2.7399999999999999E-4</v>
      </c>
      <c r="BZ115">
        <v>2.7399999999999999E-4</v>
      </c>
      <c r="CA115">
        <v>2.7399999999999999E-4</v>
      </c>
      <c r="CB115">
        <v>2.7399999999999999E-4</v>
      </c>
      <c r="CC115">
        <v>2.7399999999999999E-4</v>
      </c>
      <c r="CD115">
        <v>2.7399999999999999E-4</v>
      </c>
      <c r="CE115">
        <v>2.7399999999999999E-4</v>
      </c>
      <c r="CF115">
        <v>2.7399999999999999E-4</v>
      </c>
      <c r="CG115">
        <v>2.7399999999999999E-4</v>
      </c>
      <c r="CH115">
        <v>2.7399999999999999E-4</v>
      </c>
      <c r="CI115">
        <v>2.7399999999999999E-4</v>
      </c>
      <c r="CJ115">
        <v>2.7399999999999999E-4</v>
      </c>
      <c r="CK115">
        <v>2.7399999999999999E-4</v>
      </c>
      <c r="CL115">
        <v>2.7399999999999999E-4</v>
      </c>
      <c r="CM115">
        <v>2.7399999999999999E-4</v>
      </c>
      <c r="CN115">
        <v>2.7399999999999999E-4</v>
      </c>
      <c r="CO115">
        <v>2.7399999999999999E-4</v>
      </c>
      <c r="CP115">
        <v>2.7399999999999999E-4</v>
      </c>
      <c r="CQ115">
        <v>2.7399999999999999E-4</v>
      </c>
      <c r="CR115">
        <v>2.7399999999999999E-4</v>
      </c>
      <c r="CS115">
        <v>2.7399999999999999E-4</v>
      </c>
      <c r="CT115">
        <v>2.7399999999999999E-4</v>
      </c>
      <c r="CU115">
        <v>2.7399999999999999E-4</v>
      </c>
      <c r="CV115">
        <v>2.7399999999999999E-4</v>
      </c>
      <c r="CW115">
        <v>2.7399999999999999E-4</v>
      </c>
      <c r="CX115">
        <v>2.7399999999999999E-4</v>
      </c>
    </row>
    <row r="116" spans="1:102" x14ac:dyDescent="0.25">
      <c r="A116" t="s">
        <v>297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1.02E-4</v>
      </c>
      <c r="R116">
        <v>1.02E-4</v>
      </c>
      <c r="S116">
        <v>1.02E-4</v>
      </c>
      <c r="T116">
        <v>1.02E-4</v>
      </c>
      <c r="U116">
        <v>1.02E-4</v>
      </c>
      <c r="V116">
        <v>1.02E-4</v>
      </c>
      <c r="W116">
        <v>1.02E-4</v>
      </c>
      <c r="X116">
        <v>1.02E-4</v>
      </c>
      <c r="Y116">
        <v>1.02E-4</v>
      </c>
      <c r="Z116">
        <v>1.02E-4</v>
      </c>
      <c r="AA116">
        <v>1.02E-4</v>
      </c>
      <c r="AB116">
        <v>1.02E-4</v>
      </c>
      <c r="AC116">
        <v>1.02E-4</v>
      </c>
      <c r="AD116">
        <v>1.02E-4</v>
      </c>
      <c r="AE116">
        <v>1.02E-4</v>
      </c>
      <c r="AF116">
        <v>1.02E-4</v>
      </c>
      <c r="AG116">
        <v>1.02E-4</v>
      </c>
      <c r="AH116">
        <v>1.02E-4</v>
      </c>
      <c r="AI116">
        <v>1.02E-4</v>
      </c>
      <c r="AJ116">
        <v>1.02E-4</v>
      </c>
      <c r="AK116">
        <v>1.02E-4</v>
      </c>
      <c r="AL116">
        <v>1.02E-4</v>
      </c>
      <c r="AM116">
        <v>1.02E-4</v>
      </c>
      <c r="AN116">
        <v>1.02E-4</v>
      </c>
      <c r="AO116">
        <v>1.02E-4</v>
      </c>
      <c r="AP116">
        <v>2.41E-4</v>
      </c>
      <c r="AQ116">
        <v>2.41E-4</v>
      </c>
      <c r="AR116">
        <v>2.41E-4</v>
      </c>
      <c r="AS116">
        <v>2.41E-4</v>
      </c>
      <c r="AT116">
        <v>2.41E-4</v>
      </c>
      <c r="AU116">
        <v>2.5399999999999999E-4</v>
      </c>
      <c r="AV116">
        <v>2.5399999999999999E-4</v>
      </c>
      <c r="AW116">
        <v>2.5399999999999999E-4</v>
      </c>
      <c r="AX116">
        <v>2.5399999999999999E-4</v>
      </c>
      <c r="AY116">
        <v>2.5399999999999999E-4</v>
      </c>
      <c r="AZ116">
        <v>2.5700000000000001E-4</v>
      </c>
      <c r="BA116">
        <v>2.5700000000000001E-4</v>
      </c>
      <c r="BB116">
        <v>2.5700000000000001E-4</v>
      </c>
      <c r="BC116">
        <v>2.5700000000000001E-4</v>
      </c>
      <c r="BD116">
        <v>2.5700000000000001E-4</v>
      </c>
      <c r="BE116">
        <v>2.4899999999999998E-4</v>
      </c>
      <c r="BF116">
        <v>2.4899999999999998E-4</v>
      </c>
      <c r="BG116">
        <v>2.4899999999999998E-4</v>
      </c>
      <c r="BH116">
        <v>2.4899999999999998E-4</v>
      </c>
      <c r="BI116">
        <v>2.4899999999999998E-4</v>
      </c>
      <c r="BJ116">
        <v>2.22E-4</v>
      </c>
      <c r="BK116">
        <v>2.22E-4</v>
      </c>
      <c r="BL116">
        <v>2.22E-4</v>
      </c>
      <c r="BM116">
        <v>2.22E-4</v>
      </c>
      <c r="BN116">
        <v>2.22E-4</v>
      </c>
      <c r="BO116">
        <v>1.9799999999999999E-4</v>
      </c>
      <c r="BP116">
        <v>1.9799999999999999E-4</v>
      </c>
      <c r="BQ116">
        <v>1.9799999999999999E-4</v>
      </c>
      <c r="BR116">
        <v>1.9799999999999999E-4</v>
      </c>
      <c r="BS116">
        <v>1.9799999999999999E-4</v>
      </c>
      <c r="BT116">
        <v>1.9000000000000001E-4</v>
      </c>
      <c r="BU116">
        <v>1.9000000000000001E-4</v>
      </c>
      <c r="BV116">
        <v>1.9000000000000001E-4</v>
      </c>
      <c r="BW116">
        <v>1.9000000000000001E-4</v>
      </c>
      <c r="BX116">
        <v>1.9000000000000001E-4</v>
      </c>
      <c r="BY116">
        <v>1.56E-4</v>
      </c>
      <c r="BZ116">
        <v>1.56E-4</v>
      </c>
      <c r="CA116">
        <v>1.56E-4</v>
      </c>
      <c r="CB116">
        <v>1.56E-4</v>
      </c>
      <c r="CC116">
        <v>1.56E-4</v>
      </c>
      <c r="CD116">
        <v>1.56E-4</v>
      </c>
      <c r="CE116">
        <v>1.56E-4</v>
      </c>
      <c r="CF116">
        <v>1.56E-4</v>
      </c>
      <c r="CG116">
        <v>1.56E-4</v>
      </c>
      <c r="CH116">
        <v>1.56E-4</v>
      </c>
      <c r="CI116">
        <v>1.56E-4</v>
      </c>
      <c r="CJ116">
        <v>1.56E-4</v>
      </c>
      <c r="CK116">
        <v>1.56E-4</v>
      </c>
      <c r="CL116">
        <v>1.56E-4</v>
      </c>
      <c r="CM116">
        <v>1.56E-4</v>
      </c>
      <c r="CN116">
        <v>1.56E-4</v>
      </c>
      <c r="CO116">
        <v>1.56E-4</v>
      </c>
      <c r="CP116">
        <v>1.56E-4</v>
      </c>
      <c r="CQ116">
        <v>1.56E-4</v>
      </c>
      <c r="CR116">
        <v>1.56E-4</v>
      </c>
      <c r="CS116">
        <v>1.56E-4</v>
      </c>
      <c r="CT116">
        <v>1.56E-4</v>
      </c>
      <c r="CU116">
        <v>1.56E-4</v>
      </c>
      <c r="CV116">
        <v>1.56E-4</v>
      </c>
      <c r="CW116">
        <v>1.56E-4</v>
      </c>
      <c r="CX116">
        <v>1.56E-4</v>
      </c>
    </row>
    <row r="117" spans="1:102" x14ac:dyDescent="0.25">
      <c r="A117" t="s">
        <v>299</v>
      </c>
      <c r="B117" t="e">
        <v>#VALUE!</v>
      </c>
      <c r="C117" t="e">
        <v>#VALUE!</v>
      </c>
      <c r="D117" t="e">
        <v>#VALUE!</v>
      </c>
      <c r="E117" t="e">
        <v>#VALUE!</v>
      </c>
      <c r="F117" t="e">
        <v>#VALUE!</v>
      </c>
      <c r="G117" t="e">
        <v>#VALUE!</v>
      </c>
      <c r="H117" t="e">
        <v>#VALUE!</v>
      </c>
      <c r="I117" t="e">
        <v>#VALUE!</v>
      </c>
      <c r="J117" t="e">
        <v>#VALUE!</v>
      </c>
      <c r="K117" t="e">
        <v>#VALUE!</v>
      </c>
      <c r="L117" t="e">
        <v>#VALUE!</v>
      </c>
      <c r="M117" t="e">
        <v>#VALUE!</v>
      </c>
      <c r="N117" t="e">
        <v>#VALUE!</v>
      </c>
      <c r="O117" t="e">
        <v>#VALUE!</v>
      </c>
      <c r="P117" t="e">
        <v>#VALUE!</v>
      </c>
      <c r="Q117">
        <v>1.08E-4</v>
      </c>
      <c r="R117">
        <v>1.08E-4</v>
      </c>
      <c r="S117">
        <v>1.08E-4</v>
      </c>
      <c r="T117">
        <v>1.08E-4</v>
      </c>
      <c r="U117">
        <v>1.08E-4</v>
      </c>
      <c r="V117">
        <v>1.08E-4</v>
      </c>
      <c r="W117">
        <v>1.08E-4</v>
      </c>
      <c r="X117">
        <v>1.08E-4</v>
      </c>
      <c r="Y117">
        <v>1.08E-4</v>
      </c>
      <c r="Z117">
        <v>1.08E-4</v>
      </c>
      <c r="AA117">
        <v>1.08E-4</v>
      </c>
      <c r="AB117">
        <v>1.08E-4</v>
      </c>
      <c r="AC117">
        <v>1.08E-4</v>
      </c>
      <c r="AD117">
        <v>1.08E-4</v>
      </c>
      <c r="AE117">
        <v>1.08E-4</v>
      </c>
      <c r="AF117">
        <v>1.08E-4</v>
      </c>
      <c r="AG117">
        <v>1.08E-4</v>
      </c>
      <c r="AH117">
        <v>1.08E-4</v>
      </c>
      <c r="AI117">
        <v>1.08E-4</v>
      </c>
      <c r="AJ117">
        <v>1.08E-4</v>
      </c>
      <c r="AK117">
        <v>1.08E-4</v>
      </c>
      <c r="AL117">
        <v>1.08E-4</v>
      </c>
      <c r="AM117">
        <v>1.08E-4</v>
      </c>
      <c r="AN117">
        <v>1.08E-4</v>
      </c>
      <c r="AO117">
        <v>1.08E-4</v>
      </c>
      <c r="AP117">
        <v>4.75E-4</v>
      </c>
      <c r="AQ117">
        <v>4.75E-4</v>
      </c>
      <c r="AR117">
        <v>4.75E-4</v>
      </c>
      <c r="AS117">
        <v>4.75E-4</v>
      </c>
      <c r="AT117">
        <v>4.75E-4</v>
      </c>
      <c r="AU117">
        <v>6.2299999999999996E-4</v>
      </c>
      <c r="AV117">
        <v>6.2299999999999996E-4</v>
      </c>
      <c r="AW117">
        <v>6.2299999999999996E-4</v>
      </c>
      <c r="AX117">
        <v>6.2299999999999996E-4</v>
      </c>
      <c r="AY117">
        <v>6.2299999999999996E-4</v>
      </c>
      <c r="AZ117">
        <v>7.3899999999999997E-4</v>
      </c>
      <c r="BA117">
        <v>7.3899999999999997E-4</v>
      </c>
      <c r="BB117">
        <v>7.3899999999999997E-4</v>
      </c>
      <c r="BC117">
        <v>7.3899999999999997E-4</v>
      </c>
      <c r="BD117">
        <v>7.3899999999999997E-4</v>
      </c>
      <c r="BE117">
        <v>7.6000000000000004E-4</v>
      </c>
      <c r="BF117">
        <v>7.6000000000000004E-4</v>
      </c>
      <c r="BG117">
        <v>7.6000000000000004E-4</v>
      </c>
      <c r="BH117">
        <v>7.6000000000000004E-4</v>
      </c>
      <c r="BI117">
        <v>7.6000000000000004E-4</v>
      </c>
      <c r="BJ117">
        <v>7.1900000000000002E-4</v>
      </c>
      <c r="BK117">
        <v>7.1900000000000002E-4</v>
      </c>
      <c r="BL117">
        <v>7.1900000000000002E-4</v>
      </c>
      <c r="BM117">
        <v>7.1900000000000002E-4</v>
      </c>
      <c r="BN117">
        <v>7.1900000000000002E-4</v>
      </c>
      <c r="BO117">
        <v>6.5099999999999999E-4</v>
      </c>
      <c r="BP117">
        <v>6.5099999999999999E-4</v>
      </c>
      <c r="BQ117">
        <v>6.5099999999999999E-4</v>
      </c>
      <c r="BR117">
        <v>6.5099999999999999E-4</v>
      </c>
      <c r="BS117">
        <v>6.5099999999999999E-4</v>
      </c>
      <c r="BT117">
        <v>5.53E-4</v>
      </c>
      <c r="BU117">
        <v>5.53E-4</v>
      </c>
      <c r="BV117">
        <v>5.53E-4</v>
      </c>
      <c r="BW117">
        <v>5.53E-4</v>
      </c>
      <c r="BX117">
        <v>5.53E-4</v>
      </c>
      <c r="BY117">
        <v>5.3600000000000002E-4</v>
      </c>
      <c r="BZ117">
        <v>5.3600000000000002E-4</v>
      </c>
      <c r="CA117">
        <v>5.3600000000000002E-4</v>
      </c>
      <c r="CB117">
        <v>5.3600000000000002E-4</v>
      </c>
      <c r="CC117">
        <v>5.3600000000000002E-4</v>
      </c>
      <c r="CD117">
        <v>5.3600000000000002E-4</v>
      </c>
      <c r="CE117">
        <v>5.3600000000000002E-4</v>
      </c>
      <c r="CF117">
        <v>5.3600000000000002E-4</v>
      </c>
      <c r="CG117">
        <v>5.3600000000000002E-4</v>
      </c>
      <c r="CH117">
        <v>5.3600000000000002E-4</v>
      </c>
      <c r="CI117">
        <v>5.3600000000000002E-4</v>
      </c>
      <c r="CJ117">
        <v>5.3600000000000002E-4</v>
      </c>
      <c r="CK117">
        <v>5.3600000000000002E-4</v>
      </c>
      <c r="CL117">
        <v>5.3600000000000002E-4</v>
      </c>
      <c r="CM117">
        <v>5.3600000000000002E-4</v>
      </c>
      <c r="CN117">
        <v>5.3600000000000002E-4</v>
      </c>
      <c r="CO117">
        <v>5.3600000000000002E-4</v>
      </c>
      <c r="CP117">
        <v>5.3600000000000002E-4</v>
      </c>
      <c r="CQ117">
        <v>5.3600000000000002E-4</v>
      </c>
      <c r="CR117">
        <v>5.3600000000000002E-4</v>
      </c>
      <c r="CS117">
        <v>5.3600000000000002E-4</v>
      </c>
      <c r="CT117">
        <v>5.3600000000000002E-4</v>
      </c>
      <c r="CU117">
        <v>5.3600000000000002E-4</v>
      </c>
      <c r="CV117">
        <v>5.3600000000000002E-4</v>
      </c>
      <c r="CW117">
        <v>5.3600000000000002E-4</v>
      </c>
      <c r="CX117">
        <v>5.3600000000000002E-4</v>
      </c>
    </row>
    <row r="118" spans="1:102" x14ac:dyDescent="0.25">
      <c r="A118" t="s">
        <v>301</v>
      </c>
      <c r="B118" t="e">
        <v>#VALUE!</v>
      </c>
      <c r="C118" t="e">
        <v>#VALUE!</v>
      </c>
      <c r="D118" t="e">
        <v>#VALUE!</v>
      </c>
      <c r="E118" t="e">
        <v>#VALUE!</v>
      </c>
      <c r="F118" t="e">
        <v>#VALUE!</v>
      </c>
      <c r="G118" t="e">
        <v>#VALUE!</v>
      </c>
      <c r="H118" t="e">
        <v>#VALUE!</v>
      </c>
      <c r="I118" t="e">
        <v>#VALUE!</v>
      </c>
      <c r="J118" t="e">
        <v>#VALUE!</v>
      </c>
      <c r="K118" t="e">
        <v>#VALUE!</v>
      </c>
      <c r="L118" t="e">
        <v>#VALUE!</v>
      </c>
      <c r="M118" t="e">
        <v>#VALUE!</v>
      </c>
      <c r="N118" t="e">
        <v>#VALUE!</v>
      </c>
      <c r="O118" t="e">
        <v>#VALUE!</v>
      </c>
      <c r="P118" t="e">
        <v>#VALUE!</v>
      </c>
      <c r="Q118">
        <v>2.2900000000000001E-4</v>
      </c>
      <c r="R118">
        <v>2.2900000000000001E-4</v>
      </c>
      <c r="S118">
        <v>2.2900000000000001E-4</v>
      </c>
      <c r="T118">
        <v>2.2900000000000001E-4</v>
      </c>
      <c r="U118">
        <v>2.2900000000000001E-4</v>
      </c>
      <c r="V118">
        <v>2.2900000000000001E-4</v>
      </c>
      <c r="W118">
        <v>2.2900000000000001E-4</v>
      </c>
      <c r="X118">
        <v>2.2900000000000001E-4</v>
      </c>
      <c r="Y118">
        <v>2.2900000000000001E-4</v>
      </c>
      <c r="Z118">
        <v>2.2900000000000001E-4</v>
      </c>
      <c r="AA118">
        <v>2.2900000000000001E-4</v>
      </c>
      <c r="AB118">
        <v>2.2900000000000001E-4</v>
      </c>
      <c r="AC118">
        <v>2.2900000000000001E-4</v>
      </c>
      <c r="AD118">
        <v>2.2900000000000001E-4</v>
      </c>
      <c r="AE118">
        <v>2.2900000000000001E-4</v>
      </c>
      <c r="AF118">
        <v>2.2900000000000001E-4</v>
      </c>
      <c r="AG118">
        <v>2.2900000000000001E-4</v>
      </c>
      <c r="AH118">
        <v>2.2900000000000001E-4</v>
      </c>
      <c r="AI118">
        <v>2.2900000000000001E-4</v>
      </c>
      <c r="AJ118">
        <v>2.2900000000000001E-4</v>
      </c>
      <c r="AK118">
        <v>2.2900000000000001E-4</v>
      </c>
      <c r="AL118">
        <v>2.2900000000000001E-4</v>
      </c>
      <c r="AM118">
        <v>2.2900000000000001E-4</v>
      </c>
      <c r="AN118">
        <v>2.2900000000000001E-4</v>
      </c>
      <c r="AO118">
        <v>2.2900000000000001E-4</v>
      </c>
      <c r="AP118">
        <v>5.2599999999999999E-4</v>
      </c>
      <c r="AQ118">
        <v>5.2599999999999999E-4</v>
      </c>
      <c r="AR118">
        <v>5.2599999999999999E-4</v>
      </c>
      <c r="AS118">
        <v>5.2599999999999999E-4</v>
      </c>
      <c r="AT118">
        <v>5.2599999999999999E-4</v>
      </c>
      <c r="AU118">
        <v>4.7800000000000002E-4</v>
      </c>
      <c r="AV118">
        <v>4.7800000000000002E-4</v>
      </c>
      <c r="AW118">
        <v>4.7800000000000002E-4</v>
      </c>
      <c r="AX118">
        <v>4.7800000000000002E-4</v>
      </c>
      <c r="AY118">
        <v>4.7800000000000002E-4</v>
      </c>
      <c r="AZ118">
        <v>4.0700000000000003E-4</v>
      </c>
      <c r="BA118">
        <v>4.0700000000000003E-4</v>
      </c>
      <c r="BB118">
        <v>4.0700000000000003E-4</v>
      </c>
      <c r="BC118">
        <v>4.0700000000000003E-4</v>
      </c>
      <c r="BD118">
        <v>4.0700000000000003E-4</v>
      </c>
      <c r="BE118">
        <v>3.28E-4</v>
      </c>
      <c r="BF118">
        <v>3.28E-4</v>
      </c>
      <c r="BG118">
        <v>3.28E-4</v>
      </c>
      <c r="BH118">
        <v>3.28E-4</v>
      </c>
      <c r="BI118">
        <v>3.28E-4</v>
      </c>
      <c r="BJ118">
        <v>2.12E-4</v>
      </c>
      <c r="BK118">
        <v>2.12E-4</v>
      </c>
      <c r="BL118">
        <v>2.12E-4</v>
      </c>
      <c r="BM118">
        <v>2.12E-4</v>
      </c>
      <c r="BN118">
        <v>2.12E-4</v>
      </c>
      <c r="BO118">
        <v>3.0299999999999999E-4</v>
      </c>
      <c r="BP118">
        <v>3.0299999999999999E-4</v>
      </c>
      <c r="BQ118">
        <v>3.0299999999999999E-4</v>
      </c>
      <c r="BR118">
        <v>3.0299999999999999E-4</v>
      </c>
      <c r="BS118">
        <v>3.0299999999999999E-4</v>
      </c>
      <c r="BT118">
        <v>1.55E-4</v>
      </c>
      <c r="BU118">
        <v>1.55E-4</v>
      </c>
      <c r="BV118">
        <v>1.55E-4</v>
      </c>
      <c r="BW118">
        <v>1.55E-4</v>
      </c>
      <c r="BX118">
        <v>1.55E-4</v>
      </c>
      <c r="BY118">
        <v>1.44E-4</v>
      </c>
      <c r="BZ118">
        <v>1.44E-4</v>
      </c>
      <c r="CA118">
        <v>1.44E-4</v>
      </c>
      <c r="CB118">
        <v>1.44E-4</v>
      </c>
      <c r="CC118">
        <v>1.44E-4</v>
      </c>
      <c r="CD118">
        <v>1.44E-4</v>
      </c>
      <c r="CE118">
        <v>1.44E-4</v>
      </c>
      <c r="CF118">
        <v>1.44E-4</v>
      </c>
      <c r="CG118">
        <v>1.44E-4</v>
      </c>
      <c r="CH118">
        <v>1.44E-4</v>
      </c>
      <c r="CI118">
        <v>1.44E-4</v>
      </c>
      <c r="CJ118">
        <v>1.44E-4</v>
      </c>
      <c r="CK118">
        <v>1.44E-4</v>
      </c>
      <c r="CL118">
        <v>1.44E-4</v>
      </c>
      <c r="CM118">
        <v>1.44E-4</v>
      </c>
      <c r="CN118">
        <v>1.44E-4</v>
      </c>
      <c r="CO118">
        <v>1.44E-4</v>
      </c>
      <c r="CP118">
        <v>1.44E-4</v>
      </c>
      <c r="CQ118">
        <v>1.44E-4</v>
      </c>
      <c r="CR118">
        <v>1.44E-4</v>
      </c>
      <c r="CS118">
        <v>1.44E-4</v>
      </c>
      <c r="CT118">
        <v>1.44E-4</v>
      </c>
      <c r="CU118">
        <v>1.44E-4</v>
      </c>
      <c r="CV118">
        <v>1.44E-4</v>
      </c>
      <c r="CW118">
        <v>1.44E-4</v>
      </c>
      <c r="CX118">
        <v>1.44E-4</v>
      </c>
    </row>
    <row r="119" spans="1:102" x14ac:dyDescent="0.25">
      <c r="A119" t="s">
        <v>303</v>
      </c>
      <c r="B119" t="e">
        <v>#VALUE!</v>
      </c>
      <c r="C119" t="e">
        <v>#VALUE!</v>
      </c>
      <c r="D119" t="e">
        <v>#VALUE!</v>
      </c>
      <c r="E119" t="e">
        <v>#VALUE!</v>
      </c>
      <c r="F119" t="e">
        <v>#VALUE!</v>
      </c>
      <c r="G119" t="e">
        <v>#VALUE!</v>
      </c>
      <c r="H119" t="e">
        <v>#VALUE!</v>
      </c>
      <c r="I119" t="e">
        <v>#VALUE!</v>
      </c>
      <c r="J119" t="e">
        <v>#VALUE!</v>
      </c>
      <c r="K119" t="e">
        <v>#VALUE!</v>
      </c>
      <c r="L119" t="e">
        <v>#VALUE!</v>
      </c>
      <c r="M119" t="e">
        <v>#VALUE!</v>
      </c>
      <c r="N119" t="e">
        <v>#VALUE!</v>
      </c>
      <c r="O119" t="e">
        <v>#VALUE!</v>
      </c>
      <c r="P119" t="e">
        <v>#VALUE!</v>
      </c>
      <c r="Q119">
        <v>4.1E-5</v>
      </c>
      <c r="R119">
        <v>4.1E-5</v>
      </c>
      <c r="S119">
        <v>4.1E-5</v>
      </c>
      <c r="T119">
        <v>4.1E-5</v>
      </c>
      <c r="U119">
        <v>4.1E-5</v>
      </c>
      <c r="V119">
        <v>4.1E-5</v>
      </c>
      <c r="W119">
        <v>4.1E-5</v>
      </c>
      <c r="X119">
        <v>4.1E-5</v>
      </c>
      <c r="Y119">
        <v>4.1E-5</v>
      </c>
      <c r="Z119">
        <v>4.1E-5</v>
      </c>
      <c r="AA119">
        <v>4.1E-5</v>
      </c>
      <c r="AB119">
        <v>4.1E-5</v>
      </c>
      <c r="AC119">
        <v>4.1E-5</v>
      </c>
      <c r="AD119">
        <v>4.1E-5</v>
      </c>
      <c r="AE119">
        <v>4.1E-5</v>
      </c>
      <c r="AF119">
        <v>4.1E-5</v>
      </c>
      <c r="AG119">
        <v>4.1E-5</v>
      </c>
      <c r="AH119">
        <v>4.1E-5</v>
      </c>
      <c r="AI119">
        <v>4.1E-5</v>
      </c>
      <c r="AJ119">
        <v>4.1E-5</v>
      </c>
      <c r="AK119">
        <v>4.1E-5</v>
      </c>
      <c r="AL119">
        <v>4.1E-5</v>
      </c>
      <c r="AM119">
        <v>4.1E-5</v>
      </c>
      <c r="AN119">
        <v>4.1E-5</v>
      </c>
      <c r="AO119">
        <v>4.1E-5</v>
      </c>
      <c r="AP119">
        <v>2.33E-4</v>
      </c>
      <c r="AQ119">
        <v>2.33E-4</v>
      </c>
      <c r="AR119">
        <v>2.33E-4</v>
      </c>
      <c r="AS119">
        <v>2.33E-4</v>
      </c>
      <c r="AT119">
        <v>2.33E-4</v>
      </c>
      <c r="AU119">
        <v>3.3399999999999999E-4</v>
      </c>
      <c r="AV119">
        <v>3.3399999999999999E-4</v>
      </c>
      <c r="AW119">
        <v>3.3399999999999999E-4</v>
      </c>
      <c r="AX119">
        <v>3.3399999999999999E-4</v>
      </c>
      <c r="AY119">
        <v>3.3399999999999999E-4</v>
      </c>
      <c r="AZ119">
        <v>4.0499999999999998E-4</v>
      </c>
      <c r="BA119">
        <v>4.0499999999999998E-4</v>
      </c>
      <c r="BB119">
        <v>4.0499999999999998E-4</v>
      </c>
      <c r="BC119">
        <v>4.0499999999999998E-4</v>
      </c>
      <c r="BD119">
        <v>4.0499999999999998E-4</v>
      </c>
      <c r="BE119">
        <v>4.4499999999999997E-4</v>
      </c>
      <c r="BF119">
        <v>4.4499999999999997E-4</v>
      </c>
      <c r="BG119">
        <v>4.4499999999999997E-4</v>
      </c>
      <c r="BH119">
        <v>4.4499999999999997E-4</v>
      </c>
      <c r="BI119">
        <v>4.4499999999999997E-4</v>
      </c>
      <c r="BJ119">
        <v>5.0000000000000001E-4</v>
      </c>
      <c r="BK119">
        <v>5.0000000000000001E-4</v>
      </c>
      <c r="BL119">
        <v>5.0000000000000001E-4</v>
      </c>
      <c r="BM119">
        <v>5.0000000000000001E-4</v>
      </c>
      <c r="BN119">
        <v>5.0000000000000001E-4</v>
      </c>
      <c r="BO119">
        <v>5.3399999999999997E-4</v>
      </c>
      <c r="BP119">
        <v>5.3399999999999997E-4</v>
      </c>
      <c r="BQ119">
        <v>5.3399999999999997E-4</v>
      </c>
      <c r="BR119">
        <v>5.3399999999999997E-4</v>
      </c>
      <c r="BS119">
        <v>5.3399999999999997E-4</v>
      </c>
      <c r="BT119">
        <v>5.1599999999999997E-4</v>
      </c>
      <c r="BU119">
        <v>5.1599999999999997E-4</v>
      </c>
      <c r="BV119">
        <v>5.1599999999999997E-4</v>
      </c>
      <c r="BW119">
        <v>5.1599999999999997E-4</v>
      </c>
      <c r="BX119">
        <v>5.1599999999999997E-4</v>
      </c>
      <c r="BY119">
        <v>4.44E-4</v>
      </c>
      <c r="BZ119">
        <v>4.44E-4</v>
      </c>
      <c r="CA119">
        <v>4.44E-4</v>
      </c>
      <c r="CB119">
        <v>4.44E-4</v>
      </c>
      <c r="CC119">
        <v>4.44E-4</v>
      </c>
      <c r="CD119">
        <v>4.44E-4</v>
      </c>
      <c r="CE119">
        <v>4.44E-4</v>
      </c>
      <c r="CF119">
        <v>4.44E-4</v>
      </c>
      <c r="CG119">
        <v>4.44E-4</v>
      </c>
      <c r="CH119">
        <v>4.44E-4</v>
      </c>
      <c r="CI119">
        <v>4.44E-4</v>
      </c>
      <c r="CJ119">
        <v>4.44E-4</v>
      </c>
      <c r="CK119">
        <v>4.44E-4</v>
      </c>
      <c r="CL119">
        <v>4.44E-4</v>
      </c>
      <c r="CM119">
        <v>4.44E-4</v>
      </c>
      <c r="CN119">
        <v>4.44E-4</v>
      </c>
      <c r="CO119">
        <v>4.44E-4</v>
      </c>
      <c r="CP119">
        <v>4.44E-4</v>
      </c>
      <c r="CQ119">
        <v>4.44E-4</v>
      </c>
      <c r="CR119">
        <v>4.44E-4</v>
      </c>
      <c r="CS119">
        <v>4.44E-4</v>
      </c>
      <c r="CT119">
        <v>4.44E-4</v>
      </c>
      <c r="CU119">
        <v>4.44E-4</v>
      </c>
      <c r="CV119">
        <v>4.44E-4</v>
      </c>
      <c r="CW119">
        <v>4.44E-4</v>
      </c>
      <c r="CX119">
        <v>4.44E-4</v>
      </c>
    </row>
    <row r="120" spans="1:102" x14ac:dyDescent="0.25">
      <c r="A120" t="s">
        <v>305</v>
      </c>
      <c r="B120">
        <v>3.0000000000000001E-6</v>
      </c>
      <c r="C120">
        <v>3.0000000000000001E-6</v>
      </c>
      <c r="D120">
        <v>3.0000000000000001E-6</v>
      </c>
      <c r="E120">
        <v>3.0000000000000001E-6</v>
      </c>
      <c r="F120">
        <v>3.0000000000000001E-6</v>
      </c>
      <c r="G120">
        <v>3.0000000000000001E-6</v>
      </c>
      <c r="H120">
        <v>3.0000000000000001E-6</v>
      </c>
      <c r="I120">
        <v>3.0000000000000001E-6</v>
      </c>
      <c r="J120">
        <v>3.0000000000000001E-6</v>
      </c>
      <c r="K120">
        <v>3.0000000000000001E-6</v>
      </c>
      <c r="L120">
        <v>3.0000000000000001E-6</v>
      </c>
      <c r="M120">
        <v>3.0000000000000001E-6</v>
      </c>
      <c r="N120">
        <v>3.0000000000000001E-6</v>
      </c>
      <c r="O120">
        <v>3.0000000000000001E-6</v>
      </c>
      <c r="P120">
        <v>3.0000000000000001E-6</v>
      </c>
      <c r="Q120">
        <v>4.0999999999999999E-4</v>
      </c>
      <c r="R120">
        <v>4.0999999999999999E-4</v>
      </c>
      <c r="S120">
        <v>4.0999999999999999E-4</v>
      </c>
      <c r="T120">
        <v>4.0999999999999999E-4</v>
      </c>
      <c r="U120">
        <v>4.0999999999999999E-4</v>
      </c>
      <c r="V120">
        <v>4.0999999999999999E-4</v>
      </c>
      <c r="W120">
        <v>4.0999999999999999E-4</v>
      </c>
      <c r="X120">
        <v>4.0999999999999999E-4</v>
      </c>
      <c r="Y120">
        <v>4.0999999999999999E-4</v>
      </c>
      <c r="Z120">
        <v>4.0999999999999999E-4</v>
      </c>
      <c r="AA120">
        <v>4.0999999999999999E-4</v>
      </c>
      <c r="AB120">
        <v>4.0999999999999999E-4</v>
      </c>
      <c r="AC120">
        <v>4.0999999999999999E-4</v>
      </c>
      <c r="AD120">
        <v>4.0999999999999999E-4</v>
      </c>
      <c r="AE120">
        <v>4.0999999999999999E-4</v>
      </c>
      <c r="AF120">
        <v>4.0999999999999999E-4</v>
      </c>
      <c r="AG120">
        <v>4.0999999999999999E-4</v>
      </c>
      <c r="AH120">
        <v>4.0999999999999999E-4</v>
      </c>
      <c r="AI120">
        <v>4.0999999999999999E-4</v>
      </c>
      <c r="AJ120">
        <v>4.0999999999999999E-4</v>
      </c>
      <c r="AK120">
        <v>4.0999999999999999E-4</v>
      </c>
      <c r="AL120">
        <v>4.0999999999999999E-4</v>
      </c>
      <c r="AM120">
        <v>4.0999999999999999E-4</v>
      </c>
      <c r="AN120">
        <v>4.0999999999999999E-4</v>
      </c>
      <c r="AO120">
        <v>4.0999999999999999E-4</v>
      </c>
      <c r="AP120">
        <v>1.0820000000000001E-3</v>
      </c>
      <c r="AQ120">
        <v>1.0820000000000001E-3</v>
      </c>
      <c r="AR120">
        <v>1.0820000000000001E-3</v>
      </c>
      <c r="AS120">
        <v>1.0820000000000001E-3</v>
      </c>
      <c r="AT120">
        <v>1.0820000000000001E-3</v>
      </c>
      <c r="AU120">
        <v>1.325E-3</v>
      </c>
      <c r="AV120">
        <v>1.325E-3</v>
      </c>
      <c r="AW120">
        <v>1.325E-3</v>
      </c>
      <c r="AX120">
        <v>1.325E-3</v>
      </c>
      <c r="AY120">
        <v>1.325E-3</v>
      </c>
      <c r="AZ120">
        <v>1.591E-3</v>
      </c>
      <c r="BA120">
        <v>1.591E-3</v>
      </c>
      <c r="BB120">
        <v>1.591E-3</v>
      </c>
      <c r="BC120">
        <v>1.591E-3</v>
      </c>
      <c r="BD120">
        <v>1.591E-3</v>
      </c>
      <c r="BE120">
        <v>1.882E-3</v>
      </c>
      <c r="BF120">
        <v>1.882E-3</v>
      </c>
      <c r="BG120">
        <v>1.882E-3</v>
      </c>
      <c r="BH120">
        <v>1.882E-3</v>
      </c>
      <c r="BI120">
        <v>1.882E-3</v>
      </c>
      <c r="BJ120">
        <v>2.0270000000000002E-3</v>
      </c>
      <c r="BK120">
        <v>2.0270000000000002E-3</v>
      </c>
      <c r="BL120">
        <v>2.0270000000000002E-3</v>
      </c>
      <c r="BM120">
        <v>2.0270000000000002E-3</v>
      </c>
      <c r="BN120">
        <v>2.0270000000000002E-3</v>
      </c>
      <c r="BO120">
        <v>1.9369999999999999E-3</v>
      </c>
      <c r="BP120">
        <v>1.9369999999999999E-3</v>
      </c>
      <c r="BQ120">
        <v>1.9369999999999999E-3</v>
      </c>
      <c r="BR120">
        <v>1.9369999999999999E-3</v>
      </c>
      <c r="BS120">
        <v>1.9369999999999999E-3</v>
      </c>
      <c r="BT120">
        <v>1.6919999999999999E-3</v>
      </c>
      <c r="BU120">
        <v>1.6919999999999999E-3</v>
      </c>
      <c r="BV120">
        <v>1.6919999999999999E-3</v>
      </c>
      <c r="BW120">
        <v>1.6919999999999999E-3</v>
      </c>
      <c r="BX120">
        <v>1.6919999999999999E-3</v>
      </c>
      <c r="BY120">
        <v>1.2359999999999999E-3</v>
      </c>
      <c r="BZ120">
        <v>1.2359999999999999E-3</v>
      </c>
      <c r="CA120">
        <v>1.2359999999999999E-3</v>
      </c>
      <c r="CB120">
        <v>1.2359999999999999E-3</v>
      </c>
      <c r="CC120">
        <v>1.2359999999999999E-3</v>
      </c>
      <c r="CD120">
        <v>1.2359999999999999E-3</v>
      </c>
      <c r="CE120">
        <v>1.2359999999999999E-3</v>
      </c>
      <c r="CF120">
        <v>1.2359999999999999E-3</v>
      </c>
      <c r="CG120">
        <v>1.2359999999999999E-3</v>
      </c>
      <c r="CH120">
        <v>1.2359999999999999E-3</v>
      </c>
      <c r="CI120">
        <v>1.2359999999999999E-3</v>
      </c>
      <c r="CJ120">
        <v>1.2359999999999999E-3</v>
      </c>
      <c r="CK120">
        <v>1.2359999999999999E-3</v>
      </c>
      <c r="CL120">
        <v>1.2359999999999999E-3</v>
      </c>
      <c r="CM120">
        <v>1.2359999999999999E-3</v>
      </c>
      <c r="CN120">
        <v>1.2359999999999999E-3</v>
      </c>
      <c r="CO120">
        <v>1.2359999999999999E-3</v>
      </c>
      <c r="CP120">
        <v>1.2359999999999999E-3</v>
      </c>
      <c r="CQ120">
        <v>1.2359999999999999E-3</v>
      </c>
      <c r="CR120">
        <v>1.2359999999999999E-3</v>
      </c>
      <c r="CS120">
        <v>1.2359999999999999E-3</v>
      </c>
      <c r="CT120">
        <v>1.2359999999999999E-3</v>
      </c>
      <c r="CU120">
        <v>1.2359999999999999E-3</v>
      </c>
      <c r="CV120">
        <v>1.2359999999999999E-3</v>
      </c>
      <c r="CW120">
        <v>1.2359999999999999E-3</v>
      </c>
      <c r="CX120">
        <v>1.2359999999999999E-3</v>
      </c>
    </row>
    <row r="121" spans="1:102" x14ac:dyDescent="0.25">
      <c r="A121" t="s">
        <v>307</v>
      </c>
      <c r="B121">
        <v>1.9999999999999999E-6</v>
      </c>
      <c r="C121">
        <v>1.9999999999999999E-6</v>
      </c>
      <c r="D121">
        <v>1.9999999999999999E-6</v>
      </c>
      <c r="E121">
        <v>1.9999999999999999E-6</v>
      </c>
      <c r="F121">
        <v>1.9999999999999999E-6</v>
      </c>
      <c r="G121">
        <v>1.9999999999999999E-6</v>
      </c>
      <c r="H121">
        <v>1.9999999999999999E-6</v>
      </c>
      <c r="I121">
        <v>1.9999999999999999E-6</v>
      </c>
      <c r="J121">
        <v>1.9999999999999999E-6</v>
      </c>
      <c r="K121">
        <v>1.9999999999999999E-6</v>
      </c>
      <c r="L121">
        <v>1.9999999999999999E-6</v>
      </c>
      <c r="M121">
        <v>1.9999999999999999E-6</v>
      </c>
      <c r="N121">
        <v>1.9999999999999999E-6</v>
      </c>
      <c r="O121">
        <v>1.9999999999999999E-6</v>
      </c>
      <c r="P121">
        <v>1.9999999999999999E-6</v>
      </c>
      <c r="Q121">
        <v>9.8999999999999994E-5</v>
      </c>
      <c r="R121">
        <v>9.8999999999999994E-5</v>
      </c>
      <c r="S121">
        <v>9.8999999999999994E-5</v>
      </c>
      <c r="T121">
        <v>9.8999999999999994E-5</v>
      </c>
      <c r="U121">
        <v>9.8999999999999994E-5</v>
      </c>
      <c r="V121">
        <v>9.8999999999999994E-5</v>
      </c>
      <c r="W121">
        <v>9.8999999999999994E-5</v>
      </c>
      <c r="X121">
        <v>9.8999999999999994E-5</v>
      </c>
      <c r="Y121">
        <v>9.8999999999999994E-5</v>
      </c>
      <c r="Z121">
        <v>9.8999999999999994E-5</v>
      </c>
      <c r="AA121">
        <v>9.8999999999999994E-5</v>
      </c>
      <c r="AB121">
        <v>9.8999999999999994E-5</v>
      </c>
      <c r="AC121">
        <v>9.8999999999999994E-5</v>
      </c>
      <c r="AD121">
        <v>9.8999999999999994E-5</v>
      </c>
      <c r="AE121">
        <v>9.8999999999999994E-5</v>
      </c>
      <c r="AF121">
        <v>9.8999999999999994E-5</v>
      </c>
      <c r="AG121">
        <v>9.8999999999999994E-5</v>
      </c>
      <c r="AH121">
        <v>9.8999999999999994E-5</v>
      </c>
      <c r="AI121">
        <v>9.8999999999999994E-5</v>
      </c>
      <c r="AJ121">
        <v>9.8999999999999994E-5</v>
      </c>
      <c r="AK121">
        <v>9.8999999999999994E-5</v>
      </c>
      <c r="AL121">
        <v>9.8999999999999994E-5</v>
      </c>
      <c r="AM121">
        <v>9.8999999999999994E-5</v>
      </c>
      <c r="AN121">
        <v>9.8999999999999994E-5</v>
      </c>
      <c r="AO121">
        <v>9.8999999999999994E-5</v>
      </c>
      <c r="AP121">
        <v>4.2900000000000002E-4</v>
      </c>
      <c r="AQ121">
        <v>4.2900000000000002E-4</v>
      </c>
      <c r="AR121">
        <v>4.2900000000000002E-4</v>
      </c>
      <c r="AS121">
        <v>4.2900000000000002E-4</v>
      </c>
      <c r="AT121">
        <v>4.2900000000000002E-4</v>
      </c>
      <c r="AU121">
        <v>5.4100000000000003E-4</v>
      </c>
      <c r="AV121">
        <v>5.4100000000000003E-4</v>
      </c>
      <c r="AW121">
        <v>5.4100000000000003E-4</v>
      </c>
      <c r="AX121">
        <v>5.4100000000000003E-4</v>
      </c>
      <c r="AY121">
        <v>5.4100000000000003E-4</v>
      </c>
      <c r="AZ121">
        <v>5.7799999999999995E-4</v>
      </c>
      <c r="BA121">
        <v>5.7799999999999995E-4</v>
      </c>
      <c r="BB121">
        <v>5.7799999999999995E-4</v>
      </c>
      <c r="BC121">
        <v>5.7799999999999995E-4</v>
      </c>
      <c r="BD121">
        <v>5.7799999999999995E-4</v>
      </c>
      <c r="BE121">
        <v>5.5800000000000001E-4</v>
      </c>
      <c r="BF121">
        <v>5.5800000000000001E-4</v>
      </c>
      <c r="BG121">
        <v>5.5800000000000001E-4</v>
      </c>
      <c r="BH121">
        <v>5.5800000000000001E-4</v>
      </c>
      <c r="BI121">
        <v>5.5800000000000001E-4</v>
      </c>
      <c r="BJ121">
        <v>5.4699999999999996E-4</v>
      </c>
      <c r="BK121">
        <v>5.4699999999999996E-4</v>
      </c>
      <c r="BL121">
        <v>5.4699999999999996E-4</v>
      </c>
      <c r="BM121">
        <v>5.4699999999999996E-4</v>
      </c>
      <c r="BN121">
        <v>5.4699999999999996E-4</v>
      </c>
      <c r="BO121">
        <v>5.4000000000000001E-4</v>
      </c>
      <c r="BP121">
        <v>5.4000000000000001E-4</v>
      </c>
      <c r="BQ121">
        <v>5.4000000000000001E-4</v>
      </c>
      <c r="BR121">
        <v>5.4000000000000001E-4</v>
      </c>
      <c r="BS121">
        <v>5.4000000000000001E-4</v>
      </c>
      <c r="BT121">
        <v>5.3200000000000003E-4</v>
      </c>
      <c r="BU121">
        <v>5.3200000000000003E-4</v>
      </c>
      <c r="BV121">
        <v>5.3200000000000003E-4</v>
      </c>
      <c r="BW121">
        <v>5.3200000000000003E-4</v>
      </c>
      <c r="BX121">
        <v>5.3200000000000003E-4</v>
      </c>
      <c r="BY121">
        <v>5.2700000000000002E-4</v>
      </c>
      <c r="BZ121">
        <v>5.2700000000000002E-4</v>
      </c>
      <c r="CA121">
        <v>5.2700000000000002E-4</v>
      </c>
      <c r="CB121">
        <v>5.2700000000000002E-4</v>
      </c>
      <c r="CC121">
        <v>5.2700000000000002E-4</v>
      </c>
      <c r="CD121">
        <v>5.2700000000000002E-4</v>
      </c>
      <c r="CE121">
        <v>5.2700000000000002E-4</v>
      </c>
      <c r="CF121">
        <v>5.2700000000000002E-4</v>
      </c>
      <c r="CG121">
        <v>5.2700000000000002E-4</v>
      </c>
      <c r="CH121">
        <v>5.2700000000000002E-4</v>
      </c>
      <c r="CI121">
        <v>5.2700000000000002E-4</v>
      </c>
      <c r="CJ121">
        <v>5.2700000000000002E-4</v>
      </c>
      <c r="CK121">
        <v>5.2700000000000002E-4</v>
      </c>
      <c r="CL121">
        <v>5.2700000000000002E-4</v>
      </c>
      <c r="CM121">
        <v>5.2700000000000002E-4</v>
      </c>
      <c r="CN121">
        <v>5.2700000000000002E-4</v>
      </c>
      <c r="CO121">
        <v>5.2700000000000002E-4</v>
      </c>
      <c r="CP121">
        <v>5.2700000000000002E-4</v>
      </c>
      <c r="CQ121">
        <v>5.2700000000000002E-4</v>
      </c>
      <c r="CR121">
        <v>5.2700000000000002E-4</v>
      </c>
      <c r="CS121">
        <v>5.2700000000000002E-4</v>
      </c>
      <c r="CT121">
        <v>5.2700000000000002E-4</v>
      </c>
      <c r="CU121">
        <v>5.2700000000000002E-4</v>
      </c>
      <c r="CV121">
        <v>5.2700000000000002E-4</v>
      </c>
      <c r="CW121">
        <v>5.2700000000000002E-4</v>
      </c>
      <c r="CX121">
        <v>5.2700000000000002E-4</v>
      </c>
    </row>
    <row r="122" spans="1:102" x14ac:dyDescent="0.25">
      <c r="A122" t="s">
        <v>309</v>
      </c>
      <c r="B122" t="e">
        <v>#VALUE!</v>
      </c>
      <c r="C122" t="e">
        <v>#VALUE!</v>
      </c>
      <c r="D122" t="e">
        <v>#VALUE!</v>
      </c>
      <c r="E122" t="e">
        <v>#VALUE!</v>
      </c>
      <c r="F122" t="e">
        <v>#VALUE!</v>
      </c>
      <c r="G122" t="e">
        <v>#VALUE!</v>
      </c>
      <c r="H122" t="e">
        <v>#VALUE!</v>
      </c>
      <c r="I122" t="e">
        <v>#VALUE!</v>
      </c>
      <c r="J122" t="e">
        <v>#VALUE!</v>
      </c>
      <c r="K122" t="e">
        <v>#VALUE!</v>
      </c>
      <c r="L122" t="e">
        <v>#VALUE!</v>
      </c>
      <c r="M122" t="e">
        <v>#VALUE!</v>
      </c>
      <c r="N122" t="e">
        <v>#VALUE!</v>
      </c>
      <c r="O122" t="e">
        <v>#VALUE!</v>
      </c>
      <c r="P122" t="e">
        <v>#VALUE!</v>
      </c>
      <c r="Q122">
        <v>5.7000000000000003E-5</v>
      </c>
      <c r="R122">
        <v>5.7000000000000003E-5</v>
      </c>
      <c r="S122">
        <v>5.7000000000000003E-5</v>
      </c>
      <c r="T122">
        <v>5.7000000000000003E-5</v>
      </c>
      <c r="U122">
        <v>5.7000000000000003E-5</v>
      </c>
      <c r="V122">
        <v>5.7000000000000003E-5</v>
      </c>
      <c r="W122">
        <v>5.7000000000000003E-5</v>
      </c>
      <c r="X122">
        <v>5.7000000000000003E-5</v>
      </c>
      <c r="Y122">
        <v>5.7000000000000003E-5</v>
      </c>
      <c r="Z122">
        <v>5.7000000000000003E-5</v>
      </c>
      <c r="AA122">
        <v>5.7000000000000003E-5</v>
      </c>
      <c r="AB122">
        <v>5.7000000000000003E-5</v>
      </c>
      <c r="AC122">
        <v>5.7000000000000003E-5</v>
      </c>
      <c r="AD122">
        <v>5.7000000000000003E-5</v>
      </c>
      <c r="AE122">
        <v>5.7000000000000003E-5</v>
      </c>
      <c r="AF122">
        <v>5.7000000000000003E-5</v>
      </c>
      <c r="AG122">
        <v>5.7000000000000003E-5</v>
      </c>
      <c r="AH122">
        <v>5.7000000000000003E-5</v>
      </c>
      <c r="AI122">
        <v>5.7000000000000003E-5</v>
      </c>
      <c r="AJ122">
        <v>5.7000000000000003E-5</v>
      </c>
      <c r="AK122">
        <v>5.7000000000000003E-5</v>
      </c>
      <c r="AL122">
        <v>5.7000000000000003E-5</v>
      </c>
      <c r="AM122">
        <v>5.7000000000000003E-5</v>
      </c>
      <c r="AN122">
        <v>5.7000000000000003E-5</v>
      </c>
      <c r="AO122">
        <v>5.7000000000000003E-5</v>
      </c>
      <c r="AP122">
        <v>2.7599999999999999E-4</v>
      </c>
      <c r="AQ122">
        <v>2.7599999999999999E-4</v>
      </c>
      <c r="AR122">
        <v>2.7599999999999999E-4</v>
      </c>
      <c r="AS122">
        <v>2.7599999999999999E-4</v>
      </c>
      <c r="AT122">
        <v>2.7599999999999999E-4</v>
      </c>
      <c r="AU122">
        <v>3.3799999999999998E-4</v>
      </c>
      <c r="AV122">
        <v>3.3799999999999998E-4</v>
      </c>
      <c r="AW122">
        <v>3.3799999999999998E-4</v>
      </c>
      <c r="AX122">
        <v>3.3799999999999998E-4</v>
      </c>
      <c r="AY122">
        <v>3.3799999999999998E-4</v>
      </c>
      <c r="AZ122">
        <v>3.6900000000000002E-4</v>
      </c>
      <c r="BA122">
        <v>3.6900000000000002E-4</v>
      </c>
      <c r="BB122">
        <v>3.6900000000000002E-4</v>
      </c>
      <c r="BC122">
        <v>3.6900000000000002E-4</v>
      </c>
      <c r="BD122">
        <v>3.6900000000000002E-4</v>
      </c>
      <c r="BE122">
        <v>3.9100000000000002E-4</v>
      </c>
      <c r="BF122">
        <v>3.9100000000000002E-4</v>
      </c>
      <c r="BG122">
        <v>3.9100000000000002E-4</v>
      </c>
      <c r="BH122">
        <v>3.9100000000000002E-4</v>
      </c>
      <c r="BI122">
        <v>3.9100000000000002E-4</v>
      </c>
      <c r="BJ122">
        <v>3.9899999999999999E-4</v>
      </c>
      <c r="BK122">
        <v>3.9899999999999999E-4</v>
      </c>
      <c r="BL122">
        <v>3.9899999999999999E-4</v>
      </c>
      <c r="BM122">
        <v>3.9899999999999999E-4</v>
      </c>
      <c r="BN122">
        <v>3.9899999999999999E-4</v>
      </c>
      <c r="BO122">
        <v>4.44E-4</v>
      </c>
      <c r="BP122">
        <v>4.44E-4</v>
      </c>
      <c r="BQ122">
        <v>4.44E-4</v>
      </c>
      <c r="BR122">
        <v>4.44E-4</v>
      </c>
      <c r="BS122">
        <v>4.44E-4</v>
      </c>
      <c r="BT122">
        <v>5.6599999999999999E-4</v>
      </c>
      <c r="BU122">
        <v>5.6599999999999999E-4</v>
      </c>
      <c r="BV122">
        <v>5.6599999999999999E-4</v>
      </c>
      <c r="BW122">
        <v>5.6599999999999999E-4</v>
      </c>
      <c r="BX122">
        <v>5.6599999999999999E-4</v>
      </c>
      <c r="BY122">
        <v>7.1000000000000002E-4</v>
      </c>
      <c r="BZ122">
        <v>7.1000000000000002E-4</v>
      </c>
      <c r="CA122">
        <v>7.1000000000000002E-4</v>
      </c>
      <c r="CB122">
        <v>7.1000000000000002E-4</v>
      </c>
      <c r="CC122">
        <v>7.1000000000000002E-4</v>
      </c>
      <c r="CD122">
        <v>7.1000000000000002E-4</v>
      </c>
      <c r="CE122">
        <v>7.1000000000000002E-4</v>
      </c>
      <c r="CF122">
        <v>7.1000000000000002E-4</v>
      </c>
      <c r="CG122">
        <v>7.1000000000000002E-4</v>
      </c>
      <c r="CH122">
        <v>7.1000000000000002E-4</v>
      </c>
      <c r="CI122">
        <v>7.1000000000000002E-4</v>
      </c>
      <c r="CJ122">
        <v>7.1000000000000002E-4</v>
      </c>
      <c r="CK122">
        <v>7.1000000000000002E-4</v>
      </c>
      <c r="CL122">
        <v>7.1000000000000002E-4</v>
      </c>
      <c r="CM122">
        <v>7.1000000000000002E-4</v>
      </c>
      <c r="CN122">
        <v>7.1000000000000002E-4</v>
      </c>
      <c r="CO122">
        <v>7.1000000000000002E-4</v>
      </c>
      <c r="CP122">
        <v>7.1000000000000002E-4</v>
      </c>
      <c r="CQ122">
        <v>7.1000000000000002E-4</v>
      </c>
      <c r="CR122">
        <v>7.1000000000000002E-4</v>
      </c>
      <c r="CS122">
        <v>7.1000000000000002E-4</v>
      </c>
      <c r="CT122">
        <v>7.1000000000000002E-4</v>
      </c>
      <c r="CU122">
        <v>7.1000000000000002E-4</v>
      </c>
      <c r="CV122">
        <v>7.1000000000000002E-4</v>
      </c>
      <c r="CW122">
        <v>7.1000000000000002E-4</v>
      </c>
      <c r="CX122">
        <v>7.1000000000000002E-4</v>
      </c>
    </row>
    <row r="123" spans="1:102" x14ac:dyDescent="0.25">
      <c r="A123" t="s">
        <v>311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7.2000000000000002E-5</v>
      </c>
      <c r="R123">
        <v>7.2000000000000002E-5</v>
      </c>
      <c r="S123">
        <v>7.2000000000000002E-5</v>
      </c>
      <c r="T123">
        <v>7.2000000000000002E-5</v>
      </c>
      <c r="U123">
        <v>7.2000000000000002E-5</v>
      </c>
      <c r="V123">
        <v>7.2000000000000002E-5</v>
      </c>
      <c r="W123">
        <v>7.2000000000000002E-5</v>
      </c>
      <c r="X123">
        <v>7.2000000000000002E-5</v>
      </c>
      <c r="Y123">
        <v>7.2000000000000002E-5</v>
      </c>
      <c r="Z123">
        <v>7.2000000000000002E-5</v>
      </c>
      <c r="AA123">
        <v>7.2000000000000002E-5</v>
      </c>
      <c r="AB123">
        <v>7.2000000000000002E-5</v>
      </c>
      <c r="AC123">
        <v>7.2000000000000002E-5</v>
      </c>
      <c r="AD123">
        <v>7.2000000000000002E-5</v>
      </c>
      <c r="AE123">
        <v>7.2000000000000002E-5</v>
      </c>
      <c r="AF123">
        <v>7.2000000000000002E-5</v>
      </c>
      <c r="AG123">
        <v>7.2000000000000002E-5</v>
      </c>
      <c r="AH123">
        <v>7.2000000000000002E-5</v>
      </c>
      <c r="AI123">
        <v>7.2000000000000002E-5</v>
      </c>
      <c r="AJ123">
        <v>7.2000000000000002E-5</v>
      </c>
      <c r="AK123">
        <v>7.2000000000000002E-5</v>
      </c>
      <c r="AL123">
        <v>7.2000000000000002E-5</v>
      </c>
      <c r="AM123">
        <v>7.2000000000000002E-5</v>
      </c>
      <c r="AN123">
        <v>7.2000000000000002E-5</v>
      </c>
      <c r="AO123">
        <v>7.2000000000000002E-5</v>
      </c>
      <c r="AP123">
        <v>1.9000000000000001E-4</v>
      </c>
      <c r="AQ123">
        <v>1.9000000000000001E-4</v>
      </c>
      <c r="AR123">
        <v>1.9000000000000001E-4</v>
      </c>
      <c r="AS123">
        <v>1.9000000000000001E-4</v>
      </c>
      <c r="AT123">
        <v>1.9000000000000001E-4</v>
      </c>
      <c r="AU123">
        <v>2.02E-4</v>
      </c>
      <c r="AV123">
        <v>2.02E-4</v>
      </c>
      <c r="AW123">
        <v>2.02E-4</v>
      </c>
      <c r="AX123">
        <v>2.02E-4</v>
      </c>
      <c r="AY123">
        <v>2.02E-4</v>
      </c>
      <c r="AZ123">
        <v>2.0100000000000001E-4</v>
      </c>
      <c r="BA123">
        <v>2.0100000000000001E-4</v>
      </c>
      <c r="BB123">
        <v>2.0100000000000001E-4</v>
      </c>
      <c r="BC123">
        <v>2.0100000000000001E-4</v>
      </c>
      <c r="BD123">
        <v>2.0100000000000001E-4</v>
      </c>
      <c r="BE123">
        <v>1.8200000000000001E-4</v>
      </c>
      <c r="BF123">
        <v>1.8200000000000001E-4</v>
      </c>
      <c r="BG123">
        <v>1.8200000000000001E-4</v>
      </c>
      <c r="BH123">
        <v>1.8200000000000001E-4</v>
      </c>
      <c r="BI123">
        <v>1.8200000000000001E-4</v>
      </c>
      <c r="BJ123">
        <v>1.6000000000000001E-4</v>
      </c>
      <c r="BK123">
        <v>1.6000000000000001E-4</v>
      </c>
      <c r="BL123">
        <v>1.6000000000000001E-4</v>
      </c>
      <c r="BM123">
        <v>1.6000000000000001E-4</v>
      </c>
      <c r="BN123">
        <v>1.6000000000000001E-4</v>
      </c>
      <c r="BO123">
        <v>1.5100000000000001E-4</v>
      </c>
      <c r="BP123">
        <v>1.5100000000000001E-4</v>
      </c>
      <c r="BQ123">
        <v>1.5100000000000001E-4</v>
      </c>
      <c r="BR123">
        <v>1.5100000000000001E-4</v>
      </c>
      <c r="BS123">
        <v>1.5100000000000001E-4</v>
      </c>
      <c r="BT123">
        <v>1.45E-4</v>
      </c>
      <c r="BU123">
        <v>1.45E-4</v>
      </c>
      <c r="BV123">
        <v>1.45E-4</v>
      </c>
      <c r="BW123">
        <v>1.45E-4</v>
      </c>
      <c r="BX123">
        <v>1.45E-4</v>
      </c>
      <c r="BY123">
        <v>1.5300000000000001E-4</v>
      </c>
      <c r="BZ123">
        <v>1.5300000000000001E-4</v>
      </c>
      <c r="CA123">
        <v>1.5300000000000001E-4</v>
      </c>
      <c r="CB123">
        <v>1.5300000000000001E-4</v>
      </c>
      <c r="CC123">
        <v>1.5300000000000001E-4</v>
      </c>
      <c r="CD123">
        <v>1.5300000000000001E-4</v>
      </c>
      <c r="CE123">
        <v>1.5300000000000001E-4</v>
      </c>
      <c r="CF123">
        <v>1.5300000000000001E-4</v>
      </c>
      <c r="CG123">
        <v>1.5300000000000001E-4</v>
      </c>
      <c r="CH123">
        <v>1.5300000000000001E-4</v>
      </c>
      <c r="CI123">
        <v>1.5300000000000001E-4</v>
      </c>
      <c r="CJ123">
        <v>1.5300000000000001E-4</v>
      </c>
      <c r="CK123">
        <v>1.5300000000000001E-4</v>
      </c>
      <c r="CL123">
        <v>1.5300000000000001E-4</v>
      </c>
      <c r="CM123">
        <v>1.5300000000000001E-4</v>
      </c>
      <c r="CN123">
        <v>1.5300000000000001E-4</v>
      </c>
      <c r="CO123">
        <v>1.5300000000000001E-4</v>
      </c>
      <c r="CP123">
        <v>1.5300000000000001E-4</v>
      </c>
      <c r="CQ123">
        <v>1.5300000000000001E-4</v>
      </c>
      <c r="CR123">
        <v>1.5300000000000001E-4</v>
      </c>
      <c r="CS123">
        <v>1.5300000000000001E-4</v>
      </c>
      <c r="CT123">
        <v>1.5300000000000001E-4</v>
      </c>
      <c r="CU123">
        <v>1.5300000000000001E-4</v>
      </c>
      <c r="CV123">
        <v>1.5300000000000001E-4</v>
      </c>
      <c r="CW123">
        <v>1.5300000000000001E-4</v>
      </c>
      <c r="CX123">
        <v>1.5300000000000001E-4</v>
      </c>
    </row>
    <row r="124" spans="1:102" x14ac:dyDescent="0.25">
      <c r="A124" t="s">
        <v>313</v>
      </c>
      <c r="B124" t="e">
        <v>#VALUE!</v>
      </c>
      <c r="C124" t="e">
        <v>#VALUE!</v>
      </c>
      <c r="D124" t="e">
        <v>#VALUE!</v>
      </c>
      <c r="E124" t="e">
        <v>#VALUE!</v>
      </c>
      <c r="F124" t="e">
        <v>#VALUE!</v>
      </c>
      <c r="G124" t="e">
        <v>#VALUE!</v>
      </c>
      <c r="H124" t="e">
        <v>#VALUE!</v>
      </c>
      <c r="I124" t="e">
        <v>#VALUE!</v>
      </c>
      <c r="J124" t="e">
        <v>#VALUE!</v>
      </c>
      <c r="K124" t="e">
        <v>#VALUE!</v>
      </c>
      <c r="L124" t="e">
        <v>#VALUE!</v>
      </c>
      <c r="M124" t="e">
        <v>#VALUE!</v>
      </c>
      <c r="N124" t="e">
        <v>#VALUE!</v>
      </c>
      <c r="O124" t="e">
        <v>#VALUE!</v>
      </c>
      <c r="P124" t="e">
        <v>#VALUE!</v>
      </c>
      <c r="Q124">
        <v>5.8999999999999998E-5</v>
      </c>
      <c r="R124">
        <v>5.8999999999999998E-5</v>
      </c>
      <c r="S124">
        <v>5.8999999999999998E-5</v>
      </c>
      <c r="T124">
        <v>5.8999999999999998E-5</v>
      </c>
      <c r="U124">
        <v>5.8999999999999998E-5</v>
      </c>
      <c r="V124">
        <v>5.8999999999999998E-5</v>
      </c>
      <c r="W124">
        <v>5.8999999999999998E-5</v>
      </c>
      <c r="X124">
        <v>5.8999999999999998E-5</v>
      </c>
      <c r="Y124">
        <v>5.8999999999999998E-5</v>
      </c>
      <c r="Z124">
        <v>5.8999999999999998E-5</v>
      </c>
      <c r="AA124">
        <v>5.8999999999999998E-5</v>
      </c>
      <c r="AB124">
        <v>5.8999999999999998E-5</v>
      </c>
      <c r="AC124">
        <v>5.8999999999999998E-5</v>
      </c>
      <c r="AD124">
        <v>5.8999999999999998E-5</v>
      </c>
      <c r="AE124">
        <v>5.8999999999999998E-5</v>
      </c>
      <c r="AF124">
        <v>5.8999999999999998E-5</v>
      </c>
      <c r="AG124">
        <v>5.8999999999999998E-5</v>
      </c>
      <c r="AH124">
        <v>5.8999999999999998E-5</v>
      </c>
      <c r="AI124">
        <v>5.8999999999999998E-5</v>
      </c>
      <c r="AJ124">
        <v>5.8999999999999998E-5</v>
      </c>
      <c r="AK124">
        <v>5.8999999999999998E-5</v>
      </c>
      <c r="AL124">
        <v>5.8999999999999998E-5</v>
      </c>
      <c r="AM124">
        <v>5.8999999999999998E-5</v>
      </c>
      <c r="AN124">
        <v>5.8999999999999998E-5</v>
      </c>
      <c r="AO124">
        <v>5.8999999999999998E-5</v>
      </c>
      <c r="AP124">
        <v>3.6600000000000001E-4</v>
      </c>
      <c r="AQ124">
        <v>3.6600000000000001E-4</v>
      </c>
      <c r="AR124">
        <v>3.6600000000000001E-4</v>
      </c>
      <c r="AS124">
        <v>3.6600000000000001E-4</v>
      </c>
      <c r="AT124">
        <v>3.6600000000000001E-4</v>
      </c>
      <c r="AU124">
        <v>5.3300000000000005E-4</v>
      </c>
      <c r="AV124">
        <v>5.3300000000000005E-4</v>
      </c>
      <c r="AW124">
        <v>5.3300000000000005E-4</v>
      </c>
      <c r="AX124">
        <v>5.3300000000000005E-4</v>
      </c>
      <c r="AY124">
        <v>5.3300000000000005E-4</v>
      </c>
      <c r="AZ124">
        <v>7.4600000000000003E-4</v>
      </c>
      <c r="BA124">
        <v>7.4600000000000003E-4</v>
      </c>
      <c r="BB124">
        <v>7.4600000000000003E-4</v>
      </c>
      <c r="BC124">
        <v>7.4600000000000003E-4</v>
      </c>
      <c r="BD124">
        <v>7.4600000000000003E-4</v>
      </c>
      <c r="BE124">
        <v>6.3900000000000003E-4</v>
      </c>
      <c r="BF124">
        <v>6.3900000000000003E-4</v>
      </c>
      <c r="BG124">
        <v>6.3900000000000003E-4</v>
      </c>
      <c r="BH124">
        <v>6.3900000000000003E-4</v>
      </c>
      <c r="BI124">
        <v>6.3900000000000003E-4</v>
      </c>
      <c r="BJ124">
        <v>6.8499999999999995E-4</v>
      </c>
      <c r="BK124">
        <v>6.8499999999999995E-4</v>
      </c>
      <c r="BL124">
        <v>6.8499999999999995E-4</v>
      </c>
      <c r="BM124">
        <v>6.8499999999999995E-4</v>
      </c>
      <c r="BN124">
        <v>6.8499999999999995E-4</v>
      </c>
      <c r="BO124">
        <v>4.57E-4</v>
      </c>
      <c r="BP124">
        <v>4.57E-4</v>
      </c>
      <c r="BQ124">
        <v>4.57E-4</v>
      </c>
      <c r="BR124">
        <v>4.57E-4</v>
      </c>
      <c r="BS124">
        <v>4.57E-4</v>
      </c>
      <c r="BT124">
        <v>3.2899999999999997E-4</v>
      </c>
      <c r="BU124">
        <v>3.2899999999999997E-4</v>
      </c>
      <c r="BV124">
        <v>3.2899999999999997E-4</v>
      </c>
      <c r="BW124">
        <v>3.2899999999999997E-4</v>
      </c>
      <c r="BX124">
        <v>3.2899999999999997E-4</v>
      </c>
      <c r="BY124">
        <v>1.73E-4</v>
      </c>
      <c r="BZ124">
        <v>1.73E-4</v>
      </c>
      <c r="CA124">
        <v>1.73E-4</v>
      </c>
      <c r="CB124">
        <v>1.73E-4</v>
      </c>
      <c r="CC124">
        <v>1.73E-4</v>
      </c>
      <c r="CD124">
        <v>1.73E-4</v>
      </c>
      <c r="CE124">
        <v>1.73E-4</v>
      </c>
      <c r="CF124">
        <v>1.73E-4</v>
      </c>
      <c r="CG124">
        <v>1.73E-4</v>
      </c>
      <c r="CH124">
        <v>1.73E-4</v>
      </c>
      <c r="CI124">
        <v>1.73E-4</v>
      </c>
      <c r="CJ124">
        <v>1.73E-4</v>
      </c>
      <c r="CK124">
        <v>1.73E-4</v>
      </c>
      <c r="CL124">
        <v>1.73E-4</v>
      </c>
      <c r="CM124">
        <v>1.73E-4</v>
      </c>
      <c r="CN124">
        <v>1.73E-4</v>
      </c>
      <c r="CO124">
        <v>1.73E-4</v>
      </c>
      <c r="CP124">
        <v>1.73E-4</v>
      </c>
      <c r="CQ124">
        <v>1.73E-4</v>
      </c>
      <c r="CR124">
        <v>1.73E-4</v>
      </c>
      <c r="CS124">
        <v>1.73E-4</v>
      </c>
      <c r="CT124">
        <v>1.73E-4</v>
      </c>
      <c r="CU124">
        <v>1.73E-4</v>
      </c>
      <c r="CV124">
        <v>1.73E-4</v>
      </c>
      <c r="CW124">
        <v>1.73E-4</v>
      </c>
      <c r="CX124">
        <v>1.73E-4</v>
      </c>
    </row>
    <row r="125" spans="1:102" x14ac:dyDescent="0.25">
      <c r="A125" t="s">
        <v>315</v>
      </c>
      <c r="B125" t="e">
        <v>#VALUE!</v>
      </c>
      <c r="C125" t="e">
        <v>#VALUE!</v>
      </c>
      <c r="D125" t="e">
        <v>#VALUE!</v>
      </c>
      <c r="E125" t="e">
        <v>#VALUE!</v>
      </c>
      <c r="F125" t="e">
        <v>#VALUE!</v>
      </c>
      <c r="G125" t="e">
        <v>#VALUE!</v>
      </c>
      <c r="H125" t="e">
        <v>#VALUE!</v>
      </c>
      <c r="I125" t="e">
        <v>#VALUE!</v>
      </c>
      <c r="J125" t="e">
        <v>#VALUE!</v>
      </c>
      <c r="K125" t="e">
        <v>#VALUE!</v>
      </c>
      <c r="L125" t="e">
        <v>#VALUE!</v>
      </c>
      <c r="M125" t="e">
        <v>#VALUE!</v>
      </c>
      <c r="N125" t="e">
        <v>#VALUE!</v>
      </c>
      <c r="O125" t="e">
        <v>#VALUE!</v>
      </c>
      <c r="P125" t="e">
        <v>#VALUE!</v>
      </c>
      <c r="Q125">
        <v>7.3999999999999996E-5</v>
      </c>
      <c r="R125">
        <v>7.3999999999999996E-5</v>
      </c>
      <c r="S125">
        <v>7.3999999999999996E-5</v>
      </c>
      <c r="T125">
        <v>7.3999999999999996E-5</v>
      </c>
      <c r="U125">
        <v>7.3999999999999996E-5</v>
      </c>
      <c r="V125">
        <v>7.3999999999999996E-5</v>
      </c>
      <c r="W125">
        <v>7.3999999999999996E-5</v>
      </c>
      <c r="X125">
        <v>7.3999999999999996E-5</v>
      </c>
      <c r="Y125">
        <v>7.3999999999999996E-5</v>
      </c>
      <c r="Z125">
        <v>7.3999999999999996E-5</v>
      </c>
      <c r="AA125">
        <v>7.3999999999999996E-5</v>
      </c>
      <c r="AB125">
        <v>7.3999999999999996E-5</v>
      </c>
      <c r="AC125">
        <v>7.3999999999999996E-5</v>
      </c>
      <c r="AD125">
        <v>7.3999999999999996E-5</v>
      </c>
      <c r="AE125">
        <v>7.3999999999999996E-5</v>
      </c>
      <c r="AF125">
        <v>7.3999999999999996E-5</v>
      </c>
      <c r="AG125">
        <v>7.3999999999999996E-5</v>
      </c>
      <c r="AH125">
        <v>7.3999999999999996E-5</v>
      </c>
      <c r="AI125">
        <v>7.3999999999999996E-5</v>
      </c>
      <c r="AJ125">
        <v>7.3999999999999996E-5</v>
      </c>
      <c r="AK125">
        <v>7.3999999999999996E-5</v>
      </c>
      <c r="AL125">
        <v>7.3999999999999996E-5</v>
      </c>
      <c r="AM125">
        <v>7.3999999999999996E-5</v>
      </c>
      <c r="AN125">
        <v>7.3999999999999996E-5</v>
      </c>
      <c r="AO125">
        <v>7.3999999999999996E-5</v>
      </c>
      <c r="AP125">
        <v>1.5699999999999999E-4</v>
      </c>
      <c r="AQ125">
        <v>1.5699999999999999E-4</v>
      </c>
      <c r="AR125">
        <v>1.5699999999999999E-4</v>
      </c>
      <c r="AS125">
        <v>1.5699999999999999E-4</v>
      </c>
      <c r="AT125">
        <v>1.5699999999999999E-4</v>
      </c>
      <c r="AU125">
        <v>1.44E-4</v>
      </c>
      <c r="AV125">
        <v>1.44E-4</v>
      </c>
      <c r="AW125">
        <v>1.44E-4</v>
      </c>
      <c r="AX125">
        <v>1.44E-4</v>
      </c>
      <c r="AY125">
        <v>1.44E-4</v>
      </c>
      <c r="AZ125">
        <v>1.25E-4</v>
      </c>
      <c r="BA125">
        <v>1.25E-4</v>
      </c>
      <c r="BB125">
        <v>1.25E-4</v>
      </c>
      <c r="BC125">
        <v>1.25E-4</v>
      </c>
      <c r="BD125">
        <v>1.25E-4</v>
      </c>
      <c r="BE125">
        <v>1.13E-4</v>
      </c>
      <c r="BF125">
        <v>1.13E-4</v>
      </c>
      <c r="BG125">
        <v>1.13E-4</v>
      </c>
      <c r="BH125">
        <v>1.13E-4</v>
      </c>
      <c r="BI125">
        <v>1.13E-4</v>
      </c>
      <c r="BJ125">
        <v>1.05E-4</v>
      </c>
      <c r="BK125">
        <v>1.05E-4</v>
      </c>
      <c r="BL125">
        <v>1.05E-4</v>
      </c>
      <c r="BM125">
        <v>1.05E-4</v>
      </c>
      <c r="BN125">
        <v>1.05E-4</v>
      </c>
      <c r="BO125">
        <v>1.05E-4</v>
      </c>
      <c r="BP125">
        <v>1.05E-4</v>
      </c>
      <c r="BQ125">
        <v>1.05E-4</v>
      </c>
      <c r="BR125">
        <v>1.05E-4</v>
      </c>
      <c r="BS125">
        <v>1.05E-4</v>
      </c>
      <c r="BT125">
        <v>1.1E-4</v>
      </c>
      <c r="BU125">
        <v>1.1E-4</v>
      </c>
      <c r="BV125">
        <v>1.1E-4</v>
      </c>
      <c r="BW125">
        <v>1.1E-4</v>
      </c>
      <c r="BX125">
        <v>1.1E-4</v>
      </c>
      <c r="BY125">
        <v>1.2799999999999999E-4</v>
      </c>
      <c r="BZ125">
        <v>1.2799999999999999E-4</v>
      </c>
      <c r="CA125">
        <v>1.2799999999999999E-4</v>
      </c>
      <c r="CB125">
        <v>1.2799999999999999E-4</v>
      </c>
      <c r="CC125">
        <v>1.2799999999999999E-4</v>
      </c>
      <c r="CD125">
        <v>1.2799999999999999E-4</v>
      </c>
      <c r="CE125">
        <v>1.2799999999999999E-4</v>
      </c>
      <c r="CF125">
        <v>1.2799999999999999E-4</v>
      </c>
      <c r="CG125">
        <v>1.2799999999999999E-4</v>
      </c>
      <c r="CH125">
        <v>1.2799999999999999E-4</v>
      </c>
      <c r="CI125">
        <v>1.2799999999999999E-4</v>
      </c>
      <c r="CJ125">
        <v>1.2799999999999999E-4</v>
      </c>
      <c r="CK125">
        <v>1.2799999999999999E-4</v>
      </c>
      <c r="CL125">
        <v>1.2799999999999999E-4</v>
      </c>
      <c r="CM125">
        <v>1.2799999999999999E-4</v>
      </c>
      <c r="CN125">
        <v>1.2799999999999999E-4</v>
      </c>
      <c r="CO125">
        <v>1.2799999999999999E-4</v>
      </c>
      <c r="CP125">
        <v>1.2799999999999999E-4</v>
      </c>
      <c r="CQ125">
        <v>1.2799999999999999E-4</v>
      </c>
      <c r="CR125">
        <v>1.2799999999999999E-4</v>
      </c>
      <c r="CS125">
        <v>1.2799999999999999E-4</v>
      </c>
      <c r="CT125">
        <v>1.2799999999999999E-4</v>
      </c>
      <c r="CU125">
        <v>1.2799999999999999E-4</v>
      </c>
      <c r="CV125">
        <v>1.2799999999999999E-4</v>
      </c>
      <c r="CW125">
        <v>1.2799999999999999E-4</v>
      </c>
      <c r="CX125">
        <v>1.2799999999999999E-4</v>
      </c>
    </row>
    <row r="126" spans="1:102" x14ac:dyDescent="0.25">
      <c r="A126" t="s">
        <v>317</v>
      </c>
      <c r="B126" t="e">
        <v>#VALUE!</v>
      </c>
      <c r="C126" t="e">
        <v>#VALUE!</v>
      </c>
      <c r="D126" t="e">
        <v>#VALUE!</v>
      </c>
      <c r="E126" t="e">
        <v>#VALUE!</v>
      </c>
      <c r="F126" t="e">
        <v>#VALUE!</v>
      </c>
      <c r="G126" t="e">
        <v>#VALUE!</v>
      </c>
      <c r="H126" t="e">
        <v>#VALUE!</v>
      </c>
      <c r="I126" t="e">
        <v>#VALUE!</v>
      </c>
      <c r="J126" t="e">
        <v>#VALUE!</v>
      </c>
      <c r="K126" t="e">
        <v>#VALUE!</v>
      </c>
      <c r="L126" t="e">
        <v>#VALUE!</v>
      </c>
      <c r="M126" t="e">
        <v>#VALUE!</v>
      </c>
      <c r="N126" t="e">
        <v>#VALUE!</v>
      </c>
      <c r="O126" t="e">
        <v>#VALUE!</v>
      </c>
      <c r="P126" t="e">
        <v>#VALUE!</v>
      </c>
      <c r="Q126">
        <v>6.7000000000000002E-5</v>
      </c>
      <c r="R126">
        <v>6.7000000000000002E-5</v>
      </c>
      <c r="S126">
        <v>6.7000000000000002E-5</v>
      </c>
      <c r="T126">
        <v>6.7000000000000002E-5</v>
      </c>
      <c r="U126">
        <v>6.7000000000000002E-5</v>
      </c>
      <c r="V126">
        <v>6.7000000000000002E-5</v>
      </c>
      <c r="W126">
        <v>6.7000000000000002E-5</v>
      </c>
      <c r="X126">
        <v>6.7000000000000002E-5</v>
      </c>
      <c r="Y126">
        <v>6.7000000000000002E-5</v>
      </c>
      <c r="Z126">
        <v>6.7000000000000002E-5</v>
      </c>
      <c r="AA126">
        <v>6.7000000000000002E-5</v>
      </c>
      <c r="AB126">
        <v>6.7000000000000002E-5</v>
      </c>
      <c r="AC126">
        <v>6.7000000000000002E-5</v>
      </c>
      <c r="AD126">
        <v>6.7000000000000002E-5</v>
      </c>
      <c r="AE126">
        <v>6.7000000000000002E-5</v>
      </c>
      <c r="AF126">
        <v>6.7000000000000002E-5</v>
      </c>
      <c r="AG126">
        <v>6.7000000000000002E-5</v>
      </c>
      <c r="AH126">
        <v>6.7000000000000002E-5</v>
      </c>
      <c r="AI126">
        <v>6.7000000000000002E-5</v>
      </c>
      <c r="AJ126">
        <v>6.7000000000000002E-5</v>
      </c>
      <c r="AK126">
        <v>6.7000000000000002E-5</v>
      </c>
      <c r="AL126">
        <v>6.7000000000000002E-5</v>
      </c>
      <c r="AM126">
        <v>6.7000000000000002E-5</v>
      </c>
      <c r="AN126">
        <v>6.7000000000000002E-5</v>
      </c>
      <c r="AO126">
        <v>6.7000000000000002E-5</v>
      </c>
      <c r="AP126">
        <v>1.11E-4</v>
      </c>
      <c r="AQ126">
        <v>1.11E-4</v>
      </c>
      <c r="AR126">
        <v>1.11E-4</v>
      </c>
      <c r="AS126">
        <v>1.11E-4</v>
      </c>
      <c r="AT126">
        <v>1.11E-4</v>
      </c>
      <c r="AU126">
        <v>9.6000000000000002E-5</v>
      </c>
      <c r="AV126">
        <v>9.6000000000000002E-5</v>
      </c>
      <c r="AW126">
        <v>9.6000000000000002E-5</v>
      </c>
      <c r="AX126">
        <v>9.6000000000000002E-5</v>
      </c>
      <c r="AY126">
        <v>9.6000000000000002E-5</v>
      </c>
      <c r="AZ126">
        <v>7.7000000000000001E-5</v>
      </c>
      <c r="BA126">
        <v>7.7000000000000001E-5</v>
      </c>
      <c r="BB126">
        <v>7.7000000000000001E-5</v>
      </c>
      <c r="BC126">
        <v>7.7000000000000001E-5</v>
      </c>
      <c r="BD126">
        <v>7.7000000000000001E-5</v>
      </c>
      <c r="BE126">
        <v>7.4999999999999993E-5</v>
      </c>
      <c r="BF126">
        <v>7.4999999999999993E-5</v>
      </c>
      <c r="BG126">
        <v>7.4999999999999993E-5</v>
      </c>
      <c r="BH126">
        <v>7.4999999999999993E-5</v>
      </c>
      <c r="BI126">
        <v>7.4999999999999993E-5</v>
      </c>
      <c r="BJ126">
        <v>8.2000000000000001E-5</v>
      </c>
      <c r="BK126">
        <v>8.2000000000000001E-5</v>
      </c>
      <c r="BL126">
        <v>8.2000000000000001E-5</v>
      </c>
      <c r="BM126">
        <v>8.2000000000000001E-5</v>
      </c>
      <c r="BN126">
        <v>8.2000000000000001E-5</v>
      </c>
      <c r="BO126">
        <v>8.1000000000000004E-5</v>
      </c>
      <c r="BP126">
        <v>8.1000000000000004E-5</v>
      </c>
      <c r="BQ126">
        <v>8.1000000000000004E-5</v>
      </c>
      <c r="BR126">
        <v>8.1000000000000004E-5</v>
      </c>
      <c r="BS126">
        <v>8.1000000000000004E-5</v>
      </c>
      <c r="BT126">
        <v>7.7999999999999999E-5</v>
      </c>
      <c r="BU126">
        <v>7.7999999999999999E-5</v>
      </c>
      <c r="BV126">
        <v>7.7999999999999999E-5</v>
      </c>
      <c r="BW126">
        <v>7.7999999999999999E-5</v>
      </c>
      <c r="BX126">
        <v>7.7999999999999999E-5</v>
      </c>
      <c r="BY126">
        <v>9.1000000000000003E-5</v>
      </c>
      <c r="BZ126">
        <v>9.1000000000000003E-5</v>
      </c>
      <c r="CA126">
        <v>9.1000000000000003E-5</v>
      </c>
      <c r="CB126">
        <v>9.1000000000000003E-5</v>
      </c>
      <c r="CC126">
        <v>9.1000000000000003E-5</v>
      </c>
      <c r="CD126">
        <v>9.1000000000000003E-5</v>
      </c>
      <c r="CE126">
        <v>9.1000000000000003E-5</v>
      </c>
      <c r="CF126">
        <v>9.1000000000000003E-5</v>
      </c>
      <c r="CG126">
        <v>9.1000000000000003E-5</v>
      </c>
      <c r="CH126">
        <v>9.1000000000000003E-5</v>
      </c>
      <c r="CI126">
        <v>9.1000000000000003E-5</v>
      </c>
      <c r="CJ126">
        <v>9.1000000000000003E-5</v>
      </c>
      <c r="CK126">
        <v>9.1000000000000003E-5</v>
      </c>
      <c r="CL126">
        <v>9.1000000000000003E-5</v>
      </c>
      <c r="CM126">
        <v>9.1000000000000003E-5</v>
      </c>
      <c r="CN126">
        <v>9.1000000000000003E-5</v>
      </c>
      <c r="CO126">
        <v>9.1000000000000003E-5</v>
      </c>
      <c r="CP126">
        <v>9.1000000000000003E-5</v>
      </c>
      <c r="CQ126">
        <v>9.1000000000000003E-5</v>
      </c>
      <c r="CR126">
        <v>9.1000000000000003E-5</v>
      </c>
      <c r="CS126">
        <v>9.1000000000000003E-5</v>
      </c>
      <c r="CT126">
        <v>9.1000000000000003E-5</v>
      </c>
      <c r="CU126">
        <v>9.1000000000000003E-5</v>
      </c>
      <c r="CV126">
        <v>9.1000000000000003E-5</v>
      </c>
      <c r="CW126">
        <v>9.1000000000000003E-5</v>
      </c>
      <c r="CX126">
        <v>9.1000000000000003E-5</v>
      </c>
    </row>
    <row r="127" spans="1:102" x14ac:dyDescent="0.25">
      <c r="A127" t="s">
        <v>319</v>
      </c>
      <c r="B127" t="e">
        <v>#VALUE!</v>
      </c>
      <c r="C127" t="e">
        <v>#VALUE!</v>
      </c>
      <c r="D127" t="e">
        <v>#VALUE!</v>
      </c>
      <c r="E127" t="e">
        <v>#VALUE!</v>
      </c>
      <c r="F127" t="e">
        <v>#VALUE!</v>
      </c>
      <c r="G127" t="e">
        <v>#VALUE!</v>
      </c>
      <c r="H127" t="e">
        <v>#VALUE!</v>
      </c>
      <c r="I127" t="e">
        <v>#VALUE!</v>
      </c>
      <c r="J127" t="e">
        <v>#VALUE!</v>
      </c>
      <c r="K127" t="e">
        <v>#VALUE!</v>
      </c>
      <c r="L127" t="e">
        <v>#VALUE!</v>
      </c>
      <c r="M127" t="e">
        <v>#VALUE!</v>
      </c>
      <c r="N127" t="e">
        <v>#VALUE!</v>
      </c>
      <c r="O127" t="e">
        <v>#VALUE!</v>
      </c>
      <c r="P127" t="e">
        <v>#VALUE!</v>
      </c>
      <c r="Q127">
        <v>2.63E-4</v>
      </c>
      <c r="R127">
        <v>2.63E-4</v>
      </c>
      <c r="S127">
        <v>2.63E-4</v>
      </c>
      <c r="T127">
        <v>2.63E-4</v>
      </c>
      <c r="U127">
        <v>2.63E-4</v>
      </c>
      <c r="V127">
        <v>2.63E-4</v>
      </c>
      <c r="W127">
        <v>2.63E-4</v>
      </c>
      <c r="X127">
        <v>2.63E-4</v>
      </c>
      <c r="Y127">
        <v>2.63E-4</v>
      </c>
      <c r="Z127">
        <v>2.63E-4</v>
      </c>
      <c r="AA127">
        <v>2.63E-4</v>
      </c>
      <c r="AB127">
        <v>2.63E-4</v>
      </c>
      <c r="AC127">
        <v>2.63E-4</v>
      </c>
      <c r="AD127">
        <v>2.63E-4</v>
      </c>
      <c r="AE127">
        <v>2.63E-4</v>
      </c>
      <c r="AF127">
        <v>2.63E-4</v>
      </c>
      <c r="AG127">
        <v>2.63E-4</v>
      </c>
      <c r="AH127">
        <v>2.63E-4</v>
      </c>
      <c r="AI127">
        <v>2.63E-4</v>
      </c>
      <c r="AJ127">
        <v>2.63E-4</v>
      </c>
      <c r="AK127">
        <v>2.63E-4</v>
      </c>
      <c r="AL127">
        <v>2.63E-4</v>
      </c>
      <c r="AM127">
        <v>2.63E-4</v>
      </c>
      <c r="AN127">
        <v>2.63E-4</v>
      </c>
      <c r="AO127">
        <v>2.63E-4</v>
      </c>
      <c r="AP127">
        <v>7.8700000000000005E-4</v>
      </c>
      <c r="AQ127">
        <v>7.8700000000000005E-4</v>
      </c>
      <c r="AR127">
        <v>7.8700000000000005E-4</v>
      </c>
      <c r="AS127">
        <v>7.8700000000000005E-4</v>
      </c>
      <c r="AT127">
        <v>7.8700000000000005E-4</v>
      </c>
      <c r="AU127">
        <v>8.5400000000000005E-4</v>
      </c>
      <c r="AV127">
        <v>8.5400000000000005E-4</v>
      </c>
      <c r="AW127">
        <v>8.5400000000000005E-4</v>
      </c>
      <c r="AX127">
        <v>8.5400000000000005E-4</v>
      </c>
      <c r="AY127">
        <v>8.5400000000000005E-4</v>
      </c>
      <c r="AZ127">
        <v>8.8400000000000002E-4</v>
      </c>
      <c r="BA127">
        <v>8.8400000000000002E-4</v>
      </c>
      <c r="BB127">
        <v>8.8400000000000002E-4</v>
      </c>
      <c r="BC127">
        <v>8.8400000000000002E-4</v>
      </c>
      <c r="BD127">
        <v>8.8400000000000002E-4</v>
      </c>
      <c r="BE127">
        <v>8.8099999999999995E-4</v>
      </c>
      <c r="BF127">
        <v>8.8099999999999995E-4</v>
      </c>
      <c r="BG127">
        <v>8.8099999999999995E-4</v>
      </c>
      <c r="BH127">
        <v>8.8099999999999995E-4</v>
      </c>
      <c r="BI127">
        <v>8.8099999999999995E-4</v>
      </c>
      <c r="BJ127">
        <v>8.4000000000000003E-4</v>
      </c>
      <c r="BK127">
        <v>8.4000000000000003E-4</v>
      </c>
      <c r="BL127">
        <v>8.4000000000000003E-4</v>
      </c>
      <c r="BM127">
        <v>8.4000000000000003E-4</v>
      </c>
      <c r="BN127">
        <v>8.4000000000000003E-4</v>
      </c>
      <c r="BO127">
        <v>8.0800000000000002E-4</v>
      </c>
      <c r="BP127">
        <v>8.0800000000000002E-4</v>
      </c>
      <c r="BQ127">
        <v>8.0800000000000002E-4</v>
      </c>
      <c r="BR127">
        <v>8.0800000000000002E-4</v>
      </c>
      <c r="BS127">
        <v>8.0800000000000002E-4</v>
      </c>
      <c r="BT127">
        <v>7.4600000000000003E-4</v>
      </c>
      <c r="BU127">
        <v>7.4600000000000003E-4</v>
      </c>
      <c r="BV127">
        <v>7.4600000000000003E-4</v>
      </c>
      <c r="BW127">
        <v>7.4600000000000003E-4</v>
      </c>
      <c r="BX127">
        <v>7.4600000000000003E-4</v>
      </c>
      <c r="BY127">
        <v>7.0299999999999996E-4</v>
      </c>
      <c r="BZ127">
        <v>7.0299999999999996E-4</v>
      </c>
      <c r="CA127">
        <v>7.0299999999999996E-4</v>
      </c>
      <c r="CB127">
        <v>7.0299999999999996E-4</v>
      </c>
      <c r="CC127">
        <v>7.0299999999999996E-4</v>
      </c>
      <c r="CD127">
        <v>7.0299999999999996E-4</v>
      </c>
      <c r="CE127">
        <v>7.0299999999999996E-4</v>
      </c>
      <c r="CF127">
        <v>7.0299999999999996E-4</v>
      </c>
      <c r="CG127">
        <v>7.0299999999999996E-4</v>
      </c>
      <c r="CH127">
        <v>7.0299999999999996E-4</v>
      </c>
      <c r="CI127">
        <v>7.0299999999999996E-4</v>
      </c>
      <c r="CJ127">
        <v>7.0299999999999996E-4</v>
      </c>
      <c r="CK127">
        <v>7.0299999999999996E-4</v>
      </c>
      <c r="CL127">
        <v>7.0299999999999996E-4</v>
      </c>
      <c r="CM127">
        <v>7.0299999999999996E-4</v>
      </c>
      <c r="CN127">
        <v>7.0299999999999996E-4</v>
      </c>
      <c r="CO127">
        <v>7.0299999999999996E-4</v>
      </c>
      <c r="CP127">
        <v>7.0299999999999996E-4</v>
      </c>
      <c r="CQ127">
        <v>7.0299999999999996E-4</v>
      </c>
      <c r="CR127">
        <v>7.0299999999999996E-4</v>
      </c>
      <c r="CS127">
        <v>7.0299999999999996E-4</v>
      </c>
      <c r="CT127">
        <v>7.0299999999999996E-4</v>
      </c>
      <c r="CU127">
        <v>7.0299999999999996E-4</v>
      </c>
      <c r="CV127">
        <v>7.0299999999999996E-4</v>
      </c>
      <c r="CW127">
        <v>7.0299999999999996E-4</v>
      </c>
      <c r="CX127">
        <v>7.0299999999999996E-4</v>
      </c>
    </row>
    <row r="128" spans="1:102" x14ac:dyDescent="0.25">
      <c r="A128" t="s">
        <v>321</v>
      </c>
      <c r="B128" t="e">
        <v>#VALUE!</v>
      </c>
      <c r="C128" t="e">
        <v>#VALUE!</v>
      </c>
      <c r="D128" t="e">
        <v>#VALUE!</v>
      </c>
      <c r="E128" t="e">
        <v>#VALUE!</v>
      </c>
      <c r="F128" t="e">
        <v>#VALUE!</v>
      </c>
      <c r="G128" t="e">
        <v>#VALUE!</v>
      </c>
      <c r="H128" t="e">
        <v>#VALUE!</v>
      </c>
      <c r="I128" t="e">
        <v>#VALUE!</v>
      </c>
      <c r="J128" t="e">
        <v>#VALUE!</v>
      </c>
      <c r="K128" t="e">
        <v>#VALUE!</v>
      </c>
      <c r="L128" t="e">
        <v>#VALUE!</v>
      </c>
      <c r="M128" t="e">
        <v>#VALUE!</v>
      </c>
      <c r="N128" t="e">
        <v>#VALUE!</v>
      </c>
      <c r="O128" t="e">
        <v>#VALUE!</v>
      </c>
      <c r="P128" t="e">
        <v>#VALUE!</v>
      </c>
      <c r="Q128">
        <v>3.4999999999999997E-5</v>
      </c>
      <c r="R128">
        <v>3.4999999999999997E-5</v>
      </c>
      <c r="S128">
        <v>3.4999999999999997E-5</v>
      </c>
      <c r="T128">
        <v>3.4999999999999997E-5</v>
      </c>
      <c r="U128">
        <v>3.4999999999999997E-5</v>
      </c>
      <c r="V128">
        <v>3.4999999999999997E-5</v>
      </c>
      <c r="W128">
        <v>3.4999999999999997E-5</v>
      </c>
      <c r="X128">
        <v>3.4999999999999997E-5</v>
      </c>
      <c r="Y128">
        <v>3.4999999999999997E-5</v>
      </c>
      <c r="Z128">
        <v>3.4999999999999997E-5</v>
      </c>
      <c r="AA128">
        <v>3.4999999999999997E-5</v>
      </c>
      <c r="AB128">
        <v>3.4999999999999997E-5</v>
      </c>
      <c r="AC128">
        <v>3.4999999999999997E-5</v>
      </c>
      <c r="AD128">
        <v>3.4999999999999997E-5</v>
      </c>
      <c r="AE128">
        <v>3.4999999999999997E-5</v>
      </c>
      <c r="AF128">
        <v>3.4999999999999997E-5</v>
      </c>
      <c r="AG128">
        <v>3.4999999999999997E-5</v>
      </c>
      <c r="AH128">
        <v>3.4999999999999997E-5</v>
      </c>
      <c r="AI128">
        <v>3.4999999999999997E-5</v>
      </c>
      <c r="AJ128">
        <v>3.4999999999999997E-5</v>
      </c>
      <c r="AK128">
        <v>3.4999999999999997E-5</v>
      </c>
      <c r="AL128">
        <v>3.4999999999999997E-5</v>
      </c>
      <c r="AM128">
        <v>3.4999999999999997E-5</v>
      </c>
      <c r="AN128">
        <v>3.4999999999999997E-5</v>
      </c>
      <c r="AO128">
        <v>3.4999999999999997E-5</v>
      </c>
      <c r="AP128">
        <v>1.7100000000000001E-4</v>
      </c>
      <c r="AQ128">
        <v>1.7100000000000001E-4</v>
      </c>
      <c r="AR128">
        <v>1.7100000000000001E-4</v>
      </c>
      <c r="AS128">
        <v>1.7100000000000001E-4</v>
      </c>
      <c r="AT128">
        <v>1.7100000000000001E-4</v>
      </c>
      <c r="AU128">
        <v>1.8100000000000001E-4</v>
      </c>
      <c r="AV128">
        <v>1.8100000000000001E-4</v>
      </c>
      <c r="AW128">
        <v>1.8100000000000001E-4</v>
      </c>
      <c r="AX128">
        <v>1.8100000000000001E-4</v>
      </c>
      <c r="AY128">
        <v>1.8100000000000001E-4</v>
      </c>
      <c r="AZ128">
        <v>2.22E-4</v>
      </c>
      <c r="BA128">
        <v>2.22E-4</v>
      </c>
      <c r="BB128">
        <v>2.22E-4</v>
      </c>
      <c r="BC128">
        <v>2.22E-4</v>
      </c>
      <c r="BD128">
        <v>2.22E-4</v>
      </c>
      <c r="BE128">
        <v>2.9599999999999998E-4</v>
      </c>
      <c r="BF128">
        <v>2.9599999999999998E-4</v>
      </c>
      <c r="BG128">
        <v>2.9599999999999998E-4</v>
      </c>
      <c r="BH128">
        <v>2.9599999999999998E-4</v>
      </c>
      <c r="BI128">
        <v>2.9599999999999998E-4</v>
      </c>
      <c r="BJ128">
        <v>3.4000000000000002E-4</v>
      </c>
      <c r="BK128">
        <v>3.4000000000000002E-4</v>
      </c>
      <c r="BL128">
        <v>3.4000000000000002E-4</v>
      </c>
      <c r="BM128">
        <v>3.4000000000000002E-4</v>
      </c>
      <c r="BN128">
        <v>3.4000000000000002E-4</v>
      </c>
      <c r="BO128">
        <v>3.2000000000000003E-4</v>
      </c>
      <c r="BP128">
        <v>3.2000000000000003E-4</v>
      </c>
      <c r="BQ128">
        <v>3.2000000000000003E-4</v>
      </c>
      <c r="BR128">
        <v>3.2000000000000003E-4</v>
      </c>
      <c r="BS128">
        <v>3.2000000000000003E-4</v>
      </c>
      <c r="BT128">
        <v>2.3599999999999999E-4</v>
      </c>
      <c r="BU128">
        <v>2.3599999999999999E-4</v>
      </c>
      <c r="BV128">
        <v>2.3599999999999999E-4</v>
      </c>
      <c r="BW128">
        <v>2.3599999999999999E-4</v>
      </c>
      <c r="BX128">
        <v>2.3599999999999999E-4</v>
      </c>
      <c r="BY128">
        <v>7.2000000000000002E-5</v>
      </c>
      <c r="BZ128">
        <v>7.2000000000000002E-5</v>
      </c>
      <c r="CA128">
        <v>7.2000000000000002E-5</v>
      </c>
      <c r="CB128">
        <v>7.2000000000000002E-5</v>
      </c>
      <c r="CC128">
        <v>7.2000000000000002E-5</v>
      </c>
      <c r="CD128">
        <v>7.2000000000000002E-5</v>
      </c>
      <c r="CE128">
        <v>7.2000000000000002E-5</v>
      </c>
      <c r="CF128">
        <v>7.2000000000000002E-5</v>
      </c>
      <c r="CG128">
        <v>7.2000000000000002E-5</v>
      </c>
      <c r="CH128">
        <v>7.2000000000000002E-5</v>
      </c>
      <c r="CI128">
        <v>7.2000000000000002E-5</v>
      </c>
      <c r="CJ128">
        <v>7.2000000000000002E-5</v>
      </c>
      <c r="CK128">
        <v>7.2000000000000002E-5</v>
      </c>
      <c r="CL128">
        <v>7.2000000000000002E-5</v>
      </c>
      <c r="CM128">
        <v>7.2000000000000002E-5</v>
      </c>
      <c r="CN128">
        <v>7.2000000000000002E-5</v>
      </c>
      <c r="CO128">
        <v>7.2000000000000002E-5</v>
      </c>
      <c r="CP128">
        <v>7.2000000000000002E-5</v>
      </c>
      <c r="CQ128">
        <v>7.2000000000000002E-5</v>
      </c>
      <c r="CR128">
        <v>7.2000000000000002E-5</v>
      </c>
      <c r="CS128">
        <v>7.2000000000000002E-5</v>
      </c>
      <c r="CT128">
        <v>7.2000000000000002E-5</v>
      </c>
      <c r="CU128">
        <v>7.2000000000000002E-5</v>
      </c>
      <c r="CV128">
        <v>7.2000000000000002E-5</v>
      </c>
      <c r="CW128">
        <v>7.2000000000000002E-5</v>
      </c>
      <c r="CX128">
        <v>7.2000000000000002E-5</v>
      </c>
    </row>
    <row r="129" spans="1:102" x14ac:dyDescent="0.25">
      <c r="A129" t="s">
        <v>323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4.8999999999999998E-5</v>
      </c>
      <c r="R129">
        <v>4.8999999999999998E-5</v>
      </c>
      <c r="S129">
        <v>4.8999999999999998E-5</v>
      </c>
      <c r="T129">
        <v>4.8999999999999998E-5</v>
      </c>
      <c r="U129">
        <v>4.8999999999999998E-5</v>
      </c>
      <c r="V129">
        <v>4.8999999999999998E-5</v>
      </c>
      <c r="W129">
        <v>4.8999999999999998E-5</v>
      </c>
      <c r="X129">
        <v>4.8999999999999998E-5</v>
      </c>
      <c r="Y129">
        <v>4.8999999999999998E-5</v>
      </c>
      <c r="Z129">
        <v>4.8999999999999998E-5</v>
      </c>
      <c r="AA129">
        <v>4.8999999999999998E-5</v>
      </c>
      <c r="AB129">
        <v>4.8999999999999998E-5</v>
      </c>
      <c r="AC129">
        <v>4.8999999999999998E-5</v>
      </c>
      <c r="AD129">
        <v>4.8999999999999998E-5</v>
      </c>
      <c r="AE129">
        <v>4.8999999999999998E-5</v>
      </c>
      <c r="AF129">
        <v>4.8999999999999998E-5</v>
      </c>
      <c r="AG129">
        <v>4.8999999999999998E-5</v>
      </c>
      <c r="AH129">
        <v>4.8999999999999998E-5</v>
      </c>
      <c r="AI129">
        <v>4.8999999999999998E-5</v>
      </c>
      <c r="AJ129">
        <v>4.8999999999999998E-5</v>
      </c>
      <c r="AK129">
        <v>4.8999999999999998E-5</v>
      </c>
      <c r="AL129">
        <v>4.8999999999999998E-5</v>
      </c>
      <c r="AM129">
        <v>4.8999999999999998E-5</v>
      </c>
      <c r="AN129">
        <v>4.8999999999999998E-5</v>
      </c>
      <c r="AO129">
        <v>4.8999999999999998E-5</v>
      </c>
      <c r="AP129">
        <v>3.97E-4</v>
      </c>
      <c r="AQ129">
        <v>3.97E-4</v>
      </c>
      <c r="AR129">
        <v>3.97E-4</v>
      </c>
      <c r="AS129">
        <v>3.97E-4</v>
      </c>
      <c r="AT129">
        <v>3.97E-4</v>
      </c>
      <c r="AU129">
        <v>6.1300000000000005E-4</v>
      </c>
      <c r="AV129">
        <v>6.1300000000000005E-4</v>
      </c>
      <c r="AW129">
        <v>6.1300000000000005E-4</v>
      </c>
      <c r="AX129">
        <v>6.1300000000000005E-4</v>
      </c>
      <c r="AY129">
        <v>6.1300000000000005E-4</v>
      </c>
      <c r="AZ129">
        <v>7.9500000000000003E-4</v>
      </c>
      <c r="BA129">
        <v>7.9500000000000003E-4</v>
      </c>
      <c r="BB129">
        <v>7.9500000000000003E-4</v>
      </c>
      <c r="BC129">
        <v>7.9500000000000003E-4</v>
      </c>
      <c r="BD129">
        <v>7.9500000000000003E-4</v>
      </c>
      <c r="BE129">
        <v>9.7599999999999998E-4</v>
      </c>
      <c r="BF129">
        <v>9.7599999999999998E-4</v>
      </c>
      <c r="BG129">
        <v>9.7599999999999998E-4</v>
      </c>
      <c r="BH129">
        <v>9.7599999999999998E-4</v>
      </c>
      <c r="BI129">
        <v>9.7599999999999998E-4</v>
      </c>
      <c r="BJ129">
        <v>1.1479999999999999E-3</v>
      </c>
      <c r="BK129">
        <v>1.1479999999999999E-3</v>
      </c>
      <c r="BL129">
        <v>1.1479999999999999E-3</v>
      </c>
      <c r="BM129">
        <v>1.1479999999999999E-3</v>
      </c>
      <c r="BN129">
        <v>1.1479999999999999E-3</v>
      </c>
      <c r="BO129">
        <v>1.238E-3</v>
      </c>
      <c r="BP129">
        <v>1.238E-3</v>
      </c>
      <c r="BQ129">
        <v>1.238E-3</v>
      </c>
      <c r="BR129">
        <v>1.238E-3</v>
      </c>
      <c r="BS129">
        <v>1.238E-3</v>
      </c>
      <c r="BT129">
        <v>1.258E-3</v>
      </c>
      <c r="BU129">
        <v>1.258E-3</v>
      </c>
      <c r="BV129">
        <v>1.258E-3</v>
      </c>
      <c r="BW129">
        <v>1.258E-3</v>
      </c>
      <c r="BX129">
        <v>1.258E-3</v>
      </c>
      <c r="BY129">
        <v>1.2019999999999999E-3</v>
      </c>
      <c r="BZ129">
        <v>1.2019999999999999E-3</v>
      </c>
      <c r="CA129">
        <v>1.2019999999999999E-3</v>
      </c>
      <c r="CB129">
        <v>1.2019999999999999E-3</v>
      </c>
      <c r="CC129">
        <v>1.2019999999999999E-3</v>
      </c>
      <c r="CD129">
        <v>1.2019999999999999E-3</v>
      </c>
      <c r="CE129">
        <v>1.2019999999999999E-3</v>
      </c>
      <c r="CF129">
        <v>1.2019999999999999E-3</v>
      </c>
      <c r="CG129">
        <v>1.2019999999999999E-3</v>
      </c>
      <c r="CH129">
        <v>1.2019999999999999E-3</v>
      </c>
      <c r="CI129">
        <v>1.2019999999999999E-3</v>
      </c>
      <c r="CJ129">
        <v>1.2019999999999999E-3</v>
      </c>
      <c r="CK129">
        <v>1.2019999999999999E-3</v>
      </c>
      <c r="CL129">
        <v>1.2019999999999999E-3</v>
      </c>
      <c r="CM129">
        <v>1.2019999999999999E-3</v>
      </c>
      <c r="CN129">
        <v>1.2019999999999999E-3</v>
      </c>
      <c r="CO129">
        <v>1.2019999999999999E-3</v>
      </c>
      <c r="CP129">
        <v>1.2019999999999999E-3</v>
      </c>
      <c r="CQ129">
        <v>1.2019999999999999E-3</v>
      </c>
      <c r="CR129">
        <v>1.2019999999999999E-3</v>
      </c>
      <c r="CS129">
        <v>1.2019999999999999E-3</v>
      </c>
      <c r="CT129">
        <v>1.2019999999999999E-3</v>
      </c>
      <c r="CU129">
        <v>1.2019999999999999E-3</v>
      </c>
      <c r="CV129">
        <v>1.2019999999999999E-3</v>
      </c>
      <c r="CW129">
        <v>1.2019999999999999E-3</v>
      </c>
      <c r="CX129">
        <v>1.2019999999999999E-3</v>
      </c>
    </row>
    <row r="130" spans="1:102" x14ac:dyDescent="0.25">
      <c r="A130" t="s">
        <v>325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7.2000000000000002E-5</v>
      </c>
      <c r="R130">
        <v>7.2000000000000002E-5</v>
      </c>
      <c r="S130">
        <v>7.2000000000000002E-5</v>
      </c>
      <c r="T130">
        <v>7.2000000000000002E-5</v>
      </c>
      <c r="U130">
        <v>7.2000000000000002E-5</v>
      </c>
      <c r="V130">
        <v>7.2000000000000002E-5</v>
      </c>
      <c r="W130">
        <v>7.2000000000000002E-5</v>
      </c>
      <c r="X130">
        <v>7.2000000000000002E-5</v>
      </c>
      <c r="Y130">
        <v>7.2000000000000002E-5</v>
      </c>
      <c r="Z130">
        <v>7.2000000000000002E-5</v>
      </c>
      <c r="AA130">
        <v>7.2000000000000002E-5</v>
      </c>
      <c r="AB130">
        <v>7.2000000000000002E-5</v>
      </c>
      <c r="AC130">
        <v>7.2000000000000002E-5</v>
      </c>
      <c r="AD130">
        <v>7.2000000000000002E-5</v>
      </c>
      <c r="AE130">
        <v>7.2000000000000002E-5</v>
      </c>
      <c r="AF130">
        <v>7.2000000000000002E-5</v>
      </c>
      <c r="AG130">
        <v>7.2000000000000002E-5</v>
      </c>
      <c r="AH130">
        <v>7.2000000000000002E-5</v>
      </c>
      <c r="AI130">
        <v>7.2000000000000002E-5</v>
      </c>
      <c r="AJ130">
        <v>7.2000000000000002E-5</v>
      </c>
      <c r="AK130">
        <v>7.2000000000000002E-5</v>
      </c>
      <c r="AL130">
        <v>7.2000000000000002E-5</v>
      </c>
      <c r="AM130">
        <v>7.2000000000000002E-5</v>
      </c>
      <c r="AN130">
        <v>7.2000000000000002E-5</v>
      </c>
      <c r="AO130">
        <v>7.2000000000000002E-5</v>
      </c>
      <c r="AP130">
        <v>1.9000000000000001E-4</v>
      </c>
      <c r="AQ130">
        <v>1.9000000000000001E-4</v>
      </c>
      <c r="AR130">
        <v>1.9000000000000001E-4</v>
      </c>
      <c r="AS130">
        <v>1.9000000000000001E-4</v>
      </c>
      <c r="AT130">
        <v>1.9000000000000001E-4</v>
      </c>
      <c r="AU130">
        <v>2.02E-4</v>
      </c>
      <c r="AV130">
        <v>2.02E-4</v>
      </c>
      <c r="AW130">
        <v>2.02E-4</v>
      </c>
      <c r="AX130">
        <v>2.02E-4</v>
      </c>
      <c r="AY130">
        <v>2.02E-4</v>
      </c>
      <c r="AZ130">
        <v>2.0100000000000001E-4</v>
      </c>
      <c r="BA130">
        <v>2.0100000000000001E-4</v>
      </c>
      <c r="BB130">
        <v>2.0100000000000001E-4</v>
      </c>
      <c r="BC130">
        <v>2.0100000000000001E-4</v>
      </c>
      <c r="BD130">
        <v>2.0100000000000001E-4</v>
      </c>
      <c r="BE130">
        <v>1.8200000000000001E-4</v>
      </c>
      <c r="BF130">
        <v>1.8200000000000001E-4</v>
      </c>
      <c r="BG130">
        <v>1.8200000000000001E-4</v>
      </c>
      <c r="BH130">
        <v>1.8200000000000001E-4</v>
      </c>
      <c r="BI130">
        <v>1.8200000000000001E-4</v>
      </c>
      <c r="BJ130">
        <v>1.6000000000000001E-4</v>
      </c>
      <c r="BK130">
        <v>1.6000000000000001E-4</v>
      </c>
      <c r="BL130">
        <v>1.6000000000000001E-4</v>
      </c>
      <c r="BM130">
        <v>1.6000000000000001E-4</v>
      </c>
      <c r="BN130">
        <v>1.6000000000000001E-4</v>
      </c>
      <c r="BO130">
        <v>1.5100000000000001E-4</v>
      </c>
      <c r="BP130">
        <v>1.5100000000000001E-4</v>
      </c>
      <c r="BQ130">
        <v>1.5100000000000001E-4</v>
      </c>
      <c r="BR130">
        <v>1.5100000000000001E-4</v>
      </c>
      <c r="BS130">
        <v>1.5100000000000001E-4</v>
      </c>
      <c r="BT130">
        <v>1.45E-4</v>
      </c>
      <c r="BU130">
        <v>1.45E-4</v>
      </c>
      <c r="BV130">
        <v>1.45E-4</v>
      </c>
      <c r="BW130">
        <v>1.45E-4</v>
      </c>
      <c r="BX130">
        <v>1.45E-4</v>
      </c>
      <c r="BY130">
        <v>1.5300000000000001E-4</v>
      </c>
      <c r="BZ130">
        <v>1.5300000000000001E-4</v>
      </c>
      <c r="CA130">
        <v>1.5300000000000001E-4</v>
      </c>
      <c r="CB130">
        <v>1.5300000000000001E-4</v>
      </c>
      <c r="CC130">
        <v>1.5300000000000001E-4</v>
      </c>
      <c r="CD130">
        <v>1.5300000000000001E-4</v>
      </c>
      <c r="CE130">
        <v>1.5300000000000001E-4</v>
      </c>
      <c r="CF130">
        <v>1.5300000000000001E-4</v>
      </c>
      <c r="CG130">
        <v>1.5300000000000001E-4</v>
      </c>
      <c r="CH130">
        <v>1.5300000000000001E-4</v>
      </c>
      <c r="CI130">
        <v>1.5300000000000001E-4</v>
      </c>
      <c r="CJ130">
        <v>1.5300000000000001E-4</v>
      </c>
      <c r="CK130">
        <v>1.5300000000000001E-4</v>
      </c>
      <c r="CL130">
        <v>1.5300000000000001E-4</v>
      </c>
      <c r="CM130">
        <v>1.5300000000000001E-4</v>
      </c>
      <c r="CN130">
        <v>1.5300000000000001E-4</v>
      </c>
      <c r="CO130">
        <v>1.5300000000000001E-4</v>
      </c>
      <c r="CP130">
        <v>1.5300000000000001E-4</v>
      </c>
      <c r="CQ130">
        <v>1.5300000000000001E-4</v>
      </c>
      <c r="CR130">
        <v>1.5300000000000001E-4</v>
      </c>
      <c r="CS130">
        <v>1.5300000000000001E-4</v>
      </c>
      <c r="CT130">
        <v>1.5300000000000001E-4</v>
      </c>
      <c r="CU130">
        <v>1.5300000000000001E-4</v>
      </c>
      <c r="CV130">
        <v>1.5300000000000001E-4</v>
      </c>
      <c r="CW130">
        <v>1.5300000000000001E-4</v>
      </c>
      <c r="CX130">
        <v>1.5300000000000001E-4</v>
      </c>
    </row>
    <row r="131" spans="1:102" x14ac:dyDescent="0.25">
      <c r="A131" t="s">
        <v>327</v>
      </c>
      <c r="B131" t="e">
        <v>#VALUE!</v>
      </c>
      <c r="C131" t="e">
        <v>#VALUE!</v>
      </c>
      <c r="D131" t="e">
        <v>#VALUE!</v>
      </c>
      <c r="E131" t="e">
        <v>#VALUE!</v>
      </c>
      <c r="F131" t="e">
        <v>#VALUE!</v>
      </c>
      <c r="G131" t="e">
        <v>#VALUE!</v>
      </c>
      <c r="H131" t="e">
        <v>#VALUE!</v>
      </c>
      <c r="I131" t="e">
        <v>#VALUE!</v>
      </c>
      <c r="J131" t="e">
        <v>#VALUE!</v>
      </c>
      <c r="K131" t="e">
        <v>#VALUE!</v>
      </c>
      <c r="L131" t="e">
        <v>#VALUE!</v>
      </c>
      <c r="M131" t="e">
        <v>#VALUE!</v>
      </c>
      <c r="N131" t="e">
        <v>#VALUE!</v>
      </c>
      <c r="O131" t="e">
        <v>#VALUE!</v>
      </c>
      <c r="P131" t="e">
        <v>#VALUE!</v>
      </c>
      <c r="Q131">
        <v>1.18E-4</v>
      </c>
      <c r="R131">
        <v>1.18E-4</v>
      </c>
      <c r="S131">
        <v>1.18E-4</v>
      </c>
      <c r="T131">
        <v>1.18E-4</v>
      </c>
      <c r="U131">
        <v>1.18E-4</v>
      </c>
      <c r="V131">
        <v>1.18E-4</v>
      </c>
      <c r="W131">
        <v>1.18E-4</v>
      </c>
      <c r="X131">
        <v>1.18E-4</v>
      </c>
      <c r="Y131">
        <v>1.18E-4</v>
      </c>
      <c r="Z131">
        <v>1.18E-4</v>
      </c>
      <c r="AA131">
        <v>1.18E-4</v>
      </c>
      <c r="AB131">
        <v>1.18E-4</v>
      </c>
      <c r="AC131">
        <v>1.18E-4</v>
      </c>
      <c r="AD131">
        <v>1.18E-4</v>
      </c>
      <c r="AE131">
        <v>1.18E-4</v>
      </c>
      <c r="AF131">
        <v>1.18E-4</v>
      </c>
      <c r="AG131">
        <v>1.18E-4</v>
      </c>
      <c r="AH131">
        <v>1.18E-4</v>
      </c>
      <c r="AI131">
        <v>1.18E-4</v>
      </c>
      <c r="AJ131">
        <v>1.18E-4</v>
      </c>
      <c r="AK131">
        <v>1.18E-4</v>
      </c>
      <c r="AL131">
        <v>1.18E-4</v>
      </c>
      <c r="AM131">
        <v>1.18E-4</v>
      </c>
      <c r="AN131">
        <v>1.18E-4</v>
      </c>
      <c r="AO131">
        <v>1.18E-4</v>
      </c>
      <c r="AP131">
        <v>2.0799999999999999E-4</v>
      </c>
      <c r="AQ131">
        <v>2.0799999999999999E-4</v>
      </c>
      <c r="AR131">
        <v>2.0799999999999999E-4</v>
      </c>
      <c r="AS131">
        <v>2.0799999999999999E-4</v>
      </c>
      <c r="AT131">
        <v>2.0799999999999999E-4</v>
      </c>
      <c r="AU131">
        <v>1.9000000000000001E-4</v>
      </c>
      <c r="AV131">
        <v>1.9000000000000001E-4</v>
      </c>
      <c r="AW131">
        <v>1.9000000000000001E-4</v>
      </c>
      <c r="AX131">
        <v>1.9000000000000001E-4</v>
      </c>
      <c r="AY131">
        <v>1.9000000000000001E-4</v>
      </c>
      <c r="AZ131">
        <v>1.6899999999999999E-4</v>
      </c>
      <c r="BA131">
        <v>1.6899999999999999E-4</v>
      </c>
      <c r="BB131">
        <v>1.6899999999999999E-4</v>
      </c>
      <c r="BC131">
        <v>1.6899999999999999E-4</v>
      </c>
      <c r="BD131">
        <v>1.6899999999999999E-4</v>
      </c>
      <c r="BE131">
        <v>1.5799999999999999E-4</v>
      </c>
      <c r="BF131">
        <v>1.5799999999999999E-4</v>
      </c>
      <c r="BG131">
        <v>1.5799999999999999E-4</v>
      </c>
      <c r="BH131">
        <v>1.5799999999999999E-4</v>
      </c>
      <c r="BI131">
        <v>1.5799999999999999E-4</v>
      </c>
      <c r="BJ131">
        <v>1.44E-4</v>
      </c>
      <c r="BK131">
        <v>1.44E-4</v>
      </c>
      <c r="BL131">
        <v>1.44E-4</v>
      </c>
      <c r="BM131">
        <v>1.44E-4</v>
      </c>
      <c r="BN131">
        <v>1.44E-4</v>
      </c>
      <c r="BO131">
        <v>1.35E-4</v>
      </c>
      <c r="BP131">
        <v>1.35E-4</v>
      </c>
      <c r="BQ131">
        <v>1.35E-4</v>
      </c>
      <c r="BR131">
        <v>1.35E-4</v>
      </c>
      <c r="BS131">
        <v>1.35E-4</v>
      </c>
      <c r="BT131">
        <v>1.4100000000000001E-4</v>
      </c>
      <c r="BU131">
        <v>1.4100000000000001E-4</v>
      </c>
      <c r="BV131">
        <v>1.4100000000000001E-4</v>
      </c>
      <c r="BW131">
        <v>1.4100000000000001E-4</v>
      </c>
      <c r="BX131">
        <v>1.4100000000000001E-4</v>
      </c>
      <c r="BY131">
        <v>1.3899999999999999E-4</v>
      </c>
      <c r="BZ131">
        <v>1.3899999999999999E-4</v>
      </c>
      <c r="CA131">
        <v>1.3899999999999999E-4</v>
      </c>
      <c r="CB131">
        <v>1.3899999999999999E-4</v>
      </c>
      <c r="CC131">
        <v>1.3899999999999999E-4</v>
      </c>
      <c r="CD131">
        <v>1.3899999999999999E-4</v>
      </c>
      <c r="CE131">
        <v>1.3899999999999999E-4</v>
      </c>
      <c r="CF131">
        <v>1.3899999999999999E-4</v>
      </c>
      <c r="CG131">
        <v>1.3899999999999999E-4</v>
      </c>
      <c r="CH131">
        <v>1.3899999999999999E-4</v>
      </c>
      <c r="CI131">
        <v>1.3899999999999999E-4</v>
      </c>
      <c r="CJ131">
        <v>1.3899999999999999E-4</v>
      </c>
      <c r="CK131">
        <v>1.3899999999999999E-4</v>
      </c>
      <c r="CL131">
        <v>1.3899999999999999E-4</v>
      </c>
      <c r="CM131">
        <v>1.3899999999999999E-4</v>
      </c>
      <c r="CN131">
        <v>1.3899999999999999E-4</v>
      </c>
      <c r="CO131">
        <v>1.3899999999999999E-4</v>
      </c>
      <c r="CP131">
        <v>1.3899999999999999E-4</v>
      </c>
      <c r="CQ131">
        <v>1.3899999999999999E-4</v>
      </c>
      <c r="CR131">
        <v>1.3899999999999999E-4</v>
      </c>
      <c r="CS131">
        <v>1.3899999999999999E-4</v>
      </c>
      <c r="CT131">
        <v>1.3899999999999999E-4</v>
      </c>
      <c r="CU131">
        <v>1.3899999999999999E-4</v>
      </c>
      <c r="CV131">
        <v>1.3899999999999999E-4</v>
      </c>
      <c r="CW131">
        <v>1.3899999999999999E-4</v>
      </c>
      <c r="CX131">
        <v>1.3899999999999999E-4</v>
      </c>
    </row>
    <row r="132" spans="1:102" x14ac:dyDescent="0.25">
      <c r="A132" t="s">
        <v>329</v>
      </c>
      <c r="B132" t="e">
        <v>#VALUE!</v>
      </c>
      <c r="C132" t="e">
        <v>#VALUE!</v>
      </c>
      <c r="D132" t="e">
        <v>#VALUE!</v>
      </c>
      <c r="E132" t="e">
        <v>#VALUE!</v>
      </c>
      <c r="F132" t="e">
        <v>#VALUE!</v>
      </c>
      <c r="G132" t="e">
        <v>#VALUE!</v>
      </c>
      <c r="H132" t="e">
        <v>#VALUE!</v>
      </c>
      <c r="I132" t="e">
        <v>#VALUE!</v>
      </c>
      <c r="J132" t="e">
        <v>#VALUE!</v>
      </c>
      <c r="K132" t="e">
        <v>#VALUE!</v>
      </c>
      <c r="L132" t="e">
        <v>#VALUE!</v>
      </c>
      <c r="M132" t="e">
        <v>#VALUE!</v>
      </c>
      <c r="N132" t="e">
        <v>#VALUE!</v>
      </c>
      <c r="O132" t="e">
        <v>#VALUE!</v>
      </c>
      <c r="P132" t="e">
        <v>#VALUE!</v>
      </c>
      <c r="Q132">
        <v>1.4E-5</v>
      </c>
      <c r="R132">
        <v>1.4E-5</v>
      </c>
      <c r="S132">
        <v>1.4E-5</v>
      </c>
      <c r="T132">
        <v>1.4E-5</v>
      </c>
      <c r="U132">
        <v>1.4E-5</v>
      </c>
      <c r="V132">
        <v>1.4E-5</v>
      </c>
      <c r="W132">
        <v>1.4E-5</v>
      </c>
      <c r="X132">
        <v>1.4E-5</v>
      </c>
      <c r="Y132">
        <v>1.4E-5</v>
      </c>
      <c r="Z132">
        <v>1.4E-5</v>
      </c>
      <c r="AA132">
        <v>1.4E-5</v>
      </c>
      <c r="AB132">
        <v>1.4E-5</v>
      </c>
      <c r="AC132">
        <v>1.4E-5</v>
      </c>
      <c r="AD132">
        <v>1.4E-5</v>
      </c>
      <c r="AE132">
        <v>1.4E-5</v>
      </c>
      <c r="AF132">
        <v>1.4E-5</v>
      </c>
      <c r="AG132">
        <v>1.4E-5</v>
      </c>
      <c r="AH132">
        <v>1.4E-5</v>
      </c>
      <c r="AI132">
        <v>1.4E-5</v>
      </c>
      <c r="AJ132">
        <v>1.4E-5</v>
      </c>
      <c r="AK132">
        <v>1.4E-5</v>
      </c>
      <c r="AL132">
        <v>1.4E-5</v>
      </c>
      <c r="AM132">
        <v>1.4E-5</v>
      </c>
      <c r="AN132">
        <v>1.4E-5</v>
      </c>
      <c r="AO132">
        <v>1.4E-5</v>
      </c>
      <c r="AP132">
        <v>6.4999999999999994E-5</v>
      </c>
      <c r="AQ132">
        <v>6.4999999999999994E-5</v>
      </c>
      <c r="AR132">
        <v>6.4999999999999994E-5</v>
      </c>
      <c r="AS132">
        <v>6.4999999999999994E-5</v>
      </c>
      <c r="AT132">
        <v>6.4999999999999994E-5</v>
      </c>
      <c r="AU132">
        <v>1.1400000000000001E-4</v>
      </c>
      <c r="AV132">
        <v>1.1400000000000001E-4</v>
      </c>
      <c r="AW132">
        <v>1.1400000000000001E-4</v>
      </c>
      <c r="AX132">
        <v>1.1400000000000001E-4</v>
      </c>
      <c r="AY132">
        <v>1.1400000000000001E-4</v>
      </c>
      <c r="AZ132">
        <v>1.3899999999999999E-4</v>
      </c>
      <c r="BA132">
        <v>1.3899999999999999E-4</v>
      </c>
      <c r="BB132">
        <v>1.3899999999999999E-4</v>
      </c>
      <c r="BC132">
        <v>1.3899999999999999E-4</v>
      </c>
      <c r="BD132">
        <v>1.3899999999999999E-4</v>
      </c>
      <c r="BE132">
        <v>1.93E-4</v>
      </c>
      <c r="BF132">
        <v>1.93E-4</v>
      </c>
      <c r="BG132">
        <v>1.93E-4</v>
      </c>
      <c r="BH132">
        <v>1.93E-4</v>
      </c>
      <c r="BI132">
        <v>1.93E-4</v>
      </c>
      <c r="BJ132">
        <v>1.6200000000000001E-4</v>
      </c>
      <c r="BK132">
        <v>1.6200000000000001E-4</v>
      </c>
      <c r="BL132">
        <v>1.6200000000000001E-4</v>
      </c>
      <c r="BM132">
        <v>1.6200000000000001E-4</v>
      </c>
      <c r="BN132">
        <v>1.6200000000000001E-4</v>
      </c>
      <c r="BO132">
        <v>2.9799999999999998E-4</v>
      </c>
      <c r="BP132">
        <v>2.9799999999999998E-4</v>
      </c>
      <c r="BQ132">
        <v>2.9799999999999998E-4</v>
      </c>
      <c r="BR132">
        <v>2.9799999999999998E-4</v>
      </c>
      <c r="BS132">
        <v>2.9799999999999998E-4</v>
      </c>
      <c r="BT132">
        <v>2.1100000000000001E-4</v>
      </c>
      <c r="BU132">
        <v>2.1100000000000001E-4</v>
      </c>
      <c r="BV132">
        <v>2.1100000000000001E-4</v>
      </c>
      <c r="BW132">
        <v>2.1100000000000001E-4</v>
      </c>
      <c r="BX132">
        <v>2.1100000000000001E-4</v>
      </c>
      <c r="BY132">
        <v>1.4300000000000001E-4</v>
      </c>
      <c r="BZ132">
        <v>1.4300000000000001E-4</v>
      </c>
      <c r="CA132">
        <v>1.4300000000000001E-4</v>
      </c>
      <c r="CB132">
        <v>1.4300000000000001E-4</v>
      </c>
      <c r="CC132">
        <v>1.4300000000000001E-4</v>
      </c>
      <c r="CD132">
        <v>1.4300000000000001E-4</v>
      </c>
      <c r="CE132">
        <v>1.4300000000000001E-4</v>
      </c>
      <c r="CF132">
        <v>1.4300000000000001E-4</v>
      </c>
      <c r="CG132">
        <v>1.4300000000000001E-4</v>
      </c>
      <c r="CH132">
        <v>1.4300000000000001E-4</v>
      </c>
      <c r="CI132">
        <v>1.4300000000000001E-4</v>
      </c>
      <c r="CJ132">
        <v>1.4300000000000001E-4</v>
      </c>
      <c r="CK132">
        <v>1.4300000000000001E-4</v>
      </c>
      <c r="CL132">
        <v>1.4300000000000001E-4</v>
      </c>
      <c r="CM132">
        <v>1.4300000000000001E-4</v>
      </c>
      <c r="CN132">
        <v>1.4300000000000001E-4</v>
      </c>
      <c r="CO132">
        <v>1.4300000000000001E-4</v>
      </c>
      <c r="CP132">
        <v>1.4300000000000001E-4</v>
      </c>
      <c r="CQ132">
        <v>1.4300000000000001E-4</v>
      </c>
      <c r="CR132">
        <v>1.4300000000000001E-4</v>
      </c>
      <c r="CS132">
        <v>1.4300000000000001E-4</v>
      </c>
      <c r="CT132">
        <v>1.4300000000000001E-4</v>
      </c>
      <c r="CU132">
        <v>1.4300000000000001E-4</v>
      </c>
      <c r="CV132">
        <v>1.4300000000000001E-4</v>
      </c>
      <c r="CW132">
        <v>1.4300000000000001E-4</v>
      </c>
      <c r="CX132">
        <v>1.4300000000000001E-4</v>
      </c>
    </row>
    <row r="133" spans="1:102" x14ac:dyDescent="0.25">
      <c r="A133" t="s">
        <v>331</v>
      </c>
      <c r="B133" t="e">
        <v>#VALUE!</v>
      </c>
      <c r="C133" t="e">
        <v>#VALUE!</v>
      </c>
      <c r="D133" t="e">
        <v>#VALUE!</v>
      </c>
      <c r="E133" t="e">
        <v>#VALUE!</v>
      </c>
      <c r="F133" t="e">
        <v>#VALUE!</v>
      </c>
      <c r="G133" t="e">
        <v>#VALUE!</v>
      </c>
      <c r="H133" t="e">
        <v>#VALUE!</v>
      </c>
      <c r="I133" t="e">
        <v>#VALUE!</v>
      </c>
      <c r="J133" t="e">
        <v>#VALUE!</v>
      </c>
      <c r="K133" t="e">
        <v>#VALUE!</v>
      </c>
      <c r="L133" t="e">
        <v>#VALUE!</v>
      </c>
      <c r="M133" t="e">
        <v>#VALUE!</v>
      </c>
      <c r="N133" t="e">
        <v>#VALUE!</v>
      </c>
      <c r="O133" t="e">
        <v>#VALUE!</v>
      </c>
      <c r="P133" t="e">
        <v>#VALUE!</v>
      </c>
      <c r="Q133">
        <v>2.5000000000000001E-5</v>
      </c>
      <c r="R133">
        <v>2.5000000000000001E-5</v>
      </c>
      <c r="S133">
        <v>2.5000000000000001E-5</v>
      </c>
      <c r="T133">
        <v>2.5000000000000001E-5</v>
      </c>
      <c r="U133">
        <v>2.5000000000000001E-5</v>
      </c>
      <c r="V133">
        <v>2.5000000000000001E-5</v>
      </c>
      <c r="W133">
        <v>2.5000000000000001E-5</v>
      </c>
      <c r="X133">
        <v>2.5000000000000001E-5</v>
      </c>
      <c r="Y133">
        <v>2.5000000000000001E-5</v>
      </c>
      <c r="Z133">
        <v>2.5000000000000001E-5</v>
      </c>
      <c r="AA133">
        <v>2.5000000000000001E-5</v>
      </c>
      <c r="AB133">
        <v>2.5000000000000001E-5</v>
      </c>
      <c r="AC133">
        <v>2.5000000000000001E-5</v>
      </c>
      <c r="AD133">
        <v>2.5000000000000001E-5</v>
      </c>
      <c r="AE133">
        <v>2.5000000000000001E-5</v>
      </c>
      <c r="AF133">
        <v>2.5000000000000001E-5</v>
      </c>
      <c r="AG133">
        <v>2.5000000000000001E-5</v>
      </c>
      <c r="AH133">
        <v>2.5000000000000001E-5</v>
      </c>
      <c r="AI133">
        <v>2.5000000000000001E-5</v>
      </c>
      <c r="AJ133">
        <v>2.5000000000000001E-5</v>
      </c>
      <c r="AK133">
        <v>2.5000000000000001E-5</v>
      </c>
      <c r="AL133">
        <v>2.5000000000000001E-5</v>
      </c>
      <c r="AM133">
        <v>2.5000000000000001E-5</v>
      </c>
      <c r="AN133">
        <v>2.5000000000000001E-5</v>
      </c>
      <c r="AO133">
        <v>2.5000000000000001E-5</v>
      </c>
      <c r="AP133">
        <v>1.4999999999999999E-4</v>
      </c>
      <c r="AQ133">
        <v>1.4999999999999999E-4</v>
      </c>
      <c r="AR133">
        <v>1.4999999999999999E-4</v>
      </c>
      <c r="AS133">
        <v>1.4999999999999999E-4</v>
      </c>
      <c r="AT133">
        <v>1.4999999999999999E-4</v>
      </c>
      <c r="AU133">
        <v>2.34E-4</v>
      </c>
      <c r="AV133">
        <v>2.34E-4</v>
      </c>
      <c r="AW133">
        <v>2.34E-4</v>
      </c>
      <c r="AX133">
        <v>2.34E-4</v>
      </c>
      <c r="AY133">
        <v>2.34E-4</v>
      </c>
      <c r="AZ133">
        <v>3.0400000000000002E-4</v>
      </c>
      <c r="BA133">
        <v>3.0400000000000002E-4</v>
      </c>
      <c r="BB133">
        <v>3.0400000000000002E-4</v>
      </c>
      <c r="BC133">
        <v>3.0400000000000002E-4</v>
      </c>
      <c r="BD133">
        <v>3.0400000000000002E-4</v>
      </c>
      <c r="BE133">
        <v>3.0499999999999999E-4</v>
      </c>
      <c r="BF133">
        <v>3.0499999999999999E-4</v>
      </c>
      <c r="BG133">
        <v>3.0499999999999999E-4</v>
      </c>
      <c r="BH133">
        <v>3.0499999999999999E-4</v>
      </c>
      <c r="BI133">
        <v>3.0499999999999999E-4</v>
      </c>
      <c r="BJ133">
        <v>2.42E-4</v>
      </c>
      <c r="BK133">
        <v>2.42E-4</v>
      </c>
      <c r="BL133">
        <v>2.42E-4</v>
      </c>
      <c r="BM133">
        <v>2.42E-4</v>
      </c>
      <c r="BN133">
        <v>2.42E-4</v>
      </c>
      <c r="BO133">
        <v>1.8699999999999999E-4</v>
      </c>
      <c r="BP133">
        <v>1.8699999999999999E-4</v>
      </c>
      <c r="BQ133">
        <v>1.8699999999999999E-4</v>
      </c>
      <c r="BR133">
        <v>1.8699999999999999E-4</v>
      </c>
      <c r="BS133">
        <v>1.8699999999999999E-4</v>
      </c>
      <c r="BT133">
        <v>1.25E-4</v>
      </c>
      <c r="BU133">
        <v>1.25E-4</v>
      </c>
      <c r="BV133">
        <v>1.25E-4</v>
      </c>
      <c r="BW133">
        <v>1.25E-4</v>
      </c>
      <c r="BX133">
        <v>1.25E-4</v>
      </c>
      <c r="BY133">
        <v>6.0999999999999999E-5</v>
      </c>
      <c r="BZ133">
        <v>6.0999999999999999E-5</v>
      </c>
      <c r="CA133">
        <v>6.0999999999999999E-5</v>
      </c>
      <c r="CB133">
        <v>6.0999999999999999E-5</v>
      </c>
      <c r="CC133">
        <v>6.0999999999999999E-5</v>
      </c>
      <c r="CD133">
        <v>6.0999999999999999E-5</v>
      </c>
      <c r="CE133">
        <v>6.0999999999999999E-5</v>
      </c>
      <c r="CF133">
        <v>6.0999999999999999E-5</v>
      </c>
      <c r="CG133">
        <v>6.0999999999999999E-5</v>
      </c>
      <c r="CH133">
        <v>6.0999999999999999E-5</v>
      </c>
      <c r="CI133">
        <v>6.0999999999999999E-5</v>
      </c>
      <c r="CJ133">
        <v>6.0999999999999999E-5</v>
      </c>
      <c r="CK133">
        <v>6.0999999999999999E-5</v>
      </c>
      <c r="CL133">
        <v>6.0999999999999999E-5</v>
      </c>
      <c r="CM133">
        <v>6.0999999999999999E-5</v>
      </c>
      <c r="CN133">
        <v>6.0999999999999999E-5</v>
      </c>
      <c r="CO133">
        <v>6.0999999999999999E-5</v>
      </c>
      <c r="CP133">
        <v>6.0999999999999999E-5</v>
      </c>
      <c r="CQ133">
        <v>6.0999999999999999E-5</v>
      </c>
      <c r="CR133">
        <v>6.0999999999999999E-5</v>
      </c>
      <c r="CS133">
        <v>6.0999999999999999E-5</v>
      </c>
      <c r="CT133">
        <v>6.0999999999999999E-5</v>
      </c>
      <c r="CU133">
        <v>6.0999999999999999E-5</v>
      </c>
      <c r="CV133">
        <v>6.0999999999999999E-5</v>
      </c>
      <c r="CW133">
        <v>6.0999999999999999E-5</v>
      </c>
      <c r="CX133">
        <v>6.0999999999999999E-5</v>
      </c>
    </row>
    <row r="134" spans="1:102" x14ac:dyDescent="0.25">
      <c r="A134" t="s">
        <v>333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7.2000000000000002E-5</v>
      </c>
      <c r="R134">
        <v>7.2000000000000002E-5</v>
      </c>
      <c r="S134">
        <v>7.2000000000000002E-5</v>
      </c>
      <c r="T134">
        <v>7.2000000000000002E-5</v>
      </c>
      <c r="U134">
        <v>7.2000000000000002E-5</v>
      </c>
      <c r="V134">
        <v>7.2000000000000002E-5</v>
      </c>
      <c r="W134">
        <v>7.2000000000000002E-5</v>
      </c>
      <c r="X134">
        <v>7.2000000000000002E-5</v>
      </c>
      <c r="Y134">
        <v>7.2000000000000002E-5</v>
      </c>
      <c r="Z134">
        <v>7.2000000000000002E-5</v>
      </c>
      <c r="AA134">
        <v>7.2000000000000002E-5</v>
      </c>
      <c r="AB134">
        <v>7.2000000000000002E-5</v>
      </c>
      <c r="AC134">
        <v>7.2000000000000002E-5</v>
      </c>
      <c r="AD134">
        <v>7.2000000000000002E-5</v>
      </c>
      <c r="AE134">
        <v>7.2000000000000002E-5</v>
      </c>
      <c r="AF134">
        <v>7.2000000000000002E-5</v>
      </c>
      <c r="AG134">
        <v>7.2000000000000002E-5</v>
      </c>
      <c r="AH134">
        <v>7.2000000000000002E-5</v>
      </c>
      <c r="AI134">
        <v>7.2000000000000002E-5</v>
      </c>
      <c r="AJ134">
        <v>7.2000000000000002E-5</v>
      </c>
      <c r="AK134">
        <v>7.2000000000000002E-5</v>
      </c>
      <c r="AL134">
        <v>7.2000000000000002E-5</v>
      </c>
      <c r="AM134">
        <v>7.2000000000000002E-5</v>
      </c>
      <c r="AN134">
        <v>7.2000000000000002E-5</v>
      </c>
      <c r="AO134">
        <v>7.2000000000000002E-5</v>
      </c>
      <c r="AP134">
        <v>1.9000000000000001E-4</v>
      </c>
      <c r="AQ134">
        <v>1.9000000000000001E-4</v>
      </c>
      <c r="AR134">
        <v>1.9000000000000001E-4</v>
      </c>
      <c r="AS134">
        <v>1.9000000000000001E-4</v>
      </c>
      <c r="AT134">
        <v>1.9000000000000001E-4</v>
      </c>
      <c r="AU134">
        <v>2.02E-4</v>
      </c>
      <c r="AV134">
        <v>2.02E-4</v>
      </c>
      <c r="AW134">
        <v>2.02E-4</v>
      </c>
      <c r="AX134">
        <v>2.02E-4</v>
      </c>
      <c r="AY134">
        <v>2.02E-4</v>
      </c>
      <c r="AZ134">
        <v>2.0100000000000001E-4</v>
      </c>
      <c r="BA134">
        <v>2.0100000000000001E-4</v>
      </c>
      <c r="BB134">
        <v>2.0100000000000001E-4</v>
      </c>
      <c r="BC134">
        <v>2.0100000000000001E-4</v>
      </c>
      <c r="BD134">
        <v>2.0100000000000001E-4</v>
      </c>
      <c r="BE134">
        <v>1.8200000000000001E-4</v>
      </c>
      <c r="BF134">
        <v>1.8200000000000001E-4</v>
      </c>
      <c r="BG134">
        <v>1.8200000000000001E-4</v>
      </c>
      <c r="BH134">
        <v>1.8200000000000001E-4</v>
      </c>
      <c r="BI134">
        <v>1.8200000000000001E-4</v>
      </c>
      <c r="BJ134">
        <v>1.6000000000000001E-4</v>
      </c>
      <c r="BK134">
        <v>1.6000000000000001E-4</v>
      </c>
      <c r="BL134">
        <v>1.6000000000000001E-4</v>
      </c>
      <c r="BM134">
        <v>1.6000000000000001E-4</v>
      </c>
      <c r="BN134">
        <v>1.6000000000000001E-4</v>
      </c>
      <c r="BO134">
        <v>1.5100000000000001E-4</v>
      </c>
      <c r="BP134">
        <v>1.5100000000000001E-4</v>
      </c>
      <c r="BQ134">
        <v>1.5100000000000001E-4</v>
      </c>
      <c r="BR134">
        <v>1.5100000000000001E-4</v>
      </c>
      <c r="BS134">
        <v>1.5100000000000001E-4</v>
      </c>
      <c r="BT134">
        <v>1.45E-4</v>
      </c>
      <c r="BU134">
        <v>1.45E-4</v>
      </c>
      <c r="BV134">
        <v>1.45E-4</v>
      </c>
      <c r="BW134">
        <v>1.45E-4</v>
      </c>
      <c r="BX134">
        <v>1.45E-4</v>
      </c>
      <c r="BY134">
        <v>1.5300000000000001E-4</v>
      </c>
      <c r="BZ134">
        <v>1.5300000000000001E-4</v>
      </c>
      <c r="CA134">
        <v>1.5300000000000001E-4</v>
      </c>
      <c r="CB134">
        <v>1.5300000000000001E-4</v>
      </c>
      <c r="CC134">
        <v>1.5300000000000001E-4</v>
      </c>
      <c r="CD134">
        <v>1.5300000000000001E-4</v>
      </c>
      <c r="CE134">
        <v>1.5300000000000001E-4</v>
      </c>
      <c r="CF134">
        <v>1.5300000000000001E-4</v>
      </c>
      <c r="CG134">
        <v>1.5300000000000001E-4</v>
      </c>
      <c r="CH134">
        <v>1.5300000000000001E-4</v>
      </c>
      <c r="CI134">
        <v>1.5300000000000001E-4</v>
      </c>
      <c r="CJ134">
        <v>1.5300000000000001E-4</v>
      </c>
      <c r="CK134">
        <v>1.5300000000000001E-4</v>
      </c>
      <c r="CL134">
        <v>1.5300000000000001E-4</v>
      </c>
      <c r="CM134">
        <v>1.5300000000000001E-4</v>
      </c>
      <c r="CN134">
        <v>1.5300000000000001E-4</v>
      </c>
      <c r="CO134">
        <v>1.5300000000000001E-4</v>
      </c>
      <c r="CP134">
        <v>1.5300000000000001E-4</v>
      </c>
      <c r="CQ134">
        <v>1.5300000000000001E-4</v>
      </c>
      <c r="CR134">
        <v>1.5300000000000001E-4</v>
      </c>
      <c r="CS134">
        <v>1.5300000000000001E-4</v>
      </c>
      <c r="CT134">
        <v>1.5300000000000001E-4</v>
      </c>
      <c r="CU134">
        <v>1.5300000000000001E-4</v>
      </c>
      <c r="CV134">
        <v>1.5300000000000001E-4</v>
      </c>
      <c r="CW134">
        <v>1.5300000000000001E-4</v>
      </c>
      <c r="CX134">
        <v>1.5300000000000001E-4</v>
      </c>
    </row>
    <row r="135" spans="1:102" x14ac:dyDescent="0.25">
      <c r="A135" t="s">
        <v>335</v>
      </c>
      <c r="B135" t="e">
        <v>#VALUE!</v>
      </c>
      <c r="C135" t="e">
        <v>#VALUE!</v>
      </c>
      <c r="D135" t="e">
        <v>#VALUE!</v>
      </c>
      <c r="E135" t="e">
        <v>#VALUE!</v>
      </c>
      <c r="F135" t="e">
        <v>#VALUE!</v>
      </c>
      <c r="G135" t="e">
        <v>#VALUE!</v>
      </c>
      <c r="H135" t="e">
        <v>#VALUE!</v>
      </c>
      <c r="I135" t="e">
        <v>#VALUE!</v>
      </c>
      <c r="J135" t="e">
        <v>#VALUE!</v>
      </c>
      <c r="K135" t="e">
        <v>#VALUE!</v>
      </c>
      <c r="L135" t="e">
        <v>#VALUE!</v>
      </c>
      <c r="M135" t="e">
        <v>#VALUE!</v>
      </c>
      <c r="N135" t="e">
        <v>#VALUE!</v>
      </c>
      <c r="O135" t="e">
        <v>#VALUE!</v>
      </c>
      <c r="P135" t="e">
        <v>#VALUE!</v>
      </c>
      <c r="Q135">
        <v>1.4899999999999999E-4</v>
      </c>
      <c r="R135">
        <v>1.4899999999999999E-4</v>
      </c>
      <c r="S135">
        <v>1.4899999999999999E-4</v>
      </c>
      <c r="T135">
        <v>1.4899999999999999E-4</v>
      </c>
      <c r="U135">
        <v>1.4899999999999999E-4</v>
      </c>
      <c r="V135">
        <v>1.4899999999999999E-4</v>
      </c>
      <c r="W135">
        <v>1.4899999999999999E-4</v>
      </c>
      <c r="X135">
        <v>1.4899999999999999E-4</v>
      </c>
      <c r="Y135">
        <v>1.4899999999999999E-4</v>
      </c>
      <c r="Z135">
        <v>1.4899999999999999E-4</v>
      </c>
      <c r="AA135">
        <v>1.4899999999999999E-4</v>
      </c>
      <c r="AB135">
        <v>1.4899999999999999E-4</v>
      </c>
      <c r="AC135">
        <v>1.4899999999999999E-4</v>
      </c>
      <c r="AD135">
        <v>1.4899999999999999E-4</v>
      </c>
      <c r="AE135">
        <v>1.4899999999999999E-4</v>
      </c>
      <c r="AF135">
        <v>1.4899999999999999E-4</v>
      </c>
      <c r="AG135">
        <v>1.4899999999999999E-4</v>
      </c>
      <c r="AH135">
        <v>1.4899999999999999E-4</v>
      </c>
      <c r="AI135">
        <v>1.4899999999999999E-4</v>
      </c>
      <c r="AJ135">
        <v>1.4899999999999999E-4</v>
      </c>
      <c r="AK135">
        <v>1.4899999999999999E-4</v>
      </c>
      <c r="AL135">
        <v>1.4899999999999999E-4</v>
      </c>
      <c r="AM135">
        <v>1.4899999999999999E-4</v>
      </c>
      <c r="AN135">
        <v>1.4899999999999999E-4</v>
      </c>
      <c r="AO135">
        <v>1.4899999999999999E-4</v>
      </c>
      <c r="AP135">
        <v>4.1899999999999999E-4</v>
      </c>
      <c r="AQ135">
        <v>4.1899999999999999E-4</v>
      </c>
      <c r="AR135">
        <v>4.1899999999999999E-4</v>
      </c>
      <c r="AS135">
        <v>4.1899999999999999E-4</v>
      </c>
      <c r="AT135">
        <v>4.1899999999999999E-4</v>
      </c>
      <c r="AU135">
        <v>4.2299999999999998E-4</v>
      </c>
      <c r="AV135">
        <v>4.2299999999999998E-4</v>
      </c>
      <c r="AW135">
        <v>4.2299999999999998E-4</v>
      </c>
      <c r="AX135">
        <v>4.2299999999999998E-4</v>
      </c>
      <c r="AY135">
        <v>4.2299999999999998E-4</v>
      </c>
      <c r="AZ135">
        <v>4.0700000000000003E-4</v>
      </c>
      <c r="BA135">
        <v>4.0700000000000003E-4</v>
      </c>
      <c r="BB135">
        <v>4.0700000000000003E-4</v>
      </c>
      <c r="BC135">
        <v>4.0700000000000003E-4</v>
      </c>
      <c r="BD135">
        <v>4.0700000000000003E-4</v>
      </c>
      <c r="BE135">
        <v>3.6499999999999998E-4</v>
      </c>
      <c r="BF135">
        <v>3.6499999999999998E-4</v>
      </c>
      <c r="BG135">
        <v>3.6499999999999998E-4</v>
      </c>
      <c r="BH135">
        <v>3.6499999999999998E-4</v>
      </c>
      <c r="BI135">
        <v>3.6499999999999998E-4</v>
      </c>
      <c r="BJ135">
        <v>3.59E-4</v>
      </c>
      <c r="BK135">
        <v>3.59E-4</v>
      </c>
      <c r="BL135">
        <v>3.59E-4</v>
      </c>
      <c r="BM135">
        <v>3.59E-4</v>
      </c>
      <c r="BN135">
        <v>3.59E-4</v>
      </c>
      <c r="BO135">
        <v>3.8999999999999999E-4</v>
      </c>
      <c r="BP135">
        <v>3.8999999999999999E-4</v>
      </c>
      <c r="BQ135">
        <v>3.8999999999999999E-4</v>
      </c>
      <c r="BR135">
        <v>3.8999999999999999E-4</v>
      </c>
      <c r="BS135">
        <v>3.8999999999999999E-4</v>
      </c>
      <c r="BT135">
        <v>4.6700000000000002E-4</v>
      </c>
      <c r="BU135">
        <v>4.6700000000000002E-4</v>
      </c>
      <c r="BV135">
        <v>4.6700000000000002E-4</v>
      </c>
      <c r="BW135">
        <v>4.6700000000000002E-4</v>
      </c>
      <c r="BX135">
        <v>4.6700000000000002E-4</v>
      </c>
      <c r="BY135">
        <v>5.4900000000000001E-4</v>
      </c>
      <c r="BZ135">
        <v>5.4900000000000001E-4</v>
      </c>
      <c r="CA135">
        <v>5.4900000000000001E-4</v>
      </c>
      <c r="CB135">
        <v>5.4900000000000001E-4</v>
      </c>
      <c r="CC135">
        <v>5.4900000000000001E-4</v>
      </c>
      <c r="CD135">
        <v>5.4900000000000001E-4</v>
      </c>
      <c r="CE135">
        <v>5.4900000000000001E-4</v>
      </c>
      <c r="CF135">
        <v>5.4900000000000001E-4</v>
      </c>
      <c r="CG135">
        <v>5.4900000000000001E-4</v>
      </c>
      <c r="CH135">
        <v>5.4900000000000001E-4</v>
      </c>
      <c r="CI135">
        <v>5.4900000000000001E-4</v>
      </c>
      <c r="CJ135">
        <v>5.4900000000000001E-4</v>
      </c>
      <c r="CK135">
        <v>5.4900000000000001E-4</v>
      </c>
      <c r="CL135">
        <v>5.4900000000000001E-4</v>
      </c>
      <c r="CM135">
        <v>5.4900000000000001E-4</v>
      </c>
      <c r="CN135">
        <v>5.4900000000000001E-4</v>
      </c>
      <c r="CO135">
        <v>5.4900000000000001E-4</v>
      </c>
      <c r="CP135">
        <v>5.4900000000000001E-4</v>
      </c>
      <c r="CQ135">
        <v>5.4900000000000001E-4</v>
      </c>
      <c r="CR135">
        <v>5.4900000000000001E-4</v>
      </c>
      <c r="CS135">
        <v>5.4900000000000001E-4</v>
      </c>
      <c r="CT135">
        <v>5.4900000000000001E-4</v>
      </c>
      <c r="CU135">
        <v>5.4900000000000001E-4</v>
      </c>
      <c r="CV135">
        <v>5.4900000000000001E-4</v>
      </c>
      <c r="CW135">
        <v>5.4900000000000001E-4</v>
      </c>
      <c r="CX135">
        <v>5.4900000000000001E-4</v>
      </c>
    </row>
    <row r="136" spans="1:102" x14ac:dyDescent="0.25">
      <c r="A136" t="s">
        <v>337</v>
      </c>
      <c r="B136" t="e">
        <v>#VALUE!</v>
      </c>
      <c r="C136" t="e">
        <v>#VALUE!</v>
      </c>
      <c r="D136" t="e">
        <v>#VALUE!</v>
      </c>
      <c r="E136" t="e">
        <v>#VALUE!</v>
      </c>
      <c r="F136" t="e">
        <v>#VALUE!</v>
      </c>
      <c r="G136" t="e">
        <v>#VALUE!</v>
      </c>
      <c r="H136" t="e">
        <v>#VALUE!</v>
      </c>
      <c r="I136" t="e">
        <v>#VALUE!</v>
      </c>
      <c r="J136" t="e">
        <v>#VALUE!</v>
      </c>
      <c r="K136" t="e">
        <v>#VALUE!</v>
      </c>
      <c r="L136" t="e">
        <v>#VALUE!</v>
      </c>
      <c r="M136" t="e">
        <v>#VALUE!</v>
      </c>
      <c r="N136" t="e">
        <v>#VALUE!</v>
      </c>
      <c r="O136" t="e">
        <v>#VALUE!</v>
      </c>
      <c r="P136" t="e">
        <v>#VALUE!</v>
      </c>
      <c r="Q136">
        <v>2.1900000000000001E-4</v>
      </c>
      <c r="R136">
        <v>2.1900000000000001E-4</v>
      </c>
      <c r="S136">
        <v>2.1900000000000001E-4</v>
      </c>
      <c r="T136">
        <v>2.1900000000000001E-4</v>
      </c>
      <c r="U136">
        <v>2.1900000000000001E-4</v>
      </c>
      <c r="V136">
        <v>2.1900000000000001E-4</v>
      </c>
      <c r="W136">
        <v>2.1900000000000001E-4</v>
      </c>
      <c r="X136">
        <v>2.1900000000000001E-4</v>
      </c>
      <c r="Y136">
        <v>2.1900000000000001E-4</v>
      </c>
      <c r="Z136">
        <v>2.1900000000000001E-4</v>
      </c>
      <c r="AA136">
        <v>2.1900000000000001E-4</v>
      </c>
      <c r="AB136">
        <v>2.1900000000000001E-4</v>
      </c>
      <c r="AC136">
        <v>2.1900000000000001E-4</v>
      </c>
      <c r="AD136">
        <v>2.1900000000000001E-4</v>
      </c>
      <c r="AE136">
        <v>2.1900000000000001E-4</v>
      </c>
      <c r="AF136">
        <v>2.1900000000000001E-4</v>
      </c>
      <c r="AG136">
        <v>2.1900000000000001E-4</v>
      </c>
      <c r="AH136">
        <v>2.1900000000000001E-4</v>
      </c>
      <c r="AI136">
        <v>2.1900000000000001E-4</v>
      </c>
      <c r="AJ136">
        <v>2.1900000000000001E-4</v>
      </c>
      <c r="AK136">
        <v>2.1900000000000001E-4</v>
      </c>
      <c r="AL136">
        <v>2.1900000000000001E-4</v>
      </c>
      <c r="AM136">
        <v>2.1900000000000001E-4</v>
      </c>
      <c r="AN136">
        <v>2.1900000000000001E-4</v>
      </c>
      <c r="AO136">
        <v>2.1900000000000001E-4</v>
      </c>
      <c r="AP136">
        <v>8.0099999999999995E-4</v>
      </c>
      <c r="AQ136">
        <v>8.0099999999999995E-4</v>
      </c>
      <c r="AR136">
        <v>8.0099999999999995E-4</v>
      </c>
      <c r="AS136">
        <v>8.0099999999999995E-4</v>
      </c>
      <c r="AT136">
        <v>8.0099999999999995E-4</v>
      </c>
      <c r="AU136">
        <v>8.7799999999999998E-4</v>
      </c>
      <c r="AV136">
        <v>8.7799999999999998E-4</v>
      </c>
      <c r="AW136">
        <v>8.7799999999999998E-4</v>
      </c>
      <c r="AX136">
        <v>8.7799999999999998E-4</v>
      </c>
      <c r="AY136">
        <v>8.7799999999999998E-4</v>
      </c>
      <c r="AZ136">
        <v>9.3099999999999997E-4</v>
      </c>
      <c r="BA136">
        <v>9.3099999999999997E-4</v>
      </c>
      <c r="BB136">
        <v>9.3099999999999997E-4</v>
      </c>
      <c r="BC136">
        <v>9.3099999999999997E-4</v>
      </c>
      <c r="BD136">
        <v>9.3099999999999997E-4</v>
      </c>
      <c r="BE136">
        <v>9.3899999999999995E-4</v>
      </c>
      <c r="BF136">
        <v>9.3899999999999995E-4</v>
      </c>
      <c r="BG136">
        <v>9.3899999999999995E-4</v>
      </c>
      <c r="BH136">
        <v>9.3899999999999995E-4</v>
      </c>
      <c r="BI136">
        <v>9.3899999999999995E-4</v>
      </c>
      <c r="BJ136">
        <v>6.3100000000000005E-4</v>
      </c>
      <c r="BK136">
        <v>6.3100000000000005E-4</v>
      </c>
      <c r="BL136">
        <v>6.3100000000000005E-4</v>
      </c>
      <c r="BM136">
        <v>6.3100000000000005E-4</v>
      </c>
      <c r="BN136">
        <v>6.3100000000000005E-4</v>
      </c>
      <c r="BO136">
        <v>5.9999999999999995E-4</v>
      </c>
      <c r="BP136">
        <v>5.9999999999999995E-4</v>
      </c>
      <c r="BQ136">
        <v>5.9999999999999995E-4</v>
      </c>
      <c r="BR136">
        <v>5.9999999999999995E-4</v>
      </c>
      <c r="BS136">
        <v>5.9999999999999995E-4</v>
      </c>
      <c r="BT136">
        <v>7.2599999999999997E-4</v>
      </c>
      <c r="BU136">
        <v>7.2599999999999997E-4</v>
      </c>
      <c r="BV136">
        <v>7.2599999999999997E-4</v>
      </c>
      <c r="BW136">
        <v>7.2599999999999997E-4</v>
      </c>
      <c r="BX136">
        <v>7.2599999999999997E-4</v>
      </c>
      <c r="BY136">
        <v>1.0640000000000001E-3</v>
      </c>
      <c r="BZ136">
        <v>1.0640000000000001E-3</v>
      </c>
      <c r="CA136">
        <v>1.0640000000000001E-3</v>
      </c>
      <c r="CB136">
        <v>1.0640000000000001E-3</v>
      </c>
      <c r="CC136">
        <v>1.0640000000000001E-3</v>
      </c>
      <c r="CD136">
        <v>1.0640000000000001E-3</v>
      </c>
      <c r="CE136">
        <v>1.0640000000000001E-3</v>
      </c>
      <c r="CF136">
        <v>1.0640000000000001E-3</v>
      </c>
      <c r="CG136">
        <v>1.0640000000000001E-3</v>
      </c>
      <c r="CH136">
        <v>1.0640000000000001E-3</v>
      </c>
      <c r="CI136">
        <v>1.0640000000000001E-3</v>
      </c>
      <c r="CJ136">
        <v>1.0640000000000001E-3</v>
      </c>
      <c r="CK136">
        <v>1.0640000000000001E-3</v>
      </c>
      <c r="CL136">
        <v>1.0640000000000001E-3</v>
      </c>
      <c r="CM136">
        <v>1.0640000000000001E-3</v>
      </c>
      <c r="CN136">
        <v>1.0640000000000001E-3</v>
      </c>
      <c r="CO136">
        <v>1.0640000000000001E-3</v>
      </c>
      <c r="CP136">
        <v>1.0640000000000001E-3</v>
      </c>
      <c r="CQ136">
        <v>1.0640000000000001E-3</v>
      </c>
      <c r="CR136">
        <v>1.0640000000000001E-3</v>
      </c>
      <c r="CS136">
        <v>1.0640000000000001E-3</v>
      </c>
      <c r="CT136">
        <v>1.0640000000000001E-3</v>
      </c>
      <c r="CU136">
        <v>1.0640000000000001E-3</v>
      </c>
      <c r="CV136">
        <v>1.0640000000000001E-3</v>
      </c>
      <c r="CW136">
        <v>1.0640000000000001E-3</v>
      </c>
      <c r="CX136">
        <v>1.0640000000000001E-3</v>
      </c>
    </row>
    <row r="137" spans="1:102" x14ac:dyDescent="0.25">
      <c r="A137" t="s">
        <v>339</v>
      </c>
      <c r="B137">
        <v>9.9999999999999995E-7</v>
      </c>
      <c r="C137">
        <v>9.9999999999999995E-7</v>
      </c>
      <c r="D137">
        <v>9.9999999999999995E-7</v>
      </c>
      <c r="E137">
        <v>9.9999999999999995E-7</v>
      </c>
      <c r="F137">
        <v>9.9999999999999995E-7</v>
      </c>
      <c r="G137">
        <v>9.9999999999999995E-7</v>
      </c>
      <c r="H137">
        <v>9.9999999999999995E-7</v>
      </c>
      <c r="I137">
        <v>9.9999999999999995E-7</v>
      </c>
      <c r="J137">
        <v>9.9999999999999995E-7</v>
      </c>
      <c r="K137">
        <v>9.9999999999999995E-7</v>
      </c>
      <c r="L137">
        <v>9.9999999999999995E-7</v>
      </c>
      <c r="M137">
        <v>9.9999999999999995E-7</v>
      </c>
      <c r="N137">
        <v>9.9999999999999995E-7</v>
      </c>
      <c r="O137">
        <v>9.9999999999999995E-7</v>
      </c>
      <c r="P137">
        <v>9.9999999999999995E-7</v>
      </c>
      <c r="Q137">
        <v>2.7900000000000001E-4</v>
      </c>
      <c r="R137">
        <v>2.7900000000000001E-4</v>
      </c>
      <c r="S137">
        <v>2.7900000000000001E-4</v>
      </c>
      <c r="T137">
        <v>2.7900000000000001E-4</v>
      </c>
      <c r="U137">
        <v>2.7900000000000001E-4</v>
      </c>
      <c r="V137">
        <v>2.7900000000000001E-4</v>
      </c>
      <c r="W137">
        <v>2.7900000000000001E-4</v>
      </c>
      <c r="X137">
        <v>2.7900000000000001E-4</v>
      </c>
      <c r="Y137">
        <v>2.7900000000000001E-4</v>
      </c>
      <c r="Z137">
        <v>2.7900000000000001E-4</v>
      </c>
      <c r="AA137">
        <v>2.7900000000000001E-4</v>
      </c>
      <c r="AB137">
        <v>2.7900000000000001E-4</v>
      </c>
      <c r="AC137">
        <v>2.7900000000000001E-4</v>
      </c>
      <c r="AD137">
        <v>2.7900000000000001E-4</v>
      </c>
      <c r="AE137">
        <v>2.7900000000000001E-4</v>
      </c>
      <c r="AF137">
        <v>2.7900000000000001E-4</v>
      </c>
      <c r="AG137">
        <v>2.7900000000000001E-4</v>
      </c>
      <c r="AH137">
        <v>2.7900000000000001E-4</v>
      </c>
      <c r="AI137">
        <v>2.7900000000000001E-4</v>
      </c>
      <c r="AJ137">
        <v>2.7900000000000001E-4</v>
      </c>
      <c r="AK137">
        <v>2.7900000000000001E-4</v>
      </c>
      <c r="AL137">
        <v>2.7900000000000001E-4</v>
      </c>
      <c r="AM137">
        <v>2.7900000000000001E-4</v>
      </c>
      <c r="AN137">
        <v>2.7900000000000001E-4</v>
      </c>
      <c r="AO137">
        <v>2.7900000000000001E-4</v>
      </c>
      <c r="AP137">
        <v>7.5699999999999997E-4</v>
      </c>
      <c r="AQ137">
        <v>7.5699999999999997E-4</v>
      </c>
      <c r="AR137">
        <v>7.5699999999999997E-4</v>
      </c>
      <c r="AS137">
        <v>7.5699999999999997E-4</v>
      </c>
      <c r="AT137">
        <v>7.5699999999999997E-4</v>
      </c>
      <c r="AU137">
        <v>7.67E-4</v>
      </c>
      <c r="AV137">
        <v>7.67E-4</v>
      </c>
      <c r="AW137">
        <v>7.67E-4</v>
      </c>
      <c r="AX137">
        <v>7.67E-4</v>
      </c>
      <c r="AY137">
        <v>7.67E-4</v>
      </c>
      <c r="AZ137">
        <v>7.36E-4</v>
      </c>
      <c r="BA137">
        <v>7.36E-4</v>
      </c>
      <c r="BB137">
        <v>7.36E-4</v>
      </c>
      <c r="BC137">
        <v>7.36E-4</v>
      </c>
      <c r="BD137">
        <v>7.36E-4</v>
      </c>
      <c r="BE137">
        <v>6.9899999999999997E-4</v>
      </c>
      <c r="BF137">
        <v>6.9899999999999997E-4</v>
      </c>
      <c r="BG137">
        <v>6.9899999999999997E-4</v>
      </c>
      <c r="BH137">
        <v>6.9899999999999997E-4</v>
      </c>
      <c r="BI137">
        <v>6.9899999999999997E-4</v>
      </c>
      <c r="BJ137">
        <v>6.9099999999999999E-4</v>
      </c>
      <c r="BK137">
        <v>6.9099999999999999E-4</v>
      </c>
      <c r="BL137">
        <v>6.9099999999999999E-4</v>
      </c>
      <c r="BM137">
        <v>6.9099999999999999E-4</v>
      </c>
      <c r="BN137">
        <v>6.9099999999999999E-4</v>
      </c>
      <c r="BO137">
        <v>7.2099999999999996E-4</v>
      </c>
      <c r="BP137">
        <v>7.2099999999999996E-4</v>
      </c>
      <c r="BQ137">
        <v>7.2099999999999996E-4</v>
      </c>
      <c r="BR137">
        <v>7.2099999999999996E-4</v>
      </c>
      <c r="BS137">
        <v>7.2099999999999996E-4</v>
      </c>
      <c r="BT137">
        <v>7.7499999999999997E-4</v>
      </c>
      <c r="BU137">
        <v>7.7499999999999997E-4</v>
      </c>
      <c r="BV137">
        <v>7.7499999999999997E-4</v>
      </c>
      <c r="BW137">
        <v>7.7499999999999997E-4</v>
      </c>
      <c r="BX137">
        <v>7.7499999999999997E-4</v>
      </c>
      <c r="BY137">
        <v>8.7200000000000005E-4</v>
      </c>
      <c r="BZ137">
        <v>8.7200000000000005E-4</v>
      </c>
      <c r="CA137">
        <v>8.7200000000000005E-4</v>
      </c>
      <c r="CB137">
        <v>8.7200000000000005E-4</v>
      </c>
      <c r="CC137">
        <v>8.7200000000000005E-4</v>
      </c>
      <c r="CD137">
        <v>8.7200000000000005E-4</v>
      </c>
      <c r="CE137">
        <v>8.7200000000000005E-4</v>
      </c>
      <c r="CF137">
        <v>8.7200000000000005E-4</v>
      </c>
      <c r="CG137">
        <v>8.7200000000000005E-4</v>
      </c>
      <c r="CH137">
        <v>8.7200000000000005E-4</v>
      </c>
      <c r="CI137">
        <v>8.7200000000000005E-4</v>
      </c>
      <c r="CJ137">
        <v>8.7200000000000005E-4</v>
      </c>
      <c r="CK137">
        <v>8.7200000000000005E-4</v>
      </c>
      <c r="CL137">
        <v>8.7200000000000005E-4</v>
      </c>
      <c r="CM137">
        <v>8.7200000000000005E-4</v>
      </c>
      <c r="CN137">
        <v>8.7200000000000005E-4</v>
      </c>
      <c r="CO137">
        <v>8.7200000000000005E-4</v>
      </c>
      <c r="CP137">
        <v>8.7200000000000005E-4</v>
      </c>
      <c r="CQ137">
        <v>8.7200000000000005E-4</v>
      </c>
      <c r="CR137">
        <v>8.7200000000000005E-4</v>
      </c>
      <c r="CS137">
        <v>8.7200000000000005E-4</v>
      </c>
      <c r="CT137">
        <v>8.7200000000000005E-4</v>
      </c>
      <c r="CU137">
        <v>8.7200000000000005E-4</v>
      </c>
      <c r="CV137">
        <v>8.7200000000000005E-4</v>
      </c>
      <c r="CW137">
        <v>8.7200000000000005E-4</v>
      </c>
      <c r="CX137">
        <v>8.7200000000000005E-4</v>
      </c>
    </row>
    <row r="138" spans="1:102" x14ac:dyDescent="0.25">
      <c r="A138" t="s">
        <v>341</v>
      </c>
      <c r="B138" t="e">
        <v>#VALUE!</v>
      </c>
      <c r="C138" t="e">
        <v>#VALUE!</v>
      </c>
      <c r="D138" t="e">
        <v>#VALUE!</v>
      </c>
      <c r="E138" t="e">
        <v>#VALUE!</v>
      </c>
      <c r="F138" t="e">
        <v>#VALUE!</v>
      </c>
      <c r="G138" t="e">
        <v>#VALUE!</v>
      </c>
      <c r="H138" t="e">
        <v>#VALUE!</v>
      </c>
      <c r="I138" t="e">
        <v>#VALUE!</v>
      </c>
      <c r="J138" t="e">
        <v>#VALUE!</v>
      </c>
      <c r="K138" t="e">
        <v>#VALUE!</v>
      </c>
      <c r="L138" t="e">
        <v>#VALUE!</v>
      </c>
      <c r="M138" t="e">
        <v>#VALUE!</v>
      </c>
      <c r="N138" t="e">
        <v>#VALUE!</v>
      </c>
      <c r="O138" t="e">
        <v>#VALUE!</v>
      </c>
      <c r="P138" t="e">
        <v>#VALUE!</v>
      </c>
      <c r="Q138">
        <v>1.6100000000000001E-4</v>
      </c>
      <c r="R138">
        <v>1.6100000000000001E-4</v>
      </c>
      <c r="S138">
        <v>1.6100000000000001E-4</v>
      </c>
      <c r="T138">
        <v>1.6100000000000001E-4</v>
      </c>
      <c r="U138">
        <v>1.6100000000000001E-4</v>
      </c>
      <c r="V138">
        <v>1.6100000000000001E-4</v>
      </c>
      <c r="W138">
        <v>1.6100000000000001E-4</v>
      </c>
      <c r="X138">
        <v>1.6100000000000001E-4</v>
      </c>
      <c r="Y138">
        <v>1.6100000000000001E-4</v>
      </c>
      <c r="Z138">
        <v>1.6100000000000001E-4</v>
      </c>
      <c r="AA138">
        <v>1.6100000000000001E-4</v>
      </c>
      <c r="AB138">
        <v>1.6100000000000001E-4</v>
      </c>
      <c r="AC138">
        <v>1.6100000000000001E-4</v>
      </c>
      <c r="AD138">
        <v>1.6100000000000001E-4</v>
      </c>
      <c r="AE138">
        <v>1.6100000000000001E-4</v>
      </c>
      <c r="AF138">
        <v>1.6100000000000001E-4</v>
      </c>
      <c r="AG138">
        <v>1.6100000000000001E-4</v>
      </c>
      <c r="AH138">
        <v>1.6100000000000001E-4</v>
      </c>
      <c r="AI138">
        <v>1.6100000000000001E-4</v>
      </c>
      <c r="AJ138">
        <v>1.6100000000000001E-4</v>
      </c>
      <c r="AK138">
        <v>1.6100000000000001E-4</v>
      </c>
      <c r="AL138">
        <v>1.6100000000000001E-4</v>
      </c>
      <c r="AM138">
        <v>1.6100000000000001E-4</v>
      </c>
      <c r="AN138">
        <v>1.6100000000000001E-4</v>
      </c>
      <c r="AO138">
        <v>1.6100000000000001E-4</v>
      </c>
      <c r="AP138">
        <v>6.3299999999999999E-4</v>
      </c>
      <c r="AQ138">
        <v>6.3299999999999999E-4</v>
      </c>
      <c r="AR138">
        <v>6.3299999999999999E-4</v>
      </c>
      <c r="AS138">
        <v>6.3299999999999999E-4</v>
      </c>
      <c r="AT138">
        <v>6.3299999999999999E-4</v>
      </c>
      <c r="AU138">
        <v>7.45E-4</v>
      </c>
      <c r="AV138">
        <v>7.45E-4</v>
      </c>
      <c r="AW138">
        <v>7.45E-4</v>
      </c>
      <c r="AX138">
        <v>7.45E-4</v>
      </c>
      <c r="AY138">
        <v>7.45E-4</v>
      </c>
      <c r="AZ138">
        <v>7.8600000000000002E-4</v>
      </c>
      <c r="BA138">
        <v>7.8600000000000002E-4</v>
      </c>
      <c r="BB138">
        <v>7.8600000000000002E-4</v>
      </c>
      <c r="BC138">
        <v>7.8600000000000002E-4</v>
      </c>
      <c r="BD138">
        <v>7.8600000000000002E-4</v>
      </c>
      <c r="BE138">
        <v>8.6200000000000003E-4</v>
      </c>
      <c r="BF138">
        <v>8.6200000000000003E-4</v>
      </c>
      <c r="BG138">
        <v>8.6200000000000003E-4</v>
      </c>
      <c r="BH138">
        <v>8.6200000000000003E-4</v>
      </c>
      <c r="BI138">
        <v>8.6200000000000003E-4</v>
      </c>
      <c r="BJ138">
        <v>9.7999999999999997E-4</v>
      </c>
      <c r="BK138">
        <v>9.7999999999999997E-4</v>
      </c>
      <c r="BL138">
        <v>9.7999999999999997E-4</v>
      </c>
      <c r="BM138">
        <v>9.7999999999999997E-4</v>
      </c>
      <c r="BN138">
        <v>9.7999999999999997E-4</v>
      </c>
      <c r="BO138">
        <v>1.0300000000000001E-3</v>
      </c>
      <c r="BP138">
        <v>1.0300000000000001E-3</v>
      </c>
      <c r="BQ138">
        <v>1.0300000000000001E-3</v>
      </c>
      <c r="BR138">
        <v>1.0300000000000001E-3</v>
      </c>
      <c r="BS138">
        <v>1.0300000000000001E-3</v>
      </c>
      <c r="BT138">
        <v>1.0349999999999999E-3</v>
      </c>
      <c r="BU138">
        <v>1.0349999999999999E-3</v>
      </c>
      <c r="BV138">
        <v>1.0349999999999999E-3</v>
      </c>
      <c r="BW138">
        <v>1.0349999999999999E-3</v>
      </c>
      <c r="BX138">
        <v>1.0349999999999999E-3</v>
      </c>
      <c r="BY138">
        <v>9.9099999999999991E-4</v>
      </c>
      <c r="BZ138">
        <v>9.9099999999999991E-4</v>
      </c>
      <c r="CA138">
        <v>9.9099999999999991E-4</v>
      </c>
      <c r="CB138">
        <v>9.9099999999999991E-4</v>
      </c>
      <c r="CC138">
        <v>9.9099999999999991E-4</v>
      </c>
      <c r="CD138">
        <v>9.9099999999999991E-4</v>
      </c>
      <c r="CE138">
        <v>9.9099999999999991E-4</v>
      </c>
      <c r="CF138">
        <v>9.9099999999999991E-4</v>
      </c>
      <c r="CG138">
        <v>9.9099999999999991E-4</v>
      </c>
      <c r="CH138">
        <v>9.9099999999999991E-4</v>
      </c>
      <c r="CI138">
        <v>9.9099999999999991E-4</v>
      </c>
      <c r="CJ138">
        <v>9.9099999999999991E-4</v>
      </c>
      <c r="CK138">
        <v>9.9099999999999991E-4</v>
      </c>
      <c r="CL138">
        <v>9.9099999999999991E-4</v>
      </c>
      <c r="CM138">
        <v>9.9099999999999991E-4</v>
      </c>
      <c r="CN138">
        <v>9.9099999999999991E-4</v>
      </c>
      <c r="CO138">
        <v>9.9099999999999991E-4</v>
      </c>
      <c r="CP138">
        <v>9.9099999999999991E-4</v>
      </c>
      <c r="CQ138">
        <v>9.9099999999999991E-4</v>
      </c>
      <c r="CR138">
        <v>9.9099999999999991E-4</v>
      </c>
      <c r="CS138">
        <v>9.9099999999999991E-4</v>
      </c>
      <c r="CT138">
        <v>9.9099999999999991E-4</v>
      </c>
      <c r="CU138">
        <v>9.9099999999999991E-4</v>
      </c>
      <c r="CV138">
        <v>9.9099999999999991E-4</v>
      </c>
      <c r="CW138">
        <v>9.9099999999999991E-4</v>
      </c>
      <c r="CX138">
        <v>9.9099999999999991E-4</v>
      </c>
    </row>
    <row r="139" spans="1:102" x14ac:dyDescent="0.25">
      <c r="A139" t="s">
        <v>343</v>
      </c>
      <c r="B139" t="e">
        <v>#VALUE!</v>
      </c>
      <c r="C139" t="e">
        <v>#VALUE!</v>
      </c>
      <c r="D139" t="e">
        <v>#VALUE!</v>
      </c>
      <c r="E139" t="e">
        <v>#VALUE!</v>
      </c>
      <c r="F139" t="e">
        <v>#VALUE!</v>
      </c>
      <c r="G139" t="e">
        <v>#VALUE!</v>
      </c>
      <c r="H139" t="e">
        <v>#VALUE!</v>
      </c>
      <c r="I139" t="e">
        <v>#VALUE!</v>
      </c>
      <c r="J139" t="e">
        <v>#VALUE!</v>
      </c>
      <c r="K139" t="e">
        <v>#VALUE!</v>
      </c>
      <c r="L139" t="e">
        <v>#VALUE!</v>
      </c>
      <c r="M139" t="e">
        <v>#VALUE!</v>
      </c>
      <c r="N139" t="e">
        <v>#VALUE!</v>
      </c>
      <c r="O139" t="e">
        <v>#VALUE!</v>
      </c>
      <c r="P139" t="e">
        <v>#VALUE!</v>
      </c>
      <c r="Q139">
        <v>1.11E-4</v>
      </c>
      <c r="R139">
        <v>1.11E-4</v>
      </c>
      <c r="S139">
        <v>1.11E-4</v>
      </c>
      <c r="T139">
        <v>1.11E-4</v>
      </c>
      <c r="U139">
        <v>1.11E-4</v>
      </c>
      <c r="V139">
        <v>1.11E-4</v>
      </c>
      <c r="W139">
        <v>1.11E-4</v>
      </c>
      <c r="X139">
        <v>1.11E-4</v>
      </c>
      <c r="Y139">
        <v>1.11E-4</v>
      </c>
      <c r="Z139">
        <v>1.11E-4</v>
      </c>
      <c r="AA139">
        <v>1.11E-4</v>
      </c>
      <c r="AB139">
        <v>1.11E-4</v>
      </c>
      <c r="AC139">
        <v>1.11E-4</v>
      </c>
      <c r="AD139">
        <v>1.11E-4</v>
      </c>
      <c r="AE139">
        <v>1.11E-4</v>
      </c>
      <c r="AF139">
        <v>1.11E-4</v>
      </c>
      <c r="AG139">
        <v>1.11E-4</v>
      </c>
      <c r="AH139">
        <v>1.11E-4</v>
      </c>
      <c r="AI139">
        <v>1.11E-4</v>
      </c>
      <c r="AJ139">
        <v>1.11E-4</v>
      </c>
      <c r="AK139">
        <v>1.11E-4</v>
      </c>
      <c r="AL139">
        <v>1.11E-4</v>
      </c>
      <c r="AM139">
        <v>1.11E-4</v>
      </c>
      <c r="AN139">
        <v>1.11E-4</v>
      </c>
      <c r="AO139">
        <v>1.11E-4</v>
      </c>
      <c r="AP139">
        <v>3.6499999999999998E-4</v>
      </c>
      <c r="AQ139">
        <v>3.6499999999999998E-4</v>
      </c>
      <c r="AR139">
        <v>3.6499999999999998E-4</v>
      </c>
      <c r="AS139">
        <v>3.6499999999999998E-4</v>
      </c>
      <c r="AT139">
        <v>3.6499999999999998E-4</v>
      </c>
      <c r="AU139">
        <v>4.0099999999999999E-4</v>
      </c>
      <c r="AV139">
        <v>4.0099999999999999E-4</v>
      </c>
      <c r="AW139">
        <v>4.0099999999999999E-4</v>
      </c>
      <c r="AX139">
        <v>4.0099999999999999E-4</v>
      </c>
      <c r="AY139">
        <v>4.0099999999999999E-4</v>
      </c>
      <c r="AZ139">
        <v>4.1100000000000002E-4</v>
      </c>
      <c r="BA139">
        <v>4.1100000000000002E-4</v>
      </c>
      <c r="BB139">
        <v>4.1100000000000002E-4</v>
      </c>
      <c r="BC139">
        <v>4.1100000000000002E-4</v>
      </c>
      <c r="BD139">
        <v>4.1100000000000002E-4</v>
      </c>
      <c r="BE139">
        <v>3.9500000000000001E-4</v>
      </c>
      <c r="BF139">
        <v>3.9500000000000001E-4</v>
      </c>
      <c r="BG139">
        <v>3.9500000000000001E-4</v>
      </c>
      <c r="BH139">
        <v>3.9500000000000001E-4</v>
      </c>
      <c r="BI139">
        <v>3.9500000000000001E-4</v>
      </c>
      <c r="BJ139">
        <v>3.6699999999999998E-4</v>
      </c>
      <c r="BK139">
        <v>3.6699999999999998E-4</v>
      </c>
      <c r="BL139">
        <v>3.6699999999999998E-4</v>
      </c>
      <c r="BM139">
        <v>3.6699999999999998E-4</v>
      </c>
      <c r="BN139">
        <v>3.6699999999999998E-4</v>
      </c>
      <c r="BO139">
        <v>3.4099999999999999E-4</v>
      </c>
      <c r="BP139">
        <v>3.4099999999999999E-4</v>
      </c>
      <c r="BQ139">
        <v>3.4099999999999999E-4</v>
      </c>
      <c r="BR139">
        <v>3.4099999999999999E-4</v>
      </c>
      <c r="BS139">
        <v>3.4099999999999999E-4</v>
      </c>
      <c r="BT139">
        <v>3.0800000000000001E-4</v>
      </c>
      <c r="BU139">
        <v>3.0800000000000001E-4</v>
      </c>
      <c r="BV139">
        <v>3.0800000000000001E-4</v>
      </c>
      <c r="BW139">
        <v>3.0800000000000001E-4</v>
      </c>
      <c r="BX139">
        <v>3.0800000000000001E-4</v>
      </c>
      <c r="BY139">
        <v>2.7300000000000002E-4</v>
      </c>
      <c r="BZ139">
        <v>2.7300000000000002E-4</v>
      </c>
      <c r="CA139">
        <v>2.7300000000000002E-4</v>
      </c>
      <c r="CB139">
        <v>2.7300000000000002E-4</v>
      </c>
      <c r="CC139">
        <v>2.7300000000000002E-4</v>
      </c>
      <c r="CD139">
        <v>2.7300000000000002E-4</v>
      </c>
      <c r="CE139">
        <v>2.7300000000000002E-4</v>
      </c>
      <c r="CF139">
        <v>2.7300000000000002E-4</v>
      </c>
      <c r="CG139">
        <v>2.7300000000000002E-4</v>
      </c>
      <c r="CH139">
        <v>2.7300000000000002E-4</v>
      </c>
      <c r="CI139">
        <v>2.7300000000000002E-4</v>
      </c>
      <c r="CJ139">
        <v>2.7300000000000002E-4</v>
      </c>
      <c r="CK139">
        <v>2.7300000000000002E-4</v>
      </c>
      <c r="CL139">
        <v>2.7300000000000002E-4</v>
      </c>
      <c r="CM139">
        <v>2.7300000000000002E-4</v>
      </c>
      <c r="CN139">
        <v>2.7300000000000002E-4</v>
      </c>
      <c r="CO139">
        <v>2.7300000000000002E-4</v>
      </c>
      <c r="CP139">
        <v>2.7300000000000002E-4</v>
      </c>
      <c r="CQ139">
        <v>2.7300000000000002E-4</v>
      </c>
      <c r="CR139">
        <v>2.7300000000000002E-4</v>
      </c>
      <c r="CS139">
        <v>2.7300000000000002E-4</v>
      </c>
      <c r="CT139">
        <v>2.7300000000000002E-4</v>
      </c>
      <c r="CU139">
        <v>2.7300000000000002E-4</v>
      </c>
      <c r="CV139">
        <v>2.7300000000000002E-4</v>
      </c>
      <c r="CW139">
        <v>2.7300000000000002E-4</v>
      </c>
      <c r="CX139">
        <v>2.7300000000000002E-4</v>
      </c>
    </row>
    <row r="140" spans="1:102" x14ac:dyDescent="0.25">
      <c r="A140" t="s">
        <v>345</v>
      </c>
      <c r="B140" t="e">
        <v>#VALUE!</v>
      </c>
      <c r="C140" t="e">
        <v>#VALUE!</v>
      </c>
      <c r="D140" t="e">
        <v>#VALUE!</v>
      </c>
      <c r="E140" t="e">
        <v>#VALUE!</v>
      </c>
      <c r="F140" t="e">
        <v>#VALUE!</v>
      </c>
      <c r="G140" t="e">
        <v>#VALUE!</v>
      </c>
      <c r="H140" t="e">
        <v>#VALUE!</v>
      </c>
      <c r="I140" t="e">
        <v>#VALUE!</v>
      </c>
      <c r="J140" t="e">
        <v>#VALUE!</v>
      </c>
      <c r="K140" t="e">
        <v>#VALUE!</v>
      </c>
      <c r="L140" t="e">
        <v>#VALUE!</v>
      </c>
      <c r="M140" t="e">
        <v>#VALUE!</v>
      </c>
      <c r="N140" t="e">
        <v>#VALUE!</v>
      </c>
      <c r="O140" t="e">
        <v>#VALUE!</v>
      </c>
      <c r="P140" t="e">
        <v>#VALUE!</v>
      </c>
      <c r="Q140">
        <v>6.3999999999999997E-5</v>
      </c>
      <c r="R140">
        <v>6.3999999999999997E-5</v>
      </c>
      <c r="S140">
        <v>6.3999999999999997E-5</v>
      </c>
      <c r="T140">
        <v>6.3999999999999997E-5</v>
      </c>
      <c r="U140">
        <v>6.3999999999999997E-5</v>
      </c>
      <c r="V140">
        <v>6.3999999999999997E-5</v>
      </c>
      <c r="W140">
        <v>6.3999999999999997E-5</v>
      </c>
      <c r="X140">
        <v>6.3999999999999997E-5</v>
      </c>
      <c r="Y140">
        <v>6.3999999999999997E-5</v>
      </c>
      <c r="Z140">
        <v>6.3999999999999997E-5</v>
      </c>
      <c r="AA140">
        <v>6.3999999999999997E-5</v>
      </c>
      <c r="AB140">
        <v>6.3999999999999997E-5</v>
      </c>
      <c r="AC140">
        <v>6.3999999999999997E-5</v>
      </c>
      <c r="AD140">
        <v>6.3999999999999997E-5</v>
      </c>
      <c r="AE140">
        <v>6.3999999999999997E-5</v>
      </c>
      <c r="AF140">
        <v>6.3999999999999997E-5</v>
      </c>
      <c r="AG140">
        <v>6.3999999999999997E-5</v>
      </c>
      <c r="AH140">
        <v>6.3999999999999997E-5</v>
      </c>
      <c r="AI140">
        <v>6.3999999999999997E-5</v>
      </c>
      <c r="AJ140">
        <v>6.3999999999999997E-5</v>
      </c>
      <c r="AK140">
        <v>6.3999999999999997E-5</v>
      </c>
      <c r="AL140">
        <v>6.3999999999999997E-5</v>
      </c>
      <c r="AM140">
        <v>6.3999999999999997E-5</v>
      </c>
      <c r="AN140">
        <v>6.3999999999999997E-5</v>
      </c>
      <c r="AO140">
        <v>6.3999999999999997E-5</v>
      </c>
      <c r="AP140">
        <v>2.3900000000000001E-4</v>
      </c>
      <c r="AQ140">
        <v>2.3900000000000001E-4</v>
      </c>
      <c r="AR140">
        <v>2.3900000000000001E-4</v>
      </c>
      <c r="AS140">
        <v>2.3900000000000001E-4</v>
      </c>
      <c r="AT140">
        <v>2.3900000000000001E-4</v>
      </c>
      <c r="AU140">
        <v>3.0699999999999998E-4</v>
      </c>
      <c r="AV140">
        <v>3.0699999999999998E-4</v>
      </c>
      <c r="AW140">
        <v>3.0699999999999998E-4</v>
      </c>
      <c r="AX140">
        <v>3.0699999999999998E-4</v>
      </c>
      <c r="AY140">
        <v>3.0699999999999998E-4</v>
      </c>
      <c r="AZ140">
        <v>3.5E-4</v>
      </c>
      <c r="BA140">
        <v>3.5E-4</v>
      </c>
      <c r="BB140">
        <v>3.5E-4</v>
      </c>
      <c r="BC140">
        <v>3.5E-4</v>
      </c>
      <c r="BD140">
        <v>3.5E-4</v>
      </c>
      <c r="BE140">
        <v>3.5599999999999998E-4</v>
      </c>
      <c r="BF140">
        <v>3.5599999999999998E-4</v>
      </c>
      <c r="BG140">
        <v>3.5599999999999998E-4</v>
      </c>
      <c r="BH140">
        <v>3.5599999999999998E-4</v>
      </c>
      <c r="BI140">
        <v>3.5599999999999998E-4</v>
      </c>
      <c r="BJ140">
        <v>3.4299999999999999E-4</v>
      </c>
      <c r="BK140">
        <v>3.4299999999999999E-4</v>
      </c>
      <c r="BL140">
        <v>3.4299999999999999E-4</v>
      </c>
      <c r="BM140">
        <v>3.4299999999999999E-4</v>
      </c>
      <c r="BN140">
        <v>3.4299999999999999E-4</v>
      </c>
      <c r="BO140">
        <v>3.1599999999999998E-4</v>
      </c>
      <c r="BP140">
        <v>3.1599999999999998E-4</v>
      </c>
      <c r="BQ140">
        <v>3.1599999999999998E-4</v>
      </c>
      <c r="BR140">
        <v>3.1599999999999998E-4</v>
      </c>
      <c r="BS140">
        <v>3.1599999999999998E-4</v>
      </c>
      <c r="BT140">
        <v>2.8299999999999999E-4</v>
      </c>
      <c r="BU140">
        <v>2.8299999999999999E-4</v>
      </c>
      <c r="BV140">
        <v>2.8299999999999999E-4</v>
      </c>
      <c r="BW140">
        <v>2.8299999999999999E-4</v>
      </c>
      <c r="BX140">
        <v>2.8299999999999999E-4</v>
      </c>
      <c r="BY140">
        <v>2.4000000000000001E-4</v>
      </c>
      <c r="BZ140">
        <v>2.4000000000000001E-4</v>
      </c>
      <c r="CA140">
        <v>2.4000000000000001E-4</v>
      </c>
      <c r="CB140">
        <v>2.4000000000000001E-4</v>
      </c>
      <c r="CC140">
        <v>2.4000000000000001E-4</v>
      </c>
      <c r="CD140">
        <v>2.4000000000000001E-4</v>
      </c>
      <c r="CE140">
        <v>2.4000000000000001E-4</v>
      </c>
      <c r="CF140">
        <v>2.4000000000000001E-4</v>
      </c>
      <c r="CG140">
        <v>2.4000000000000001E-4</v>
      </c>
      <c r="CH140">
        <v>2.4000000000000001E-4</v>
      </c>
      <c r="CI140">
        <v>2.4000000000000001E-4</v>
      </c>
      <c r="CJ140">
        <v>2.4000000000000001E-4</v>
      </c>
      <c r="CK140">
        <v>2.4000000000000001E-4</v>
      </c>
      <c r="CL140">
        <v>2.4000000000000001E-4</v>
      </c>
      <c r="CM140">
        <v>2.4000000000000001E-4</v>
      </c>
      <c r="CN140">
        <v>2.4000000000000001E-4</v>
      </c>
      <c r="CO140">
        <v>2.4000000000000001E-4</v>
      </c>
      <c r="CP140">
        <v>2.4000000000000001E-4</v>
      </c>
      <c r="CQ140">
        <v>2.4000000000000001E-4</v>
      </c>
      <c r="CR140">
        <v>2.4000000000000001E-4</v>
      </c>
      <c r="CS140">
        <v>2.4000000000000001E-4</v>
      </c>
      <c r="CT140">
        <v>2.4000000000000001E-4</v>
      </c>
      <c r="CU140">
        <v>2.4000000000000001E-4</v>
      </c>
      <c r="CV140">
        <v>2.4000000000000001E-4</v>
      </c>
      <c r="CW140">
        <v>2.4000000000000001E-4</v>
      </c>
      <c r="CX140">
        <v>2.4000000000000001E-4</v>
      </c>
    </row>
    <row r="141" spans="1:102" x14ac:dyDescent="0.25">
      <c r="A141" t="s">
        <v>347</v>
      </c>
      <c r="B141" t="e">
        <v>#VALUE!</v>
      </c>
      <c r="C141" t="e">
        <v>#VALUE!</v>
      </c>
      <c r="D141" t="e">
        <v>#VALUE!</v>
      </c>
      <c r="E141" t="e">
        <v>#VALUE!</v>
      </c>
      <c r="F141" t="e">
        <v>#VALUE!</v>
      </c>
      <c r="G141" t="e">
        <v>#VALUE!</v>
      </c>
      <c r="H141" t="e">
        <v>#VALUE!</v>
      </c>
      <c r="I141" t="e">
        <v>#VALUE!</v>
      </c>
      <c r="J141" t="e">
        <v>#VALUE!</v>
      </c>
      <c r="K141" t="e">
        <v>#VALUE!</v>
      </c>
      <c r="L141" t="e">
        <v>#VALUE!</v>
      </c>
      <c r="M141" t="e">
        <v>#VALUE!</v>
      </c>
      <c r="N141" t="e">
        <v>#VALUE!</v>
      </c>
      <c r="O141" t="e">
        <v>#VALUE!</v>
      </c>
      <c r="P141" t="e">
        <v>#VALUE!</v>
      </c>
      <c r="Q141">
        <v>6.7999999999999999E-5</v>
      </c>
      <c r="R141">
        <v>6.7999999999999999E-5</v>
      </c>
      <c r="S141">
        <v>6.7999999999999999E-5</v>
      </c>
      <c r="T141">
        <v>6.7999999999999999E-5</v>
      </c>
      <c r="U141">
        <v>6.7999999999999999E-5</v>
      </c>
      <c r="V141">
        <v>6.7999999999999999E-5</v>
      </c>
      <c r="W141">
        <v>6.7999999999999999E-5</v>
      </c>
      <c r="X141">
        <v>6.7999999999999999E-5</v>
      </c>
      <c r="Y141">
        <v>6.7999999999999999E-5</v>
      </c>
      <c r="Z141">
        <v>6.7999999999999999E-5</v>
      </c>
      <c r="AA141">
        <v>6.7999999999999999E-5</v>
      </c>
      <c r="AB141">
        <v>6.7999999999999999E-5</v>
      </c>
      <c r="AC141">
        <v>6.7999999999999999E-5</v>
      </c>
      <c r="AD141">
        <v>6.7999999999999999E-5</v>
      </c>
      <c r="AE141">
        <v>6.7999999999999999E-5</v>
      </c>
      <c r="AF141">
        <v>6.7999999999999999E-5</v>
      </c>
      <c r="AG141">
        <v>6.7999999999999999E-5</v>
      </c>
      <c r="AH141">
        <v>6.7999999999999999E-5</v>
      </c>
      <c r="AI141">
        <v>6.7999999999999999E-5</v>
      </c>
      <c r="AJ141">
        <v>6.7999999999999999E-5</v>
      </c>
      <c r="AK141">
        <v>6.7999999999999999E-5</v>
      </c>
      <c r="AL141">
        <v>6.7999999999999999E-5</v>
      </c>
      <c r="AM141">
        <v>6.7999999999999999E-5</v>
      </c>
      <c r="AN141">
        <v>6.7999999999999999E-5</v>
      </c>
      <c r="AO141">
        <v>6.7999999999999999E-5</v>
      </c>
      <c r="AP141">
        <v>1.7000000000000001E-4</v>
      </c>
      <c r="AQ141">
        <v>1.7000000000000001E-4</v>
      </c>
      <c r="AR141">
        <v>1.7000000000000001E-4</v>
      </c>
      <c r="AS141">
        <v>1.7000000000000001E-4</v>
      </c>
      <c r="AT141">
        <v>1.7000000000000001E-4</v>
      </c>
      <c r="AU141">
        <v>2.02E-4</v>
      </c>
      <c r="AV141">
        <v>2.02E-4</v>
      </c>
      <c r="AW141">
        <v>2.02E-4</v>
      </c>
      <c r="AX141">
        <v>2.02E-4</v>
      </c>
      <c r="AY141">
        <v>2.02E-4</v>
      </c>
      <c r="AZ141">
        <v>2.24E-4</v>
      </c>
      <c r="BA141">
        <v>2.24E-4</v>
      </c>
      <c r="BB141">
        <v>2.24E-4</v>
      </c>
      <c r="BC141">
        <v>2.24E-4</v>
      </c>
      <c r="BD141">
        <v>2.24E-4</v>
      </c>
      <c r="BE141">
        <v>2.1900000000000001E-4</v>
      </c>
      <c r="BF141">
        <v>2.1900000000000001E-4</v>
      </c>
      <c r="BG141">
        <v>2.1900000000000001E-4</v>
      </c>
      <c r="BH141">
        <v>2.1900000000000001E-4</v>
      </c>
      <c r="BI141">
        <v>2.1900000000000001E-4</v>
      </c>
      <c r="BJ141">
        <v>2.1000000000000001E-4</v>
      </c>
      <c r="BK141">
        <v>2.1000000000000001E-4</v>
      </c>
      <c r="BL141">
        <v>2.1000000000000001E-4</v>
      </c>
      <c r="BM141">
        <v>2.1000000000000001E-4</v>
      </c>
      <c r="BN141">
        <v>2.1000000000000001E-4</v>
      </c>
      <c r="BO141">
        <v>2.0599999999999999E-4</v>
      </c>
      <c r="BP141">
        <v>2.0599999999999999E-4</v>
      </c>
      <c r="BQ141">
        <v>2.0599999999999999E-4</v>
      </c>
      <c r="BR141">
        <v>2.0599999999999999E-4</v>
      </c>
      <c r="BS141">
        <v>2.0599999999999999E-4</v>
      </c>
      <c r="BT141">
        <v>2.0000000000000001E-4</v>
      </c>
      <c r="BU141">
        <v>2.0000000000000001E-4</v>
      </c>
      <c r="BV141">
        <v>2.0000000000000001E-4</v>
      </c>
      <c r="BW141">
        <v>2.0000000000000001E-4</v>
      </c>
      <c r="BX141">
        <v>2.0000000000000001E-4</v>
      </c>
      <c r="BY141">
        <v>1.8100000000000001E-4</v>
      </c>
      <c r="BZ141">
        <v>1.8100000000000001E-4</v>
      </c>
      <c r="CA141">
        <v>1.8100000000000001E-4</v>
      </c>
      <c r="CB141">
        <v>1.8100000000000001E-4</v>
      </c>
      <c r="CC141">
        <v>1.8100000000000001E-4</v>
      </c>
      <c r="CD141">
        <v>1.8100000000000001E-4</v>
      </c>
      <c r="CE141">
        <v>1.8100000000000001E-4</v>
      </c>
      <c r="CF141">
        <v>1.8100000000000001E-4</v>
      </c>
      <c r="CG141">
        <v>1.8100000000000001E-4</v>
      </c>
      <c r="CH141">
        <v>1.8100000000000001E-4</v>
      </c>
      <c r="CI141">
        <v>1.8100000000000001E-4</v>
      </c>
      <c r="CJ141">
        <v>1.8100000000000001E-4</v>
      </c>
      <c r="CK141">
        <v>1.8100000000000001E-4</v>
      </c>
      <c r="CL141">
        <v>1.8100000000000001E-4</v>
      </c>
      <c r="CM141">
        <v>1.8100000000000001E-4</v>
      </c>
      <c r="CN141">
        <v>1.8100000000000001E-4</v>
      </c>
      <c r="CO141">
        <v>1.8100000000000001E-4</v>
      </c>
      <c r="CP141">
        <v>1.8100000000000001E-4</v>
      </c>
      <c r="CQ141">
        <v>1.8100000000000001E-4</v>
      </c>
      <c r="CR141">
        <v>1.8100000000000001E-4</v>
      </c>
      <c r="CS141">
        <v>1.8100000000000001E-4</v>
      </c>
      <c r="CT141">
        <v>1.8100000000000001E-4</v>
      </c>
      <c r="CU141">
        <v>1.8100000000000001E-4</v>
      </c>
      <c r="CV141">
        <v>1.8100000000000001E-4</v>
      </c>
      <c r="CW141">
        <v>1.8100000000000001E-4</v>
      </c>
      <c r="CX141">
        <v>1.8100000000000001E-4</v>
      </c>
    </row>
    <row r="142" spans="1:102" x14ac:dyDescent="0.25">
      <c r="A142" t="s">
        <v>349</v>
      </c>
      <c r="B142" t="e">
        <v>#VALUE!</v>
      </c>
      <c r="C142" t="e">
        <v>#VALUE!</v>
      </c>
      <c r="D142" t="e">
        <v>#VALUE!</v>
      </c>
      <c r="E142" t="e">
        <v>#VALUE!</v>
      </c>
      <c r="F142" t="e">
        <v>#VALUE!</v>
      </c>
      <c r="G142" t="e">
        <v>#VALUE!</v>
      </c>
      <c r="H142" t="e">
        <v>#VALUE!</v>
      </c>
      <c r="I142" t="e">
        <v>#VALUE!</v>
      </c>
      <c r="J142" t="e">
        <v>#VALUE!</v>
      </c>
      <c r="K142" t="e">
        <v>#VALUE!</v>
      </c>
      <c r="L142" t="e">
        <v>#VALUE!</v>
      </c>
      <c r="M142" t="e">
        <v>#VALUE!</v>
      </c>
      <c r="N142" t="e">
        <v>#VALUE!</v>
      </c>
      <c r="O142" t="e">
        <v>#VALUE!</v>
      </c>
      <c r="P142" t="e">
        <v>#VALUE!</v>
      </c>
      <c r="Q142">
        <v>2.0999999999999999E-5</v>
      </c>
      <c r="R142">
        <v>2.0999999999999999E-5</v>
      </c>
      <c r="S142">
        <v>2.0999999999999999E-5</v>
      </c>
      <c r="T142">
        <v>2.0999999999999999E-5</v>
      </c>
      <c r="U142">
        <v>2.0999999999999999E-5</v>
      </c>
      <c r="V142">
        <v>2.0999999999999999E-5</v>
      </c>
      <c r="W142">
        <v>2.0999999999999999E-5</v>
      </c>
      <c r="X142">
        <v>2.0999999999999999E-5</v>
      </c>
      <c r="Y142">
        <v>2.0999999999999999E-5</v>
      </c>
      <c r="Z142">
        <v>2.0999999999999999E-5</v>
      </c>
      <c r="AA142">
        <v>2.0999999999999999E-5</v>
      </c>
      <c r="AB142">
        <v>2.0999999999999999E-5</v>
      </c>
      <c r="AC142">
        <v>2.0999999999999999E-5</v>
      </c>
      <c r="AD142">
        <v>2.0999999999999999E-5</v>
      </c>
      <c r="AE142">
        <v>2.0999999999999999E-5</v>
      </c>
      <c r="AF142">
        <v>2.0999999999999999E-5</v>
      </c>
      <c r="AG142">
        <v>2.0999999999999999E-5</v>
      </c>
      <c r="AH142">
        <v>2.0999999999999999E-5</v>
      </c>
      <c r="AI142">
        <v>2.0999999999999999E-5</v>
      </c>
      <c r="AJ142">
        <v>2.0999999999999999E-5</v>
      </c>
      <c r="AK142">
        <v>2.0999999999999999E-5</v>
      </c>
      <c r="AL142">
        <v>2.0999999999999999E-5</v>
      </c>
      <c r="AM142">
        <v>2.0999999999999999E-5</v>
      </c>
      <c r="AN142">
        <v>2.0999999999999999E-5</v>
      </c>
      <c r="AO142">
        <v>2.0999999999999999E-5</v>
      </c>
      <c r="AP142">
        <v>5.5999999999999999E-5</v>
      </c>
      <c r="AQ142">
        <v>5.5999999999999999E-5</v>
      </c>
      <c r="AR142">
        <v>5.5999999999999999E-5</v>
      </c>
      <c r="AS142">
        <v>5.5999999999999999E-5</v>
      </c>
      <c r="AT142">
        <v>5.5999999999999999E-5</v>
      </c>
      <c r="AU142">
        <v>8.3999999999999995E-5</v>
      </c>
      <c r="AV142">
        <v>8.3999999999999995E-5</v>
      </c>
      <c r="AW142">
        <v>8.3999999999999995E-5</v>
      </c>
      <c r="AX142">
        <v>8.3999999999999995E-5</v>
      </c>
      <c r="AY142">
        <v>8.3999999999999995E-5</v>
      </c>
      <c r="AZ142">
        <v>1.13E-4</v>
      </c>
      <c r="BA142">
        <v>1.13E-4</v>
      </c>
      <c r="BB142">
        <v>1.13E-4</v>
      </c>
      <c r="BC142">
        <v>1.13E-4</v>
      </c>
      <c r="BD142">
        <v>1.13E-4</v>
      </c>
      <c r="BE142">
        <v>8.2000000000000001E-5</v>
      </c>
      <c r="BF142">
        <v>8.2000000000000001E-5</v>
      </c>
      <c r="BG142">
        <v>8.2000000000000001E-5</v>
      </c>
      <c r="BH142">
        <v>8.2000000000000001E-5</v>
      </c>
      <c r="BI142">
        <v>8.2000000000000001E-5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4.7800000000000002E-4</v>
      </c>
      <c r="BZ142">
        <v>4.7800000000000002E-4</v>
      </c>
      <c r="CA142">
        <v>4.7800000000000002E-4</v>
      </c>
      <c r="CB142">
        <v>4.7800000000000002E-4</v>
      </c>
      <c r="CC142">
        <v>4.7800000000000002E-4</v>
      </c>
      <c r="CD142">
        <v>4.7800000000000002E-4</v>
      </c>
      <c r="CE142">
        <v>4.7800000000000002E-4</v>
      </c>
      <c r="CF142">
        <v>4.7800000000000002E-4</v>
      </c>
      <c r="CG142">
        <v>4.7800000000000002E-4</v>
      </c>
      <c r="CH142">
        <v>4.7800000000000002E-4</v>
      </c>
      <c r="CI142">
        <v>4.7800000000000002E-4</v>
      </c>
      <c r="CJ142">
        <v>4.7800000000000002E-4</v>
      </c>
      <c r="CK142">
        <v>4.7800000000000002E-4</v>
      </c>
      <c r="CL142">
        <v>4.7800000000000002E-4</v>
      </c>
      <c r="CM142">
        <v>4.7800000000000002E-4</v>
      </c>
      <c r="CN142">
        <v>4.7800000000000002E-4</v>
      </c>
      <c r="CO142">
        <v>4.7800000000000002E-4</v>
      </c>
      <c r="CP142">
        <v>4.7800000000000002E-4</v>
      </c>
      <c r="CQ142">
        <v>4.7800000000000002E-4</v>
      </c>
      <c r="CR142">
        <v>4.7800000000000002E-4</v>
      </c>
      <c r="CS142">
        <v>4.7800000000000002E-4</v>
      </c>
      <c r="CT142">
        <v>4.7800000000000002E-4</v>
      </c>
      <c r="CU142">
        <v>4.7800000000000002E-4</v>
      </c>
      <c r="CV142">
        <v>4.7800000000000002E-4</v>
      </c>
      <c r="CW142">
        <v>4.7800000000000002E-4</v>
      </c>
      <c r="CX142">
        <v>4.7800000000000002E-4</v>
      </c>
    </row>
    <row r="143" spans="1:102" x14ac:dyDescent="0.25">
      <c r="A143" t="s">
        <v>351</v>
      </c>
      <c r="B143" t="e">
        <v>#VALUE!</v>
      </c>
      <c r="C143" t="e">
        <v>#VALUE!</v>
      </c>
      <c r="D143" t="e">
        <v>#VALUE!</v>
      </c>
      <c r="E143" t="e">
        <v>#VALUE!</v>
      </c>
      <c r="F143" t="e">
        <v>#VALUE!</v>
      </c>
      <c r="G143" t="e">
        <v>#VALUE!</v>
      </c>
      <c r="H143" t="e">
        <v>#VALUE!</v>
      </c>
      <c r="I143" t="e">
        <v>#VALUE!</v>
      </c>
      <c r="J143" t="e">
        <v>#VALUE!</v>
      </c>
      <c r="K143" t="e">
        <v>#VALUE!</v>
      </c>
      <c r="L143" t="e">
        <v>#VALUE!</v>
      </c>
      <c r="M143" t="e">
        <v>#VALUE!</v>
      </c>
      <c r="N143" t="e">
        <v>#VALUE!</v>
      </c>
      <c r="O143" t="e">
        <v>#VALUE!</v>
      </c>
      <c r="P143" t="e">
        <v>#VALUE!</v>
      </c>
      <c r="Q143">
        <v>1.84E-4</v>
      </c>
      <c r="R143">
        <v>1.84E-4</v>
      </c>
      <c r="S143">
        <v>1.84E-4</v>
      </c>
      <c r="T143">
        <v>1.84E-4</v>
      </c>
      <c r="U143">
        <v>1.84E-4</v>
      </c>
      <c r="V143">
        <v>1.84E-4</v>
      </c>
      <c r="W143">
        <v>1.84E-4</v>
      </c>
      <c r="X143">
        <v>1.84E-4</v>
      </c>
      <c r="Y143">
        <v>1.84E-4</v>
      </c>
      <c r="Z143">
        <v>1.84E-4</v>
      </c>
      <c r="AA143">
        <v>1.84E-4</v>
      </c>
      <c r="AB143">
        <v>1.84E-4</v>
      </c>
      <c r="AC143">
        <v>1.84E-4</v>
      </c>
      <c r="AD143">
        <v>1.84E-4</v>
      </c>
      <c r="AE143">
        <v>1.84E-4</v>
      </c>
      <c r="AF143">
        <v>1.84E-4</v>
      </c>
      <c r="AG143">
        <v>1.84E-4</v>
      </c>
      <c r="AH143">
        <v>1.84E-4</v>
      </c>
      <c r="AI143">
        <v>1.84E-4</v>
      </c>
      <c r="AJ143">
        <v>1.84E-4</v>
      </c>
      <c r="AK143">
        <v>1.84E-4</v>
      </c>
      <c r="AL143">
        <v>1.84E-4</v>
      </c>
      <c r="AM143">
        <v>1.84E-4</v>
      </c>
      <c r="AN143">
        <v>1.84E-4</v>
      </c>
      <c r="AO143">
        <v>1.84E-4</v>
      </c>
      <c r="AP143">
        <v>5.5999999999999995E-4</v>
      </c>
      <c r="AQ143">
        <v>5.5999999999999995E-4</v>
      </c>
      <c r="AR143">
        <v>5.5999999999999995E-4</v>
      </c>
      <c r="AS143">
        <v>5.5999999999999995E-4</v>
      </c>
      <c r="AT143">
        <v>5.5999999999999995E-4</v>
      </c>
      <c r="AU143">
        <v>7.2099999999999996E-4</v>
      </c>
      <c r="AV143">
        <v>7.2099999999999996E-4</v>
      </c>
      <c r="AW143">
        <v>7.2099999999999996E-4</v>
      </c>
      <c r="AX143">
        <v>7.2099999999999996E-4</v>
      </c>
      <c r="AY143">
        <v>7.2099999999999996E-4</v>
      </c>
      <c r="AZ143">
        <v>8.3299999999999997E-4</v>
      </c>
      <c r="BA143">
        <v>8.3299999999999997E-4</v>
      </c>
      <c r="BB143">
        <v>8.3299999999999997E-4</v>
      </c>
      <c r="BC143">
        <v>8.3299999999999997E-4</v>
      </c>
      <c r="BD143">
        <v>8.3299999999999997E-4</v>
      </c>
      <c r="BE143">
        <v>8.0900000000000004E-4</v>
      </c>
      <c r="BF143">
        <v>8.0900000000000004E-4</v>
      </c>
      <c r="BG143">
        <v>8.0900000000000004E-4</v>
      </c>
      <c r="BH143">
        <v>8.0900000000000004E-4</v>
      </c>
      <c r="BI143">
        <v>8.0900000000000004E-4</v>
      </c>
      <c r="BJ143">
        <v>7.3099999999999999E-4</v>
      </c>
      <c r="BK143">
        <v>7.3099999999999999E-4</v>
      </c>
      <c r="BL143">
        <v>7.3099999999999999E-4</v>
      </c>
      <c r="BM143">
        <v>7.3099999999999999E-4</v>
      </c>
      <c r="BN143">
        <v>7.3099999999999999E-4</v>
      </c>
      <c r="BO143">
        <v>6.4899999999999995E-4</v>
      </c>
      <c r="BP143">
        <v>6.4899999999999995E-4</v>
      </c>
      <c r="BQ143">
        <v>6.4899999999999995E-4</v>
      </c>
      <c r="BR143">
        <v>6.4899999999999995E-4</v>
      </c>
      <c r="BS143">
        <v>6.4899999999999995E-4</v>
      </c>
      <c r="BT143">
        <v>5.5400000000000002E-4</v>
      </c>
      <c r="BU143">
        <v>5.5400000000000002E-4</v>
      </c>
      <c r="BV143">
        <v>5.5400000000000002E-4</v>
      </c>
      <c r="BW143">
        <v>5.5400000000000002E-4</v>
      </c>
      <c r="BX143">
        <v>5.5400000000000002E-4</v>
      </c>
      <c r="BY143">
        <v>3.8699999999999997E-4</v>
      </c>
      <c r="BZ143">
        <v>3.8699999999999997E-4</v>
      </c>
      <c r="CA143">
        <v>3.8699999999999997E-4</v>
      </c>
      <c r="CB143">
        <v>3.8699999999999997E-4</v>
      </c>
      <c r="CC143">
        <v>3.8699999999999997E-4</v>
      </c>
      <c r="CD143">
        <v>3.8699999999999997E-4</v>
      </c>
      <c r="CE143">
        <v>3.8699999999999997E-4</v>
      </c>
      <c r="CF143">
        <v>3.8699999999999997E-4</v>
      </c>
      <c r="CG143">
        <v>3.8699999999999997E-4</v>
      </c>
      <c r="CH143">
        <v>3.8699999999999997E-4</v>
      </c>
      <c r="CI143">
        <v>3.8699999999999997E-4</v>
      </c>
      <c r="CJ143">
        <v>3.8699999999999997E-4</v>
      </c>
      <c r="CK143">
        <v>3.8699999999999997E-4</v>
      </c>
      <c r="CL143">
        <v>3.8699999999999997E-4</v>
      </c>
      <c r="CM143">
        <v>3.8699999999999997E-4</v>
      </c>
      <c r="CN143">
        <v>3.8699999999999997E-4</v>
      </c>
      <c r="CO143">
        <v>3.8699999999999997E-4</v>
      </c>
      <c r="CP143">
        <v>3.8699999999999997E-4</v>
      </c>
      <c r="CQ143">
        <v>3.8699999999999997E-4</v>
      </c>
      <c r="CR143">
        <v>3.8699999999999997E-4</v>
      </c>
      <c r="CS143">
        <v>3.8699999999999997E-4</v>
      </c>
      <c r="CT143">
        <v>3.8699999999999997E-4</v>
      </c>
      <c r="CU143">
        <v>3.8699999999999997E-4</v>
      </c>
      <c r="CV143">
        <v>3.8699999999999997E-4</v>
      </c>
      <c r="CW143">
        <v>3.8699999999999997E-4</v>
      </c>
      <c r="CX143">
        <v>3.8699999999999997E-4</v>
      </c>
    </row>
    <row r="144" spans="1:102" x14ac:dyDescent="0.25">
      <c r="A144" t="s">
        <v>353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1.4999999999999999E-4</v>
      </c>
      <c r="R144">
        <v>1.4999999999999999E-4</v>
      </c>
      <c r="S144">
        <v>1.4999999999999999E-4</v>
      </c>
      <c r="T144">
        <v>1.4999999999999999E-4</v>
      </c>
      <c r="U144">
        <v>1.4999999999999999E-4</v>
      </c>
      <c r="V144">
        <v>1.4999999999999999E-4</v>
      </c>
      <c r="W144">
        <v>1.4999999999999999E-4</v>
      </c>
      <c r="X144">
        <v>1.4999999999999999E-4</v>
      </c>
      <c r="Y144">
        <v>1.4999999999999999E-4</v>
      </c>
      <c r="Z144">
        <v>1.4999999999999999E-4</v>
      </c>
      <c r="AA144">
        <v>1.4999999999999999E-4</v>
      </c>
      <c r="AB144">
        <v>1.4999999999999999E-4</v>
      </c>
      <c r="AC144">
        <v>1.4999999999999999E-4</v>
      </c>
      <c r="AD144">
        <v>1.4999999999999999E-4</v>
      </c>
      <c r="AE144">
        <v>1.4999999999999999E-4</v>
      </c>
      <c r="AF144">
        <v>1.4999999999999999E-4</v>
      </c>
      <c r="AG144">
        <v>1.4999999999999999E-4</v>
      </c>
      <c r="AH144">
        <v>1.4999999999999999E-4</v>
      </c>
      <c r="AI144">
        <v>1.4999999999999999E-4</v>
      </c>
      <c r="AJ144">
        <v>1.4999999999999999E-4</v>
      </c>
      <c r="AK144">
        <v>1.4999999999999999E-4</v>
      </c>
      <c r="AL144">
        <v>1.4999999999999999E-4</v>
      </c>
      <c r="AM144">
        <v>1.4999999999999999E-4</v>
      </c>
      <c r="AN144">
        <v>1.4999999999999999E-4</v>
      </c>
      <c r="AO144">
        <v>1.4999999999999999E-4</v>
      </c>
      <c r="AP144">
        <v>3.3100000000000002E-4</v>
      </c>
      <c r="AQ144">
        <v>3.3100000000000002E-4</v>
      </c>
      <c r="AR144">
        <v>3.3100000000000002E-4</v>
      </c>
      <c r="AS144">
        <v>3.3100000000000002E-4</v>
      </c>
      <c r="AT144">
        <v>3.3100000000000002E-4</v>
      </c>
      <c r="AU144">
        <v>3.4000000000000002E-4</v>
      </c>
      <c r="AV144">
        <v>3.4000000000000002E-4</v>
      </c>
      <c r="AW144">
        <v>3.4000000000000002E-4</v>
      </c>
      <c r="AX144">
        <v>3.4000000000000002E-4</v>
      </c>
      <c r="AY144">
        <v>3.4000000000000002E-4</v>
      </c>
      <c r="AZ144">
        <v>3.3E-4</v>
      </c>
      <c r="BA144">
        <v>3.3E-4</v>
      </c>
      <c r="BB144">
        <v>3.3E-4</v>
      </c>
      <c r="BC144">
        <v>3.3E-4</v>
      </c>
      <c r="BD144">
        <v>3.3E-4</v>
      </c>
      <c r="BE144">
        <v>3.1500000000000001E-4</v>
      </c>
      <c r="BF144">
        <v>3.1500000000000001E-4</v>
      </c>
      <c r="BG144">
        <v>3.1500000000000001E-4</v>
      </c>
      <c r="BH144">
        <v>3.1500000000000001E-4</v>
      </c>
      <c r="BI144">
        <v>3.1500000000000001E-4</v>
      </c>
      <c r="BJ144">
        <v>2.9300000000000002E-4</v>
      </c>
      <c r="BK144">
        <v>2.9300000000000002E-4</v>
      </c>
      <c r="BL144">
        <v>2.9300000000000002E-4</v>
      </c>
      <c r="BM144">
        <v>2.9300000000000002E-4</v>
      </c>
      <c r="BN144">
        <v>2.9300000000000002E-4</v>
      </c>
      <c r="BO144">
        <v>2.6800000000000001E-4</v>
      </c>
      <c r="BP144">
        <v>2.6800000000000001E-4</v>
      </c>
      <c r="BQ144">
        <v>2.6800000000000001E-4</v>
      </c>
      <c r="BR144">
        <v>2.6800000000000001E-4</v>
      </c>
      <c r="BS144">
        <v>2.6800000000000001E-4</v>
      </c>
      <c r="BT144">
        <v>2.3900000000000001E-4</v>
      </c>
      <c r="BU144">
        <v>2.3900000000000001E-4</v>
      </c>
      <c r="BV144">
        <v>2.3900000000000001E-4</v>
      </c>
      <c r="BW144">
        <v>2.3900000000000001E-4</v>
      </c>
      <c r="BX144">
        <v>2.3900000000000001E-4</v>
      </c>
      <c r="BY144">
        <v>1.7799999999999999E-4</v>
      </c>
      <c r="BZ144">
        <v>1.7799999999999999E-4</v>
      </c>
      <c r="CA144">
        <v>1.7799999999999999E-4</v>
      </c>
      <c r="CB144">
        <v>1.7799999999999999E-4</v>
      </c>
      <c r="CC144">
        <v>1.7799999999999999E-4</v>
      </c>
      <c r="CD144">
        <v>1.7799999999999999E-4</v>
      </c>
      <c r="CE144">
        <v>1.7799999999999999E-4</v>
      </c>
      <c r="CF144">
        <v>1.7799999999999999E-4</v>
      </c>
      <c r="CG144">
        <v>1.7799999999999999E-4</v>
      </c>
      <c r="CH144">
        <v>1.7799999999999999E-4</v>
      </c>
      <c r="CI144">
        <v>1.7799999999999999E-4</v>
      </c>
      <c r="CJ144">
        <v>1.7799999999999999E-4</v>
      </c>
      <c r="CK144">
        <v>1.7799999999999999E-4</v>
      </c>
      <c r="CL144">
        <v>1.7799999999999999E-4</v>
      </c>
      <c r="CM144">
        <v>1.7799999999999999E-4</v>
      </c>
      <c r="CN144">
        <v>1.7799999999999999E-4</v>
      </c>
      <c r="CO144">
        <v>1.7799999999999999E-4</v>
      </c>
      <c r="CP144">
        <v>1.7799999999999999E-4</v>
      </c>
      <c r="CQ144">
        <v>1.7799999999999999E-4</v>
      </c>
      <c r="CR144">
        <v>1.7799999999999999E-4</v>
      </c>
      <c r="CS144">
        <v>1.7799999999999999E-4</v>
      </c>
      <c r="CT144">
        <v>1.7799999999999999E-4</v>
      </c>
      <c r="CU144">
        <v>1.7799999999999999E-4</v>
      </c>
      <c r="CV144">
        <v>1.7799999999999999E-4</v>
      </c>
      <c r="CW144">
        <v>1.7799999999999999E-4</v>
      </c>
      <c r="CX144">
        <v>1.7799999999999999E-4</v>
      </c>
    </row>
    <row r="145" spans="1:102" x14ac:dyDescent="0.25">
      <c r="A145" t="s">
        <v>355</v>
      </c>
      <c r="B145" t="e">
        <v>#VALUE!</v>
      </c>
      <c r="C145" t="e">
        <v>#VALUE!</v>
      </c>
      <c r="D145" t="e">
        <v>#VALUE!</v>
      </c>
      <c r="E145" t="e">
        <v>#VALUE!</v>
      </c>
      <c r="F145" t="e">
        <v>#VALUE!</v>
      </c>
      <c r="G145" t="e">
        <v>#VALUE!</v>
      </c>
      <c r="H145" t="e">
        <v>#VALUE!</v>
      </c>
      <c r="I145" t="e">
        <v>#VALUE!</v>
      </c>
      <c r="J145" t="e">
        <v>#VALUE!</v>
      </c>
      <c r="K145" t="e">
        <v>#VALUE!</v>
      </c>
      <c r="L145" t="e">
        <v>#VALUE!</v>
      </c>
      <c r="M145" t="e">
        <v>#VALUE!</v>
      </c>
      <c r="N145" t="e">
        <v>#VALUE!</v>
      </c>
      <c r="O145" t="e">
        <v>#VALUE!</v>
      </c>
      <c r="P145" t="e">
        <v>#VALUE!</v>
      </c>
      <c r="Q145">
        <v>1.1400000000000001E-4</v>
      </c>
      <c r="R145">
        <v>1.1400000000000001E-4</v>
      </c>
      <c r="S145">
        <v>1.1400000000000001E-4</v>
      </c>
      <c r="T145">
        <v>1.1400000000000001E-4</v>
      </c>
      <c r="U145">
        <v>1.1400000000000001E-4</v>
      </c>
      <c r="V145">
        <v>1.1400000000000001E-4</v>
      </c>
      <c r="W145">
        <v>1.1400000000000001E-4</v>
      </c>
      <c r="X145">
        <v>1.1400000000000001E-4</v>
      </c>
      <c r="Y145">
        <v>1.1400000000000001E-4</v>
      </c>
      <c r="Z145">
        <v>1.1400000000000001E-4</v>
      </c>
      <c r="AA145">
        <v>1.1400000000000001E-4</v>
      </c>
      <c r="AB145">
        <v>1.1400000000000001E-4</v>
      </c>
      <c r="AC145">
        <v>1.1400000000000001E-4</v>
      </c>
      <c r="AD145">
        <v>1.1400000000000001E-4</v>
      </c>
      <c r="AE145">
        <v>1.1400000000000001E-4</v>
      </c>
      <c r="AF145">
        <v>1.1400000000000001E-4</v>
      </c>
      <c r="AG145">
        <v>1.1400000000000001E-4</v>
      </c>
      <c r="AH145">
        <v>1.1400000000000001E-4</v>
      </c>
      <c r="AI145">
        <v>1.1400000000000001E-4</v>
      </c>
      <c r="AJ145">
        <v>1.1400000000000001E-4</v>
      </c>
      <c r="AK145">
        <v>1.1400000000000001E-4</v>
      </c>
      <c r="AL145">
        <v>1.1400000000000001E-4</v>
      </c>
      <c r="AM145">
        <v>1.1400000000000001E-4</v>
      </c>
      <c r="AN145">
        <v>1.1400000000000001E-4</v>
      </c>
      <c r="AO145">
        <v>1.1400000000000001E-4</v>
      </c>
      <c r="AP145">
        <v>6.8099999999999996E-4</v>
      </c>
      <c r="AQ145">
        <v>6.8099999999999996E-4</v>
      </c>
      <c r="AR145">
        <v>6.8099999999999996E-4</v>
      </c>
      <c r="AS145">
        <v>6.8099999999999996E-4</v>
      </c>
      <c r="AT145">
        <v>6.8099999999999996E-4</v>
      </c>
      <c r="AU145">
        <v>1.049E-3</v>
      </c>
      <c r="AV145">
        <v>1.049E-3</v>
      </c>
      <c r="AW145">
        <v>1.049E-3</v>
      </c>
      <c r="AX145">
        <v>1.049E-3</v>
      </c>
      <c r="AY145">
        <v>1.049E-3</v>
      </c>
      <c r="AZ145">
        <v>1.3749999999999999E-3</v>
      </c>
      <c r="BA145">
        <v>1.3749999999999999E-3</v>
      </c>
      <c r="BB145">
        <v>1.3749999999999999E-3</v>
      </c>
      <c r="BC145">
        <v>1.3749999999999999E-3</v>
      </c>
      <c r="BD145">
        <v>1.3749999999999999E-3</v>
      </c>
      <c r="BE145">
        <v>1.56E-3</v>
      </c>
      <c r="BF145">
        <v>1.56E-3</v>
      </c>
      <c r="BG145">
        <v>1.56E-3</v>
      </c>
      <c r="BH145">
        <v>1.56E-3</v>
      </c>
      <c r="BI145">
        <v>1.56E-3</v>
      </c>
      <c r="BJ145">
        <v>1.5150000000000001E-3</v>
      </c>
      <c r="BK145">
        <v>1.5150000000000001E-3</v>
      </c>
      <c r="BL145">
        <v>1.5150000000000001E-3</v>
      </c>
      <c r="BM145">
        <v>1.5150000000000001E-3</v>
      </c>
      <c r="BN145">
        <v>1.5150000000000001E-3</v>
      </c>
      <c r="BO145">
        <v>1.372E-3</v>
      </c>
      <c r="BP145">
        <v>1.372E-3</v>
      </c>
      <c r="BQ145">
        <v>1.372E-3</v>
      </c>
      <c r="BR145">
        <v>1.372E-3</v>
      </c>
      <c r="BS145">
        <v>1.372E-3</v>
      </c>
      <c r="BT145">
        <v>1.139E-3</v>
      </c>
      <c r="BU145">
        <v>1.139E-3</v>
      </c>
      <c r="BV145">
        <v>1.139E-3</v>
      </c>
      <c r="BW145">
        <v>1.139E-3</v>
      </c>
      <c r="BX145">
        <v>1.139E-3</v>
      </c>
      <c r="BY145">
        <v>7.9600000000000005E-4</v>
      </c>
      <c r="BZ145">
        <v>7.9600000000000005E-4</v>
      </c>
      <c r="CA145">
        <v>7.9600000000000005E-4</v>
      </c>
      <c r="CB145">
        <v>7.9600000000000005E-4</v>
      </c>
      <c r="CC145">
        <v>7.9600000000000005E-4</v>
      </c>
      <c r="CD145">
        <v>7.9600000000000005E-4</v>
      </c>
      <c r="CE145">
        <v>7.9600000000000005E-4</v>
      </c>
      <c r="CF145">
        <v>7.9600000000000005E-4</v>
      </c>
      <c r="CG145">
        <v>7.9600000000000005E-4</v>
      </c>
      <c r="CH145">
        <v>7.9600000000000005E-4</v>
      </c>
      <c r="CI145">
        <v>7.9600000000000005E-4</v>
      </c>
      <c r="CJ145">
        <v>7.9600000000000005E-4</v>
      </c>
      <c r="CK145">
        <v>7.9600000000000005E-4</v>
      </c>
      <c r="CL145">
        <v>7.9600000000000005E-4</v>
      </c>
      <c r="CM145">
        <v>7.9600000000000005E-4</v>
      </c>
      <c r="CN145">
        <v>7.9600000000000005E-4</v>
      </c>
      <c r="CO145">
        <v>7.9600000000000005E-4</v>
      </c>
      <c r="CP145">
        <v>7.9600000000000005E-4</v>
      </c>
      <c r="CQ145">
        <v>7.9600000000000005E-4</v>
      </c>
      <c r="CR145">
        <v>7.9600000000000005E-4</v>
      </c>
      <c r="CS145">
        <v>7.9600000000000005E-4</v>
      </c>
      <c r="CT145">
        <v>7.9600000000000005E-4</v>
      </c>
      <c r="CU145">
        <v>7.9600000000000005E-4</v>
      </c>
      <c r="CV145">
        <v>7.9600000000000005E-4</v>
      </c>
      <c r="CW145">
        <v>7.9600000000000005E-4</v>
      </c>
      <c r="CX145">
        <v>7.9600000000000005E-4</v>
      </c>
    </row>
    <row r="146" spans="1:102" x14ac:dyDescent="0.25">
      <c r="A146" t="s">
        <v>357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1.25E-4</v>
      </c>
      <c r="R146">
        <v>1.25E-4</v>
      </c>
      <c r="S146">
        <v>1.25E-4</v>
      </c>
      <c r="T146">
        <v>1.25E-4</v>
      </c>
      <c r="U146">
        <v>1.25E-4</v>
      </c>
      <c r="V146">
        <v>1.25E-4</v>
      </c>
      <c r="W146">
        <v>1.25E-4</v>
      </c>
      <c r="X146">
        <v>1.25E-4</v>
      </c>
      <c r="Y146">
        <v>1.25E-4</v>
      </c>
      <c r="Z146">
        <v>1.25E-4</v>
      </c>
      <c r="AA146">
        <v>1.25E-4</v>
      </c>
      <c r="AB146">
        <v>1.25E-4</v>
      </c>
      <c r="AC146">
        <v>1.25E-4</v>
      </c>
      <c r="AD146">
        <v>1.25E-4</v>
      </c>
      <c r="AE146">
        <v>1.25E-4</v>
      </c>
      <c r="AF146">
        <v>1.25E-4</v>
      </c>
      <c r="AG146">
        <v>1.25E-4</v>
      </c>
      <c r="AH146">
        <v>1.25E-4</v>
      </c>
      <c r="AI146">
        <v>1.25E-4</v>
      </c>
      <c r="AJ146">
        <v>1.25E-4</v>
      </c>
      <c r="AK146">
        <v>1.25E-4</v>
      </c>
      <c r="AL146">
        <v>1.25E-4</v>
      </c>
      <c r="AM146">
        <v>1.25E-4</v>
      </c>
      <c r="AN146">
        <v>1.25E-4</v>
      </c>
      <c r="AO146">
        <v>1.25E-4</v>
      </c>
      <c r="AP146">
        <v>3.1500000000000001E-4</v>
      </c>
      <c r="AQ146">
        <v>3.1500000000000001E-4</v>
      </c>
      <c r="AR146">
        <v>3.1500000000000001E-4</v>
      </c>
      <c r="AS146">
        <v>3.1500000000000001E-4</v>
      </c>
      <c r="AT146">
        <v>3.1500000000000001E-4</v>
      </c>
      <c r="AU146">
        <v>3.21E-4</v>
      </c>
      <c r="AV146">
        <v>3.21E-4</v>
      </c>
      <c r="AW146">
        <v>3.21E-4</v>
      </c>
      <c r="AX146">
        <v>3.21E-4</v>
      </c>
      <c r="AY146">
        <v>3.21E-4</v>
      </c>
      <c r="AZ146">
        <v>3.1100000000000002E-4</v>
      </c>
      <c r="BA146">
        <v>3.1100000000000002E-4</v>
      </c>
      <c r="BB146">
        <v>3.1100000000000002E-4</v>
      </c>
      <c r="BC146">
        <v>3.1100000000000002E-4</v>
      </c>
      <c r="BD146">
        <v>3.1100000000000002E-4</v>
      </c>
      <c r="BE146">
        <v>3.1199999999999999E-4</v>
      </c>
      <c r="BF146">
        <v>3.1199999999999999E-4</v>
      </c>
      <c r="BG146">
        <v>3.1199999999999999E-4</v>
      </c>
      <c r="BH146">
        <v>3.1199999999999999E-4</v>
      </c>
      <c r="BI146">
        <v>3.1199999999999999E-4</v>
      </c>
      <c r="BJ146">
        <v>3.1599999999999998E-4</v>
      </c>
      <c r="BK146">
        <v>3.1599999999999998E-4</v>
      </c>
      <c r="BL146">
        <v>3.1599999999999998E-4</v>
      </c>
      <c r="BM146">
        <v>3.1599999999999998E-4</v>
      </c>
      <c r="BN146">
        <v>3.1599999999999998E-4</v>
      </c>
      <c r="BO146">
        <v>3.3199999999999999E-4</v>
      </c>
      <c r="BP146">
        <v>3.3199999999999999E-4</v>
      </c>
      <c r="BQ146">
        <v>3.3199999999999999E-4</v>
      </c>
      <c r="BR146">
        <v>3.3199999999999999E-4</v>
      </c>
      <c r="BS146">
        <v>3.3199999999999999E-4</v>
      </c>
      <c r="BT146">
        <v>3.6299999999999999E-4</v>
      </c>
      <c r="BU146">
        <v>3.6299999999999999E-4</v>
      </c>
      <c r="BV146">
        <v>3.6299999999999999E-4</v>
      </c>
      <c r="BW146">
        <v>3.6299999999999999E-4</v>
      </c>
      <c r="BX146">
        <v>3.6299999999999999E-4</v>
      </c>
      <c r="BY146">
        <v>3.3599999999999998E-4</v>
      </c>
      <c r="BZ146">
        <v>3.3599999999999998E-4</v>
      </c>
      <c r="CA146">
        <v>3.3599999999999998E-4</v>
      </c>
      <c r="CB146">
        <v>3.3599999999999998E-4</v>
      </c>
      <c r="CC146">
        <v>3.3599999999999998E-4</v>
      </c>
      <c r="CD146">
        <v>3.3599999999999998E-4</v>
      </c>
      <c r="CE146">
        <v>3.3599999999999998E-4</v>
      </c>
      <c r="CF146">
        <v>3.3599999999999998E-4</v>
      </c>
      <c r="CG146">
        <v>3.3599999999999998E-4</v>
      </c>
      <c r="CH146">
        <v>3.3599999999999998E-4</v>
      </c>
      <c r="CI146">
        <v>3.3599999999999998E-4</v>
      </c>
      <c r="CJ146">
        <v>3.3599999999999998E-4</v>
      </c>
      <c r="CK146">
        <v>3.3599999999999998E-4</v>
      </c>
      <c r="CL146">
        <v>3.3599999999999998E-4</v>
      </c>
      <c r="CM146">
        <v>3.3599999999999998E-4</v>
      </c>
      <c r="CN146">
        <v>3.3599999999999998E-4</v>
      </c>
      <c r="CO146">
        <v>3.3599999999999998E-4</v>
      </c>
      <c r="CP146">
        <v>3.3599999999999998E-4</v>
      </c>
      <c r="CQ146">
        <v>3.3599999999999998E-4</v>
      </c>
      <c r="CR146">
        <v>3.3599999999999998E-4</v>
      </c>
      <c r="CS146">
        <v>3.3599999999999998E-4</v>
      </c>
      <c r="CT146">
        <v>3.3599999999999998E-4</v>
      </c>
      <c r="CU146">
        <v>3.3599999999999998E-4</v>
      </c>
      <c r="CV146">
        <v>3.3599999999999998E-4</v>
      </c>
      <c r="CW146">
        <v>3.3599999999999998E-4</v>
      </c>
      <c r="CX146">
        <v>3.3599999999999998E-4</v>
      </c>
    </row>
    <row r="147" spans="1:102" x14ac:dyDescent="0.25">
      <c r="A147" t="s">
        <v>359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1.25E-4</v>
      </c>
      <c r="R147">
        <v>1.25E-4</v>
      </c>
      <c r="S147">
        <v>1.25E-4</v>
      </c>
      <c r="T147">
        <v>1.25E-4</v>
      </c>
      <c r="U147">
        <v>1.25E-4</v>
      </c>
      <c r="V147">
        <v>1.25E-4</v>
      </c>
      <c r="W147">
        <v>1.25E-4</v>
      </c>
      <c r="X147">
        <v>1.25E-4</v>
      </c>
      <c r="Y147">
        <v>1.25E-4</v>
      </c>
      <c r="Z147">
        <v>1.25E-4</v>
      </c>
      <c r="AA147">
        <v>1.25E-4</v>
      </c>
      <c r="AB147">
        <v>1.25E-4</v>
      </c>
      <c r="AC147">
        <v>1.25E-4</v>
      </c>
      <c r="AD147">
        <v>1.25E-4</v>
      </c>
      <c r="AE147">
        <v>1.25E-4</v>
      </c>
      <c r="AF147">
        <v>1.25E-4</v>
      </c>
      <c r="AG147">
        <v>1.25E-4</v>
      </c>
      <c r="AH147">
        <v>1.25E-4</v>
      </c>
      <c r="AI147">
        <v>1.25E-4</v>
      </c>
      <c r="AJ147">
        <v>1.25E-4</v>
      </c>
      <c r="AK147">
        <v>1.25E-4</v>
      </c>
      <c r="AL147">
        <v>1.25E-4</v>
      </c>
      <c r="AM147">
        <v>1.25E-4</v>
      </c>
      <c r="AN147">
        <v>1.25E-4</v>
      </c>
      <c r="AO147">
        <v>1.25E-4</v>
      </c>
      <c r="AP147">
        <v>3.1500000000000001E-4</v>
      </c>
      <c r="AQ147">
        <v>3.1500000000000001E-4</v>
      </c>
      <c r="AR147">
        <v>3.1500000000000001E-4</v>
      </c>
      <c r="AS147">
        <v>3.1500000000000001E-4</v>
      </c>
      <c r="AT147">
        <v>3.1500000000000001E-4</v>
      </c>
      <c r="AU147">
        <v>3.21E-4</v>
      </c>
      <c r="AV147">
        <v>3.21E-4</v>
      </c>
      <c r="AW147">
        <v>3.21E-4</v>
      </c>
      <c r="AX147">
        <v>3.21E-4</v>
      </c>
      <c r="AY147">
        <v>3.21E-4</v>
      </c>
      <c r="AZ147">
        <v>3.1100000000000002E-4</v>
      </c>
      <c r="BA147">
        <v>3.1100000000000002E-4</v>
      </c>
      <c r="BB147">
        <v>3.1100000000000002E-4</v>
      </c>
      <c r="BC147">
        <v>3.1100000000000002E-4</v>
      </c>
      <c r="BD147">
        <v>3.1100000000000002E-4</v>
      </c>
      <c r="BE147">
        <v>3.1199999999999999E-4</v>
      </c>
      <c r="BF147">
        <v>3.1199999999999999E-4</v>
      </c>
      <c r="BG147">
        <v>3.1199999999999999E-4</v>
      </c>
      <c r="BH147">
        <v>3.1199999999999999E-4</v>
      </c>
      <c r="BI147">
        <v>3.1199999999999999E-4</v>
      </c>
      <c r="BJ147">
        <v>3.1599999999999998E-4</v>
      </c>
      <c r="BK147">
        <v>3.1599999999999998E-4</v>
      </c>
      <c r="BL147">
        <v>3.1599999999999998E-4</v>
      </c>
      <c r="BM147">
        <v>3.1599999999999998E-4</v>
      </c>
      <c r="BN147">
        <v>3.1599999999999998E-4</v>
      </c>
      <c r="BO147">
        <v>3.3199999999999999E-4</v>
      </c>
      <c r="BP147">
        <v>3.3199999999999999E-4</v>
      </c>
      <c r="BQ147">
        <v>3.3199999999999999E-4</v>
      </c>
      <c r="BR147">
        <v>3.3199999999999999E-4</v>
      </c>
      <c r="BS147">
        <v>3.3199999999999999E-4</v>
      </c>
      <c r="BT147">
        <v>3.6299999999999999E-4</v>
      </c>
      <c r="BU147">
        <v>3.6299999999999999E-4</v>
      </c>
      <c r="BV147">
        <v>3.6299999999999999E-4</v>
      </c>
      <c r="BW147">
        <v>3.6299999999999999E-4</v>
      </c>
      <c r="BX147">
        <v>3.6299999999999999E-4</v>
      </c>
      <c r="BY147">
        <v>3.3599999999999998E-4</v>
      </c>
      <c r="BZ147">
        <v>3.3599999999999998E-4</v>
      </c>
      <c r="CA147">
        <v>3.3599999999999998E-4</v>
      </c>
      <c r="CB147">
        <v>3.3599999999999998E-4</v>
      </c>
      <c r="CC147">
        <v>3.3599999999999998E-4</v>
      </c>
      <c r="CD147">
        <v>3.3599999999999998E-4</v>
      </c>
      <c r="CE147">
        <v>3.3599999999999998E-4</v>
      </c>
      <c r="CF147">
        <v>3.3599999999999998E-4</v>
      </c>
      <c r="CG147">
        <v>3.3599999999999998E-4</v>
      </c>
      <c r="CH147">
        <v>3.3599999999999998E-4</v>
      </c>
      <c r="CI147">
        <v>3.3599999999999998E-4</v>
      </c>
      <c r="CJ147">
        <v>3.3599999999999998E-4</v>
      </c>
      <c r="CK147">
        <v>3.3599999999999998E-4</v>
      </c>
      <c r="CL147">
        <v>3.3599999999999998E-4</v>
      </c>
      <c r="CM147">
        <v>3.3599999999999998E-4</v>
      </c>
      <c r="CN147">
        <v>3.3599999999999998E-4</v>
      </c>
      <c r="CO147">
        <v>3.3599999999999998E-4</v>
      </c>
      <c r="CP147">
        <v>3.3599999999999998E-4</v>
      </c>
      <c r="CQ147">
        <v>3.3599999999999998E-4</v>
      </c>
      <c r="CR147">
        <v>3.3599999999999998E-4</v>
      </c>
      <c r="CS147">
        <v>3.3599999999999998E-4</v>
      </c>
      <c r="CT147">
        <v>3.3599999999999998E-4</v>
      </c>
      <c r="CU147">
        <v>3.3599999999999998E-4</v>
      </c>
      <c r="CV147">
        <v>3.3599999999999998E-4</v>
      </c>
      <c r="CW147">
        <v>3.3599999999999998E-4</v>
      </c>
      <c r="CX147">
        <v>3.3599999999999998E-4</v>
      </c>
    </row>
    <row r="148" spans="1:102" x14ac:dyDescent="0.25">
      <c r="A148" t="s">
        <v>361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1.25E-4</v>
      </c>
      <c r="R148">
        <v>1.25E-4</v>
      </c>
      <c r="S148">
        <v>1.25E-4</v>
      </c>
      <c r="T148">
        <v>1.25E-4</v>
      </c>
      <c r="U148">
        <v>1.25E-4</v>
      </c>
      <c r="V148">
        <v>1.25E-4</v>
      </c>
      <c r="W148">
        <v>1.25E-4</v>
      </c>
      <c r="X148">
        <v>1.25E-4</v>
      </c>
      <c r="Y148">
        <v>1.25E-4</v>
      </c>
      <c r="Z148">
        <v>1.25E-4</v>
      </c>
      <c r="AA148">
        <v>1.25E-4</v>
      </c>
      <c r="AB148">
        <v>1.25E-4</v>
      </c>
      <c r="AC148">
        <v>1.25E-4</v>
      </c>
      <c r="AD148">
        <v>1.25E-4</v>
      </c>
      <c r="AE148">
        <v>1.25E-4</v>
      </c>
      <c r="AF148">
        <v>1.25E-4</v>
      </c>
      <c r="AG148">
        <v>1.25E-4</v>
      </c>
      <c r="AH148">
        <v>1.25E-4</v>
      </c>
      <c r="AI148">
        <v>1.25E-4</v>
      </c>
      <c r="AJ148">
        <v>1.25E-4</v>
      </c>
      <c r="AK148">
        <v>1.25E-4</v>
      </c>
      <c r="AL148">
        <v>1.25E-4</v>
      </c>
      <c r="AM148">
        <v>1.25E-4</v>
      </c>
      <c r="AN148">
        <v>1.25E-4</v>
      </c>
      <c r="AO148">
        <v>1.25E-4</v>
      </c>
      <c r="AP148">
        <v>3.1500000000000001E-4</v>
      </c>
      <c r="AQ148">
        <v>3.1500000000000001E-4</v>
      </c>
      <c r="AR148">
        <v>3.1500000000000001E-4</v>
      </c>
      <c r="AS148">
        <v>3.1500000000000001E-4</v>
      </c>
      <c r="AT148">
        <v>3.1500000000000001E-4</v>
      </c>
      <c r="AU148">
        <v>3.21E-4</v>
      </c>
      <c r="AV148">
        <v>3.21E-4</v>
      </c>
      <c r="AW148">
        <v>3.21E-4</v>
      </c>
      <c r="AX148">
        <v>3.21E-4</v>
      </c>
      <c r="AY148">
        <v>3.21E-4</v>
      </c>
      <c r="AZ148">
        <v>3.1100000000000002E-4</v>
      </c>
      <c r="BA148">
        <v>3.1100000000000002E-4</v>
      </c>
      <c r="BB148">
        <v>3.1100000000000002E-4</v>
      </c>
      <c r="BC148">
        <v>3.1100000000000002E-4</v>
      </c>
      <c r="BD148">
        <v>3.1100000000000002E-4</v>
      </c>
      <c r="BE148">
        <v>3.1199999999999999E-4</v>
      </c>
      <c r="BF148">
        <v>3.1199999999999999E-4</v>
      </c>
      <c r="BG148">
        <v>3.1199999999999999E-4</v>
      </c>
      <c r="BH148">
        <v>3.1199999999999999E-4</v>
      </c>
      <c r="BI148">
        <v>3.1199999999999999E-4</v>
      </c>
      <c r="BJ148">
        <v>3.1599999999999998E-4</v>
      </c>
      <c r="BK148">
        <v>3.1599999999999998E-4</v>
      </c>
      <c r="BL148">
        <v>3.1599999999999998E-4</v>
      </c>
      <c r="BM148">
        <v>3.1599999999999998E-4</v>
      </c>
      <c r="BN148">
        <v>3.1599999999999998E-4</v>
      </c>
      <c r="BO148">
        <v>3.3199999999999999E-4</v>
      </c>
      <c r="BP148">
        <v>3.3199999999999999E-4</v>
      </c>
      <c r="BQ148">
        <v>3.3199999999999999E-4</v>
      </c>
      <c r="BR148">
        <v>3.3199999999999999E-4</v>
      </c>
      <c r="BS148">
        <v>3.3199999999999999E-4</v>
      </c>
      <c r="BT148">
        <v>3.6299999999999999E-4</v>
      </c>
      <c r="BU148">
        <v>3.6299999999999999E-4</v>
      </c>
      <c r="BV148">
        <v>3.6299999999999999E-4</v>
      </c>
      <c r="BW148">
        <v>3.6299999999999999E-4</v>
      </c>
      <c r="BX148">
        <v>3.6299999999999999E-4</v>
      </c>
      <c r="BY148">
        <v>3.3599999999999998E-4</v>
      </c>
      <c r="BZ148">
        <v>3.3599999999999998E-4</v>
      </c>
      <c r="CA148">
        <v>3.3599999999999998E-4</v>
      </c>
      <c r="CB148">
        <v>3.3599999999999998E-4</v>
      </c>
      <c r="CC148">
        <v>3.3599999999999998E-4</v>
      </c>
      <c r="CD148">
        <v>3.3599999999999998E-4</v>
      </c>
      <c r="CE148">
        <v>3.3599999999999998E-4</v>
      </c>
      <c r="CF148">
        <v>3.3599999999999998E-4</v>
      </c>
      <c r="CG148">
        <v>3.3599999999999998E-4</v>
      </c>
      <c r="CH148">
        <v>3.3599999999999998E-4</v>
      </c>
      <c r="CI148">
        <v>3.3599999999999998E-4</v>
      </c>
      <c r="CJ148">
        <v>3.3599999999999998E-4</v>
      </c>
      <c r="CK148">
        <v>3.3599999999999998E-4</v>
      </c>
      <c r="CL148">
        <v>3.3599999999999998E-4</v>
      </c>
      <c r="CM148">
        <v>3.3599999999999998E-4</v>
      </c>
      <c r="CN148">
        <v>3.3599999999999998E-4</v>
      </c>
      <c r="CO148">
        <v>3.3599999999999998E-4</v>
      </c>
      <c r="CP148">
        <v>3.3599999999999998E-4</v>
      </c>
      <c r="CQ148">
        <v>3.3599999999999998E-4</v>
      </c>
      <c r="CR148">
        <v>3.3599999999999998E-4</v>
      </c>
      <c r="CS148">
        <v>3.3599999999999998E-4</v>
      </c>
      <c r="CT148">
        <v>3.3599999999999998E-4</v>
      </c>
      <c r="CU148">
        <v>3.3599999999999998E-4</v>
      </c>
      <c r="CV148">
        <v>3.3599999999999998E-4</v>
      </c>
      <c r="CW148">
        <v>3.3599999999999998E-4</v>
      </c>
      <c r="CX148">
        <v>3.3599999999999998E-4</v>
      </c>
    </row>
    <row r="149" spans="1:102" x14ac:dyDescent="0.25">
      <c r="A149" t="s">
        <v>363</v>
      </c>
      <c r="B149" t="e">
        <v>#VALUE!</v>
      </c>
      <c r="C149" t="e">
        <v>#VALUE!</v>
      </c>
      <c r="D149" t="e">
        <v>#VALUE!</v>
      </c>
      <c r="E149" t="e">
        <v>#VALUE!</v>
      </c>
      <c r="F149" t="e">
        <v>#VALUE!</v>
      </c>
      <c r="G149" t="e">
        <v>#VALUE!</v>
      </c>
      <c r="H149" t="e">
        <v>#VALUE!</v>
      </c>
      <c r="I149" t="e">
        <v>#VALUE!</v>
      </c>
      <c r="J149" t="e">
        <v>#VALUE!</v>
      </c>
      <c r="K149" t="e">
        <v>#VALUE!</v>
      </c>
      <c r="L149" t="e">
        <v>#VALUE!</v>
      </c>
      <c r="M149" t="e">
        <v>#VALUE!</v>
      </c>
      <c r="N149" t="e">
        <v>#VALUE!</v>
      </c>
      <c r="O149" t="e">
        <v>#VALUE!</v>
      </c>
      <c r="P149" t="e">
        <v>#VALUE!</v>
      </c>
      <c r="Q149">
        <v>3.0000000000000001E-5</v>
      </c>
      <c r="R149">
        <v>3.0000000000000001E-5</v>
      </c>
      <c r="S149">
        <v>3.0000000000000001E-5</v>
      </c>
      <c r="T149">
        <v>3.0000000000000001E-5</v>
      </c>
      <c r="U149">
        <v>3.0000000000000001E-5</v>
      </c>
      <c r="V149">
        <v>3.0000000000000001E-5</v>
      </c>
      <c r="W149">
        <v>3.0000000000000001E-5</v>
      </c>
      <c r="X149">
        <v>3.0000000000000001E-5</v>
      </c>
      <c r="Y149">
        <v>3.0000000000000001E-5</v>
      </c>
      <c r="Z149">
        <v>3.0000000000000001E-5</v>
      </c>
      <c r="AA149">
        <v>3.0000000000000001E-5</v>
      </c>
      <c r="AB149">
        <v>3.0000000000000001E-5</v>
      </c>
      <c r="AC149">
        <v>3.0000000000000001E-5</v>
      </c>
      <c r="AD149">
        <v>3.0000000000000001E-5</v>
      </c>
      <c r="AE149">
        <v>3.0000000000000001E-5</v>
      </c>
      <c r="AF149">
        <v>3.0000000000000001E-5</v>
      </c>
      <c r="AG149">
        <v>3.0000000000000001E-5</v>
      </c>
      <c r="AH149">
        <v>3.0000000000000001E-5</v>
      </c>
      <c r="AI149">
        <v>3.0000000000000001E-5</v>
      </c>
      <c r="AJ149">
        <v>3.0000000000000001E-5</v>
      </c>
      <c r="AK149">
        <v>3.0000000000000001E-5</v>
      </c>
      <c r="AL149">
        <v>3.0000000000000001E-5</v>
      </c>
      <c r="AM149">
        <v>3.0000000000000001E-5</v>
      </c>
      <c r="AN149">
        <v>3.0000000000000001E-5</v>
      </c>
      <c r="AO149">
        <v>3.0000000000000001E-5</v>
      </c>
      <c r="AP149">
        <v>1.2199999999999999E-3</v>
      </c>
      <c r="AQ149">
        <v>1.2199999999999999E-3</v>
      </c>
      <c r="AR149">
        <v>1.2199999999999999E-3</v>
      </c>
      <c r="AS149">
        <v>1.2199999999999999E-3</v>
      </c>
      <c r="AT149">
        <v>1.2199999999999999E-3</v>
      </c>
      <c r="AU149">
        <v>6.9399999999999996E-4</v>
      </c>
      <c r="AV149">
        <v>6.9399999999999996E-4</v>
      </c>
      <c r="AW149">
        <v>6.9399999999999996E-4</v>
      </c>
      <c r="AX149">
        <v>6.9399999999999996E-4</v>
      </c>
      <c r="AY149">
        <v>6.9399999999999996E-4</v>
      </c>
      <c r="AZ149">
        <v>5.4600000000000004E-4</v>
      </c>
      <c r="BA149">
        <v>5.4600000000000004E-4</v>
      </c>
      <c r="BB149">
        <v>5.4600000000000004E-4</v>
      </c>
      <c r="BC149">
        <v>5.4600000000000004E-4</v>
      </c>
      <c r="BD149">
        <v>5.4600000000000004E-4</v>
      </c>
      <c r="BE149" t="e">
        <v>#VALUE!</v>
      </c>
      <c r="BF149" t="e">
        <v>#VALUE!</v>
      </c>
      <c r="BG149" t="e">
        <v>#VALUE!</v>
      </c>
      <c r="BH149" t="e">
        <v>#VALUE!</v>
      </c>
      <c r="BI149" t="e">
        <v>#VALUE!</v>
      </c>
      <c r="BJ149" t="e">
        <v>#VALUE!</v>
      </c>
      <c r="BK149" t="e">
        <v>#VALUE!</v>
      </c>
      <c r="BL149" t="e">
        <v>#VALUE!</v>
      </c>
      <c r="BM149" t="e">
        <v>#VALUE!</v>
      </c>
      <c r="BN149" t="e">
        <v>#VALUE!</v>
      </c>
      <c r="BO149">
        <v>5.8600000000000004E-4</v>
      </c>
      <c r="BP149">
        <v>5.8600000000000004E-4</v>
      </c>
      <c r="BQ149">
        <v>5.8600000000000004E-4</v>
      </c>
      <c r="BR149">
        <v>5.8600000000000004E-4</v>
      </c>
      <c r="BS149">
        <v>5.8600000000000004E-4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</row>
    <row r="150" spans="1:102" x14ac:dyDescent="0.25">
      <c r="A150" t="s">
        <v>365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1.02E-4</v>
      </c>
      <c r="R150">
        <v>1.02E-4</v>
      </c>
      <c r="S150">
        <v>1.02E-4</v>
      </c>
      <c r="T150">
        <v>1.02E-4</v>
      </c>
      <c r="U150">
        <v>1.02E-4</v>
      </c>
      <c r="V150">
        <v>1.02E-4</v>
      </c>
      <c r="W150">
        <v>1.02E-4</v>
      </c>
      <c r="X150">
        <v>1.02E-4</v>
      </c>
      <c r="Y150">
        <v>1.02E-4</v>
      </c>
      <c r="Z150">
        <v>1.02E-4</v>
      </c>
      <c r="AA150">
        <v>1.02E-4</v>
      </c>
      <c r="AB150">
        <v>1.02E-4</v>
      </c>
      <c r="AC150">
        <v>1.02E-4</v>
      </c>
      <c r="AD150">
        <v>1.02E-4</v>
      </c>
      <c r="AE150">
        <v>1.02E-4</v>
      </c>
      <c r="AF150">
        <v>1.02E-4</v>
      </c>
      <c r="AG150">
        <v>1.02E-4</v>
      </c>
      <c r="AH150">
        <v>1.02E-4</v>
      </c>
      <c r="AI150">
        <v>1.02E-4</v>
      </c>
      <c r="AJ150">
        <v>1.02E-4</v>
      </c>
      <c r="AK150">
        <v>1.02E-4</v>
      </c>
      <c r="AL150">
        <v>1.02E-4</v>
      </c>
      <c r="AM150">
        <v>1.02E-4</v>
      </c>
      <c r="AN150">
        <v>1.02E-4</v>
      </c>
      <c r="AO150">
        <v>1.02E-4</v>
      </c>
      <c r="AP150">
        <v>2.41E-4</v>
      </c>
      <c r="AQ150">
        <v>2.41E-4</v>
      </c>
      <c r="AR150">
        <v>2.41E-4</v>
      </c>
      <c r="AS150">
        <v>2.41E-4</v>
      </c>
      <c r="AT150">
        <v>2.41E-4</v>
      </c>
      <c r="AU150">
        <v>2.5399999999999999E-4</v>
      </c>
      <c r="AV150">
        <v>2.5399999999999999E-4</v>
      </c>
      <c r="AW150">
        <v>2.5399999999999999E-4</v>
      </c>
      <c r="AX150">
        <v>2.5399999999999999E-4</v>
      </c>
      <c r="AY150">
        <v>2.5399999999999999E-4</v>
      </c>
      <c r="AZ150">
        <v>2.5700000000000001E-4</v>
      </c>
      <c r="BA150">
        <v>2.5700000000000001E-4</v>
      </c>
      <c r="BB150">
        <v>2.5700000000000001E-4</v>
      </c>
      <c r="BC150">
        <v>2.5700000000000001E-4</v>
      </c>
      <c r="BD150">
        <v>2.5700000000000001E-4</v>
      </c>
      <c r="BE150">
        <v>2.4899999999999998E-4</v>
      </c>
      <c r="BF150">
        <v>2.4899999999999998E-4</v>
      </c>
      <c r="BG150">
        <v>2.4899999999999998E-4</v>
      </c>
      <c r="BH150">
        <v>2.4899999999999998E-4</v>
      </c>
      <c r="BI150">
        <v>2.4899999999999998E-4</v>
      </c>
      <c r="BJ150">
        <v>2.22E-4</v>
      </c>
      <c r="BK150">
        <v>2.22E-4</v>
      </c>
      <c r="BL150">
        <v>2.22E-4</v>
      </c>
      <c r="BM150">
        <v>2.22E-4</v>
      </c>
      <c r="BN150">
        <v>2.22E-4</v>
      </c>
      <c r="BO150">
        <v>1.9799999999999999E-4</v>
      </c>
      <c r="BP150">
        <v>1.9799999999999999E-4</v>
      </c>
      <c r="BQ150">
        <v>1.9799999999999999E-4</v>
      </c>
      <c r="BR150">
        <v>1.9799999999999999E-4</v>
      </c>
      <c r="BS150">
        <v>1.9799999999999999E-4</v>
      </c>
      <c r="BT150">
        <v>1.9000000000000001E-4</v>
      </c>
      <c r="BU150">
        <v>1.9000000000000001E-4</v>
      </c>
      <c r="BV150">
        <v>1.9000000000000001E-4</v>
      </c>
      <c r="BW150">
        <v>1.9000000000000001E-4</v>
      </c>
      <c r="BX150">
        <v>1.9000000000000001E-4</v>
      </c>
      <c r="BY150">
        <v>1.56E-4</v>
      </c>
      <c r="BZ150">
        <v>1.56E-4</v>
      </c>
      <c r="CA150">
        <v>1.56E-4</v>
      </c>
      <c r="CB150">
        <v>1.56E-4</v>
      </c>
      <c r="CC150">
        <v>1.56E-4</v>
      </c>
      <c r="CD150">
        <v>1.56E-4</v>
      </c>
      <c r="CE150">
        <v>1.56E-4</v>
      </c>
      <c r="CF150">
        <v>1.56E-4</v>
      </c>
      <c r="CG150">
        <v>1.56E-4</v>
      </c>
      <c r="CH150">
        <v>1.56E-4</v>
      </c>
      <c r="CI150">
        <v>1.56E-4</v>
      </c>
      <c r="CJ150">
        <v>1.56E-4</v>
      </c>
      <c r="CK150">
        <v>1.56E-4</v>
      </c>
      <c r="CL150">
        <v>1.56E-4</v>
      </c>
      <c r="CM150">
        <v>1.56E-4</v>
      </c>
      <c r="CN150">
        <v>1.56E-4</v>
      </c>
      <c r="CO150">
        <v>1.56E-4</v>
      </c>
      <c r="CP150">
        <v>1.56E-4</v>
      </c>
      <c r="CQ150">
        <v>1.56E-4</v>
      </c>
      <c r="CR150">
        <v>1.56E-4</v>
      </c>
      <c r="CS150">
        <v>1.56E-4</v>
      </c>
      <c r="CT150">
        <v>1.56E-4</v>
      </c>
      <c r="CU150">
        <v>1.56E-4</v>
      </c>
      <c r="CV150">
        <v>1.56E-4</v>
      </c>
      <c r="CW150">
        <v>1.56E-4</v>
      </c>
      <c r="CX150">
        <v>1.56E-4</v>
      </c>
    </row>
    <row r="151" spans="1:102" x14ac:dyDescent="0.25">
      <c r="A151" t="s">
        <v>367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1.06E-4</v>
      </c>
      <c r="R151">
        <v>1.06E-4</v>
      </c>
      <c r="S151">
        <v>1.06E-4</v>
      </c>
      <c r="T151">
        <v>1.06E-4</v>
      </c>
      <c r="U151">
        <v>1.06E-4</v>
      </c>
      <c r="V151">
        <v>1.06E-4</v>
      </c>
      <c r="W151">
        <v>1.06E-4</v>
      </c>
      <c r="X151">
        <v>1.06E-4</v>
      </c>
      <c r="Y151">
        <v>1.06E-4</v>
      </c>
      <c r="Z151">
        <v>1.06E-4</v>
      </c>
      <c r="AA151">
        <v>1.06E-4</v>
      </c>
      <c r="AB151">
        <v>1.06E-4</v>
      </c>
      <c r="AC151">
        <v>1.06E-4</v>
      </c>
      <c r="AD151">
        <v>1.06E-4</v>
      </c>
      <c r="AE151">
        <v>1.06E-4</v>
      </c>
      <c r="AF151">
        <v>1.06E-4</v>
      </c>
      <c r="AG151">
        <v>1.06E-4</v>
      </c>
      <c r="AH151">
        <v>1.06E-4</v>
      </c>
      <c r="AI151">
        <v>1.06E-4</v>
      </c>
      <c r="AJ151">
        <v>1.06E-4</v>
      </c>
      <c r="AK151">
        <v>1.06E-4</v>
      </c>
      <c r="AL151">
        <v>1.06E-4</v>
      </c>
      <c r="AM151">
        <v>1.06E-4</v>
      </c>
      <c r="AN151">
        <v>1.06E-4</v>
      </c>
      <c r="AO151">
        <v>1.06E-4</v>
      </c>
      <c r="AP151">
        <v>5.2599999999999999E-4</v>
      </c>
      <c r="AQ151">
        <v>5.2599999999999999E-4</v>
      </c>
      <c r="AR151">
        <v>5.2599999999999999E-4</v>
      </c>
      <c r="AS151">
        <v>5.2599999999999999E-4</v>
      </c>
      <c r="AT151">
        <v>5.2599999999999999E-4</v>
      </c>
      <c r="AU151">
        <v>7.2199999999999999E-4</v>
      </c>
      <c r="AV151">
        <v>7.2199999999999999E-4</v>
      </c>
      <c r="AW151">
        <v>7.2199999999999999E-4</v>
      </c>
      <c r="AX151">
        <v>7.2199999999999999E-4</v>
      </c>
      <c r="AY151">
        <v>7.2199999999999999E-4</v>
      </c>
      <c r="AZ151">
        <v>9.0700000000000004E-4</v>
      </c>
      <c r="BA151">
        <v>9.0700000000000004E-4</v>
      </c>
      <c r="BB151">
        <v>9.0700000000000004E-4</v>
      </c>
      <c r="BC151">
        <v>9.0700000000000004E-4</v>
      </c>
      <c r="BD151">
        <v>9.0700000000000004E-4</v>
      </c>
      <c r="BE151">
        <v>1.0579999999999999E-3</v>
      </c>
      <c r="BF151">
        <v>1.0579999999999999E-3</v>
      </c>
      <c r="BG151">
        <v>1.0579999999999999E-3</v>
      </c>
      <c r="BH151">
        <v>1.0579999999999999E-3</v>
      </c>
      <c r="BI151">
        <v>1.0579999999999999E-3</v>
      </c>
      <c r="BJ151">
        <v>1.1640000000000001E-3</v>
      </c>
      <c r="BK151">
        <v>1.1640000000000001E-3</v>
      </c>
      <c r="BL151">
        <v>1.1640000000000001E-3</v>
      </c>
      <c r="BM151">
        <v>1.1640000000000001E-3</v>
      </c>
      <c r="BN151">
        <v>1.1640000000000001E-3</v>
      </c>
      <c r="BO151">
        <v>1.2229999999999999E-3</v>
      </c>
      <c r="BP151">
        <v>1.2229999999999999E-3</v>
      </c>
      <c r="BQ151">
        <v>1.2229999999999999E-3</v>
      </c>
      <c r="BR151">
        <v>1.2229999999999999E-3</v>
      </c>
      <c r="BS151">
        <v>1.2229999999999999E-3</v>
      </c>
      <c r="BT151">
        <v>1.225E-3</v>
      </c>
      <c r="BU151">
        <v>1.225E-3</v>
      </c>
      <c r="BV151">
        <v>1.225E-3</v>
      </c>
      <c r="BW151">
        <v>1.225E-3</v>
      </c>
      <c r="BX151">
        <v>1.225E-3</v>
      </c>
      <c r="BY151">
        <v>1.1999999999999999E-3</v>
      </c>
      <c r="BZ151">
        <v>1.1999999999999999E-3</v>
      </c>
      <c r="CA151">
        <v>1.1999999999999999E-3</v>
      </c>
      <c r="CB151">
        <v>1.1999999999999999E-3</v>
      </c>
      <c r="CC151">
        <v>1.1999999999999999E-3</v>
      </c>
      <c r="CD151">
        <v>1.1999999999999999E-3</v>
      </c>
      <c r="CE151">
        <v>1.1999999999999999E-3</v>
      </c>
      <c r="CF151">
        <v>1.1999999999999999E-3</v>
      </c>
      <c r="CG151">
        <v>1.1999999999999999E-3</v>
      </c>
      <c r="CH151">
        <v>1.1999999999999999E-3</v>
      </c>
      <c r="CI151">
        <v>1.1999999999999999E-3</v>
      </c>
      <c r="CJ151">
        <v>1.1999999999999999E-3</v>
      </c>
      <c r="CK151">
        <v>1.1999999999999999E-3</v>
      </c>
      <c r="CL151">
        <v>1.1999999999999999E-3</v>
      </c>
      <c r="CM151">
        <v>1.1999999999999999E-3</v>
      </c>
      <c r="CN151">
        <v>1.1999999999999999E-3</v>
      </c>
      <c r="CO151">
        <v>1.1999999999999999E-3</v>
      </c>
      <c r="CP151">
        <v>1.1999999999999999E-3</v>
      </c>
      <c r="CQ151">
        <v>1.1999999999999999E-3</v>
      </c>
      <c r="CR151">
        <v>1.1999999999999999E-3</v>
      </c>
      <c r="CS151">
        <v>1.1999999999999999E-3</v>
      </c>
      <c r="CT151">
        <v>1.1999999999999999E-3</v>
      </c>
      <c r="CU151">
        <v>1.1999999999999999E-3</v>
      </c>
      <c r="CV151">
        <v>1.1999999999999999E-3</v>
      </c>
      <c r="CW151">
        <v>1.1999999999999999E-3</v>
      </c>
      <c r="CX151">
        <v>1.1999999999999999E-3</v>
      </c>
    </row>
    <row r="152" spans="1:102" x14ac:dyDescent="0.25">
      <c r="A152" t="s">
        <v>369</v>
      </c>
      <c r="B152" t="e">
        <v>#VALUE!</v>
      </c>
      <c r="C152" t="e">
        <v>#VALUE!</v>
      </c>
      <c r="D152" t="e">
        <v>#VALUE!</v>
      </c>
      <c r="E152" t="e">
        <v>#VALUE!</v>
      </c>
      <c r="F152" t="e">
        <v>#VALUE!</v>
      </c>
      <c r="G152" t="e">
        <v>#VALUE!</v>
      </c>
      <c r="H152" t="e">
        <v>#VALUE!</v>
      </c>
      <c r="I152" t="e">
        <v>#VALUE!</v>
      </c>
      <c r="J152" t="e">
        <v>#VALUE!</v>
      </c>
      <c r="K152" t="e">
        <v>#VALUE!</v>
      </c>
      <c r="L152" t="e">
        <v>#VALUE!</v>
      </c>
      <c r="M152" t="e">
        <v>#VALUE!</v>
      </c>
      <c r="N152" t="e">
        <v>#VALUE!</v>
      </c>
      <c r="O152" t="e">
        <v>#VALUE!</v>
      </c>
      <c r="P152" t="e">
        <v>#VALUE!</v>
      </c>
      <c r="Q152">
        <v>1.0000000000000001E-5</v>
      </c>
      <c r="R152">
        <v>1.0000000000000001E-5</v>
      </c>
      <c r="S152">
        <v>1.0000000000000001E-5</v>
      </c>
      <c r="T152">
        <v>1.0000000000000001E-5</v>
      </c>
      <c r="U152">
        <v>1.0000000000000001E-5</v>
      </c>
      <c r="V152">
        <v>1.0000000000000001E-5</v>
      </c>
      <c r="W152">
        <v>1.0000000000000001E-5</v>
      </c>
      <c r="X152">
        <v>1.0000000000000001E-5</v>
      </c>
      <c r="Y152">
        <v>1.0000000000000001E-5</v>
      </c>
      <c r="Z152">
        <v>1.0000000000000001E-5</v>
      </c>
      <c r="AA152">
        <v>1.0000000000000001E-5</v>
      </c>
      <c r="AB152">
        <v>1.0000000000000001E-5</v>
      </c>
      <c r="AC152">
        <v>1.0000000000000001E-5</v>
      </c>
      <c r="AD152">
        <v>1.0000000000000001E-5</v>
      </c>
      <c r="AE152">
        <v>1.0000000000000001E-5</v>
      </c>
      <c r="AF152">
        <v>1.0000000000000001E-5</v>
      </c>
      <c r="AG152">
        <v>1.0000000000000001E-5</v>
      </c>
      <c r="AH152">
        <v>1.0000000000000001E-5</v>
      </c>
      <c r="AI152">
        <v>1.0000000000000001E-5</v>
      </c>
      <c r="AJ152">
        <v>1.0000000000000001E-5</v>
      </c>
      <c r="AK152">
        <v>1.0000000000000001E-5</v>
      </c>
      <c r="AL152">
        <v>1.0000000000000001E-5</v>
      </c>
      <c r="AM152">
        <v>1.0000000000000001E-5</v>
      </c>
      <c r="AN152">
        <v>1.0000000000000001E-5</v>
      </c>
      <c r="AO152">
        <v>1.0000000000000001E-5</v>
      </c>
      <c r="AP152">
        <v>4.6E-5</v>
      </c>
      <c r="AQ152">
        <v>4.6E-5</v>
      </c>
      <c r="AR152">
        <v>4.6E-5</v>
      </c>
      <c r="AS152">
        <v>4.6E-5</v>
      </c>
      <c r="AT152">
        <v>4.6E-5</v>
      </c>
      <c r="AU152">
        <v>5.8999999999999998E-5</v>
      </c>
      <c r="AV152">
        <v>5.8999999999999998E-5</v>
      </c>
      <c r="AW152">
        <v>5.8999999999999998E-5</v>
      </c>
      <c r="AX152">
        <v>5.8999999999999998E-5</v>
      </c>
      <c r="AY152">
        <v>5.8999999999999998E-5</v>
      </c>
      <c r="AZ152">
        <v>6.7000000000000002E-5</v>
      </c>
      <c r="BA152">
        <v>6.7000000000000002E-5</v>
      </c>
      <c r="BB152">
        <v>6.7000000000000002E-5</v>
      </c>
      <c r="BC152">
        <v>6.7000000000000002E-5</v>
      </c>
      <c r="BD152">
        <v>6.7000000000000002E-5</v>
      </c>
      <c r="BE152">
        <v>7.6000000000000004E-5</v>
      </c>
      <c r="BF152">
        <v>7.6000000000000004E-5</v>
      </c>
      <c r="BG152">
        <v>7.6000000000000004E-5</v>
      </c>
      <c r="BH152">
        <v>7.6000000000000004E-5</v>
      </c>
      <c r="BI152">
        <v>7.6000000000000004E-5</v>
      </c>
      <c r="BJ152">
        <v>8.2999999999999998E-5</v>
      </c>
      <c r="BK152">
        <v>8.2999999999999998E-5</v>
      </c>
      <c r="BL152">
        <v>8.2999999999999998E-5</v>
      </c>
      <c r="BM152">
        <v>8.2999999999999998E-5</v>
      </c>
      <c r="BN152">
        <v>8.2999999999999998E-5</v>
      </c>
      <c r="BO152">
        <v>9.7E-5</v>
      </c>
      <c r="BP152">
        <v>9.7E-5</v>
      </c>
      <c r="BQ152">
        <v>9.7E-5</v>
      </c>
      <c r="BR152">
        <v>9.7E-5</v>
      </c>
      <c r="BS152">
        <v>9.7E-5</v>
      </c>
      <c r="BT152">
        <v>1.06E-4</v>
      </c>
      <c r="BU152">
        <v>1.06E-4</v>
      </c>
      <c r="BV152">
        <v>1.06E-4</v>
      </c>
      <c r="BW152">
        <v>1.06E-4</v>
      </c>
      <c r="BX152">
        <v>1.06E-4</v>
      </c>
      <c r="BY152">
        <v>1.1E-4</v>
      </c>
      <c r="BZ152">
        <v>1.1E-4</v>
      </c>
      <c r="CA152">
        <v>1.1E-4</v>
      </c>
      <c r="CB152">
        <v>1.1E-4</v>
      </c>
      <c r="CC152">
        <v>1.1E-4</v>
      </c>
      <c r="CD152">
        <v>1.1E-4</v>
      </c>
      <c r="CE152">
        <v>1.1E-4</v>
      </c>
      <c r="CF152">
        <v>1.1E-4</v>
      </c>
      <c r="CG152">
        <v>1.1E-4</v>
      </c>
      <c r="CH152">
        <v>1.1E-4</v>
      </c>
      <c r="CI152">
        <v>1.1E-4</v>
      </c>
      <c r="CJ152">
        <v>1.1E-4</v>
      </c>
      <c r="CK152">
        <v>1.1E-4</v>
      </c>
      <c r="CL152">
        <v>1.1E-4</v>
      </c>
      <c r="CM152">
        <v>1.1E-4</v>
      </c>
      <c r="CN152">
        <v>1.1E-4</v>
      </c>
      <c r="CO152">
        <v>1.1E-4</v>
      </c>
      <c r="CP152">
        <v>1.1E-4</v>
      </c>
      <c r="CQ152">
        <v>1.1E-4</v>
      </c>
      <c r="CR152">
        <v>1.1E-4</v>
      </c>
      <c r="CS152">
        <v>1.1E-4</v>
      </c>
      <c r="CT152">
        <v>1.1E-4</v>
      </c>
      <c r="CU152">
        <v>1.1E-4</v>
      </c>
      <c r="CV152">
        <v>1.1E-4</v>
      </c>
      <c r="CW152">
        <v>1.1E-4</v>
      </c>
      <c r="CX152">
        <v>1.1E-4</v>
      </c>
    </row>
    <row r="153" spans="1:102" x14ac:dyDescent="0.25">
      <c r="A153" t="s">
        <v>371</v>
      </c>
      <c r="B153" t="e">
        <v>#VALUE!</v>
      </c>
      <c r="C153" t="e">
        <v>#VALUE!</v>
      </c>
      <c r="D153" t="e">
        <v>#VALUE!</v>
      </c>
      <c r="E153" t="e">
        <v>#VALUE!</v>
      </c>
      <c r="F153" t="e">
        <v>#VALUE!</v>
      </c>
      <c r="G153" t="e">
        <v>#VALUE!</v>
      </c>
      <c r="H153" t="e">
        <v>#VALUE!</v>
      </c>
      <c r="I153" t="e">
        <v>#VALUE!</v>
      </c>
      <c r="J153" t="e">
        <v>#VALUE!</v>
      </c>
      <c r="K153" t="e">
        <v>#VALUE!</v>
      </c>
      <c r="L153" t="e">
        <v>#VALUE!</v>
      </c>
      <c r="M153" t="e">
        <v>#VALUE!</v>
      </c>
      <c r="N153" t="e">
        <v>#VALUE!</v>
      </c>
      <c r="O153" t="e">
        <v>#VALUE!</v>
      </c>
      <c r="P153" t="e">
        <v>#VALUE!</v>
      </c>
      <c r="Q153">
        <v>1.07E-4</v>
      </c>
      <c r="R153">
        <v>1.07E-4</v>
      </c>
      <c r="S153">
        <v>1.07E-4</v>
      </c>
      <c r="T153">
        <v>1.07E-4</v>
      </c>
      <c r="U153">
        <v>1.07E-4</v>
      </c>
      <c r="V153">
        <v>1.07E-4</v>
      </c>
      <c r="W153">
        <v>1.07E-4</v>
      </c>
      <c r="X153">
        <v>1.07E-4</v>
      </c>
      <c r="Y153">
        <v>1.07E-4</v>
      </c>
      <c r="Z153">
        <v>1.07E-4</v>
      </c>
      <c r="AA153">
        <v>1.07E-4</v>
      </c>
      <c r="AB153">
        <v>1.07E-4</v>
      </c>
      <c r="AC153">
        <v>1.07E-4</v>
      </c>
      <c r="AD153">
        <v>1.07E-4</v>
      </c>
      <c r="AE153">
        <v>1.07E-4</v>
      </c>
      <c r="AF153">
        <v>1.07E-4</v>
      </c>
      <c r="AG153">
        <v>1.07E-4</v>
      </c>
      <c r="AH153">
        <v>1.07E-4</v>
      </c>
      <c r="AI153">
        <v>1.07E-4</v>
      </c>
      <c r="AJ153">
        <v>1.07E-4</v>
      </c>
      <c r="AK153">
        <v>1.07E-4</v>
      </c>
      <c r="AL153">
        <v>1.07E-4</v>
      </c>
      <c r="AM153">
        <v>1.07E-4</v>
      </c>
      <c r="AN153">
        <v>1.07E-4</v>
      </c>
      <c r="AO153">
        <v>1.07E-4</v>
      </c>
      <c r="AP153">
        <v>6.1899999999999998E-4</v>
      </c>
      <c r="AQ153">
        <v>6.1899999999999998E-4</v>
      </c>
      <c r="AR153">
        <v>6.1899999999999998E-4</v>
      </c>
      <c r="AS153">
        <v>6.1899999999999998E-4</v>
      </c>
      <c r="AT153">
        <v>6.1899999999999998E-4</v>
      </c>
      <c r="AU153">
        <v>8.8000000000000003E-4</v>
      </c>
      <c r="AV153">
        <v>8.8000000000000003E-4</v>
      </c>
      <c r="AW153">
        <v>8.8000000000000003E-4</v>
      </c>
      <c r="AX153">
        <v>8.8000000000000003E-4</v>
      </c>
      <c r="AY153">
        <v>8.8000000000000003E-4</v>
      </c>
      <c r="AZ153">
        <v>1.134E-3</v>
      </c>
      <c r="BA153">
        <v>1.134E-3</v>
      </c>
      <c r="BB153">
        <v>1.134E-3</v>
      </c>
      <c r="BC153">
        <v>1.134E-3</v>
      </c>
      <c r="BD153">
        <v>1.134E-3</v>
      </c>
      <c r="BE153">
        <v>1.359E-3</v>
      </c>
      <c r="BF153">
        <v>1.359E-3</v>
      </c>
      <c r="BG153">
        <v>1.359E-3</v>
      </c>
      <c r="BH153">
        <v>1.359E-3</v>
      </c>
      <c r="BI153">
        <v>1.359E-3</v>
      </c>
      <c r="BJ153">
        <v>1.523E-3</v>
      </c>
      <c r="BK153">
        <v>1.523E-3</v>
      </c>
      <c r="BL153">
        <v>1.523E-3</v>
      </c>
      <c r="BM153">
        <v>1.523E-3</v>
      </c>
      <c r="BN153">
        <v>1.523E-3</v>
      </c>
      <c r="BO153">
        <v>1.614E-3</v>
      </c>
      <c r="BP153">
        <v>1.614E-3</v>
      </c>
      <c r="BQ153">
        <v>1.614E-3</v>
      </c>
      <c r="BR153">
        <v>1.614E-3</v>
      </c>
      <c r="BS153">
        <v>1.614E-3</v>
      </c>
      <c r="BT153">
        <v>1.6329999999999999E-3</v>
      </c>
      <c r="BU153">
        <v>1.6329999999999999E-3</v>
      </c>
      <c r="BV153">
        <v>1.6329999999999999E-3</v>
      </c>
      <c r="BW153">
        <v>1.6329999999999999E-3</v>
      </c>
      <c r="BX153">
        <v>1.6329999999999999E-3</v>
      </c>
      <c r="BY153">
        <v>1.578E-3</v>
      </c>
      <c r="BZ153">
        <v>1.578E-3</v>
      </c>
      <c r="CA153">
        <v>1.578E-3</v>
      </c>
      <c r="CB153">
        <v>1.578E-3</v>
      </c>
      <c r="CC153">
        <v>1.578E-3</v>
      </c>
      <c r="CD153">
        <v>1.578E-3</v>
      </c>
      <c r="CE153">
        <v>1.578E-3</v>
      </c>
      <c r="CF153">
        <v>1.578E-3</v>
      </c>
      <c r="CG153">
        <v>1.578E-3</v>
      </c>
      <c r="CH153">
        <v>1.578E-3</v>
      </c>
      <c r="CI153">
        <v>1.578E-3</v>
      </c>
      <c r="CJ153">
        <v>1.578E-3</v>
      </c>
      <c r="CK153">
        <v>1.578E-3</v>
      </c>
      <c r="CL153">
        <v>1.578E-3</v>
      </c>
      <c r="CM153">
        <v>1.578E-3</v>
      </c>
      <c r="CN153">
        <v>1.578E-3</v>
      </c>
      <c r="CO153">
        <v>1.578E-3</v>
      </c>
      <c r="CP153">
        <v>1.578E-3</v>
      </c>
      <c r="CQ153">
        <v>1.578E-3</v>
      </c>
      <c r="CR153">
        <v>1.578E-3</v>
      </c>
      <c r="CS153">
        <v>1.578E-3</v>
      </c>
      <c r="CT153">
        <v>1.578E-3</v>
      </c>
      <c r="CU153">
        <v>1.578E-3</v>
      </c>
      <c r="CV153">
        <v>1.578E-3</v>
      </c>
      <c r="CW153">
        <v>1.578E-3</v>
      </c>
      <c r="CX153">
        <v>1.578E-3</v>
      </c>
    </row>
    <row r="154" spans="1:102" x14ac:dyDescent="0.25">
      <c r="A154" t="s">
        <v>373</v>
      </c>
      <c r="B154" t="e">
        <v>#VALUE!</v>
      </c>
      <c r="C154" t="e">
        <v>#VALUE!</v>
      </c>
      <c r="D154" t="e">
        <v>#VALUE!</v>
      </c>
      <c r="E154" t="e">
        <v>#VALUE!</v>
      </c>
      <c r="F154" t="e">
        <v>#VALUE!</v>
      </c>
      <c r="G154" t="e">
        <v>#VALUE!</v>
      </c>
      <c r="H154" t="e">
        <v>#VALUE!</v>
      </c>
      <c r="I154" t="e">
        <v>#VALUE!</v>
      </c>
      <c r="J154" t="e">
        <v>#VALUE!</v>
      </c>
      <c r="K154" t="e">
        <v>#VALUE!</v>
      </c>
      <c r="L154" t="e">
        <v>#VALUE!</v>
      </c>
      <c r="M154" t="e">
        <v>#VALUE!</v>
      </c>
      <c r="N154" t="e">
        <v>#VALUE!</v>
      </c>
      <c r="O154" t="e">
        <v>#VALUE!</v>
      </c>
      <c r="P154" t="e">
        <v>#VALUE!</v>
      </c>
      <c r="Q154">
        <v>1.94E-4</v>
      </c>
      <c r="R154">
        <v>1.94E-4</v>
      </c>
      <c r="S154">
        <v>1.94E-4</v>
      </c>
      <c r="T154">
        <v>1.94E-4</v>
      </c>
      <c r="U154">
        <v>1.94E-4</v>
      </c>
      <c r="V154">
        <v>1.94E-4</v>
      </c>
      <c r="W154">
        <v>1.94E-4</v>
      </c>
      <c r="X154">
        <v>1.94E-4</v>
      </c>
      <c r="Y154">
        <v>1.94E-4</v>
      </c>
      <c r="Z154">
        <v>1.94E-4</v>
      </c>
      <c r="AA154">
        <v>1.94E-4</v>
      </c>
      <c r="AB154">
        <v>1.94E-4</v>
      </c>
      <c r="AC154">
        <v>1.94E-4</v>
      </c>
      <c r="AD154">
        <v>1.94E-4</v>
      </c>
      <c r="AE154">
        <v>1.94E-4</v>
      </c>
      <c r="AF154">
        <v>1.94E-4</v>
      </c>
      <c r="AG154">
        <v>1.94E-4</v>
      </c>
      <c r="AH154">
        <v>1.94E-4</v>
      </c>
      <c r="AI154">
        <v>1.94E-4</v>
      </c>
      <c r="AJ154">
        <v>1.94E-4</v>
      </c>
      <c r="AK154">
        <v>1.94E-4</v>
      </c>
      <c r="AL154">
        <v>1.94E-4</v>
      </c>
      <c r="AM154">
        <v>1.94E-4</v>
      </c>
      <c r="AN154">
        <v>1.94E-4</v>
      </c>
      <c r="AO154">
        <v>1.94E-4</v>
      </c>
      <c r="AP154">
        <v>5.6800000000000004E-4</v>
      </c>
      <c r="AQ154">
        <v>5.6800000000000004E-4</v>
      </c>
      <c r="AR154">
        <v>5.6800000000000004E-4</v>
      </c>
      <c r="AS154">
        <v>5.6800000000000004E-4</v>
      </c>
      <c r="AT154">
        <v>5.6800000000000004E-4</v>
      </c>
      <c r="AU154">
        <v>6.3100000000000005E-4</v>
      </c>
      <c r="AV154">
        <v>6.3100000000000005E-4</v>
      </c>
      <c r="AW154">
        <v>6.3100000000000005E-4</v>
      </c>
      <c r="AX154">
        <v>6.3100000000000005E-4</v>
      </c>
      <c r="AY154">
        <v>6.3100000000000005E-4</v>
      </c>
      <c r="AZ154">
        <v>6.0999999999999997E-4</v>
      </c>
      <c r="BA154">
        <v>6.0999999999999997E-4</v>
      </c>
      <c r="BB154">
        <v>6.0999999999999997E-4</v>
      </c>
      <c r="BC154">
        <v>6.0999999999999997E-4</v>
      </c>
      <c r="BD154">
        <v>6.0999999999999997E-4</v>
      </c>
      <c r="BE154">
        <v>5.4299999999999997E-4</v>
      </c>
      <c r="BF154">
        <v>5.4299999999999997E-4</v>
      </c>
      <c r="BG154">
        <v>5.4299999999999997E-4</v>
      </c>
      <c r="BH154">
        <v>5.4299999999999997E-4</v>
      </c>
      <c r="BI154">
        <v>5.4299999999999997E-4</v>
      </c>
      <c r="BJ154">
        <v>4.6000000000000001E-4</v>
      </c>
      <c r="BK154">
        <v>4.6000000000000001E-4</v>
      </c>
      <c r="BL154">
        <v>4.6000000000000001E-4</v>
      </c>
      <c r="BM154">
        <v>4.6000000000000001E-4</v>
      </c>
      <c r="BN154">
        <v>4.6000000000000001E-4</v>
      </c>
      <c r="BO154">
        <v>3.9500000000000001E-4</v>
      </c>
      <c r="BP154">
        <v>3.9500000000000001E-4</v>
      </c>
      <c r="BQ154">
        <v>3.9500000000000001E-4</v>
      </c>
      <c r="BR154">
        <v>3.9500000000000001E-4</v>
      </c>
      <c r="BS154">
        <v>3.9500000000000001E-4</v>
      </c>
      <c r="BT154">
        <v>3.3599999999999998E-4</v>
      </c>
      <c r="BU154">
        <v>3.3599999999999998E-4</v>
      </c>
      <c r="BV154">
        <v>3.3599999999999998E-4</v>
      </c>
      <c r="BW154">
        <v>3.3599999999999998E-4</v>
      </c>
      <c r="BX154">
        <v>3.3599999999999998E-4</v>
      </c>
      <c r="BY154">
        <v>2.5399999999999999E-4</v>
      </c>
      <c r="BZ154">
        <v>2.5399999999999999E-4</v>
      </c>
      <c r="CA154">
        <v>2.5399999999999999E-4</v>
      </c>
      <c r="CB154">
        <v>2.5399999999999999E-4</v>
      </c>
      <c r="CC154">
        <v>2.5399999999999999E-4</v>
      </c>
      <c r="CD154">
        <v>2.5399999999999999E-4</v>
      </c>
      <c r="CE154">
        <v>2.5399999999999999E-4</v>
      </c>
      <c r="CF154">
        <v>2.5399999999999999E-4</v>
      </c>
      <c r="CG154">
        <v>2.5399999999999999E-4</v>
      </c>
      <c r="CH154">
        <v>2.5399999999999999E-4</v>
      </c>
      <c r="CI154">
        <v>2.5399999999999999E-4</v>
      </c>
      <c r="CJ154">
        <v>2.5399999999999999E-4</v>
      </c>
      <c r="CK154">
        <v>2.5399999999999999E-4</v>
      </c>
      <c r="CL154">
        <v>2.5399999999999999E-4</v>
      </c>
      <c r="CM154">
        <v>2.5399999999999999E-4</v>
      </c>
      <c r="CN154">
        <v>2.5399999999999999E-4</v>
      </c>
      <c r="CO154">
        <v>2.5399999999999999E-4</v>
      </c>
      <c r="CP154">
        <v>2.5399999999999999E-4</v>
      </c>
      <c r="CQ154">
        <v>2.5399999999999999E-4</v>
      </c>
      <c r="CR154">
        <v>2.5399999999999999E-4</v>
      </c>
      <c r="CS154">
        <v>2.5399999999999999E-4</v>
      </c>
      <c r="CT154">
        <v>2.5399999999999999E-4</v>
      </c>
      <c r="CU154">
        <v>2.5399999999999999E-4</v>
      </c>
      <c r="CV154">
        <v>2.5399999999999999E-4</v>
      </c>
      <c r="CW154">
        <v>2.5399999999999999E-4</v>
      </c>
      <c r="CX154">
        <v>2.5399999999999999E-4</v>
      </c>
    </row>
    <row r="155" spans="1:102" x14ac:dyDescent="0.25">
      <c r="A155" t="s">
        <v>375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1.06E-4</v>
      </c>
      <c r="R155">
        <v>1.06E-4</v>
      </c>
      <c r="S155">
        <v>1.06E-4</v>
      </c>
      <c r="T155">
        <v>1.06E-4</v>
      </c>
      <c r="U155">
        <v>1.06E-4</v>
      </c>
      <c r="V155">
        <v>1.06E-4</v>
      </c>
      <c r="W155">
        <v>1.06E-4</v>
      </c>
      <c r="X155">
        <v>1.06E-4</v>
      </c>
      <c r="Y155">
        <v>1.06E-4</v>
      </c>
      <c r="Z155">
        <v>1.06E-4</v>
      </c>
      <c r="AA155">
        <v>1.06E-4</v>
      </c>
      <c r="AB155">
        <v>1.06E-4</v>
      </c>
      <c r="AC155">
        <v>1.06E-4</v>
      </c>
      <c r="AD155">
        <v>1.06E-4</v>
      </c>
      <c r="AE155">
        <v>1.06E-4</v>
      </c>
      <c r="AF155">
        <v>1.06E-4</v>
      </c>
      <c r="AG155">
        <v>1.06E-4</v>
      </c>
      <c r="AH155">
        <v>1.06E-4</v>
      </c>
      <c r="AI155">
        <v>1.06E-4</v>
      </c>
      <c r="AJ155">
        <v>1.06E-4</v>
      </c>
      <c r="AK155">
        <v>1.06E-4</v>
      </c>
      <c r="AL155">
        <v>1.06E-4</v>
      </c>
      <c r="AM155">
        <v>1.06E-4</v>
      </c>
      <c r="AN155">
        <v>1.06E-4</v>
      </c>
      <c r="AO155">
        <v>1.06E-4</v>
      </c>
      <c r="AP155">
        <v>5.2599999999999999E-4</v>
      </c>
      <c r="AQ155">
        <v>5.2599999999999999E-4</v>
      </c>
      <c r="AR155">
        <v>5.2599999999999999E-4</v>
      </c>
      <c r="AS155">
        <v>5.2599999999999999E-4</v>
      </c>
      <c r="AT155">
        <v>5.2599999999999999E-4</v>
      </c>
      <c r="AU155">
        <v>7.2199999999999999E-4</v>
      </c>
      <c r="AV155">
        <v>7.2199999999999999E-4</v>
      </c>
      <c r="AW155">
        <v>7.2199999999999999E-4</v>
      </c>
      <c r="AX155">
        <v>7.2199999999999999E-4</v>
      </c>
      <c r="AY155">
        <v>7.2199999999999999E-4</v>
      </c>
      <c r="AZ155">
        <v>9.0700000000000004E-4</v>
      </c>
      <c r="BA155">
        <v>9.0700000000000004E-4</v>
      </c>
      <c r="BB155">
        <v>9.0700000000000004E-4</v>
      </c>
      <c r="BC155">
        <v>9.0700000000000004E-4</v>
      </c>
      <c r="BD155">
        <v>9.0700000000000004E-4</v>
      </c>
      <c r="BE155">
        <v>1.0579999999999999E-3</v>
      </c>
      <c r="BF155">
        <v>1.0579999999999999E-3</v>
      </c>
      <c r="BG155">
        <v>1.0579999999999999E-3</v>
      </c>
      <c r="BH155">
        <v>1.0579999999999999E-3</v>
      </c>
      <c r="BI155">
        <v>1.0579999999999999E-3</v>
      </c>
      <c r="BJ155">
        <v>1.1640000000000001E-3</v>
      </c>
      <c r="BK155">
        <v>1.1640000000000001E-3</v>
      </c>
      <c r="BL155">
        <v>1.1640000000000001E-3</v>
      </c>
      <c r="BM155">
        <v>1.1640000000000001E-3</v>
      </c>
      <c r="BN155">
        <v>1.1640000000000001E-3</v>
      </c>
      <c r="BO155">
        <v>1.2229999999999999E-3</v>
      </c>
      <c r="BP155">
        <v>1.2229999999999999E-3</v>
      </c>
      <c r="BQ155">
        <v>1.2229999999999999E-3</v>
      </c>
      <c r="BR155">
        <v>1.2229999999999999E-3</v>
      </c>
      <c r="BS155">
        <v>1.2229999999999999E-3</v>
      </c>
      <c r="BT155">
        <v>1.225E-3</v>
      </c>
      <c r="BU155">
        <v>1.225E-3</v>
      </c>
      <c r="BV155">
        <v>1.225E-3</v>
      </c>
      <c r="BW155">
        <v>1.225E-3</v>
      </c>
      <c r="BX155">
        <v>1.225E-3</v>
      </c>
      <c r="BY155">
        <v>1.1999999999999999E-3</v>
      </c>
      <c r="BZ155">
        <v>1.1999999999999999E-3</v>
      </c>
      <c r="CA155">
        <v>1.1999999999999999E-3</v>
      </c>
      <c r="CB155">
        <v>1.1999999999999999E-3</v>
      </c>
      <c r="CC155">
        <v>1.1999999999999999E-3</v>
      </c>
      <c r="CD155">
        <v>1.1999999999999999E-3</v>
      </c>
      <c r="CE155">
        <v>1.1999999999999999E-3</v>
      </c>
      <c r="CF155">
        <v>1.1999999999999999E-3</v>
      </c>
      <c r="CG155">
        <v>1.1999999999999999E-3</v>
      </c>
      <c r="CH155">
        <v>1.1999999999999999E-3</v>
      </c>
      <c r="CI155">
        <v>1.1999999999999999E-3</v>
      </c>
      <c r="CJ155">
        <v>1.1999999999999999E-3</v>
      </c>
      <c r="CK155">
        <v>1.1999999999999999E-3</v>
      </c>
      <c r="CL155">
        <v>1.1999999999999999E-3</v>
      </c>
      <c r="CM155">
        <v>1.1999999999999999E-3</v>
      </c>
      <c r="CN155">
        <v>1.1999999999999999E-3</v>
      </c>
      <c r="CO155">
        <v>1.1999999999999999E-3</v>
      </c>
      <c r="CP155">
        <v>1.1999999999999999E-3</v>
      </c>
      <c r="CQ155">
        <v>1.1999999999999999E-3</v>
      </c>
      <c r="CR155">
        <v>1.1999999999999999E-3</v>
      </c>
      <c r="CS155">
        <v>1.1999999999999999E-3</v>
      </c>
      <c r="CT155">
        <v>1.1999999999999999E-3</v>
      </c>
      <c r="CU155">
        <v>1.1999999999999999E-3</v>
      </c>
      <c r="CV155">
        <v>1.1999999999999999E-3</v>
      </c>
      <c r="CW155">
        <v>1.1999999999999999E-3</v>
      </c>
      <c r="CX155">
        <v>1.1999999999999999E-3</v>
      </c>
    </row>
    <row r="156" spans="1:102" x14ac:dyDescent="0.25">
      <c r="A156" t="s">
        <v>377</v>
      </c>
      <c r="B156" t="e">
        <v>#VALUE!</v>
      </c>
      <c r="C156" t="e">
        <v>#VALUE!</v>
      </c>
      <c r="D156" t="e">
        <v>#VALUE!</v>
      </c>
      <c r="E156" t="e">
        <v>#VALUE!</v>
      </c>
      <c r="F156" t="e">
        <v>#VALUE!</v>
      </c>
      <c r="G156" t="e">
        <v>#VALUE!</v>
      </c>
      <c r="H156" t="e">
        <v>#VALUE!</v>
      </c>
      <c r="I156" t="e">
        <v>#VALUE!</v>
      </c>
      <c r="J156" t="e">
        <v>#VALUE!</v>
      </c>
      <c r="K156" t="e">
        <v>#VALUE!</v>
      </c>
      <c r="L156" t="e">
        <v>#VALUE!</v>
      </c>
      <c r="M156" t="e">
        <v>#VALUE!</v>
      </c>
      <c r="N156" t="e">
        <v>#VALUE!</v>
      </c>
      <c r="O156" t="e">
        <v>#VALUE!</v>
      </c>
      <c r="P156" t="e">
        <v>#VALUE!</v>
      </c>
      <c r="Q156">
        <v>8.2000000000000001E-5</v>
      </c>
      <c r="R156">
        <v>8.2000000000000001E-5</v>
      </c>
      <c r="S156">
        <v>8.2000000000000001E-5</v>
      </c>
      <c r="T156">
        <v>8.2000000000000001E-5</v>
      </c>
      <c r="U156">
        <v>8.2000000000000001E-5</v>
      </c>
      <c r="V156">
        <v>8.2000000000000001E-5</v>
      </c>
      <c r="W156">
        <v>8.2000000000000001E-5</v>
      </c>
      <c r="X156">
        <v>8.2000000000000001E-5</v>
      </c>
      <c r="Y156">
        <v>8.2000000000000001E-5</v>
      </c>
      <c r="Z156">
        <v>8.2000000000000001E-5</v>
      </c>
      <c r="AA156">
        <v>8.2000000000000001E-5</v>
      </c>
      <c r="AB156">
        <v>8.2000000000000001E-5</v>
      </c>
      <c r="AC156">
        <v>8.2000000000000001E-5</v>
      </c>
      <c r="AD156">
        <v>8.2000000000000001E-5</v>
      </c>
      <c r="AE156">
        <v>8.2000000000000001E-5</v>
      </c>
      <c r="AF156">
        <v>8.2000000000000001E-5</v>
      </c>
      <c r="AG156">
        <v>8.2000000000000001E-5</v>
      </c>
      <c r="AH156">
        <v>8.2000000000000001E-5</v>
      </c>
      <c r="AI156">
        <v>8.2000000000000001E-5</v>
      </c>
      <c r="AJ156">
        <v>8.2000000000000001E-5</v>
      </c>
      <c r="AK156">
        <v>8.2000000000000001E-5</v>
      </c>
      <c r="AL156">
        <v>8.2000000000000001E-5</v>
      </c>
      <c r="AM156">
        <v>8.2000000000000001E-5</v>
      </c>
      <c r="AN156">
        <v>8.2000000000000001E-5</v>
      </c>
      <c r="AO156">
        <v>8.2000000000000001E-5</v>
      </c>
      <c r="AP156">
        <v>4.2000000000000002E-4</v>
      </c>
      <c r="AQ156">
        <v>4.2000000000000002E-4</v>
      </c>
      <c r="AR156">
        <v>4.2000000000000002E-4</v>
      </c>
      <c r="AS156">
        <v>4.2000000000000002E-4</v>
      </c>
      <c r="AT156">
        <v>4.2000000000000002E-4</v>
      </c>
      <c r="AU156">
        <v>5.5400000000000002E-4</v>
      </c>
      <c r="AV156">
        <v>5.5400000000000002E-4</v>
      </c>
      <c r="AW156">
        <v>5.5400000000000002E-4</v>
      </c>
      <c r="AX156">
        <v>5.5400000000000002E-4</v>
      </c>
      <c r="AY156">
        <v>5.5400000000000002E-4</v>
      </c>
      <c r="AZ156">
        <v>7.3899999999999997E-4</v>
      </c>
      <c r="BA156">
        <v>7.3899999999999997E-4</v>
      </c>
      <c r="BB156">
        <v>7.3899999999999997E-4</v>
      </c>
      <c r="BC156">
        <v>7.3899999999999997E-4</v>
      </c>
      <c r="BD156">
        <v>7.3899999999999997E-4</v>
      </c>
      <c r="BE156">
        <v>9.1E-4</v>
      </c>
      <c r="BF156">
        <v>9.1E-4</v>
      </c>
      <c r="BG156">
        <v>9.1E-4</v>
      </c>
      <c r="BH156">
        <v>9.1E-4</v>
      </c>
      <c r="BI156">
        <v>9.1E-4</v>
      </c>
      <c r="BJ156">
        <v>1.0679999999999999E-3</v>
      </c>
      <c r="BK156">
        <v>1.0679999999999999E-3</v>
      </c>
      <c r="BL156">
        <v>1.0679999999999999E-3</v>
      </c>
      <c r="BM156">
        <v>1.0679999999999999E-3</v>
      </c>
      <c r="BN156">
        <v>1.0679999999999999E-3</v>
      </c>
      <c r="BO156">
        <v>1.2290000000000001E-3</v>
      </c>
      <c r="BP156">
        <v>1.2290000000000001E-3</v>
      </c>
      <c r="BQ156">
        <v>1.2290000000000001E-3</v>
      </c>
      <c r="BR156">
        <v>1.2290000000000001E-3</v>
      </c>
      <c r="BS156">
        <v>1.2290000000000001E-3</v>
      </c>
      <c r="BT156">
        <v>1.4250000000000001E-3</v>
      </c>
      <c r="BU156">
        <v>1.4250000000000001E-3</v>
      </c>
      <c r="BV156">
        <v>1.4250000000000001E-3</v>
      </c>
      <c r="BW156">
        <v>1.4250000000000001E-3</v>
      </c>
      <c r="BX156">
        <v>1.4250000000000001E-3</v>
      </c>
      <c r="BY156">
        <v>1.598E-3</v>
      </c>
      <c r="BZ156">
        <v>1.598E-3</v>
      </c>
      <c r="CA156">
        <v>1.598E-3</v>
      </c>
      <c r="CB156">
        <v>1.598E-3</v>
      </c>
      <c r="CC156">
        <v>1.598E-3</v>
      </c>
      <c r="CD156">
        <v>1.598E-3</v>
      </c>
      <c r="CE156">
        <v>1.598E-3</v>
      </c>
      <c r="CF156">
        <v>1.598E-3</v>
      </c>
      <c r="CG156">
        <v>1.598E-3</v>
      </c>
      <c r="CH156">
        <v>1.598E-3</v>
      </c>
      <c r="CI156">
        <v>1.598E-3</v>
      </c>
      <c r="CJ156">
        <v>1.598E-3</v>
      </c>
      <c r="CK156">
        <v>1.598E-3</v>
      </c>
      <c r="CL156">
        <v>1.598E-3</v>
      </c>
      <c r="CM156">
        <v>1.598E-3</v>
      </c>
      <c r="CN156">
        <v>1.598E-3</v>
      </c>
      <c r="CO156">
        <v>1.598E-3</v>
      </c>
      <c r="CP156">
        <v>1.598E-3</v>
      </c>
      <c r="CQ156">
        <v>1.598E-3</v>
      </c>
      <c r="CR156">
        <v>1.598E-3</v>
      </c>
      <c r="CS156">
        <v>1.598E-3</v>
      </c>
      <c r="CT156">
        <v>1.598E-3</v>
      </c>
      <c r="CU156">
        <v>1.598E-3</v>
      </c>
      <c r="CV156">
        <v>1.598E-3</v>
      </c>
      <c r="CW156">
        <v>1.598E-3</v>
      </c>
      <c r="CX156">
        <v>1.598E-3</v>
      </c>
    </row>
    <row r="157" spans="1:102" x14ac:dyDescent="0.25">
      <c r="A157" t="s">
        <v>379</v>
      </c>
      <c r="B157" t="e">
        <v>#VALUE!</v>
      </c>
      <c r="C157" t="e">
        <v>#VALUE!</v>
      </c>
      <c r="D157" t="e">
        <v>#VALUE!</v>
      </c>
      <c r="E157" t="e">
        <v>#VALUE!</v>
      </c>
      <c r="F157" t="e">
        <v>#VALUE!</v>
      </c>
      <c r="G157" t="e">
        <v>#VALUE!</v>
      </c>
      <c r="H157" t="e">
        <v>#VALUE!</v>
      </c>
      <c r="I157" t="e">
        <v>#VALUE!</v>
      </c>
      <c r="J157" t="e">
        <v>#VALUE!</v>
      </c>
      <c r="K157" t="e">
        <v>#VALUE!</v>
      </c>
      <c r="L157" t="e">
        <v>#VALUE!</v>
      </c>
      <c r="M157" t="e">
        <v>#VALUE!</v>
      </c>
      <c r="N157" t="e">
        <v>#VALUE!</v>
      </c>
      <c r="O157" t="e">
        <v>#VALUE!</v>
      </c>
      <c r="P157" t="e">
        <v>#VALUE!</v>
      </c>
      <c r="Q157">
        <v>4.6999999999999997E-5</v>
      </c>
      <c r="R157">
        <v>4.6999999999999997E-5</v>
      </c>
      <c r="S157">
        <v>4.6999999999999997E-5</v>
      </c>
      <c r="T157">
        <v>4.6999999999999997E-5</v>
      </c>
      <c r="U157">
        <v>4.6999999999999997E-5</v>
      </c>
      <c r="V157">
        <v>4.6999999999999997E-5</v>
      </c>
      <c r="W157">
        <v>4.6999999999999997E-5</v>
      </c>
      <c r="X157">
        <v>4.6999999999999997E-5</v>
      </c>
      <c r="Y157">
        <v>4.6999999999999997E-5</v>
      </c>
      <c r="Z157">
        <v>4.6999999999999997E-5</v>
      </c>
      <c r="AA157">
        <v>4.6999999999999997E-5</v>
      </c>
      <c r="AB157">
        <v>4.6999999999999997E-5</v>
      </c>
      <c r="AC157">
        <v>4.6999999999999997E-5</v>
      </c>
      <c r="AD157">
        <v>4.6999999999999997E-5</v>
      </c>
      <c r="AE157">
        <v>4.6999999999999997E-5</v>
      </c>
      <c r="AF157">
        <v>4.6999999999999997E-5</v>
      </c>
      <c r="AG157">
        <v>4.6999999999999997E-5</v>
      </c>
      <c r="AH157">
        <v>4.6999999999999997E-5</v>
      </c>
      <c r="AI157">
        <v>4.6999999999999997E-5</v>
      </c>
      <c r="AJ157">
        <v>4.6999999999999997E-5</v>
      </c>
      <c r="AK157">
        <v>4.6999999999999997E-5</v>
      </c>
      <c r="AL157">
        <v>4.6999999999999997E-5</v>
      </c>
      <c r="AM157">
        <v>4.6999999999999997E-5</v>
      </c>
      <c r="AN157">
        <v>4.6999999999999997E-5</v>
      </c>
      <c r="AO157">
        <v>4.6999999999999997E-5</v>
      </c>
      <c r="AP157">
        <v>1.3999999999999999E-4</v>
      </c>
      <c r="AQ157">
        <v>1.3999999999999999E-4</v>
      </c>
      <c r="AR157">
        <v>1.3999999999999999E-4</v>
      </c>
      <c r="AS157">
        <v>1.3999999999999999E-4</v>
      </c>
      <c r="AT157">
        <v>1.3999999999999999E-4</v>
      </c>
      <c r="AU157">
        <v>1.5300000000000001E-4</v>
      </c>
      <c r="AV157">
        <v>1.5300000000000001E-4</v>
      </c>
      <c r="AW157">
        <v>1.5300000000000001E-4</v>
      </c>
      <c r="AX157">
        <v>1.5300000000000001E-4</v>
      </c>
      <c r="AY157">
        <v>1.5300000000000001E-4</v>
      </c>
      <c r="AZ157">
        <v>1.5200000000000001E-4</v>
      </c>
      <c r="BA157">
        <v>1.5200000000000001E-4</v>
      </c>
      <c r="BB157">
        <v>1.5200000000000001E-4</v>
      </c>
      <c r="BC157">
        <v>1.5200000000000001E-4</v>
      </c>
      <c r="BD157">
        <v>1.5200000000000001E-4</v>
      </c>
      <c r="BE157">
        <v>1.6699999999999999E-4</v>
      </c>
      <c r="BF157">
        <v>1.6699999999999999E-4</v>
      </c>
      <c r="BG157">
        <v>1.6699999999999999E-4</v>
      </c>
      <c r="BH157">
        <v>1.6699999999999999E-4</v>
      </c>
      <c r="BI157">
        <v>1.6699999999999999E-4</v>
      </c>
      <c r="BJ157">
        <v>2.24E-4</v>
      </c>
      <c r="BK157">
        <v>2.24E-4</v>
      </c>
      <c r="BL157">
        <v>2.24E-4</v>
      </c>
      <c r="BM157">
        <v>2.24E-4</v>
      </c>
      <c r="BN157">
        <v>2.24E-4</v>
      </c>
      <c r="BO157">
        <v>2.72E-4</v>
      </c>
      <c r="BP157">
        <v>2.72E-4</v>
      </c>
      <c r="BQ157">
        <v>2.72E-4</v>
      </c>
      <c r="BR157">
        <v>2.72E-4</v>
      </c>
      <c r="BS157">
        <v>2.72E-4</v>
      </c>
      <c r="BT157">
        <v>3.3500000000000001E-4</v>
      </c>
      <c r="BU157">
        <v>3.3500000000000001E-4</v>
      </c>
      <c r="BV157">
        <v>3.3500000000000001E-4</v>
      </c>
      <c r="BW157">
        <v>3.3500000000000001E-4</v>
      </c>
      <c r="BX157">
        <v>3.3500000000000001E-4</v>
      </c>
      <c r="BY157">
        <v>3.8000000000000002E-4</v>
      </c>
      <c r="BZ157">
        <v>3.8000000000000002E-4</v>
      </c>
      <c r="CA157">
        <v>3.8000000000000002E-4</v>
      </c>
      <c r="CB157">
        <v>3.8000000000000002E-4</v>
      </c>
      <c r="CC157">
        <v>3.8000000000000002E-4</v>
      </c>
      <c r="CD157">
        <v>3.8000000000000002E-4</v>
      </c>
      <c r="CE157">
        <v>3.8000000000000002E-4</v>
      </c>
      <c r="CF157">
        <v>3.8000000000000002E-4</v>
      </c>
      <c r="CG157">
        <v>3.8000000000000002E-4</v>
      </c>
      <c r="CH157">
        <v>3.8000000000000002E-4</v>
      </c>
      <c r="CI157">
        <v>3.8000000000000002E-4</v>
      </c>
      <c r="CJ157">
        <v>3.8000000000000002E-4</v>
      </c>
      <c r="CK157">
        <v>3.8000000000000002E-4</v>
      </c>
      <c r="CL157">
        <v>3.8000000000000002E-4</v>
      </c>
      <c r="CM157">
        <v>3.8000000000000002E-4</v>
      </c>
      <c r="CN157">
        <v>3.8000000000000002E-4</v>
      </c>
      <c r="CO157">
        <v>3.8000000000000002E-4</v>
      </c>
      <c r="CP157">
        <v>3.8000000000000002E-4</v>
      </c>
      <c r="CQ157">
        <v>3.8000000000000002E-4</v>
      </c>
      <c r="CR157">
        <v>3.8000000000000002E-4</v>
      </c>
      <c r="CS157">
        <v>3.8000000000000002E-4</v>
      </c>
      <c r="CT157">
        <v>3.8000000000000002E-4</v>
      </c>
      <c r="CU157">
        <v>3.8000000000000002E-4</v>
      </c>
      <c r="CV157">
        <v>3.8000000000000002E-4</v>
      </c>
      <c r="CW157">
        <v>3.8000000000000002E-4</v>
      </c>
      <c r="CX157">
        <v>3.8000000000000002E-4</v>
      </c>
    </row>
    <row r="158" spans="1:102" x14ac:dyDescent="0.25">
      <c r="A158" t="s">
        <v>381</v>
      </c>
      <c r="B158" t="e">
        <v>#VALUE!</v>
      </c>
      <c r="C158" t="e">
        <v>#VALUE!</v>
      </c>
      <c r="D158" t="e">
        <v>#VALUE!</v>
      </c>
      <c r="E158" t="e">
        <v>#VALUE!</v>
      </c>
      <c r="F158" t="e">
        <v>#VALUE!</v>
      </c>
      <c r="G158" t="e">
        <v>#VALUE!</v>
      </c>
      <c r="H158" t="e">
        <v>#VALUE!</v>
      </c>
      <c r="I158" t="e">
        <v>#VALUE!</v>
      </c>
      <c r="J158" t="e">
        <v>#VALUE!</v>
      </c>
      <c r="K158" t="e">
        <v>#VALUE!</v>
      </c>
      <c r="L158" t="e">
        <v>#VALUE!</v>
      </c>
      <c r="M158" t="e">
        <v>#VALUE!</v>
      </c>
      <c r="N158" t="e">
        <v>#VALUE!</v>
      </c>
      <c r="O158" t="e">
        <v>#VALUE!</v>
      </c>
      <c r="P158" t="e">
        <v>#VALUE!</v>
      </c>
      <c r="Q158">
        <v>1.17E-4</v>
      </c>
      <c r="R158">
        <v>1.17E-4</v>
      </c>
      <c r="S158">
        <v>1.17E-4</v>
      </c>
      <c r="T158">
        <v>1.17E-4</v>
      </c>
      <c r="U158">
        <v>1.17E-4</v>
      </c>
      <c r="V158">
        <v>1.17E-4</v>
      </c>
      <c r="W158">
        <v>1.17E-4</v>
      </c>
      <c r="X158">
        <v>1.17E-4</v>
      </c>
      <c r="Y158">
        <v>1.17E-4</v>
      </c>
      <c r="Z158">
        <v>1.17E-4</v>
      </c>
      <c r="AA158">
        <v>1.17E-4</v>
      </c>
      <c r="AB158">
        <v>1.17E-4</v>
      </c>
      <c r="AC158">
        <v>1.17E-4</v>
      </c>
      <c r="AD158">
        <v>1.17E-4</v>
      </c>
      <c r="AE158">
        <v>1.17E-4</v>
      </c>
      <c r="AF158">
        <v>1.17E-4</v>
      </c>
      <c r="AG158">
        <v>1.17E-4</v>
      </c>
      <c r="AH158">
        <v>1.17E-4</v>
      </c>
      <c r="AI158">
        <v>1.17E-4</v>
      </c>
      <c r="AJ158">
        <v>1.17E-4</v>
      </c>
      <c r="AK158">
        <v>1.17E-4</v>
      </c>
      <c r="AL158">
        <v>1.17E-4</v>
      </c>
      <c r="AM158">
        <v>1.17E-4</v>
      </c>
      <c r="AN158">
        <v>1.17E-4</v>
      </c>
      <c r="AO158">
        <v>1.17E-4</v>
      </c>
      <c r="AP158">
        <v>3.59E-4</v>
      </c>
      <c r="AQ158">
        <v>3.59E-4</v>
      </c>
      <c r="AR158">
        <v>3.59E-4</v>
      </c>
      <c r="AS158">
        <v>3.59E-4</v>
      </c>
      <c r="AT158">
        <v>3.59E-4</v>
      </c>
      <c r="AU158">
        <v>4.1399999999999998E-4</v>
      </c>
      <c r="AV158">
        <v>4.1399999999999998E-4</v>
      </c>
      <c r="AW158">
        <v>4.1399999999999998E-4</v>
      </c>
      <c r="AX158">
        <v>4.1399999999999998E-4</v>
      </c>
      <c r="AY158">
        <v>4.1399999999999998E-4</v>
      </c>
      <c r="AZ158">
        <v>4.2499999999999998E-4</v>
      </c>
      <c r="BA158">
        <v>4.2499999999999998E-4</v>
      </c>
      <c r="BB158">
        <v>4.2499999999999998E-4</v>
      </c>
      <c r="BC158">
        <v>4.2499999999999998E-4</v>
      </c>
      <c r="BD158">
        <v>4.2499999999999998E-4</v>
      </c>
      <c r="BE158">
        <v>4.0099999999999999E-4</v>
      </c>
      <c r="BF158">
        <v>4.0099999999999999E-4</v>
      </c>
      <c r="BG158">
        <v>4.0099999999999999E-4</v>
      </c>
      <c r="BH158">
        <v>4.0099999999999999E-4</v>
      </c>
      <c r="BI158">
        <v>4.0099999999999999E-4</v>
      </c>
      <c r="BJ158">
        <v>3.6099999999999999E-4</v>
      </c>
      <c r="BK158">
        <v>3.6099999999999999E-4</v>
      </c>
      <c r="BL158">
        <v>3.6099999999999999E-4</v>
      </c>
      <c r="BM158">
        <v>3.6099999999999999E-4</v>
      </c>
      <c r="BN158">
        <v>3.6099999999999999E-4</v>
      </c>
      <c r="BO158">
        <v>3.2200000000000002E-4</v>
      </c>
      <c r="BP158">
        <v>3.2200000000000002E-4</v>
      </c>
      <c r="BQ158">
        <v>3.2200000000000002E-4</v>
      </c>
      <c r="BR158">
        <v>3.2200000000000002E-4</v>
      </c>
      <c r="BS158">
        <v>3.2200000000000002E-4</v>
      </c>
      <c r="BT158">
        <v>2.7999999999999998E-4</v>
      </c>
      <c r="BU158">
        <v>2.7999999999999998E-4</v>
      </c>
      <c r="BV158">
        <v>2.7999999999999998E-4</v>
      </c>
      <c r="BW158">
        <v>2.7999999999999998E-4</v>
      </c>
      <c r="BX158">
        <v>2.7999999999999998E-4</v>
      </c>
      <c r="BY158">
        <v>2.2100000000000001E-4</v>
      </c>
      <c r="BZ158">
        <v>2.2100000000000001E-4</v>
      </c>
      <c r="CA158">
        <v>2.2100000000000001E-4</v>
      </c>
      <c r="CB158">
        <v>2.2100000000000001E-4</v>
      </c>
      <c r="CC158">
        <v>2.2100000000000001E-4</v>
      </c>
      <c r="CD158">
        <v>2.2100000000000001E-4</v>
      </c>
      <c r="CE158">
        <v>2.2100000000000001E-4</v>
      </c>
      <c r="CF158">
        <v>2.2100000000000001E-4</v>
      </c>
      <c r="CG158">
        <v>2.2100000000000001E-4</v>
      </c>
      <c r="CH158">
        <v>2.2100000000000001E-4</v>
      </c>
      <c r="CI158">
        <v>2.2100000000000001E-4</v>
      </c>
      <c r="CJ158">
        <v>2.2100000000000001E-4</v>
      </c>
      <c r="CK158">
        <v>2.2100000000000001E-4</v>
      </c>
      <c r="CL158">
        <v>2.2100000000000001E-4</v>
      </c>
      <c r="CM158">
        <v>2.2100000000000001E-4</v>
      </c>
      <c r="CN158">
        <v>2.2100000000000001E-4</v>
      </c>
      <c r="CO158">
        <v>2.2100000000000001E-4</v>
      </c>
      <c r="CP158">
        <v>2.2100000000000001E-4</v>
      </c>
      <c r="CQ158">
        <v>2.2100000000000001E-4</v>
      </c>
      <c r="CR158">
        <v>2.2100000000000001E-4</v>
      </c>
      <c r="CS158">
        <v>2.2100000000000001E-4</v>
      </c>
      <c r="CT158">
        <v>2.2100000000000001E-4</v>
      </c>
      <c r="CU158">
        <v>2.2100000000000001E-4</v>
      </c>
      <c r="CV158">
        <v>2.2100000000000001E-4</v>
      </c>
      <c r="CW158">
        <v>2.2100000000000001E-4</v>
      </c>
      <c r="CX158">
        <v>2.2100000000000001E-4</v>
      </c>
    </row>
    <row r="159" spans="1:102" x14ac:dyDescent="0.25">
      <c r="A159" t="s">
        <v>383</v>
      </c>
      <c r="B159" t="e">
        <v>#VALUE!</v>
      </c>
      <c r="C159" t="e">
        <v>#VALUE!</v>
      </c>
      <c r="D159" t="e">
        <v>#VALUE!</v>
      </c>
      <c r="E159" t="e">
        <v>#VALUE!</v>
      </c>
      <c r="F159" t="e">
        <v>#VALUE!</v>
      </c>
      <c r="G159" t="e">
        <v>#VALUE!</v>
      </c>
      <c r="H159" t="e">
        <v>#VALUE!</v>
      </c>
      <c r="I159" t="e">
        <v>#VALUE!</v>
      </c>
      <c r="J159" t="e">
        <v>#VALUE!</v>
      </c>
      <c r="K159" t="e">
        <v>#VALUE!</v>
      </c>
      <c r="L159" t="e">
        <v>#VALUE!</v>
      </c>
      <c r="M159" t="e">
        <v>#VALUE!</v>
      </c>
      <c r="N159" t="e">
        <v>#VALUE!</v>
      </c>
      <c r="O159" t="e">
        <v>#VALUE!</v>
      </c>
      <c r="P159" t="e">
        <v>#VALUE!</v>
      </c>
      <c r="Q159">
        <v>1.17E-4</v>
      </c>
      <c r="R159">
        <v>1.17E-4</v>
      </c>
      <c r="S159">
        <v>1.17E-4</v>
      </c>
      <c r="T159">
        <v>1.17E-4</v>
      </c>
      <c r="U159">
        <v>1.17E-4</v>
      </c>
      <c r="V159">
        <v>1.17E-4</v>
      </c>
      <c r="W159">
        <v>1.17E-4</v>
      </c>
      <c r="X159">
        <v>1.17E-4</v>
      </c>
      <c r="Y159">
        <v>1.17E-4</v>
      </c>
      <c r="Z159">
        <v>1.17E-4</v>
      </c>
      <c r="AA159">
        <v>1.17E-4</v>
      </c>
      <c r="AB159">
        <v>1.17E-4</v>
      </c>
      <c r="AC159">
        <v>1.17E-4</v>
      </c>
      <c r="AD159">
        <v>1.17E-4</v>
      </c>
      <c r="AE159">
        <v>1.17E-4</v>
      </c>
      <c r="AF159">
        <v>1.17E-4</v>
      </c>
      <c r="AG159">
        <v>1.17E-4</v>
      </c>
      <c r="AH159">
        <v>1.17E-4</v>
      </c>
      <c r="AI159">
        <v>1.17E-4</v>
      </c>
      <c r="AJ159">
        <v>1.17E-4</v>
      </c>
      <c r="AK159">
        <v>1.17E-4</v>
      </c>
      <c r="AL159">
        <v>1.17E-4</v>
      </c>
      <c r="AM159">
        <v>1.17E-4</v>
      </c>
      <c r="AN159">
        <v>1.17E-4</v>
      </c>
      <c r="AO159">
        <v>1.17E-4</v>
      </c>
      <c r="AP159">
        <v>2.34E-4</v>
      </c>
      <c r="AQ159">
        <v>2.34E-4</v>
      </c>
      <c r="AR159">
        <v>2.34E-4</v>
      </c>
      <c r="AS159">
        <v>2.34E-4</v>
      </c>
      <c r="AT159">
        <v>2.34E-4</v>
      </c>
      <c r="AU159">
        <v>2.3699999999999999E-4</v>
      </c>
      <c r="AV159">
        <v>2.3699999999999999E-4</v>
      </c>
      <c r="AW159">
        <v>2.3699999999999999E-4</v>
      </c>
      <c r="AX159">
        <v>2.3699999999999999E-4</v>
      </c>
      <c r="AY159">
        <v>2.3699999999999999E-4</v>
      </c>
      <c r="AZ159">
        <v>2.2000000000000001E-4</v>
      </c>
      <c r="BA159">
        <v>2.2000000000000001E-4</v>
      </c>
      <c r="BB159">
        <v>2.2000000000000001E-4</v>
      </c>
      <c r="BC159">
        <v>2.2000000000000001E-4</v>
      </c>
      <c r="BD159">
        <v>2.2000000000000001E-4</v>
      </c>
      <c r="BE159">
        <v>1.8599999999999999E-4</v>
      </c>
      <c r="BF159">
        <v>1.8599999999999999E-4</v>
      </c>
      <c r="BG159">
        <v>1.8599999999999999E-4</v>
      </c>
      <c r="BH159">
        <v>1.8599999999999999E-4</v>
      </c>
      <c r="BI159">
        <v>1.8599999999999999E-4</v>
      </c>
      <c r="BJ159">
        <v>1.4999999999999999E-4</v>
      </c>
      <c r="BK159">
        <v>1.4999999999999999E-4</v>
      </c>
      <c r="BL159">
        <v>1.4999999999999999E-4</v>
      </c>
      <c r="BM159">
        <v>1.4999999999999999E-4</v>
      </c>
      <c r="BN159">
        <v>1.4999999999999999E-4</v>
      </c>
      <c r="BO159">
        <v>1.34E-4</v>
      </c>
      <c r="BP159">
        <v>1.34E-4</v>
      </c>
      <c r="BQ159">
        <v>1.34E-4</v>
      </c>
      <c r="BR159">
        <v>1.34E-4</v>
      </c>
      <c r="BS159">
        <v>1.34E-4</v>
      </c>
      <c r="BT159">
        <v>1.25E-4</v>
      </c>
      <c r="BU159">
        <v>1.25E-4</v>
      </c>
      <c r="BV159">
        <v>1.25E-4</v>
      </c>
      <c r="BW159">
        <v>1.25E-4</v>
      </c>
      <c r="BX159">
        <v>1.25E-4</v>
      </c>
      <c r="BY159">
        <v>1.0900000000000001E-4</v>
      </c>
      <c r="BZ159">
        <v>1.0900000000000001E-4</v>
      </c>
      <c r="CA159">
        <v>1.0900000000000001E-4</v>
      </c>
      <c r="CB159">
        <v>1.0900000000000001E-4</v>
      </c>
      <c r="CC159">
        <v>1.0900000000000001E-4</v>
      </c>
      <c r="CD159">
        <v>1.0900000000000001E-4</v>
      </c>
      <c r="CE159">
        <v>1.0900000000000001E-4</v>
      </c>
      <c r="CF159">
        <v>1.0900000000000001E-4</v>
      </c>
      <c r="CG159">
        <v>1.0900000000000001E-4</v>
      </c>
      <c r="CH159">
        <v>1.0900000000000001E-4</v>
      </c>
      <c r="CI159">
        <v>1.0900000000000001E-4</v>
      </c>
      <c r="CJ159">
        <v>1.0900000000000001E-4</v>
      </c>
      <c r="CK159">
        <v>1.0900000000000001E-4</v>
      </c>
      <c r="CL159">
        <v>1.0900000000000001E-4</v>
      </c>
      <c r="CM159">
        <v>1.0900000000000001E-4</v>
      </c>
      <c r="CN159">
        <v>1.0900000000000001E-4</v>
      </c>
      <c r="CO159">
        <v>1.0900000000000001E-4</v>
      </c>
      <c r="CP159">
        <v>1.0900000000000001E-4</v>
      </c>
      <c r="CQ159">
        <v>1.0900000000000001E-4</v>
      </c>
      <c r="CR159">
        <v>1.0900000000000001E-4</v>
      </c>
      <c r="CS159">
        <v>1.0900000000000001E-4</v>
      </c>
      <c r="CT159">
        <v>1.0900000000000001E-4</v>
      </c>
      <c r="CU159">
        <v>1.0900000000000001E-4</v>
      </c>
      <c r="CV159">
        <v>1.0900000000000001E-4</v>
      </c>
      <c r="CW159">
        <v>1.0900000000000001E-4</v>
      </c>
      <c r="CX159">
        <v>1.0900000000000001E-4</v>
      </c>
    </row>
    <row r="160" spans="1:102" x14ac:dyDescent="0.25">
      <c r="A160" t="s">
        <v>385</v>
      </c>
      <c r="B160" t="e">
        <v>#VALUE!</v>
      </c>
      <c r="C160" t="e">
        <v>#VALUE!</v>
      </c>
      <c r="D160" t="e">
        <v>#VALUE!</v>
      </c>
      <c r="E160" t="e">
        <v>#VALUE!</v>
      </c>
      <c r="F160" t="e">
        <v>#VALUE!</v>
      </c>
      <c r="G160" t="e">
        <v>#VALUE!</v>
      </c>
      <c r="H160" t="e">
        <v>#VALUE!</v>
      </c>
      <c r="I160" t="e">
        <v>#VALUE!</v>
      </c>
      <c r="J160" t="e">
        <v>#VALUE!</v>
      </c>
      <c r="K160" t="e">
        <v>#VALUE!</v>
      </c>
      <c r="L160" t="e">
        <v>#VALUE!</v>
      </c>
      <c r="M160" t="e">
        <v>#VALUE!</v>
      </c>
      <c r="N160" t="e">
        <v>#VALUE!</v>
      </c>
      <c r="O160" t="e">
        <v>#VALUE!</v>
      </c>
      <c r="P160" t="e">
        <v>#VALUE!</v>
      </c>
      <c r="Q160">
        <v>1.6899999999999999E-4</v>
      </c>
      <c r="R160">
        <v>1.6899999999999999E-4</v>
      </c>
      <c r="S160">
        <v>1.6899999999999999E-4</v>
      </c>
      <c r="T160">
        <v>1.6899999999999999E-4</v>
      </c>
      <c r="U160">
        <v>1.6899999999999999E-4</v>
      </c>
      <c r="V160">
        <v>1.6899999999999999E-4</v>
      </c>
      <c r="W160">
        <v>1.6899999999999999E-4</v>
      </c>
      <c r="X160">
        <v>1.6899999999999999E-4</v>
      </c>
      <c r="Y160">
        <v>1.6899999999999999E-4</v>
      </c>
      <c r="Z160">
        <v>1.6899999999999999E-4</v>
      </c>
      <c r="AA160">
        <v>1.6899999999999999E-4</v>
      </c>
      <c r="AB160">
        <v>1.6899999999999999E-4</v>
      </c>
      <c r="AC160">
        <v>1.6899999999999999E-4</v>
      </c>
      <c r="AD160">
        <v>1.6899999999999999E-4</v>
      </c>
      <c r="AE160">
        <v>1.6899999999999999E-4</v>
      </c>
      <c r="AF160">
        <v>1.6899999999999999E-4</v>
      </c>
      <c r="AG160">
        <v>1.6899999999999999E-4</v>
      </c>
      <c r="AH160">
        <v>1.6899999999999999E-4</v>
      </c>
      <c r="AI160">
        <v>1.6899999999999999E-4</v>
      </c>
      <c r="AJ160">
        <v>1.6899999999999999E-4</v>
      </c>
      <c r="AK160">
        <v>1.6899999999999999E-4</v>
      </c>
      <c r="AL160">
        <v>1.6899999999999999E-4</v>
      </c>
      <c r="AM160">
        <v>1.6899999999999999E-4</v>
      </c>
      <c r="AN160">
        <v>1.6899999999999999E-4</v>
      </c>
      <c r="AO160">
        <v>1.6899999999999999E-4</v>
      </c>
      <c r="AP160">
        <v>7.4399999999999998E-4</v>
      </c>
      <c r="AQ160">
        <v>7.4399999999999998E-4</v>
      </c>
      <c r="AR160">
        <v>7.4399999999999998E-4</v>
      </c>
      <c r="AS160">
        <v>7.4399999999999998E-4</v>
      </c>
      <c r="AT160">
        <v>7.4399999999999998E-4</v>
      </c>
      <c r="AU160">
        <v>7.5199999999999996E-4</v>
      </c>
      <c r="AV160">
        <v>7.5199999999999996E-4</v>
      </c>
      <c r="AW160">
        <v>7.5199999999999996E-4</v>
      </c>
      <c r="AX160">
        <v>7.5199999999999996E-4</v>
      </c>
      <c r="AY160">
        <v>7.5199999999999996E-4</v>
      </c>
      <c r="AZ160">
        <v>6.9700000000000003E-4</v>
      </c>
      <c r="BA160">
        <v>6.9700000000000003E-4</v>
      </c>
      <c r="BB160">
        <v>6.9700000000000003E-4</v>
      </c>
      <c r="BC160">
        <v>6.9700000000000003E-4</v>
      </c>
      <c r="BD160">
        <v>6.9700000000000003E-4</v>
      </c>
      <c r="BE160">
        <v>4.46E-4</v>
      </c>
      <c r="BF160">
        <v>4.46E-4</v>
      </c>
      <c r="BG160">
        <v>4.46E-4</v>
      </c>
      <c r="BH160">
        <v>4.46E-4</v>
      </c>
      <c r="BI160">
        <v>4.46E-4</v>
      </c>
      <c r="BJ160">
        <v>1.098E-3</v>
      </c>
      <c r="BK160">
        <v>1.098E-3</v>
      </c>
      <c r="BL160">
        <v>1.098E-3</v>
      </c>
      <c r="BM160">
        <v>1.098E-3</v>
      </c>
      <c r="BN160">
        <v>1.098E-3</v>
      </c>
      <c r="BO160">
        <v>7.0600000000000003E-4</v>
      </c>
      <c r="BP160">
        <v>7.0600000000000003E-4</v>
      </c>
      <c r="BQ160">
        <v>7.0600000000000003E-4</v>
      </c>
      <c r="BR160">
        <v>7.0600000000000003E-4</v>
      </c>
      <c r="BS160">
        <v>7.0600000000000003E-4</v>
      </c>
      <c r="BT160">
        <v>3.8299999999999999E-4</v>
      </c>
      <c r="BU160">
        <v>3.8299999999999999E-4</v>
      </c>
      <c r="BV160">
        <v>3.8299999999999999E-4</v>
      </c>
      <c r="BW160">
        <v>3.8299999999999999E-4</v>
      </c>
      <c r="BX160">
        <v>3.8299999999999999E-4</v>
      </c>
      <c r="BY160">
        <v>3.6600000000000001E-4</v>
      </c>
      <c r="BZ160">
        <v>3.6600000000000001E-4</v>
      </c>
      <c r="CA160">
        <v>3.6600000000000001E-4</v>
      </c>
      <c r="CB160">
        <v>3.6600000000000001E-4</v>
      </c>
      <c r="CC160">
        <v>3.6600000000000001E-4</v>
      </c>
      <c r="CD160">
        <v>3.6600000000000001E-4</v>
      </c>
      <c r="CE160">
        <v>3.6600000000000001E-4</v>
      </c>
      <c r="CF160">
        <v>3.6600000000000001E-4</v>
      </c>
      <c r="CG160">
        <v>3.6600000000000001E-4</v>
      </c>
      <c r="CH160">
        <v>3.6600000000000001E-4</v>
      </c>
      <c r="CI160">
        <v>3.6600000000000001E-4</v>
      </c>
      <c r="CJ160">
        <v>3.6600000000000001E-4</v>
      </c>
      <c r="CK160">
        <v>3.6600000000000001E-4</v>
      </c>
      <c r="CL160">
        <v>3.6600000000000001E-4</v>
      </c>
      <c r="CM160">
        <v>3.6600000000000001E-4</v>
      </c>
      <c r="CN160">
        <v>3.6600000000000001E-4</v>
      </c>
      <c r="CO160">
        <v>3.6600000000000001E-4</v>
      </c>
      <c r="CP160">
        <v>3.6600000000000001E-4</v>
      </c>
      <c r="CQ160">
        <v>3.6600000000000001E-4</v>
      </c>
      <c r="CR160">
        <v>3.6600000000000001E-4</v>
      </c>
      <c r="CS160">
        <v>3.6600000000000001E-4</v>
      </c>
      <c r="CT160">
        <v>3.6600000000000001E-4</v>
      </c>
      <c r="CU160">
        <v>3.6600000000000001E-4</v>
      </c>
      <c r="CV160">
        <v>3.6600000000000001E-4</v>
      </c>
      <c r="CW160">
        <v>3.6600000000000001E-4</v>
      </c>
      <c r="CX160">
        <v>3.6600000000000001E-4</v>
      </c>
    </row>
    <row r="161" spans="1:102" x14ac:dyDescent="0.25">
      <c r="A161" t="s">
        <v>387</v>
      </c>
      <c r="B161" t="e">
        <v>#VALUE!</v>
      </c>
      <c r="C161" t="e">
        <v>#VALUE!</v>
      </c>
      <c r="D161" t="e">
        <v>#VALUE!</v>
      </c>
      <c r="E161" t="e">
        <v>#VALUE!</v>
      </c>
      <c r="F161" t="e">
        <v>#VALUE!</v>
      </c>
      <c r="G161" t="e">
        <v>#VALUE!</v>
      </c>
      <c r="H161" t="e">
        <v>#VALUE!</v>
      </c>
      <c r="I161" t="e">
        <v>#VALUE!</v>
      </c>
      <c r="J161" t="e">
        <v>#VALUE!</v>
      </c>
      <c r="K161" t="e">
        <v>#VALUE!</v>
      </c>
      <c r="L161" t="e">
        <v>#VALUE!</v>
      </c>
      <c r="M161" t="e">
        <v>#VALUE!</v>
      </c>
      <c r="N161" t="e">
        <v>#VALUE!</v>
      </c>
      <c r="O161" t="e">
        <v>#VALUE!</v>
      </c>
      <c r="P161" t="e">
        <v>#VALUE!</v>
      </c>
      <c r="Q161">
        <v>8.8999999999999995E-5</v>
      </c>
      <c r="R161">
        <v>8.8999999999999995E-5</v>
      </c>
      <c r="S161">
        <v>8.8999999999999995E-5</v>
      </c>
      <c r="T161">
        <v>8.8999999999999995E-5</v>
      </c>
      <c r="U161">
        <v>8.8999999999999995E-5</v>
      </c>
      <c r="V161">
        <v>8.8999999999999995E-5</v>
      </c>
      <c r="W161">
        <v>8.8999999999999995E-5</v>
      </c>
      <c r="X161">
        <v>8.8999999999999995E-5</v>
      </c>
      <c r="Y161">
        <v>8.8999999999999995E-5</v>
      </c>
      <c r="Z161">
        <v>8.8999999999999995E-5</v>
      </c>
      <c r="AA161">
        <v>8.8999999999999995E-5</v>
      </c>
      <c r="AB161">
        <v>8.8999999999999995E-5</v>
      </c>
      <c r="AC161">
        <v>8.8999999999999995E-5</v>
      </c>
      <c r="AD161">
        <v>8.8999999999999995E-5</v>
      </c>
      <c r="AE161">
        <v>8.8999999999999995E-5</v>
      </c>
      <c r="AF161">
        <v>8.8999999999999995E-5</v>
      </c>
      <c r="AG161">
        <v>8.8999999999999995E-5</v>
      </c>
      <c r="AH161">
        <v>8.8999999999999995E-5</v>
      </c>
      <c r="AI161">
        <v>8.8999999999999995E-5</v>
      </c>
      <c r="AJ161">
        <v>8.8999999999999995E-5</v>
      </c>
      <c r="AK161">
        <v>8.8999999999999995E-5</v>
      </c>
      <c r="AL161">
        <v>8.8999999999999995E-5</v>
      </c>
      <c r="AM161">
        <v>8.8999999999999995E-5</v>
      </c>
      <c r="AN161">
        <v>8.8999999999999995E-5</v>
      </c>
      <c r="AO161">
        <v>8.8999999999999995E-5</v>
      </c>
      <c r="AP161">
        <v>5.0299999999999997E-4</v>
      </c>
      <c r="AQ161">
        <v>5.0299999999999997E-4</v>
      </c>
      <c r="AR161">
        <v>5.0299999999999997E-4</v>
      </c>
      <c r="AS161">
        <v>5.0299999999999997E-4</v>
      </c>
      <c r="AT161">
        <v>5.0299999999999997E-4</v>
      </c>
      <c r="AU161">
        <v>7.3700000000000002E-4</v>
      </c>
      <c r="AV161">
        <v>7.3700000000000002E-4</v>
      </c>
      <c r="AW161">
        <v>7.3700000000000002E-4</v>
      </c>
      <c r="AX161">
        <v>7.3700000000000002E-4</v>
      </c>
      <c r="AY161">
        <v>7.3700000000000002E-4</v>
      </c>
      <c r="AZ161">
        <v>9.4899999999999997E-4</v>
      </c>
      <c r="BA161">
        <v>9.4899999999999997E-4</v>
      </c>
      <c r="BB161">
        <v>9.4899999999999997E-4</v>
      </c>
      <c r="BC161">
        <v>9.4899999999999997E-4</v>
      </c>
      <c r="BD161">
        <v>9.4899999999999997E-4</v>
      </c>
      <c r="BE161">
        <v>1.1440000000000001E-3</v>
      </c>
      <c r="BF161">
        <v>1.1440000000000001E-3</v>
      </c>
      <c r="BG161">
        <v>1.1440000000000001E-3</v>
      </c>
      <c r="BH161">
        <v>1.1440000000000001E-3</v>
      </c>
      <c r="BI161">
        <v>1.1440000000000001E-3</v>
      </c>
      <c r="BJ161">
        <v>1.266E-3</v>
      </c>
      <c r="BK161">
        <v>1.266E-3</v>
      </c>
      <c r="BL161">
        <v>1.266E-3</v>
      </c>
      <c r="BM161">
        <v>1.266E-3</v>
      </c>
      <c r="BN161">
        <v>1.266E-3</v>
      </c>
      <c r="BO161">
        <v>1.2819999999999999E-3</v>
      </c>
      <c r="BP161">
        <v>1.2819999999999999E-3</v>
      </c>
      <c r="BQ161">
        <v>1.2819999999999999E-3</v>
      </c>
      <c r="BR161">
        <v>1.2819999999999999E-3</v>
      </c>
      <c r="BS161">
        <v>1.2819999999999999E-3</v>
      </c>
      <c r="BT161">
        <v>1.191E-3</v>
      </c>
      <c r="BU161">
        <v>1.191E-3</v>
      </c>
      <c r="BV161">
        <v>1.191E-3</v>
      </c>
      <c r="BW161">
        <v>1.191E-3</v>
      </c>
      <c r="BX161">
        <v>1.191E-3</v>
      </c>
      <c r="BY161">
        <v>1.016E-3</v>
      </c>
      <c r="BZ161">
        <v>1.016E-3</v>
      </c>
      <c r="CA161">
        <v>1.016E-3</v>
      </c>
      <c r="CB161">
        <v>1.016E-3</v>
      </c>
      <c r="CC161">
        <v>1.016E-3</v>
      </c>
      <c r="CD161">
        <v>1.016E-3</v>
      </c>
      <c r="CE161">
        <v>1.016E-3</v>
      </c>
      <c r="CF161">
        <v>1.016E-3</v>
      </c>
      <c r="CG161">
        <v>1.016E-3</v>
      </c>
      <c r="CH161">
        <v>1.016E-3</v>
      </c>
      <c r="CI161">
        <v>1.016E-3</v>
      </c>
      <c r="CJ161">
        <v>1.016E-3</v>
      </c>
      <c r="CK161">
        <v>1.016E-3</v>
      </c>
      <c r="CL161">
        <v>1.016E-3</v>
      </c>
      <c r="CM161">
        <v>1.016E-3</v>
      </c>
      <c r="CN161">
        <v>1.016E-3</v>
      </c>
      <c r="CO161">
        <v>1.016E-3</v>
      </c>
      <c r="CP161">
        <v>1.016E-3</v>
      </c>
      <c r="CQ161">
        <v>1.016E-3</v>
      </c>
      <c r="CR161">
        <v>1.016E-3</v>
      </c>
      <c r="CS161">
        <v>1.016E-3</v>
      </c>
      <c r="CT161">
        <v>1.016E-3</v>
      </c>
      <c r="CU161">
        <v>1.016E-3</v>
      </c>
      <c r="CV161">
        <v>1.016E-3</v>
      </c>
      <c r="CW161">
        <v>1.016E-3</v>
      </c>
      <c r="CX161">
        <v>1.016E-3</v>
      </c>
    </row>
    <row r="162" spans="1:102" x14ac:dyDescent="0.25">
      <c r="A162" t="s">
        <v>389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2.1900000000000001E-4</v>
      </c>
      <c r="R162">
        <v>2.1900000000000001E-4</v>
      </c>
      <c r="S162">
        <v>2.1900000000000001E-4</v>
      </c>
      <c r="T162">
        <v>2.1900000000000001E-4</v>
      </c>
      <c r="U162">
        <v>2.1900000000000001E-4</v>
      </c>
      <c r="V162">
        <v>2.1900000000000001E-4</v>
      </c>
      <c r="W162">
        <v>2.1900000000000001E-4</v>
      </c>
      <c r="X162">
        <v>2.1900000000000001E-4</v>
      </c>
      <c r="Y162">
        <v>2.1900000000000001E-4</v>
      </c>
      <c r="Z162">
        <v>2.1900000000000001E-4</v>
      </c>
      <c r="AA162">
        <v>2.1900000000000001E-4</v>
      </c>
      <c r="AB162">
        <v>2.1900000000000001E-4</v>
      </c>
      <c r="AC162">
        <v>2.1900000000000001E-4</v>
      </c>
      <c r="AD162">
        <v>2.1900000000000001E-4</v>
      </c>
      <c r="AE162">
        <v>2.1900000000000001E-4</v>
      </c>
      <c r="AF162">
        <v>2.1900000000000001E-4</v>
      </c>
      <c r="AG162">
        <v>2.1900000000000001E-4</v>
      </c>
      <c r="AH162">
        <v>2.1900000000000001E-4</v>
      </c>
      <c r="AI162">
        <v>2.1900000000000001E-4</v>
      </c>
      <c r="AJ162">
        <v>2.1900000000000001E-4</v>
      </c>
      <c r="AK162">
        <v>2.1900000000000001E-4</v>
      </c>
      <c r="AL162">
        <v>2.1900000000000001E-4</v>
      </c>
      <c r="AM162">
        <v>2.1900000000000001E-4</v>
      </c>
      <c r="AN162">
        <v>2.1900000000000001E-4</v>
      </c>
      <c r="AO162">
        <v>2.1900000000000001E-4</v>
      </c>
      <c r="AP162">
        <v>6.3400000000000001E-4</v>
      </c>
      <c r="AQ162">
        <v>6.3400000000000001E-4</v>
      </c>
      <c r="AR162">
        <v>6.3400000000000001E-4</v>
      </c>
      <c r="AS162">
        <v>6.3400000000000001E-4</v>
      </c>
      <c r="AT162">
        <v>6.3400000000000001E-4</v>
      </c>
      <c r="AU162">
        <v>6.8300000000000001E-4</v>
      </c>
      <c r="AV162">
        <v>6.8300000000000001E-4</v>
      </c>
      <c r="AW162">
        <v>6.8300000000000001E-4</v>
      </c>
      <c r="AX162">
        <v>6.8300000000000001E-4</v>
      </c>
      <c r="AY162">
        <v>6.8300000000000001E-4</v>
      </c>
      <c r="AZ162">
        <v>7.0699999999999995E-4</v>
      </c>
      <c r="BA162">
        <v>7.0699999999999995E-4</v>
      </c>
      <c r="BB162">
        <v>7.0699999999999995E-4</v>
      </c>
      <c r="BC162">
        <v>7.0699999999999995E-4</v>
      </c>
      <c r="BD162">
        <v>7.0699999999999995E-4</v>
      </c>
      <c r="BE162">
        <v>7.2999999999999996E-4</v>
      </c>
      <c r="BF162">
        <v>7.2999999999999996E-4</v>
      </c>
      <c r="BG162">
        <v>7.2999999999999996E-4</v>
      </c>
      <c r="BH162">
        <v>7.2999999999999996E-4</v>
      </c>
      <c r="BI162">
        <v>7.2999999999999996E-4</v>
      </c>
      <c r="BJ162">
        <v>7.7399999999999995E-4</v>
      </c>
      <c r="BK162">
        <v>7.7399999999999995E-4</v>
      </c>
      <c r="BL162">
        <v>7.7399999999999995E-4</v>
      </c>
      <c r="BM162">
        <v>7.7399999999999995E-4</v>
      </c>
      <c r="BN162">
        <v>7.7399999999999995E-4</v>
      </c>
      <c r="BO162">
        <v>8.2700000000000004E-4</v>
      </c>
      <c r="BP162">
        <v>8.2700000000000004E-4</v>
      </c>
      <c r="BQ162">
        <v>8.2700000000000004E-4</v>
      </c>
      <c r="BR162">
        <v>8.2700000000000004E-4</v>
      </c>
      <c r="BS162">
        <v>8.2700000000000004E-4</v>
      </c>
      <c r="BT162">
        <v>8.8599999999999996E-4</v>
      </c>
      <c r="BU162">
        <v>8.8599999999999996E-4</v>
      </c>
      <c r="BV162">
        <v>8.8599999999999996E-4</v>
      </c>
      <c r="BW162">
        <v>8.8599999999999996E-4</v>
      </c>
      <c r="BX162">
        <v>8.8599999999999996E-4</v>
      </c>
      <c r="BY162">
        <v>9.5200000000000005E-4</v>
      </c>
      <c r="BZ162">
        <v>9.5200000000000005E-4</v>
      </c>
      <c r="CA162">
        <v>9.5200000000000005E-4</v>
      </c>
      <c r="CB162">
        <v>9.5200000000000005E-4</v>
      </c>
      <c r="CC162">
        <v>9.5200000000000005E-4</v>
      </c>
      <c r="CD162">
        <v>9.5200000000000005E-4</v>
      </c>
      <c r="CE162">
        <v>9.5200000000000005E-4</v>
      </c>
      <c r="CF162">
        <v>9.5200000000000005E-4</v>
      </c>
      <c r="CG162">
        <v>9.5200000000000005E-4</v>
      </c>
      <c r="CH162">
        <v>9.5200000000000005E-4</v>
      </c>
      <c r="CI162">
        <v>9.5200000000000005E-4</v>
      </c>
      <c r="CJ162">
        <v>9.5200000000000005E-4</v>
      </c>
      <c r="CK162">
        <v>9.5200000000000005E-4</v>
      </c>
      <c r="CL162">
        <v>9.5200000000000005E-4</v>
      </c>
      <c r="CM162">
        <v>9.5200000000000005E-4</v>
      </c>
      <c r="CN162">
        <v>9.5200000000000005E-4</v>
      </c>
      <c r="CO162">
        <v>9.5200000000000005E-4</v>
      </c>
      <c r="CP162">
        <v>9.5200000000000005E-4</v>
      </c>
      <c r="CQ162">
        <v>9.5200000000000005E-4</v>
      </c>
      <c r="CR162">
        <v>9.5200000000000005E-4</v>
      </c>
      <c r="CS162">
        <v>9.5200000000000005E-4</v>
      </c>
      <c r="CT162">
        <v>9.5200000000000005E-4</v>
      </c>
      <c r="CU162">
        <v>9.5200000000000005E-4</v>
      </c>
      <c r="CV162">
        <v>9.5200000000000005E-4</v>
      </c>
      <c r="CW162">
        <v>9.5200000000000005E-4</v>
      </c>
      <c r="CX162">
        <v>9.5200000000000005E-4</v>
      </c>
    </row>
    <row r="163" spans="1:102" x14ac:dyDescent="0.25">
      <c r="A163" t="s">
        <v>391</v>
      </c>
      <c r="B163">
        <v>9.9999999999999995E-7</v>
      </c>
      <c r="C163">
        <v>9.9999999999999995E-7</v>
      </c>
      <c r="D163">
        <v>9.9999999999999995E-7</v>
      </c>
      <c r="E163">
        <v>9.9999999999999995E-7</v>
      </c>
      <c r="F163">
        <v>9.9999999999999995E-7</v>
      </c>
      <c r="G163">
        <v>9.9999999999999995E-7</v>
      </c>
      <c r="H163">
        <v>9.9999999999999995E-7</v>
      </c>
      <c r="I163">
        <v>9.9999999999999995E-7</v>
      </c>
      <c r="J163">
        <v>9.9999999999999995E-7</v>
      </c>
      <c r="K163">
        <v>9.9999999999999995E-7</v>
      </c>
      <c r="L163">
        <v>9.9999999999999995E-7</v>
      </c>
      <c r="M163">
        <v>9.9999999999999995E-7</v>
      </c>
      <c r="N163">
        <v>9.9999999999999995E-7</v>
      </c>
      <c r="O163">
        <v>9.9999999999999995E-7</v>
      </c>
      <c r="P163">
        <v>9.9999999999999995E-7</v>
      </c>
      <c r="Q163">
        <v>6.0999999999999999E-5</v>
      </c>
      <c r="R163">
        <v>6.0999999999999999E-5</v>
      </c>
      <c r="S163">
        <v>6.0999999999999999E-5</v>
      </c>
      <c r="T163">
        <v>6.0999999999999999E-5</v>
      </c>
      <c r="U163">
        <v>6.0999999999999999E-5</v>
      </c>
      <c r="V163">
        <v>6.0999999999999999E-5</v>
      </c>
      <c r="W163">
        <v>6.0999999999999999E-5</v>
      </c>
      <c r="X163">
        <v>6.0999999999999999E-5</v>
      </c>
      <c r="Y163">
        <v>6.0999999999999999E-5</v>
      </c>
      <c r="Z163">
        <v>6.0999999999999999E-5</v>
      </c>
      <c r="AA163">
        <v>6.0999999999999999E-5</v>
      </c>
      <c r="AB163">
        <v>6.0999999999999999E-5</v>
      </c>
      <c r="AC163">
        <v>6.0999999999999999E-5</v>
      </c>
      <c r="AD163">
        <v>6.0999999999999999E-5</v>
      </c>
      <c r="AE163">
        <v>6.0999999999999999E-5</v>
      </c>
      <c r="AF163">
        <v>6.0999999999999999E-5</v>
      </c>
      <c r="AG163">
        <v>6.0999999999999999E-5</v>
      </c>
      <c r="AH163">
        <v>6.0999999999999999E-5</v>
      </c>
      <c r="AI163">
        <v>6.0999999999999999E-5</v>
      </c>
      <c r="AJ163">
        <v>6.0999999999999999E-5</v>
      </c>
      <c r="AK163">
        <v>6.0999999999999999E-5</v>
      </c>
      <c r="AL163">
        <v>6.0999999999999999E-5</v>
      </c>
      <c r="AM163">
        <v>6.0999999999999999E-5</v>
      </c>
      <c r="AN163">
        <v>6.0999999999999999E-5</v>
      </c>
      <c r="AO163">
        <v>6.0999999999999999E-5</v>
      </c>
      <c r="AP163">
        <v>1.5799999999999999E-4</v>
      </c>
      <c r="AQ163">
        <v>1.5799999999999999E-4</v>
      </c>
      <c r="AR163">
        <v>1.5799999999999999E-4</v>
      </c>
      <c r="AS163">
        <v>1.5799999999999999E-4</v>
      </c>
      <c r="AT163">
        <v>1.5799999999999999E-4</v>
      </c>
      <c r="AU163">
        <v>1.8699999999999999E-4</v>
      </c>
      <c r="AV163">
        <v>1.8699999999999999E-4</v>
      </c>
      <c r="AW163">
        <v>1.8699999999999999E-4</v>
      </c>
      <c r="AX163">
        <v>1.8699999999999999E-4</v>
      </c>
      <c r="AY163">
        <v>1.8699999999999999E-4</v>
      </c>
      <c r="AZ163">
        <v>1.94E-4</v>
      </c>
      <c r="BA163">
        <v>1.94E-4</v>
      </c>
      <c r="BB163">
        <v>1.94E-4</v>
      </c>
      <c r="BC163">
        <v>1.94E-4</v>
      </c>
      <c r="BD163">
        <v>1.94E-4</v>
      </c>
      <c r="BE163">
        <v>1.8599999999999999E-4</v>
      </c>
      <c r="BF163">
        <v>1.8599999999999999E-4</v>
      </c>
      <c r="BG163">
        <v>1.8599999999999999E-4</v>
      </c>
      <c r="BH163">
        <v>1.8599999999999999E-4</v>
      </c>
      <c r="BI163">
        <v>1.8599999999999999E-4</v>
      </c>
      <c r="BJ163">
        <v>1.7100000000000001E-4</v>
      </c>
      <c r="BK163">
        <v>1.7100000000000001E-4</v>
      </c>
      <c r="BL163">
        <v>1.7100000000000001E-4</v>
      </c>
      <c r="BM163">
        <v>1.7100000000000001E-4</v>
      </c>
      <c r="BN163">
        <v>1.7100000000000001E-4</v>
      </c>
      <c r="BO163">
        <v>1.5799999999999999E-4</v>
      </c>
      <c r="BP163">
        <v>1.5799999999999999E-4</v>
      </c>
      <c r="BQ163">
        <v>1.5799999999999999E-4</v>
      </c>
      <c r="BR163">
        <v>1.5799999999999999E-4</v>
      </c>
      <c r="BS163">
        <v>1.5799999999999999E-4</v>
      </c>
      <c r="BT163">
        <v>1.45E-4</v>
      </c>
      <c r="BU163">
        <v>1.45E-4</v>
      </c>
      <c r="BV163">
        <v>1.45E-4</v>
      </c>
      <c r="BW163">
        <v>1.45E-4</v>
      </c>
      <c r="BX163">
        <v>1.45E-4</v>
      </c>
      <c r="BY163">
        <v>1.17E-4</v>
      </c>
      <c r="BZ163">
        <v>1.17E-4</v>
      </c>
      <c r="CA163">
        <v>1.17E-4</v>
      </c>
      <c r="CB163">
        <v>1.17E-4</v>
      </c>
      <c r="CC163">
        <v>1.17E-4</v>
      </c>
      <c r="CD163">
        <v>1.17E-4</v>
      </c>
      <c r="CE163">
        <v>1.17E-4</v>
      </c>
      <c r="CF163">
        <v>1.17E-4</v>
      </c>
      <c r="CG163">
        <v>1.17E-4</v>
      </c>
      <c r="CH163">
        <v>1.17E-4</v>
      </c>
      <c r="CI163">
        <v>1.17E-4</v>
      </c>
      <c r="CJ163">
        <v>1.17E-4</v>
      </c>
      <c r="CK163">
        <v>1.17E-4</v>
      </c>
      <c r="CL163">
        <v>1.17E-4</v>
      </c>
      <c r="CM163">
        <v>1.17E-4</v>
      </c>
      <c r="CN163">
        <v>1.17E-4</v>
      </c>
      <c r="CO163">
        <v>1.17E-4</v>
      </c>
      <c r="CP163">
        <v>1.17E-4</v>
      </c>
      <c r="CQ163">
        <v>1.17E-4</v>
      </c>
      <c r="CR163">
        <v>1.17E-4</v>
      </c>
      <c r="CS163">
        <v>1.17E-4</v>
      </c>
      <c r="CT163">
        <v>1.17E-4</v>
      </c>
      <c r="CU163">
        <v>1.17E-4</v>
      </c>
      <c r="CV163">
        <v>1.17E-4</v>
      </c>
      <c r="CW163">
        <v>1.17E-4</v>
      </c>
      <c r="CX163">
        <v>1.17E-4</v>
      </c>
    </row>
    <row r="164" spans="1:102" x14ac:dyDescent="0.25">
      <c r="A164" t="s">
        <v>393</v>
      </c>
      <c r="B164" t="e">
        <v>#VALUE!</v>
      </c>
      <c r="C164" t="e">
        <v>#VALUE!</v>
      </c>
      <c r="D164" t="e">
        <v>#VALUE!</v>
      </c>
      <c r="E164" t="e">
        <v>#VALUE!</v>
      </c>
      <c r="F164" t="e">
        <v>#VALUE!</v>
      </c>
      <c r="G164" t="e">
        <v>#VALUE!</v>
      </c>
      <c r="H164" t="e">
        <v>#VALUE!</v>
      </c>
      <c r="I164" t="e">
        <v>#VALUE!</v>
      </c>
      <c r="J164" t="e">
        <v>#VALUE!</v>
      </c>
      <c r="K164" t="e">
        <v>#VALUE!</v>
      </c>
      <c r="L164" t="e">
        <v>#VALUE!</v>
      </c>
      <c r="M164" t="e">
        <v>#VALUE!</v>
      </c>
      <c r="N164" t="e">
        <v>#VALUE!</v>
      </c>
      <c r="O164" t="e">
        <v>#VALUE!</v>
      </c>
      <c r="P164" t="e">
        <v>#VALUE!</v>
      </c>
      <c r="Q164">
        <v>2.0999999999999999E-5</v>
      </c>
      <c r="R164">
        <v>2.0999999999999999E-5</v>
      </c>
      <c r="S164">
        <v>2.0999999999999999E-5</v>
      </c>
      <c r="T164">
        <v>2.0999999999999999E-5</v>
      </c>
      <c r="U164">
        <v>2.0999999999999999E-5</v>
      </c>
      <c r="V164">
        <v>2.0999999999999999E-5</v>
      </c>
      <c r="W164">
        <v>2.0999999999999999E-5</v>
      </c>
      <c r="X164">
        <v>2.0999999999999999E-5</v>
      </c>
      <c r="Y164">
        <v>2.0999999999999999E-5</v>
      </c>
      <c r="Z164">
        <v>2.0999999999999999E-5</v>
      </c>
      <c r="AA164">
        <v>2.0999999999999999E-5</v>
      </c>
      <c r="AB164">
        <v>2.0999999999999999E-5</v>
      </c>
      <c r="AC164">
        <v>2.0999999999999999E-5</v>
      </c>
      <c r="AD164">
        <v>2.0999999999999999E-5</v>
      </c>
      <c r="AE164">
        <v>2.0999999999999999E-5</v>
      </c>
      <c r="AF164">
        <v>2.0999999999999999E-5</v>
      </c>
      <c r="AG164">
        <v>2.0999999999999999E-5</v>
      </c>
      <c r="AH164">
        <v>2.0999999999999999E-5</v>
      </c>
      <c r="AI164">
        <v>2.0999999999999999E-5</v>
      </c>
      <c r="AJ164">
        <v>2.0999999999999999E-5</v>
      </c>
      <c r="AK164">
        <v>2.0999999999999999E-5</v>
      </c>
      <c r="AL164">
        <v>2.0999999999999999E-5</v>
      </c>
      <c r="AM164">
        <v>2.0999999999999999E-5</v>
      </c>
      <c r="AN164">
        <v>2.0999999999999999E-5</v>
      </c>
      <c r="AO164">
        <v>2.0999999999999999E-5</v>
      </c>
      <c r="AP164">
        <v>2.2499999999999999E-4</v>
      </c>
      <c r="AQ164">
        <v>2.2499999999999999E-4</v>
      </c>
      <c r="AR164">
        <v>2.2499999999999999E-4</v>
      </c>
      <c r="AS164">
        <v>2.2499999999999999E-4</v>
      </c>
      <c r="AT164">
        <v>2.2499999999999999E-4</v>
      </c>
      <c r="AU164">
        <v>3.3199999999999999E-4</v>
      </c>
      <c r="AV164">
        <v>3.3199999999999999E-4</v>
      </c>
      <c r="AW164">
        <v>3.3199999999999999E-4</v>
      </c>
      <c r="AX164">
        <v>3.3199999999999999E-4</v>
      </c>
      <c r="AY164">
        <v>3.3199999999999999E-4</v>
      </c>
      <c r="AZ164">
        <v>3.8499999999999998E-4</v>
      </c>
      <c r="BA164">
        <v>3.8499999999999998E-4</v>
      </c>
      <c r="BB164">
        <v>3.8499999999999998E-4</v>
      </c>
      <c r="BC164">
        <v>3.8499999999999998E-4</v>
      </c>
      <c r="BD164">
        <v>3.8499999999999998E-4</v>
      </c>
      <c r="BE164">
        <v>3.8400000000000001E-4</v>
      </c>
      <c r="BF164">
        <v>3.8400000000000001E-4</v>
      </c>
      <c r="BG164">
        <v>3.8400000000000001E-4</v>
      </c>
      <c r="BH164">
        <v>3.8400000000000001E-4</v>
      </c>
      <c r="BI164">
        <v>3.8400000000000001E-4</v>
      </c>
      <c r="BJ164">
        <v>4.3800000000000002E-4</v>
      </c>
      <c r="BK164">
        <v>4.3800000000000002E-4</v>
      </c>
      <c r="BL164">
        <v>4.3800000000000002E-4</v>
      </c>
      <c r="BM164">
        <v>4.3800000000000002E-4</v>
      </c>
      <c r="BN164">
        <v>4.3800000000000002E-4</v>
      </c>
      <c r="BO164">
        <v>4.9700000000000005E-4</v>
      </c>
      <c r="BP164">
        <v>4.9700000000000005E-4</v>
      </c>
      <c r="BQ164">
        <v>4.9700000000000005E-4</v>
      </c>
      <c r="BR164">
        <v>4.9700000000000005E-4</v>
      </c>
      <c r="BS164">
        <v>4.9700000000000005E-4</v>
      </c>
      <c r="BT164">
        <v>5.53E-4</v>
      </c>
      <c r="BU164">
        <v>5.53E-4</v>
      </c>
      <c r="BV164">
        <v>5.53E-4</v>
      </c>
      <c r="BW164">
        <v>5.53E-4</v>
      </c>
      <c r="BX164">
        <v>5.53E-4</v>
      </c>
      <c r="BY164">
        <v>6.0400000000000004E-4</v>
      </c>
      <c r="BZ164">
        <v>6.0400000000000004E-4</v>
      </c>
      <c r="CA164">
        <v>6.0400000000000004E-4</v>
      </c>
      <c r="CB164">
        <v>6.0400000000000004E-4</v>
      </c>
      <c r="CC164">
        <v>6.0400000000000004E-4</v>
      </c>
      <c r="CD164">
        <v>6.0400000000000004E-4</v>
      </c>
      <c r="CE164">
        <v>6.0400000000000004E-4</v>
      </c>
      <c r="CF164">
        <v>6.0400000000000004E-4</v>
      </c>
      <c r="CG164">
        <v>6.0400000000000004E-4</v>
      </c>
      <c r="CH164">
        <v>6.0400000000000004E-4</v>
      </c>
      <c r="CI164">
        <v>6.0400000000000004E-4</v>
      </c>
      <c r="CJ164">
        <v>6.0400000000000004E-4</v>
      </c>
      <c r="CK164">
        <v>6.0400000000000004E-4</v>
      </c>
      <c r="CL164">
        <v>6.0400000000000004E-4</v>
      </c>
      <c r="CM164">
        <v>6.0400000000000004E-4</v>
      </c>
      <c r="CN164">
        <v>6.0400000000000004E-4</v>
      </c>
      <c r="CO164">
        <v>6.0400000000000004E-4</v>
      </c>
      <c r="CP164">
        <v>6.0400000000000004E-4</v>
      </c>
      <c r="CQ164">
        <v>6.0400000000000004E-4</v>
      </c>
      <c r="CR164">
        <v>6.0400000000000004E-4</v>
      </c>
      <c r="CS164">
        <v>6.0400000000000004E-4</v>
      </c>
      <c r="CT164">
        <v>6.0400000000000004E-4</v>
      </c>
      <c r="CU164">
        <v>6.0400000000000004E-4</v>
      </c>
      <c r="CV164">
        <v>6.0400000000000004E-4</v>
      </c>
      <c r="CW164">
        <v>6.0400000000000004E-4</v>
      </c>
      <c r="CX164">
        <v>6.0400000000000004E-4</v>
      </c>
    </row>
    <row r="165" spans="1:102" x14ac:dyDescent="0.25">
      <c r="A165" t="s">
        <v>395</v>
      </c>
      <c r="B165" t="e">
        <v>#VALUE!</v>
      </c>
      <c r="C165" t="e">
        <v>#VALUE!</v>
      </c>
      <c r="D165" t="e">
        <v>#VALUE!</v>
      </c>
      <c r="E165" t="e">
        <v>#VALUE!</v>
      </c>
      <c r="F165" t="e">
        <v>#VALUE!</v>
      </c>
      <c r="G165" t="e">
        <v>#VALUE!</v>
      </c>
      <c r="H165" t="e">
        <v>#VALUE!</v>
      </c>
      <c r="I165" t="e">
        <v>#VALUE!</v>
      </c>
      <c r="J165" t="e">
        <v>#VALUE!</v>
      </c>
      <c r="K165" t="e">
        <v>#VALUE!</v>
      </c>
      <c r="L165" t="e">
        <v>#VALUE!</v>
      </c>
      <c r="M165" t="e">
        <v>#VALUE!</v>
      </c>
      <c r="N165" t="e">
        <v>#VALUE!</v>
      </c>
      <c r="O165" t="e">
        <v>#VALUE!</v>
      </c>
      <c r="P165" t="e">
        <v>#VALUE!</v>
      </c>
      <c r="Q165">
        <v>1.0000000000000001E-5</v>
      </c>
      <c r="R165">
        <v>1.0000000000000001E-5</v>
      </c>
      <c r="S165">
        <v>1.0000000000000001E-5</v>
      </c>
      <c r="T165">
        <v>1.0000000000000001E-5</v>
      </c>
      <c r="U165">
        <v>1.0000000000000001E-5</v>
      </c>
      <c r="V165">
        <v>1.0000000000000001E-5</v>
      </c>
      <c r="W165">
        <v>1.0000000000000001E-5</v>
      </c>
      <c r="X165">
        <v>1.0000000000000001E-5</v>
      </c>
      <c r="Y165">
        <v>1.0000000000000001E-5</v>
      </c>
      <c r="Z165">
        <v>1.0000000000000001E-5</v>
      </c>
      <c r="AA165">
        <v>1.0000000000000001E-5</v>
      </c>
      <c r="AB165">
        <v>1.0000000000000001E-5</v>
      </c>
      <c r="AC165">
        <v>1.0000000000000001E-5</v>
      </c>
      <c r="AD165">
        <v>1.0000000000000001E-5</v>
      </c>
      <c r="AE165">
        <v>1.0000000000000001E-5</v>
      </c>
      <c r="AF165">
        <v>1.0000000000000001E-5</v>
      </c>
      <c r="AG165">
        <v>1.0000000000000001E-5</v>
      </c>
      <c r="AH165">
        <v>1.0000000000000001E-5</v>
      </c>
      <c r="AI165">
        <v>1.0000000000000001E-5</v>
      </c>
      <c r="AJ165">
        <v>1.0000000000000001E-5</v>
      </c>
      <c r="AK165">
        <v>1.0000000000000001E-5</v>
      </c>
      <c r="AL165">
        <v>1.0000000000000001E-5</v>
      </c>
      <c r="AM165">
        <v>1.0000000000000001E-5</v>
      </c>
      <c r="AN165">
        <v>1.0000000000000001E-5</v>
      </c>
      <c r="AO165">
        <v>1.0000000000000001E-5</v>
      </c>
      <c r="AP165">
        <v>6.7000000000000002E-5</v>
      </c>
      <c r="AQ165">
        <v>6.7000000000000002E-5</v>
      </c>
      <c r="AR165">
        <v>6.7000000000000002E-5</v>
      </c>
      <c r="AS165">
        <v>6.7000000000000002E-5</v>
      </c>
      <c r="AT165">
        <v>6.7000000000000002E-5</v>
      </c>
      <c r="AU165">
        <v>1.35E-4</v>
      </c>
      <c r="AV165">
        <v>1.35E-4</v>
      </c>
      <c r="AW165">
        <v>1.35E-4</v>
      </c>
      <c r="AX165">
        <v>1.35E-4</v>
      </c>
      <c r="AY165">
        <v>1.35E-4</v>
      </c>
      <c r="AZ165">
        <v>2.2000000000000001E-4</v>
      </c>
      <c r="BA165">
        <v>2.2000000000000001E-4</v>
      </c>
      <c r="BB165">
        <v>2.2000000000000001E-4</v>
      </c>
      <c r="BC165">
        <v>2.2000000000000001E-4</v>
      </c>
      <c r="BD165">
        <v>2.2000000000000001E-4</v>
      </c>
      <c r="BE165">
        <v>2.5799999999999998E-4</v>
      </c>
      <c r="BF165">
        <v>2.5799999999999998E-4</v>
      </c>
      <c r="BG165">
        <v>2.5799999999999998E-4</v>
      </c>
      <c r="BH165">
        <v>2.5799999999999998E-4</v>
      </c>
      <c r="BI165">
        <v>2.5799999999999998E-4</v>
      </c>
      <c r="BJ165">
        <v>3.01E-4</v>
      </c>
      <c r="BK165">
        <v>3.01E-4</v>
      </c>
      <c r="BL165">
        <v>3.01E-4</v>
      </c>
      <c r="BM165">
        <v>3.01E-4</v>
      </c>
      <c r="BN165">
        <v>3.01E-4</v>
      </c>
      <c r="BO165">
        <v>3.6499999999999998E-4</v>
      </c>
      <c r="BP165">
        <v>3.6499999999999998E-4</v>
      </c>
      <c r="BQ165">
        <v>3.6499999999999998E-4</v>
      </c>
      <c r="BR165">
        <v>3.6499999999999998E-4</v>
      </c>
      <c r="BS165">
        <v>3.6499999999999998E-4</v>
      </c>
      <c r="BT165">
        <v>4.3100000000000001E-4</v>
      </c>
      <c r="BU165">
        <v>4.3100000000000001E-4</v>
      </c>
      <c r="BV165">
        <v>4.3100000000000001E-4</v>
      </c>
      <c r="BW165">
        <v>4.3100000000000001E-4</v>
      </c>
      <c r="BX165">
        <v>4.3100000000000001E-4</v>
      </c>
      <c r="BY165">
        <v>5.0600000000000005E-4</v>
      </c>
      <c r="BZ165">
        <v>5.0600000000000005E-4</v>
      </c>
      <c r="CA165">
        <v>5.0600000000000005E-4</v>
      </c>
      <c r="CB165">
        <v>5.0600000000000005E-4</v>
      </c>
      <c r="CC165">
        <v>5.0600000000000005E-4</v>
      </c>
      <c r="CD165">
        <v>5.0600000000000005E-4</v>
      </c>
      <c r="CE165">
        <v>5.0600000000000005E-4</v>
      </c>
      <c r="CF165">
        <v>5.0600000000000005E-4</v>
      </c>
      <c r="CG165">
        <v>5.0600000000000005E-4</v>
      </c>
      <c r="CH165">
        <v>5.0600000000000005E-4</v>
      </c>
      <c r="CI165">
        <v>5.0600000000000005E-4</v>
      </c>
      <c r="CJ165">
        <v>5.0600000000000005E-4</v>
      </c>
      <c r="CK165">
        <v>5.0600000000000005E-4</v>
      </c>
      <c r="CL165">
        <v>5.0600000000000005E-4</v>
      </c>
      <c r="CM165">
        <v>5.0600000000000005E-4</v>
      </c>
      <c r="CN165">
        <v>5.0600000000000005E-4</v>
      </c>
      <c r="CO165">
        <v>5.0600000000000005E-4</v>
      </c>
      <c r="CP165">
        <v>5.0600000000000005E-4</v>
      </c>
      <c r="CQ165">
        <v>5.0600000000000005E-4</v>
      </c>
      <c r="CR165">
        <v>5.0600000000000005E-4</v>
      </c>
      <c r="CS165">
        <v>5.0600000000000005E-4</v>
      </c>
      <c r="CT165">
        <v>5.0600000000000005E-4</v>
      </c>
      <c r="CU165">
        <v>5.0600000000000005E-4</v>
      </c>
      <c r="CV165">
        <v>5.0600000000000005E-4</v>
      </c>
      <c r="CW165">
        <v>5.0600000000000005E-4</v>
      </c>
      <c r="CX165">
        <v>5.0600000000000005E-4</v>
      </c>
    </row>
    <row r="166" spans="1:102" x14ac:dyDescent="0.25">
      <c r="A166" t="s">
        <v>397</v>
      </c>
      <c r="B166" t="e">
        <v>#VALUE!</v>
      </c>
      <c r="C166" t="e">
        <v>#VALUE!</v>
      </c>
      <c r="D166" t="e">
        <v>#VALUE!</v>
      </c>
      <c r="E166" t="e">
        <v>#VALUE!</v>
      </c>
      <c r="F166" t="e">
        <v>#VALUE!</v>
      </c>
      <c r="G166" t="e">
        <v>#VALUE!</v>
      </c>
      <c r="H166" t="e">
        <v>#VALUE!</v>
      </c>
      <c r="I166" t="e">
        <v>#VALUE!</v>
      </c>
      <c r="J166" t="e">
        <v>#VALUE!</v>
      </c>
      <c r="K166" t="e">
        <v>#VALUE!</v>
      </c>
      <c r="L166" t="e">
        <v>#VALUE!</v>
      </c>
      <c r="M166" t="e">
        <v>#VALUE!</v>
      </c>
      <c r="N166" t="e">
        <v>#VALUE!</v>
      </c>
      <c r="O166" t="e">
        <v>#VALUE!</v>
      </c>
      <c r="P166" t="e">
        <v>#VALUE!</v>
      </c>
      <c r="Q166">
        <v>7.7000000000000001E-5</v>
      </c>
      <c r="R166">
        <v>7.7000000000000001E-5</v>
      </c>
      <c r="S166">
        <v>7.7000000000000001E-5</v>
      </c>
      <c r="T166">
        <v>7.7000000000000001E-5</v>
      </c>
      <c r="U166">
        <v>7.7000000000000001E-5</v>
      </c>
      <c r="V166">
        <v>7.7000000000000001E-5</v>
      </c>
      <c r="W166">
        <v>7.7000000000000001E-5</v>
      </c>
      <c r="X166">
        <v>7.7000000000000001E-5</v>
      </c>
      <c r="Y166">
        <v>7.7000000000000001E-5</v>
      </c>
      <c r="Z166">
        <v>7.7000000000000001E-5</v>
      </c>
      <c r="AA166">
        <v>7.7000000000000001E-5</v>
      </c>
      <c r="AB166">
        <v>7.7000000000000001E-5</v>
      </c>
      <c r="AC166">
        <v>7.7000000000000001E-5</v>
      </c>
      <c r="AD166">
        <v>7.7000000000000001E-5</v>
      </c>
      <c r="AE166">
        <v>7.7000000000000001E-5</v>
      </c>
      <c r="AF166">
        <v>7.7000000000000001E-5</v>
      </c>
      <c r="AG166">
        <v>7.7000000000000001E-5</v>
      </c>
      <c r="AH166">
        <v>7.7000000000000001E-5</v>
      </c>
      <c r="AI166">
        <v>7.7000000000000001E-5</v>
      </c>
      <c r="AJ166">
        <v>7.7000000000000001E-5</v>
      </c>
      <c r="AK166">
        <v>7.7000000000000001E-5</v>
      </c>
      <c r="AL166">
        <v>7.7000000000000001E-5</v>
      </c>
      <c r="AM166">
        <v>7.7000000000000001E-5</v>
      </c>
      <c r="AN166">
        <v>7.7000000000000001E-5</v>
      </c>
      <c r="AO166">
        <v>7.7000000000000001E-5</v>
      </c>
      <c r="AP166">
        <v>4.7899999999999999E-4</v>
      </c>
      <c r="AQ166">
        <v>4.7899999999999999E-4</v>
      </c>
      <c r="AR166">
        <v>4.7899999999999999E-4</v>
      </c>
      <c r="AS166">
        <v>4.7899999999999999E-4</v>
      </c>
      <c r="AT166">
        <v>4.7899999999999999E-4</v>
      </c>
      <c r="AU166">
        <v>6.9999999999999999E-4</v>
      </c>
      <c r="AV166">
        <v>6.9999999999999999E-4</v>
      </c>
      <c r="AW166">
        <v>6.9999999999999999E-4</v>
      </c>
      <c r="AX166">
        <v>6.9999999999999999E-4</v>
      </c>
      <c r="AY166">
        <v>6.9999999999999999E-4</v>
      </c>
      <c r="AZ166">
        <v>9.0399999999999996E-4</v>
      </c>
      <c r="BA166">
        <v>9.0399999999999996E-4</v>
      </c>
      <c r="BB166">
        <v>9.0399999999999996E-4</v>
      </c>
      <c r="BC166">
        <v>9.0399999999999996E-4</v>
      </c>
      <c r="BD166">
        <v>9.0399999999999996E-4</v>
      </c>
      <c r="BE166">
        <v>1.057E-3</v>
      </c>
      <c r="BF166">
        <v>1.057E-3</v>
      </c>
      <c r="BG166">
        <v>1.057E-3</v>
      </c>
      <c r="BH166">
        <v>1.057E-3</v>
      </c>
      <c r="BI166">
        <v>1.057E-3</v>
      </c>
      <c r="BJ166">
        <v>1.1360000000000001E-3</v>
      </c>
      <c r="BK166">
        <v>1.1360000000000001E-3</v>
      </c>
      <c r="BL166">
        <v>1.1360000000000001E-3</v>
      </c>
      <c r="BM166">
        <v>1.1360000000000001E-3</v>
      </c>
      <c r="BN166">
        <v>1.1360000000000001E-3</v>
      </c>
      <c r="BO166">
        <v>1.139E-3</v>
      </c>
      <c r="BP166">
        <v>1.139E-3</v>
      </c>
      <c r="BQ166">
        <v>1.139E-3</v>
      </c>
      <c r="BR166">
        <v>1.139E-3</v>
      </c>
      <c r="BS166">
        <v>1.139E-3</v>
      </c>
      <c r="BT166">
        <v>1.0349999999999999E-3</v>
      </c>
      <c r="BU166">
        <v>1.0349999999999999E-3</v>
      </c>
      <c r="BV166">
        <v>1.0349999999999999E-3</v>
      </c>
      <c r="BW166">
        <v>1.0349999999999999E-3</v>
      </c>
      <c r="BX166">
        <v>1.0349999999999999E-3</v>
      </c>
      <c r="BY166">
        <v>8.7000000000000001E-4</v>
      </c>
      <c r="BZ166">
        <v>8.7000000000000001E-4</v>
      </c>
      <c r="CA166">
        <v>8.7000000000000001E-4</v>
      </c>
      <c r="CB166">
        <v>8.7000000000000001E-4</v>
      </c>
      <c r="CC166">
        <v>8.7000000000000001E-4</v>
      </c>
      <c r="CD166">
        <v>8.7000000000000001E-4</v>
      </c>
      <c r="CE166">
        <v>8.7000000000000001E-4</v>
      </c>
      <c r="CF166">
        <v>8.7000000000000001E-4</v>
      </c>
      <c r="CG166">
        <v>8.7000000000000001E-4</v>
      </c>
      <c r="CH166">
        <v>8.7000000000000001E-4</v>
      </c>
      <c r="CI166">
        <v>8.7000000000000001E-4</v>
      </c>
      <c r="CJ166">
        <v>8.7000000000000001E-4</v>
      </c>
      <c r="CK166">
        <v>8.7000000000000001E-4</v>
      </c>
      <c r="CL166">
        <v>8.7000000000000001E-4</v>
      </c>
      <c r="CM166">
        <v>8.7000000000000001E-4</v>
      </c>
      <c r="CN166">
        <v>8.7000000000000001E-4</v>
      </c>
      <c r="CO166">
        <v>8.7000000000000001E-4</v>
      </c>
      <c r="CP166">
        <v>8.7000000000000001E-4</v>
      </c>
      <c r="CQ166">
        <v>8.7000000000000001E-4</v>
      </c>
      <c r="CR166">
        <v>8.7000000000000001E-4</v>
      </c>
      <c r="CS166">
        <v>8.7000000000000001E-4</v>
      </c>
      <c r="CT166">
        <v>8.7000000000000001E-4</v>
      </c>
      <c r="CU166">
        <v>8.7000000000000001E-4</v>
      </c>
      <c r="CV166">
        <v>8.7000000000000001E-4</v>
      </c>
      <c r="CW166">
        <v>8.7000000000000001E-4</v>
      </c>
      <c r="CX166">
        <v>8.7000000000000001E-4</v>
      </c>
    </row>
    <row r="167" spans="1:102" x14ac:dyDescent="0.25">
      <c r="A167" t="s">
        <v>399</v>
      </c>
      <c r="B167" t="e">
        <v>#VALUE!</v>
      </c>
      <c r="C167" t="e">
        <v>#VALUE!</v>
      </c>
      <c r="D167" t="e">
        <v>#VALUE!</v>
      </c>
      <c r="E167" t="e">
        <v>#VALUE!</v>
      </c>
      <c r="F167" t="e">
        <v>#VALUE!</v>
      </c>
      <c r="G167" t="e">
        <v>#VALUE!</v>
      </c>
      <c r="H167" t="e">
        <v>#VALUE!</v>
      </c>
      <c r="I167" t="e">
        <v>#VALUE!</v>
      </c>
      <c r="J167" t="e">
        <v>#VALUE!</v>
      </c>
      <c r="K167" t="e">
        <v>#VALUE!</v>
      </c>
      <c r="L167" t="e">
        <v>#VALUE!</v>
      </c>
      <c r="M167" t="e">
        <v>#VALUE!</v>
      </c>
      <c r="N167" t="e">
        <v>#VALUE!</v>
      </c>
      <c r="O167" t="e">
        <v>#VALUE!</v>
      </c>
      <c r="P167" t="e">
        <v>#VALUE!</v>
      </c>
      <c r="Q167">
        <v>2.8800000000000001E-4</v>
      </c>
      <c r="R167">
        <v>2.8800000000000001E-4</v>
      </c>
      <c r="S167">
        <v>2.8800000000000001E-4</v>
      </c>
      <c r="T167">
        <v>2.8800000000000001E-4</v>
      </c>
      <c r="U167">
        <v>2.8800000000000001E-4</v>
      </c>
      <c r="V167">
        <v>2.8800000000000001E-4</v>
      </c>
      <c r="W167">
        <v>2.8800000000000001E-4</v>
      </c>
      <c r="X167">
        <v>2.8800000000000001E-4</v>
      </c>
      <c r="Y167">
        <v>2.8800000000000001E-4</v>
      </c>
      <c r="Z167">
        <v>2.8800000000000001E-4</v>
      </c>
      <c r="AA167">
        <v>2.8800000000000001E-4</v>
      </c>
      <c r="AB167">
        <v>2.8800000000000001E-4</v>
      </c>
      <c r="AC167">
        <v>2.8800000000000001E-4</v>
      </c>
      <c r="AD167">
        <v>2.8800000000000001E-4</v>
      </c>
      <c r="AE167">
        <v>2.8800000000000001E-4</v>
      </c>
      <c r="AF167">
        <v>2.8800000000000001E-4</v>
      </c>
      <c r="AG167">
        <v>2.8800000000000001E-4</v>
      </c>
      <c r="AH167">
        <v>2.8800000000000001E-4</v>
      </c>
      <c r="AI167">
        <v>2.8800000000000001E-4</v>
      </c>
      <c r="AJ167">
        <v>2.8800000000000001E-4</v>
      </c>
      <c r="AK167">
        <v>2.8800000000000001E-4</v>
      </c>
      <c r="AL167">
        <v>2.8800000000000001E-4</v>
      </c>
      <c r="AM167">
        <v>2.8800000000000001E-4</v>
      </c>
      <c r="AN167">
        <v>2.8800000000000001E-4</v>
      </c>
      <c r="AO167">
        <v>2.8800000000000001E-4</v>
      </c>
      <c r="AP167">
        <v>7.7899999999999996E-4</v>
      </c>
      <c r="AQ167">
        <v>7.7899999999999996E-4</v>
      </c>
      <c r="AR167">
        <v>7.7899999999999996E-4</v>
      </c>
      <c r="AS167">
        <v>7.7899999999999996E-4</v>
      </c>
      <c r="AT167">
        <v>7.7899999999999996E-4</v>
      </c>
      <c r="AU167">
        <v>7.5000000000000002E-4</v>
      </c>
      <c r="AV167">
        <v>7.5000000000000002E-4</v>
      </c>
      <c r="AW167">
        <v>7.5000000000000002E-4</v>
      </c>
      <c r="AX167">
        <v>7.5000000000000002E-4</v>
      </c>
      <c r="AY167">
        <v>7.5000000000000002E-4</v>
      </c>
      <c r="AZ167">
        <v>6.0700000000000001E-4</v>
      </c>
      <c r="BA167">
        <v>6.0700000000000001E-4</v>
      </c>
      <c r="BB167">
        <v>6.0700000000000001E-4</v>
      </c>
      <c r="BC167">
        <v>6.0700000000000001E-4</v>
      </c>
      <c r="BD167">
        <v>6.0700000000000001E-4</v>
      </c>
      <c r="BE167">
        <v>7.2400000000000003E-4</v>
      </c>
      <c r="BF167">
        <v>7.2400000000000003E-4</v>
      </c>
      <c r="BG167">
        <v>7.2400000000000003E-4</v>
      </c>
      <c r="BH167">
        <v>7.2400000000000003E-4</v>
      </c>
      <c r="BI167">
        <v>7.2400000000000003E-4</v>
      </c>
      <c r="BJ167">
        <v>9.5100000000000002E-4</v>
      </c>
      <c r="BK167">
        <v>9.5100000000000002E-4</v>
      </c>
      <c r="BL167">
        <v>9.5100000000000002E-4</v>
      </c>
      <c r="BM167">
        <v>9.5100000000000002E-4</v>
      </c>
      <c r="BN167">
        <v>9.5100000000000002E-4</v>
      </c>
      <c r="BO167">
        <v>1.0430000000000001E-3</v>
      </c>
      <c r="BP167">
        <v>1.0430000000000001E-3</v>
      </c>
      <c r="BQ167">
        <v>1.0430000000000001E-3</v>
      </c>
      <c r="BR167">
        <v>1.0430000000000001E-3</v>
      </c>
      <c r="BS167">
        <v>1.0430000000000001E-3</v>
      </c>
      <c r="BT167">
        <v>1.284E-3</v>
      </c>
      <c r="BU167">
        <v>1.284E-3</v>
      </c>
      <c r="BV167">
        <v>1.284E-3</v>
      </c>
      <c r="BW167">
        <v>1.284E-3</v>
      </c>
      <c r="BX167">
        <v>1.284E-3</v>
      </c>
      <c r="BY167">
        <v>1.3619999999999999E-3</v>
      </c>
      <c r="BZ167">
        <v>1.3619999999999999E-3</v>
      </c>
      <c r="CA167">
        <v>1.3619999999999999E-3</v>
      </c>
      <c r="CB167">
        <v>1.3619999999999999E-3</v>
      </c>
      <c r="CC167">
        <v>1.3619999999999999E-3</v>
      </c>
      <c r="CD167">
        <v>1.3619999999999999E-3</v>
      </c>
      <c r="CE167">
        <v>1.3619999999999999E-3</v>
      </c>
      <c r="CF167">
        <v>1.3619999999999999E-3</v>
      </c>
      <c r="CG167">
        <v>1.3619999999999999E-3</v>
      </c>
      <c r="CH167">
        <v>1.3619999999999999E-3</v>
      </c>
      <c r="CI167">
        <v>1.3619999999999999E-3</v>
      </c>
      <c r="CJ167">
        <v>1.3619999999999999E-3</v>
      </c>
      <c r="CK167">
        <v>1.3619999999999999E-3</v>
      </c>
      <c r="CL167">
        <v>1.3619999999999999E-3</v>
      </c>
      <c r="CM167">
        <v>1.3619999999999999E-3</v>
      </c>
      <c r="CN167">
        <v>1.3619999999999999E-3</v>
      </c>
      <c r="CO167">
        <v>1.3619999999999999E-3</v>
      </c>
      <c r="CP167">
        <v>1.3619999999999999E-3</v>
      </c>
      <c r="CQ167">
        <v>1.3619999999999999E-3</v>
      </c>
      <c r="CR167">
        <v>1.3619999999999999E-3</v>
      </c>
      <c r="CS167">
        <v>1.3619999999999999E-3</v>
      </c>
      <c r="CT167">
        <v>1.3619999999999999E-3</v>
      </c>
      <c r="CU167">
        <v>1.3619999999999999E-3</v>
      </c>
      <c r="CV167">
        <v>1.3619999999999999E-3</v>
      </c>
      <c r="CW167">
        <v>1.3619999999999999E-3</v>
      </c>
      <c r="CX167">
        <v>1.3619999999999999E-3</v>
      </c>
    </row>
    <row r="168" spans="1:102" x14ac:dyDescent="0.25">
      <c r="A168" t="s">
        <v>401</v>
      </c>
      <c r="B168" t="e">
        <v>#VALUE!</v>
      </c>
      <c r="C168" t="e">
        <v>#VALUE!</v>
      </c>
      <c r="D168" t="e">
        <v>#VALUE!</v>
      </c>
      <c r="E168" t="e">
        <v>#VALUE!</v>
      </c>
      <c r="F168" t="e">
        <v>#VALUE!</v>
      </c>
      <c r="G168" t="e">
        <v>#VALUE!</v>
      </c>
      <c r="H168" t="e">
        <v>#VALUE!</v>
      </c>
      <c r="I168" t="e">
        <v>#VALUE!</v>
      </c>
      <c r="J168" t="e">
        <v>#VALUE!</v>
      </c>
      <c r="K168" t="e">
        <v>#VALUE!</v>
      </c>
      <c r="L168" t="e">
        <v>#VALUE!</v>
      </c>
      <c r="M168" t="e">
        <v>#VALUE!</v>
      </c>
      <c r="N168" t="e">
        <v>#VALUE!</v>
      </c>
      <c r="O168" t="e">
        <v>#VALUE!</v>
      </c>
      <c r="P168" t="e">
        <v>#VALUE!</v>
      </c>
      <c r="Q168">
        <v>2.1100000000000001E-4</v>
      </c>
      <c r="R168">
        <v>2.1100000000000001E-4</v>
      </c>
      <c r="S168">
        <v>2.1100000000000001E-4</v>
      </c>
      <c r="T168">
        <v>2.1100000000000001E-4</v>
      </c>
      <c r="U168">
        <v>2.1100000000000001E-4</v>
      </c>
      <c r="V168">
        <v>2.1100000000000001E-4</v>
      </c>
      <c r="W168">
        <v>2.1100000000000001E-4</v>
      </c>
      <c r="X168">
        <v>2.1100000000000001E-4</v>
      </c>
      <c r="Y168">
        <v>2.1100000000000001E-4</v>
      </c>
      <c r="Z168">
        <v>2.1100000000000001E-4</v>
      </c>
      <c r="AA168">
        <v>2.1100000000000001E-4</v>
      </c>
      <c r="AB168">
        <v>2.1100000000000001E-4</v>
      </c>
      <c r="AC168">
        <v>2.1100000000000001E-4</v>
      </c>
      <c r="AD168">
        <v>2.1100000000000001E-4</v>
      </c>
      <c r="AE168">
        <v>2.1100000000000001E-4</v>
      </c>
      <c r="AF168">
        <v>2.1100000000000001E-4</v>
      </c>
      <c r="AG168">
        <v>2.1100000000000001E-4</v>
      </c>
      <c r="AH168">
        <v>2.1100000000000001E-4</v>
      </c>
      <c r="AI168">
        <v>2.1100000000000001E-4</v>
      </c>
      <c r="AJ168">
        <v>2.1100000000000001E-4</v>
      </c>
      <c r="AK168">
        <v>2.1100000000000001E-4</v>
      </c>
      <c r="AL168">
        <v>2.1100000000000001E-4</v>
      </c>
      <c r="AM168">
        <v>2.1100000000000001E-4</v>
      </c>
      <c r="AN168">
        <v>2.1100000000000001E-4</v>
      </c>
      <c r="AO168">
        <v>2.1100000000000001E-4</v>
      </c>
      <c r="AP168">
        <v>1.0120000000000001E-3</v>
      </c>
      <c r="AQ168">
        <v>1.0120000000000001E-3</v>
      </c>
      <c r="AR168">
        <v>1.0120000000000001E-3</v>
      </c>
      <c r="AS168">
        <v>1.0120000000000001E-3</v>
      </c>
      <c r="AT168">
        <v>1.0120000000000001E-3</v>
      </c>
      <c r="AU168">
        <v>1.2409999999999999E-3</v>
      </c>
      <c r="AV168">
        <v>1.2409999999999999E-3</v>
      </c>
      <c r="AW168">
        <v>1.2409999999999999E-3</v>
      </c>
      <c r="AX168">
        <v>1.2409999999999999E-3</v>
      </c>
      <c r="AY168">
        <v>1.2409999999999999E-3</v>
      </c>
      <c r="AZ168">
        <v>1.31E-3</v>
      </c>
      <c r="BA168">
        <v>1.31E-3</v>
      </c>
      <c r="BB168">
        <v>1.31E-3</v>
      </c>
      <c r="BC168">
        <v>1.31E-3</v>
      </c>
      <c r="BD168">
        <v>1.31E-3</v>
      </c>
      <c r="BE168">
        <v>1.0920000000000001E-3</v>
      </c>
      <c r="BF168">
        <v>1.0920000000000001E-3</v>
      </c>
      <c r="BG168">
        <v>1.0920000000000001E-3</v>
      </c>
      <c r="BH168">
        <v>1.0920000000000001E-3</v>
      </c>
      <c r="BI168">
        <v>1.0920000000000001E-3</v>
      </c>
      <c r="BJ168">
        <v>1.825E-3</v>
      </c>
      <c r="BK168">
        <v>1.825E-3</v>
      </c>
      <c r="BL168">
        <v>1.825E-3</v>
      </c>
      <c r="BM168">
        <v>1.825E-3</v>
      </c>
      <c r="BN168">
        <v>1.825E-3</v>
      </c>
      <c r="BO168">
        <v>1.242E-3</v>
      </c>
      <c r="BP168">
        <v>1.242E-3</v>
      </c>
      <c r="BQ168">
        <v>1.242E-3</v>
      </c>
      <c r="BR168">
        <v>1.242E-3</v>
      </c>
      <c r="BS168">
        <v>1.242E-3</v>
      </c>
      <c r="BT168">
        <v>1.4599999999999999E-3</v>
      </c>
      <c r="BU168">
        <v>1.4599999999999999E-3</v>
      </c>
      <c r="BV168">
        <v>1.4599999999999999E-3</v>
      </c>
      <c r="BW168">
        <v>1.4599999999999999E-3</v>
      </c>
      <c r="BX168">
        <v>1.4599999999999999E-3</v>
      </c>
      <c r="BY168">
        <v>3.46E-3</v>
      </c>
      <c r="BZ168">
        <v>3.46E-3</v>
      </c>
      <c r="CA168">
        <v>3.46E-3</v>
      </c>
      <c r="CB168">
        <v>3.46E-3</v>
      </c>
      <c r="CC168">
        <v>3.46E-3</v>
      </c>
      <c r="CD168">
        <v>3.46E-3</v>
      </c>
      <c r="CE168">
        <v>3.46E-3</v>
      </c>
      <c r="CF168">
        <v>3.46E-3</v>
      </c>
      <c r="CG168">
        <v>3.46E-3</v>
      </c>
      <c r="CH168">
        <v>3.46E-3</v>
      </c>
      <c r="CI168">
        <v>3.46E-3</v>
      </c>
      <c r="CJ168">
        <v>3.46E-3</v>
      </c>
      <c r="CK168">
        <v>3.46E-3</v>
      </c>
      <c r="CL168">
        <v>3.46E-3</v>
      </c>
      <c r="CM168">
        <v>3.46E-3</v>
      </c>
      <c r="CN168">
        <v>3.46E-3</v>
      </c>
      <c r="CO168">
        <v>3.46E-3</v>
      </c>
      <c r="CP168">
        <v>3.46E-3</v>
      </c>
      <c r="CQ168">
        <v>3.46E-3</v>
      </c>
      <c r="CR168">
        <v>3.46E-3</v>
      </c>
      <c r="CS168">
        <v>3.46E-3</v>
      </c>
      <c r="CT168">
        <v>3.46E-3</v>
      </c>
      <c r="CU168">
        <v>3.46E-3</v>
      </c>
      <c r="CV168">
        <v>3.46E-3</v>
      </c>
      <c r="CW168">
        <v>3.46E-3</v>
      </c>
      <c r="CX168">
        <v>3.46E-3</v>
      </c>
    </row>
    <row r="169" spans="1:102" x14ac:dyDescent="0.25">
      <c r="A169" t="s">
        <v>403</v>
      </c>
      <c r="B169" t="e">
        <v>#VALUE!</v>
      </c>
      <c r="C169" t="e">
        <v>#VALUE!</v>
      </c>
      <c r="D169" t="e">
        <v>#VALUE!</v>
      </c>
      <c r="E169" t="e">
        <v>#VALUE!</v>
      </c>
      <c r="F169" t="e">
        <v>#VALUE!</v>
      </c>
      <c r="G169" t="e">
        <v>#VALUE!</v>
      </c>
      <c r="H169" t="e">
        <v>#VALUE!</v>
      </c>
      <c r="I169" t="e">
        <v>#VALUE!</v>
      </c>
      <c r="J169" t="e">
        <v>#VALUE!</v>
      </c>
      <c r="K169" t="e">
        <v>#VALUE!</v>
      </c>
      <c r="L169" t="e">
        <v>#VALUE!</v>
      </c>
      <c r="M169" t="e">
        <v>#VALUE!</v>
      </c>
      <c r="N169" t="e">
        <v>#VALUE!</v>
      </c>
      <c r="O169" t="e">
        <v>#VALUE!</v>
      </c>
      <c r="P169" t="e">
        <v>#VALUE!</v>
      </c>
      <c r="Q169">
        <v>8.8999999999999995E-5</v>
      </c>
      <c r="R169">
        <v>8.8999999999999995E-5</v>
      </c>
      <c r="S169">
        <v>8.8999999999999995E-5</v>
      </c>
      <c r="T169">
        <v>8.8999999999999995E-5</v>
      </c>
      <c r="U169">
        <v>8.8999999999999995E-5</v>
      </c>
      <c r="V169">
        <v>8.8999999999999995E-5</v>
      </c>
      <c r="W169">
        <v>8.8999999999999995E-5</v>
      </c>
      <c r="X169">
        <v>8.8999999999999995E-5</v>
      </c>
      <c r="Y169">
        <v>8.8999999999999995E-5</v>
      </c>
      <c r="Z169">
        <v>8.8999999999999995E-5</v>
      </c>
      <c r="AA169">
        <v>8.8999999999999995E-5</v>
      </c>
      <c r="AB169">
        <v>8.8999999999999995E-5</v>
      </c>
      <c r="AC169">
        <v>8.8999999999999995E-5</v>
      </c>
      <c r="AD169">
        <v>8.8999999999999995E-5</v>
      </c>
      <c r="AE169">
        <v>8.8999999999999995E-5</v>
      </c>
      <c r="AF169">
        <v>8.8999999999999995E-5</v>
      </c>
      <c r="AG169">
        <v>8.8999999999999995E-5</v>
      </c>
      <c r="AH169">
        <v>8.8999999999999995E-5</v>
      </c>
      <c r="AI169">
        <v>8.8999999999999995E-5</v>
      </c>
      <c r="AJ169">
        <v>8.8999999999999995E-5</v>
      </c>
      <c r="AK169">
        <v>8.8999999999999995E-5</v>
      </c>
      <c r="AL169">
        <v>8.8999999999999995E-5</v>
      </c>
      <c r="AM169">
        <v>8.8999999999999995E-5</v>
      </c>
      <c r="AN169">
        <v>8.8999999999999995E-5</v>
      </c>
      <c r="AO169">
        <v>8.8999999999999995E-5</v>
      </c>
      <c r="AP169">
        <v>1.6000000000000001E-4</v>
      </c>
      <c r="AQ169">
        <v>1.6000000000000001E-4</v>
      </c>
      <c r="AR169">
        <v>1.6000000000000001E-4</v>
      </c>
      <c r="AS169">
        <v>1.6000000000000001E-4</v>
      </c>
      <c r="AT169">
        <v>1.6000000000000001E-4</v>
      </c>
      <c r="AU169">
        <v>1.3999999999999999E-4</v>
      </c>
      <c r="AV169">
        <v>1.3999999999999999E-4</v>
      </c>
      <c r="AW169">
        <v>1.3999999999999999E-4</v>
      </c>
      <c r="AX169">
        <v>1.3999999999999999E-4</v>
      </c>
      <c r="AY169">
        <v>1.3999999999999999E-4</v>
      </c>
      <c r="AZ169">
        <v>1.1900000000000001E-4</v>
      </c>
      <c r="BA169">
        <v>1.1900000000000001E-4</v>
      </c>
      <c r="BB169">
        <v>1.1900000000000001E-4</v>
      </c>
      <c r="BC169">
        <v>1.1900000000000001E-4</v>
      </c>
      <c r="BD169">
        <v>1.1900000000000001E-4</v>
      </c>
      <c r="BE169">
        <v>1.11E-4</v>
      </c>
      <c r="BF169">
        <v>1.11E-4</v>
      </c>
      <c r="BG169">
        <v>1.11E-4</v>
      </c>
      <c r="BH169">
        <v>1.11E-4</v>
      </c>
      <c r="BI169">
        <v>1.11E-4</v>
      </c>
      <c r="BJ169">
        <v>1.08E-4</v>
      </c>
      <c r="BK169">
        <v>1.08E-4</v>
      </c>
      <c r="BL169">
        <v>1.08E-4</v>
      </c>
      <c r="BM169">
        <v>1.08E-4</v>
      </c>
      <c r="BN169">
        <v>1.08E-4</v>
      </c>
      <c r="BO169">
        <v>1.1400000000000001E-4</v>
      </c>
      <c r="BP169">
        <v>1.1400000000000001E-4</v>
      </c>
      <c r="BQ169">
        <v>1.1400000000000001E-4</v>
      </c>
      <c r="BR169">
        <v>1.1400000000000001E-4</v>
      </c>
      <c r="BS169">
        <v>1.1400000000000001E-4</v>
      </c>
      <c r="BT169">
        <v>1.2E-4</v>
      </c>
      <c r="BU169">
        <v>1.2E-4</v>
      </c>
      <c r="BV169">
        <v>1.2E-4</v>
      </c>
      <c r="BW169">
        <v>1.2E-4</v>
      </c>
      <c r="BX169">
        <v>1.2E-4</v>
      </c>
      <c r="BY169">
        <v>1.36E-4</v>
      </c>
      <c r="BZ169">
        <v>1.36E-4</v>
      </c>
      <c r="CA169">
        <v>1.36E-4</v>
      </c>
      <c r="CB169">
        <v>1.36E-4</v>
      </c>
      <c r="CC169">
        <v>1.36E-4</v>
      </c>
      <c r="CD169">
        <v>1.36E-4</v>
      </c>
      <c r="CE169">
        <v>1.36E-4</v>
      </c>
      <c r="CF169">
        <v>1.36E-4</v>
      </c>
      <c r="CG169">
        <v>1.36E-4</v>
      </c>
      <c r="CH169">
        <v>1.36E-4</v>
      </c>
      <c r="CI169">
        <v>1.36E-4</v>
      </c>
      <c r="CJ169">
        <v>1.36E-4</v>
      </c>
      <c r="CK169">
        <v>1.36E-4</v>
      </c>
      <c r="CL169">
        <v>1.36E-4</v>
      </c>
      <c r="CM169">
        <v>1.36E-4</v>
      </c>
      <c r="CN169">
        <v>1.36E-4</v>
      </c>
      <c r="CO169">
        <v>1.36E-4</v>
      </c>
      <c r="CP169">
        <v>1.36E-4</v>
      </c>
      <c r="CQ169">
        <v>1.36E-4</v>
      </c>
      <c r="CR169">
        <v>1.36E-4</v>
      </c>
      <c r="CS169">
        <v>1.36E-4</v>
      </c>
      <c r="CT169">
        <v>1.36E-4</v>
      </c>
      <c r="CU169">
        <v>1.36E-4</v>
      </c>
      <c r="CV169">
        <v>1.36E-4</v>
      </c>
      <c r="CW169">
        <v>1.36E-4</v>
      </c>
      <c r="CX169">
        <v>1.36E-4</v>
      </c>
    </row>
    <row r="170" spans="1:102" x14ac:dyDescent="0.25">
      <c r="A170" t="s">
        <v>405</v>
      </c>
      <c r="B170" t="e">
        <v>#VALUE!</v>
      </c>
      <c r="C170" t="e">
        <v>#VALUE!</v>
      </c>
      <c r="D170" t="e">
        <v>#VALUE!</v>
      </c>
      <c r="E170" t="e">
        <v>#VALUE!</v>
      </c>
      <c r="F170" t="e">
        <v>#VALUE!</v>
      </c>
      <c r="G170" t="e">
        <v>#VALUE!</v>
      </c>
      <c r="H170" t="e">
        <v>#VALUE!</v>
      </c>
      <c r="I170" t="e">
        <v>#VALUE!</v>
      </c>
      <c r="J170" t="e">
        <v>#VALUE!</v>
      </c>
      <c r="K170" t="e">
        <v>#VALUE!</v>
      </c>
      <c r="L170" t="e">
        <v>#VALUE!</v>
      </c>
      <c r="M170" t="e">
        <v>#VALUE!</v>
      </c>
      <c r="N170" t="e">
        <v>#VALUE!</v>
      </c>
      <c r="O170" t="e">
        <v>#VALUE!</v>
      </c>
      <c r="P170" t="e">
        <v>#VALUE!</v>
      </c>
      <c r="Q170">
        <v>4.1999999999999998E-5</v>
      </c>
      <c r="R170">
        <v>4.1999999999999998E-5</v>
      </c>
      <c r="S170">
        <v>4.1999999999999998E-5</v>
      </c>
      <c r="T170">
        <v>4.1999999999999998E-5</v>
      </c>
      <c r="U170">
        <v>4.1999999999999998E-5</v>
      </c>
      <c r="V170">
        <v>4.1999999999999998E-5</v>
      </c>
      <c r="W170">
        <v>4.1999999999999998E-5</v>
      </c>
      <c r="X170">
        <v>4.1999999999999998E-5</v>
      </c>
      <c r="Y170">
        <v>4.1999999999999998E-5</v>
      </c>
      <c r="Z170">
        <v>4.1999999999999998E-5</v>
      </c>
      <c r="AA170">
        <v>4.1999999999999998E-5</v>
      </c>
      <c r="AB170">
        <v>4.1999999999999998E-5</v>
      </c>
      <c r="AC170">
        <v>4.1999999999999998E-5</v>
      </c>
      <c r="AD170">
        <v>4.1999999999999998E-5</v>
      </c>
      <c r="AE170">
        <v>4.1999999999999998E-5</v>
      </c>
      <c r="AF170">
        <v>4.1999999999999998E-5</v>
      </c>
      <c r="AG170">
        <v>4.1999999999999998E-5</v>
      </c>
      <c r="AH170">
        <v>4.1999999999999998E-5</v>
      </c>
      <c r="AI170">
        <v>4.1999999999999998E-5</v>
      </c>
      <c r="AJ170">
        <v>4.1999999999999998E-5</v>
      </c>
      <c r="AK170">
        <v>4.1999999999999998E-5</v>
      </c>
      <c r="AL170">
        <v>4.1999999999999998E-5</v>
      </c>
      <c r="AM170">
        <v>4.1999999999999998E-5</v>
      </c>
      <c r="AN170">
        <v>4.1999999999999998E-5</v>
      </c>
      <c r="AO170">
        <v>4.1999999999999998E-5</v>
      </c>
      <c r="AP170">
        <v>7.2999999999999999E-5</v>
      </c>
      <c r="AQ170">
        <v>7.2999999999999999E-5</v>
      </c>
      <c r="AR170">
        <v>7.2999999999999999E-5</v>
      </c>
      <c r="AS170">
        <v>7.2999999999999999E-5</v>
      </c>
      <c r="AT170">
        <v>7.2999999999999999E-5</v>
      </c>
      <c r="AU170">
        <v>6.6000000000000005E-5</v>
      </c>
      <c r="AV170">
        <v>6.6000000000000005E-5</v>
      </c>
      <c r="AW170">
        <v>6.6000000000000005E-5</v>
      </c>
      <c r="AX170">
        <v>6.6000000000000005E-5</v>
      </c>
      <c r="AY170">
        <v>6.6000000000000005E-5</v>
      </c>
      <c r="AZ170">
        <v>6.0999999999999999E-5</v>
      </c>
      <c r="BA170">
        <v>6.0999999999999999E-5</v>
      </c>
      <c r="BB170">
        <v>6.0999999999999999E-5</v>
      </c>
      <c r="BC170">
        <v>6.0999999999999999E-5</v>
      </c>
      <c r="BD170">
        <v>6.0999999999999999E-5</v>
      </c>
      <c r="BE170">
        <v>6.0999999999999999E-5</v>
      </c>
      <c r="BF170">
        <v>6.0999999999999999E-5</v>
      </c>
      <c r="BG170">
        <v>6.0999999999999999E-5</v>
      </c>
      <c r="BH170">
        <v>6.0999999999999999E-5</v>
      </c>
      <c r="BI170">
        <v>6.0999999999999999E-5</v>
      </c>
      <c r="BJ170">
        <v>5.8999999999999998E-5</v>
      </c>
      <c r="BK170">
        <v>5.8999999999999998E-5</v>
      </c>
      <c r="BL170">
        <v>5.8999999999999998E-5</v>
      </c>
      <c r="BM170">
        <v>5.8999999999999998E-5</v>
      </c>
      <c r="BN170">
        <v>5.8999999999999998E-5</v>
      </c>
      <c r="BO170">
        <v>5.8E-5</v>
      </c>
      <c r="BP170">
        <v>5.8E-5</v>
      </c>
      <c r="BQ170">
        <v>5.8E-5</v>
      </c>
      <c r="BR170">
        <v>5.8E-5</v>
      </c>
      <c r="BS170">
        <v>5.8E-5</v>
      </c>
      <c r="BT170">
        <v>6.0000000000000002E-5</v>
      </c>
      <c r="BU170">
        <v>6.0000000000000002E-5</v>
      </c>
      <c r="BV170">
        <v>6.0000000000000002E-5</v>
      </c>
      <c r="BW170">
        <v>6.0000000000000002E-5</v>
      </c>
      <c r="BX170">
        <v>6.0000000000000002E-5</v>
      </c>
      <c r="BY170">
        <v>6.8999999999999997E-5</v>
      </c>
      <c r="BZ170">
        <v>6.8999999999999997E-5</v>
      </c>
      <c r="CA170">
        <v>6.8999999999999997E-5</v>
      </c>
      <c r="CB170">
        <v>6.8999999999999997E-5</v>
      </c>
      <c r="CC170">
        <v>6.8999999999999997E-5</v>
      </c>
      <c r="CD170">
        <v>6.8999999999999997E-5</v>
      </c>
      <c r="CE170">
        <v>6.8999999999999997E-5</v>
      </c>
      <c r="CF170">
        <v>6.8999999999999997E-5</v>
      </c>
      <c r="CG170">
        <v>6.8999999999999997E-5</v>
      </c>
      <c r="CH170">
        <v>6.8999999999999997E-5</v>
      </c>
      <c r="CI170">
        <v>6.8999999999999997E-5</v>
      </c>
      <c r="CJ170">
        <v>6.8999999999999997E-5</v>
      </c>
      <c r="CK170">
        <v>6.8999999999999997E-5</v>
      </c>
      <c r="CL170">
        <v>6.8999999999999997E-5</v>
      </c>
      <c r="CM170">
        <v>6.8999999999999997E-5</v>
      </c>
      <c r="CN170">
        <v>6.8999999999999997E-5</v>
      </c>
      <c r="CO170">
        <v>6.8999999999999997E-5</v>
      </c>
      <c r="CP170">
        <v>6.8999999999999997E-5</v>
      </c>
      <c r="CQ170">
        <v>6.8999999999999997E-5</v>
      </c>
      <c r="CR170">
        <v>6.8999999999999997E-5</v>
      </c>
      <c r="CS170">
        <v>6.8999999999999997E-5</v>
      </c>
      <c r="CT170">
        <v>6.8999999999999997E-5</v>
      </c>
      <c r="CU170">
        <v>6.8999999999999997E-5</v>
      </c>
      <c r="CV170">
        <v>6.8999999999999997E-5</v>
      </c>
      <c r="CW170">
        <v>6.8999999999999997E-5</v>
      </c>
      <c r="CX170">
        <v>6.8999999999999997E-5</v>
      </c>
    </row>
    <row r="171" spans="1:102" x14ac:dyDescent="0.25">
      <c r="A171" t="s">
        <v>407</v>
      </c>
      <c r="B171" t="e">
        <v>#VALUE!</v>
      </c>
      <c r="C171" t="e">
        <v>#VALUE!</v>
      </c>
      <c r="D171" t="e">
        <v>#VALUE!</v>
      </c>
      <c r="E171" t="e">
        <v>#VALUE!</v>
      </c>
      <c r="F171" t="e">
        <v>#VALUE!</v>
      </c>
      <c r="G171" t="e">
        <v>#VALUE!</v>
      </c>
      <c r="H171" t="e">
        <v>#VALUE!</v>
      </c>
      <c r="I171" t="e">
        <v>#VALUE!</v>
      </c>
      <c r="J171" t="e">
        <v>#VALUE!</v>
      </c>
      <c r="K171" t="e">
        <v>#VALUE!</v>
      </c>
      <c r="L171" t="e">
        <v>#VALUE!</v>
      </c>
      <c r="M171" t="e">
        <v>#VALUE!</v>
      </c>
      <c r="N171" t="e">
        <v>#VALUE!</v>
      </c>
      <c r="O171" t="e">
        <v>#VALUE!</v>
      </c>
      <c r="P171" t="e">
        <v>#VALUE!</v>
      </c>
      <c r="Q171">
        <v>9.0000000000000002E-6</v>
      </c>
      <c r="R171">
        <v>9.0000000000000002E-6</v>
      </c>
      <c r="S171">
        <v>9.0000000000000002E-6</v>
      </c>
      <c r="T171">
        <v>9.0000000000000002E-6</v>
      </c>
      <c r="U171">
        <v>9.0000000000000002E-6</v>
      </c>
      <c r="V171">
        <v>9.0000000000000002E-6</v>
      </c>
      <c r="W171">
        <v>9.0000000000000002E-6</v>
      </c>
      <c r="X171">
        <v>9.0000000000000002E-6</v>
      </c>
      <c r="Y171">
        <v>9.0000000000000002E-6</v>
      </c>
      <c r="Z171">
        <v>9.0000000000000002E-6</v>
      </c>
      <c r="AA171">
        <v>9.0000000000000002E-6</v>
      </c>
      <c r="AB171">
        <v>9.0000000000000002E-6</v>
      </c>
      <c r="AC171">
        <v>9.0000000000000002E-6</v>
      </c>
      <c r="AD171">
        <v>9.0000000000000002E-6</v>
      </c>
      <c r="AE171">
        <v>9.0000000000000002E-6</v>
      </c>
      <c r="AF171">
        <v>9.0000000000000002E-6</v>
      </c>
      <c r="AG171">
        <v>9.0000000000000002E-6</v>
      </c>
      <c r="AH171">
        <v>9.0000000000000002E-6</v>
      </c>
      <c r="AI171">
        <v>9.0000000000000002E-6</v>
      </c>
      <c r="AJ171">
        <v>9.0000000000000002E-6</v>
      </c>
      <c r="AK171">
        <v>9.0000000000000002E-6</v>
      </c>
      <c r="AL171">
        <v>9.0000000000000002E-6</v>
      </c>
      <c r="AM171">
        <v>9.0000000000000002E-6</v>
      </c>
      <c r="AN171">
        <v>9.0000000000000002E-6</v>
      </c>
      <c r="AO171">
        <v>9.0000000000000002E-6</v>
      </c>
      <c r="AP171">
        <v>5.1E-5</v>
      </c>
      <c r="AQ171">
        <v>5.1E-5</v>
      </c>
      <c r="AR171">
        <v>5.1E-5</v>
      </c>
      <c r="AS171">
        <v>5.1E-5</v>
      </c>
      <c r="AT171">
        <v>5.1E-5</v>
      </c>
      <c r="AU171">
        <v>6.9999999999999994E-5</v>
      </c>
      <c r="AV171">
        <v>6.9999999999999994E-5</v>
      </c>
      <c r="AW171">
        <v>6.9999999999999994E-5</v>
      </c>
      <c r="AX171">
        <v>6.9999999999999994E-5</v>
      </c>
      <c r="AY171">
        <v>6.9999999999999994E-5</v>
      </c>
      <c r="AZ171">
        <v>8.0000000000000007E-5</v>
      </c>
      <c r="BA171">
        <v>8.0000000000000007E-5</v>
      </c>
      <c r="BB171">
        <v>8.0000000000000007E-5</v>
      </c>
      <c r="BC171">
        <v>8.0000000000000007E-5</v>
      </c>
      <c r="BD171">
        <v>8.0000000000000007E-5</v>
      </c>
      <c r="BE171">
        <v>8.2999999999999998E-5</v>
      </c>
      <c r="BF171">
        <v>8.2999999999999998E-5</v>
      </c>
      <c r="BG171">
        <v>8.2999999999999998E-5</v>
      </c>
      <c r="BH171">
        <v>8.2999999999999998E-5</v>
      </c>
      <c r="BI171">
        <v>8.2999999999999998E-5</v>
      </c>
      <c r="BJ171">
        <v>8.1000000000000004E-5</v>
      </c>
      <c r="BK171">
        <v>8.1000000000000004E-5</v>
      </c>
      <c r="BL171">
        <v>8.1000000000000004E-5</v>
      </c>
      <c r="BM171">
        <v>8.1000000000000004E-5</v>
      </c>
      <c r="BN171">
        <v>8.1000000000000004E-5</v>
      </c>
      <c r="BO171">
        <v>7.8999999999999996E-5</v>
      </c>
      <c r="BP171">
        <v>7.8999999999999996E-5</v>
      </c>
      <c r="BQ171">
        <v>7.8999999999999996E-5</v>
      </c>
      <c r="BR171">
        <v>7.8999999999999996E-5</v>
      </c>
      <c r="BS171">
        <v>7.8999999999999996E-5</v>
      </c>
      <c r="BT171">
        <v>7.2000000000000002E-5</v>
      </c>
      <c r="BU171">
        <v>7.2000000000000002E-5</v>
      </c>
      <c r="BV171">
        <v>7.2000000000000002E-5</v>
      </c>
      <c r="BW171">
        <v>7.2000000000000002E-5</v>
      </c>
      <c r="BX171">
        <v>7.2000000000000002E-5</v>
      </c>
      <c r="BY171">
        <v>7.4999999999999993E-5</v>
      </c>
      <c r="BZ171">
        <v>7.4999999999999993E-5</v>
      </c>
      <c r="CA171">
        <v>7.4999999999999993E-5</v>
      </c>
      <c r="CB171">
        <v>7.4999999999999993E-5</v>
      </c>
      <c r="CC171">
        <v>7.4999999999999993E-5</v>
      </c>
      <c r="CD171">
        <v>7.4999999999999993E-5</v>
      </c>
      <c r="CE171">
        <v>7.4999999999999993E-5</v>
      </c>
      <c r="CF171">
        <v>7.4999999999999993E-5</v>
      </c>
      <c r="CG171">
        <v>7.4999999999999993E-5</v>
      </c>
      <c r="CH171">
        <v>7.4999999999999993E-5</v>
      </c>
      <c r="CI171">
        <v>7.4999999999999993E-5</v>
      </c>
      <c r="CJ171">
        <v>7.4999999999999993E-5</v>
      </c>
      <c r="CK171">
        <v>7.4999999999999993E-5</v>
      </c>
      <c r="CL171">
        <v>7.4999999999999993E-5</v>
      </c>
      <c r="CM171">
        <v>7.4999999999999993E-5</v>
      </c>
      <c r="CN171">
        <v>7.4999999999999993E-5</v>
      </c>
      <c r="CO171">
        <v>7.4999999999999993E-5</v>
      </c>
      <c r="CP171">
        <v>7.4999999999999993E-5</v>
      </c>
      <c r="CQ171">
        <v>7.4999999999999993E-5</v>
      </c>
      <c r="CR171">
        <v>7.4999999999999993E-5</v>
      </c>
      <c r="CS171">
        <v>7.4999999999999993E-5</v>
      </c>
      <c r="CT171">
        <v>7.4999999999999993E-5</v>
      </c>
      <c r="CU171">
        <v>7.4999999999999993E-5</v>
      </c>
      <c r="CV171">
        <v>7.4999999999999993E-5</v>
      </c>
      <c r="CW171">
        <v>7.4999999999999993E-5</v>
      </c>
      <c r="CX171">
        <v>7.4999999999999993E-5</v>
      </c>
    </row>
    <row r="172" spans="1:102" x14ac:dyDescent="0.25">
      <c r="A172" t="s">
        <v>409</v>
      </c>
      <c r="B172" t="e">
        <v>#VALUE!</v>
      </c>
      <c r="C172" t="e">
        <v>#VALUE!</v>
      </c>
      <c r="D172" t="e">
        <v>#VALUE!</v>
      </c>
      <c r="E172" t="e">
        <v>#VALUE!</v>
      </c>
      <c r="F172" t="e">
        <v>#VALUE!</v>
      </c>
      <c r="G172" t="e">
        <v>#VALUE!</v>
      </c>
      <c r="H172" t="e">
        <v>#VALUE!</v>
      </c>
      <c r="I172" t="e">
        <v>#VALUE!</v>
      </c>
      <c r="J172" t="e">
        <v>#VALUE!</v>
      </c>
      <c r="K172" t="e">
        <v>#VALUE!</v>
      </c>
      <c r="L172" t="e">
        <v>#VALUE!</v>
      </c>
      <c r="M172" t="e">
        <v>#VALUE!</v>
      </c>
      <c r="N172" t="e">
        <v>#VALUE!</v>
      </c>
      <c r="O172" t="e">
        <v>#VALUE!</v>
      </c>
      <c r="P172" t="e">
        <v>#VALUE!</v>
      </c>
      <c r="Q172">
        <v>7.1000000000000005E-5</v>
      </c>
      <c r="R172">
        <v>7.1000000000000005E-5</v>
      </c>
      <c r="S172">
        <v>7.1000000000000005E-5</v>
      </c>
      <c r="T172">
        <v>7.1000000000000005E-5</v>
      </c>
      <c r="U172">
        <v>7.1000000000000005E-5</v>
      </c>
      <c r="V172">
        <v>7.1000000000000005E-5</v>
      </c>
      <c r="W172">
        <v>7.1000000000000005E-5</v>
      </c>
      <c r="X172">
        <v>7.1000000000000005E-5</v>
      </c>
      <c r="Y172">
        <v>7.1000000000000005E-5</v>
      </c>
      <c r="Z172">
        <v>7.1000000000000005E-5</v>
      </c>
      <c r="AA172">
        <v>7.1000000000000005E-5</v>
      </c>
      <c r="AB172">
        <v>7.1000000000000005E-5</v>
      </c>
      <c r="AC172">
        <v>7.1000000000000005E-5</v>
      </c>
      <c r="AD172">
        <v>7.1000000000000005E-5</v>
      </c>
      <c r="AE172">
        <v>7.1000000000000005E-5</v>
      </c>
      <c r="AF172">
        <v>7.1000000000000005E-5</v>
      </c>
      <c r="AG172">
        <v>7.1000000000000005E-5</v>
      </c>
      <c r="AH172">
        <v>7.1000000000000005E-5</v>
      </c>
      <c r="AI172">
        <v>7.1000000000000005E-5</v>
      </c>
      <c r="AJ172">
        <v>7.1000000000000005E-5</v>
      </c>
      <c r="AK172">
        <v>7.1000000000000005E-5</v>
      </c>
      <c r="AL172">
        <v>7.1000000000000005E-5</v>
      </c>
      <c r="AM172">
        <v>7.1000000000000005E-5</v>
      </c>
      <c r="AN172">
        <v>7.1000000000000005E-5</v>
      </c>
      <c r="AO172">
        <v>7.1000000000000005E-5</v>
      </c>
      <c r="AP172">
        <v>2.8800000000000001E-4</v>
      </c>
      <c r="AQ172">
        <v>2.8800000000000001E-4</v>
      </c>
      <c r="AR172">
        <v>2.8800000000000001E-4</v>
      </c>
      <c r="AS172">
        <v>2.8800000000000001E-4</v>
      </c>
      <c r="AT172">
        <v>2.8800000000000001E-4</v>
      </c>
      <c r="AU172">
        <v>3.0400000000000002E-4</v>
      </c>
      <c r="AV172">
        <v>3.0400000000000002E-4</v>
      </c>
      <c r="AW172">
        <v>3.0400000000000002E-4</v>
      </c>
      <c r="AX172">
        <v>3.0400000000000002E-4</v>
      </c>
      <c r="AY172">
        <v>3.0400000000000002E-4</v>
      </c>
      <c r="AZ172">
        <v>2.81E-4</v>
      </c>
      <c r="BA172">
        <v>2.81E-4</v>
      </c>
      <c r="BB172">
        <v>2.81E-4</v>
      </c>
      <c r="BC172">
        <v>2.81E-4</v>
      </c>
      <c r="BD172">
        <v>2.81E-4</v>
      </c>
      <c r="BE172">
        <v>2.2800000000000001E-4</v>
      </c>
      <c r="BF172">
        <v>2.2800000000000001E-4</v>
      </c>
      <c r="BG172">
        <v>2.2800000000000001E-4</v>
      </c>
      <c r="BH172">
        <v>2.2800000000000001E-4</v>
      </c>
      <c r="BI172">
        <v>2.2800000000000001E-4</v>
      </c>
      <c r="BJ172">
        <v>1.63E-4</v>
      </c>
      <c r="BK172">
        <v>1.63E-4</v>
      </c>
      <c r="BL172">
        <v>1.63E-4</v>
      </c>
      <c r="BM172">
        <v>1.63E-4</v>
      </c>
      <c r="BN172">
        <v>1.63E-4</v>
      </c>
      <c r="BO172">
        <v>1.1900000000000001E-4</v>
      </c>
      <c r="BP172">
        <v>1.1900000000000001E-4</v>
      </c>
      <c r="BQ172">
        <v>1.1900000000000001E-4</v>
      </c>
      <c r="BR172">
        <v>1.1900000000000001E-4</v>
      </c>
      <c r="BS172">
        <v>1.1900000000000001E-4</v>
      </c>
      <c r="BT172">
        <v>1.05E-4</v>
      </c>
      <c r="BU172">
        <v>1.05E-4</v>
      </c>
      <c r="BV172">
        <v>1.05E-4</v>
      </c>
      <c r="BW172">
        <v>1.05E-4</v>
      </c>
      <c r="BX172">
        <v>1.05E-4</v>
      </c>
      <c r="BY172">
        <v>9.2E-5</v>
      </c>
      <c r="BZ172">
        <v>9.2E-5</v>
      </c>
      <c r="CA172">
        <v>9.2E-5</v>
      </c>
      <c r="CB172">
        <v>9.2E-5</v>
      </c>
      <c r="CC172">
        <v>9.2E-5</v>
      </c>
      <c r="CD172">
        <v>9.2E-5</v>
      </c>
      <c r="CE172">
        <v>9.2E-5</v>
      </c>
      <c r="CF172">
        <v>9.2E-5</v>
      </c>
      <c r="CG172">
        <v>9.2E-5</v>
      </c>
      <c r="CH172">
        <v>9.2E-5</v>
      </c>
      <c r="CI172">
        <v>9.2E-5</v>
      </c>
      <c r="CJ172">
        <v>9.2E-5</v>
      </c>
      <c r="CK172">
        <v>9.2E-5</v>
      </c>
      <c r="CL172">
        <v>9.2E-5</v>
      </c>
      <c r="CM172">
        <v>9.2E-5</v>
      </c>
      <c r="CN172">
        <v>9.2E-5</v>
      </c>
      <c r="CO172">
        <v>9.2E-5</v>
      </c>
      <c r="CP172">
        <v>9.2E-5</v>
      </c>
      <c r="CQ172">
        <v>9.2E-5</v>
      </c>
      <c r="CR172">
        <v>9.2E-5</v>
      </c>
      <c r="CS172">
        <v>9.2E-5</v>
      </c>
      <c r="CT172">
        <v>9.2E-5</v>
      </c>
      <c r="CU172">
        <v>9.2E-5</v>
      </c>
      <c r="CV172">
        <v>9.2E-5</v>
      </c>
      <c r="CW172">
        <v>9.2E-5</v>
      </c>
      <c r="CX172">
        <v>9.2E-5</v>
      </c>
    </row>
    <row r="173" spans="1:102" x14ac:dyDescent="0.25">
      <c r="A173" t="s">
        <v>411</v>
      </c>
      <c r="B173" t="e">
        <v>#VALUE!</v>
      </c>
      <c r="C173" t="e">
        <v>#VALUE!</v>
      </c>
      <c r="D173" t="e">
        <v>#VALUE!</v>
      </c>
      <c r="E173" t="e">
        <v>#VALUE!</v>
      </c>
      <c r="F173" t="e">
        <v>#VALUE!</v>
      </c>
      <c r="G173" t="e">
        <v>#VALUE!</v>
      </c>
      <c r="H173" t="e">
        <v>#VALUE!</v>
      </c>
      <c r="I173" t="e">
        <v>#VALUE!</v>
      </c>
      <c r="J173" t="e">
        <v>#VALUE!</v>
      </c>
      <c r="K173" t="e">
        <v>#VALUE!</v>
      </c>
      <c r="L173" t="e">
        <v>#VALUE!</v>
      </c>
      <c r="M173" t="e">
        <v>#VALUE!</v>
      </c>
      <c r="N173" t="e">
        <v>#VALUE!</v>
      </c>
      <c r="O173" t="e">
        <v>#VALUE!</v>
      </c>
      <c r="P173" t="e">
        <v>#VALUE!</v>
      </c>
      <c r="Q173">
        <v>1.3999999999999999E-4</v>
      </c>
      <c r="R173">
        <v>1.3999999999999999E-4</v>
      </c>
      <c r="S173">
        <v>1.3999999999999999E-4</v>
      </c>
      <c r="T173">
        <v>1.3999999999999999E-4</v>
      </c>
      <c r="U173">
        <v>1.3999999999999999E-4</v>
      </c>
      <c r="V173">
        <v>1.3999999999999999E-4</v>
      </c>
      <c r="W173">
        <v>1.3999999999999999E-4</v>
      </c>
      <c r="X173">
        <v>1.3999999999999999E-4</v>
      </c>
      <c r="Y173">
        <v>1.3999999999999999E-4</v>
      </c>
      <c r="Z173">
        <v>1.3999999999999999E-4</v>
      </c>
      <c r="AA173">
        <v>1.3999999999999999E-4</v>
      </c>
      <c r="AB173">
        <v>1.3999999999999999E-4</v>
      </c>
      <c r="AC173">
        <v>1.3999999999999999E-4</v>
      </c>
      <c r="AD173">
        <v>1.3999999999999999E-4</v>
      </c>
      <c r="AE173">
        <v>1.3999999999999999E-4</v>
      </c>
      <c r="AF173">
        <v>1.3999999999999999E-4</v>
      </c>
      <c r="AG173">
        <v>1.3999999999999999E-4</v>
      </c>
      <c r="AH173">
        <v>1.3999999999999999E-4</v>
      </c>
      <c r="AI173">
        <v>1.3999999999999999E-4</v>
      </c>
      <c r="AJ173">
        <v>1.3999999999999999E-4</v>
      </c>
      <c r="AK173">
        <v>1.3999999999999999E-4</v>
      </c>
      <c r="AL173">
        <v>1.3999999999999999E-4</v>
      </c>
      <c r="AM173">
        <v>1.3999999999999999E-4</v>
      </c>
      <c r="AN173">
        <v>1.3999999999999999E-4</v>
      </c>
      <c r="AO173">
        <v>1.3999999999999999E-4</v>
      </c>
      <c r="AP173">
        <v>8.03E-4</v>
      </c>
      <c r="AQ173">
        <v>8.03E-4</v>
      </c>
      <c r="AR173">
        <v>8.03E-4</v>
      </c>
      <c r="AS173">
        <v>8.03E-4</v>
      </c>
      <c r="AT173">
        <v>8.03E-4</v>
      </c>
      <c r="AU173">
        <v>1.165E-3</v>
      </c>
      <c r="AV173">
        <v>1.165E-3</v>
      </c>
      <c r="AW173">
        <v>1.165E-3</v>
      </c>
      <c r="AX173">
        <v>1.165E-3</v>
      </c>
      <c r="AY173">
        <v>1.165E-3</v>
      </c>
      <c r="AZ173">
        <v>1.5039999999999999E-3</v>
      </c>
      <c r="BA173">
        <v>1.5039999999999999E-3</v>
      </c>
      <c r="BB173">
        <v>1.5039999999999999E-3</v>
      </c>
      <c r="BC173">
        <v>1.5039999999999999E-3</v>
      </c>
      <c r="BD173">
        <v>1.5039999999999999E-3</v>
      </c>
      <c r="BE173">
        <v>1.671E-3</v>
      </c>
      <c r="BF173">
        <v>1.671E-3</v>
      </c>
      <c r="BG173">
        <v>1.671E-3</v>
      </c>
      <c r="BH173">
        <v>1.671E-3</v>
      </c>
      <c r="BI173">
        <v>1.671E-3</v>
      </c>
      <c r="BJ173">
        <v>1.82E-3</v>
      </c>
      <c r="BK173">
        <v>1.82E-3</v>
      </c>
      <c r="BL173">
        <v>1.82E-3</v>
      </c>
      <c r="BM173">
        <v>1.82E-3</v>
      </c>
      <c r="BN173">
        <v>1.82E-3</v>
      </c>
      <c r="BO173">
        <v>2.0230000000000001E-3</v>
      </c>
      <c r="BP173">
        <v>2.0230000000000001E-3</v>
      </c>
      <c r="BQ173">
        <v>2.0230000000000001E-3</v>
      </c>
      <c r="BR173">
        <v>2.0230000000000001E-3</v>
      </c>
      <c r="BS173">
        <v>2.0230000000000001E-3</v>
      </c>
      <c r="BT173">
        <v>2.2390000000000001E-3</v>
      </c>
      <c r="BU173">
        <v>2.2390000000000001E-3</v>
      </c>
      <c r="BV173">
        <v>2.2390000000000001E-3</v>
      </c>
      <c r="BW173">
        <v>2.2390000000000001E-3</v>
      </c>
      <c r="BX173">
        <v>2.2390000000000001E-3</v>
      </c>
      <c r="BY173">
        <v>2.4940000000000001E-3</v>
      </c>
      <c r="BZ173">
        <v>2.4940000000000001E-3</v>
      </c>
      <c r="CA173">
        <v>2.4940000000000001E-3</v>
      </c>
      <c r="CB173">
        <v>2.4940000000000001E-3</v>
      </c>
      <c r="CC173">
        <v>2.4940000000000001E-3</v>
      </c>
      <c r="CD173">
        <v>2.4940000000000001E-3</v>
      </c>
      <c r="CE173">
        <v>2.4940000000000001E-3</v>
      </c>
      <c r="CF173">
        <v>2.4940000000000001E-3</v>
      </c>
      <c r="CG173">
        <v>2.4940000000000001E-3</v>
      </c>
      <c r="CH173">
        <v>2.4940000000000001E-3</v>
      </c>
      <c r="CI173">
        <v>2.4940000000000001E-3</v>
      </c>
      <c r="CJ173">
        <v>2.4940000000000001E-3</v>
      </c>
      <c r="CK173">
        <v>2.4940000000000001E-3</v>
      </c>
      <c r="CL173">
        <v>2.4940000000000001E-3</v>
      </c>
      <c r="CM173">
        <v>2.4940000000000001E-3</v>
      </c>
      <c r="CN173">
        <v>2.4940000000000001E-3</v>
      </c>
      <c r="CO173">
        <v>2.4940000000000001E-3</v>
      </c>
      <c r="CP173">
        <v>2.4940000000000001E-3</v>
      </c>
      <c r="CQ173">
        <v>2.4940000000000001E-3</v>
      </c>
      <c r="CR173">
        <v>2.4940000000000001E-3</v>
      </c>
      <c r="CS173">
        <v>2.4940000000000001E-3</v>
      </c>
      <c r="CT173">
        <v>2.4940000000000001E-3</v>
      </c>
      <c r="CU173">
        <v>2.4940000000000001E-3</v>
      </c>
      <c r="CV173">
        <v>2.4940000000000001E-3</v>
      </c>
      <c r="CW173">
        <v>2.4940000000000001E-3</v>
      </c>
      <c r="CX173">
        <v>2.4940000000000001E-3</v>
      </c>
    </row>
    <row r="174" spans="1:102" x14ac:dyDescent="0.25">
      <c r="A174" t="s">
        <v>413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9.6000000000000002E-5</v>
      </c>
      <c r="R174">
        <v>9.6000000000000002E-5</v>
      </c>
      <c r="S174">
        <v>9.6000000000000002E-5</v>
      </c>
      <c r="T174">
        <v>9.6000000000000002E-5</v>
      </c>
      <c r="U174">
        <v>9.6000000000000002E-5</v>
      </c>
      <c r="V174">
        <v>9.6000000000000002E-5</v>
      </c>
      <c r="W174">
        <v>9.6000000000000002E-5</v>
      </c>
      <c r="X174">
        <v>9.6000000000000002E-5</v>
      </c>
      <c r="Y174">
        <v>9.6000000000000002E-5</v>
      </c>
      <c r="Z174">
        <v>9.6000000000000002E-5</v>
      </c>
      <c r="AA174">
        <v>9.6000000000000002E-5</v>
      </c>
      <c r="AB174">
        <v>9.6000000000000002E-5</v>
      </c>
      <c r="AC174">
        <v>9.6000000000000002E-5</v>
      </c>
      <c r="AD174">
        <v>9.6000000000000002E-5</v>
      </c>
      <c r="AE174">
        <v>9.6000000000000002E-5</v>
      </c>
      <c r="AF174">
        <v>9.6000000000000002E-5</v>
      </c>
      <c r="AG174">
        <v>9.6000000000000002E-5</v>
      </c>
      <c r="AH174">
        <v>9.6000000000000002E-5</v>
      </c>
      <c r="AI174">
        <v>9.6000000000000002E-5</v>
      </c>
      <c r="AJ174">
        <v>9.6000000000000002E-5</v>
      </c>
      <c r="AK174">
        <v>9.6000000000000002E-5</v>
      </c>
      <c r="AL174">
        <v>9.6000000000000002E-5</v>
      </c>
      <c r="AM174">
        <v>9.6000000000000002E-5</v>
      </c>
      <c r="AN174">
        <v>9.6000000000000002E-5</v>
      </c>
      <c r="AO174">
        <v>9.6000000000000002E-5</v>
      </c>
      <c r="AP174">
        <v>3.6299999999999999E-4</v>
      </c>
      <c r="AQ174">
        <v>3.6299999999999999E-4</v>
      </c>
      <c r="AR174">
        <v>3.6299999999999999E-4</v>
      </c>
      <c r="AS174">
        <v>3.6299999999999999E-4</v>
      </c>
      <c r="AT174">
        <v>3.6299999999999999E-4</v>
      </c>
      <c r="AU174">
        <v>4.4499999999999997E-4</v>
      </c>
      <c r="AV174">
        <v>4.4499999999999997E-4</v>
      </c>
      <c r="AW174">
        <v>4.4499999999999997E-4</v>
      </c>
      <c r="AX174">
        <v>4.4499999999999997E-4</v>
      </c>
      <c r="AY174">
        <v>4.4499999999999997E-4</v>
      </c>
      <c r="AZ174">
        <v>4.7100000000000001E-4</v>
      </c>
      <c r="BA174">
        <v>4.7100000000000001E-4</v>
      </c>
      <c r="BB174">
        <v>4.7100000000000001E-4</v>
      </c>
      <c r="BC174">
        <v>4.7100000000000001E-4</v>
      </c>
      <c r="BD174">
        <v>4.7100000000000001E-4</v>
      </c>
      <c r="BE174">
        <v>4.7699999999999999E-4</v>
      </c>
      <c r="BF174">
        <v>4.7699999999999999E-4</v>
      </c>
      <c r="BG174">
        <v>4.7699999999999999E-4</v>
      </c>
      <c r="BH174">
        <v>4.7699999999999999E-4</v>
      </c>
      <c r="BI174">
        <v>4.7699999999999999E-4</v>
      </c>
      <c r="BJ174">
        <v>4.84E-4</v>
      </c>
      <c r="BK174">
        <v>4.84E-4</v>
      </c>
      <c r="BL174">
        <v>4.84E-4</v>
      </c>
      <c r="BM174">
        <v>4.84E-4</v>
      </c>
      <c r="BN174">
        <v>4.84E-4</v>
      </c>
      <c r="BO174">
        <v>4.7399999999999997E-4</v>
      </c>
      <c r="BP174">
        <v>4.7399999999999997E-4</v>
      </c>
      <c r="BQ174">
        <v>4.7399999999999997E-4</v>
      </c>
      <c r="BR174">
        <v>4.7399999999999997E-4</v>
      </c>
      <c r="BS174">
        <v>4.7399999999999997E-4</v>
      </c>
      <c r="BT174">
        <v>4.5100000000000001E-4</v>
      </c>
      <c r="BU174">
        <v>4.5100000000000001E-4</v>
      </c>
      <c r="BV174">
        <v>4.5100000000000001E-4</v>
      </c>
      <c r="BW174">
        <v>4.5100000000000001E-4</v>
      </c>
      <c r="BX174">
        <v>4.5100000000000001E-4</v>
      </c>
      <c r="BY174">
        <v>4.15E-4</v>
      </c>
      <c r="BZ174">
        <v>4.15E-4</v>
      </c>
      <c r="CA174">
        <v>4.15E-4</v>
      </c>
      <c r="CB174">
        <v>4.15E-4</v>
      </c>
      <c r="CC174">
        <v>4.15E-4</v>
      </c>
      <c r="CD174">
        <v>4.15E-4</v>
      </c>
      <c r="CE174">
        <v>4.15E-4</v>
      </c>
      <c r="CF174">
        <v>4.15E-4</v>
      </c>
      <c r="CG174">
        <v>4.15E-4</v>
      </c>
      <c r="CH174">
        <v>4.15E-4</v>
      </c>
      <c r="CI174">
        <v>4.15E-4</v>
      </c>
      <c r="CJ174">
        <v>4.15E-4</v>
      </c>
      <c r="CK174">
        <v>4.15E-4</v>
      </c>
      <c r="CL174">
        <v>4.15E-4</v>
      </c>
      <c r="CM174">
        <v>4.15E-4</v>
      </c>
      <c r="CN174">
        <v>4.15E-4</v>
      </c>
      <c r="CO174">
        <v>4.15E-4</v>
      </c>
      <c r="CP174">
        <v>4.15E-4</v>
      </c>
      <c r="CQ174">
        <v>4.15E-4</v>
      </c>
      <c r="CR174">
        <v>4.15E-4</v>
      </c>
      <c r="CS174">
        <v>4.15E-4</v>
      </c>
      <c r="CT174">
        <v>4.15E-4</v>
      </c>
      <c r="CU174">
        <v>4.15E-4</v>
      </c>
      <c r="CV174">
        <v>4.15E-4</v>
      </c>
      <c r="CW174">
        <v>4.15E-4</v>
      </c>
      <c r="CX174">
        <v>4.15E-4</v>
      </c>
    </row>
    <row r="175" spans="1:102" x14ac:dyDescent="0.25">
      <c r="A175" t="s">
        <v>466</v>
      </c>
      <c r="B175" t="e">
        <v>#VALUE!</v>
      </c>
      <c r="C175" t="e">
        <v>#VALUE!</v>
      </c>
      <c r="D175" t="e">
        <v>#VALUE!</v>
      </c>
      <c r="E175" t="e">
        <v>#VALUE!</v>
      </c>
      <c r="F175" t="e">
        <v>#VALUE!</v>
      </c>
      <c r="G175" t="e">
        <v>#VALUE!</v>
      </c>
      <c r="H175" t="e">
        <v>#VALUE!</v>
      </c>
      <c r="I175" t="e">
        <v>#VALUE!</v>
      </c>
      <c r="J175" t="e">
        <v>#VALUE!</v>
      </c>
      <c r="K175" t="e">
        <v>#VALUE!</v>
      </c>
      <c r="L175" t="e">
        <v>#VALUE!</v>
      </c>
      <c r="M175" t="e">
        <v>#VALUE!</v>
      </c>
      <c r="N175" t="e">
        <v>#VALUE!</v>
      </c>
      <c r="O175" t="e">
        <v>#VALUE!</v>
      </c>
      <c r="P175" t="e">
        <v>#VALUE!</v>
      </c>
      <c r="Q175">
        <v>4.6E-5</v>
      </c>
      <c r="R175">
        <v>4.6E-5</v>
      </c>
      <c r="S175">
        <v>4.6E-5</v>
      </c>
      <c r="T175">
        <v>4.6E-5</v>
      </c>
      <c r="U175">
        <v>4.6E-5</v>
      </c>
      <c r="V175">
        <v>4.6E-5</v>
      </c>
      <c r="W175">
        <v>4.6E-5</v>
      </c>
      <c r="X175">
        <v>4.6E-5</v>
      </c>
      <c r="Y175">
        <v>4.6E-5</v>
      </c>
      <c r="Z175">
        <v>4.6E-5</v>
      </c>
      <c r="AA175">
        <v>4.6E-5</v>
      </c>
      <c r="AB175">
        <v>4.6E-5</v>
      </c>
      <c r="AC175">
        <v>4.6E-5</v>
      </c>
      <c r="AD175">
        <v>4.6E-5</v>
      </c>
      <c r="AE175">
        <v>4.6E-5</v>
      </c>
      <c r="AF175">
        <v>4.6E-5</v>
      </c>
      <c r="AG175">
        <v>4.6E-5</v>
      </c>
      <c r="AH175">
        <v>4.6E-5</v>
      </c>
      <c r="AI175">
        <v>4.6E-5</v>
      </c>
      <c r="AJ175">
        <v>4.6E-5</v>
      </c>
      <c r="AK175">
        <v>4.6E-5</v>
      </c>
      <c r="AL175">
        <v>4.6E-5</v>
      </c>
      <c r="AM175">
        <v>4.6E-5</v>
      </c>
      <c r="AN175">
        <v>4.6E-5</v>
      </c>
      <c r="AO175">
        <v>4.6E-5</v>
      </c>
      <c r="AP175">
        <v>1.8200000000000001E-4</v>
      </c>
      <c r="AQ175">
        <v>1.8200000000000001E-4</v>
      </c>
      <c r="AR175">
        <v>1.8200000000000001E-4</v>
      </c>
      <c r="AS175">
        <v>1.8200000000000001E-4</v>
      </c>
      <c r="AT175">
        <v>1.8200000000000001E-4</v>
      </c>
      <c r="AU175">
        <v>3.5300000000000002E-4</v>
      </c>
      <c r="AV175">
        <v>3.5300000000000002E-4</v>
      </c>
      <c r="AW175">
        <v>3.5300000000000002E-4</v>
      </c>
      <c r="AX175">
        <v>3.5300000000000002E-4</v>
      </c>
      <c r="AY175">
        <v>3.5300000000000002E-4</v>
      </c>
      <c r="AZ175">
        <v>2.8600000000000001E-4</v>
      </c>
      <c r="BA175">
        <v>2.8600000000000001E-4</v>
      </c>
      <c r="BB175">
        <v>2.8600000000000001E-4</v>
      </c>
      <c r="BC175">
        <v>2.8600000000000001E-4</v>
      </c>
      <c r="BD175">
        <v>2.8600000000000001E-4</v>
      </c>
      <c r="BE175">
        <v>3.5799999999999997E-4</v>
      </c>
      <c r="BF175">
        <v>3.5799999999999997E-4</v>
      </c>
      <c r="BG175">
        <v>3.5799999999999997E-4</v>
      </c>
      <c r="BH175">
        <v>3.5799999999999997E-4</v>
      </c>
      <c r="BI175">
        <v>3.5799999999999997E-4</v>
      </c>
      <c r="BJ175">
        <v>2.63E-4</v>
      </c>
      <c r="BK175">
        <v>2.63E-4</v>
      </c>
      <c r="BL175">
        <v>2.63E-4</v>
      </c>
      <c r="BM175">
        <v>2.63E-4</v>
      </c>
      <c r="BN175">
        <v>2.63E-4</v>
      </c>
      <c r="BO175">
        <v>4.6500000000000003E-4</v>
      </c>
      <c r="BP175">
        <v>4.6500000000000003E-4</v>
      </c>
      <c r="BQ175">
        <v>4.6500000000000003E-4</v>
      </c>
      <c r="BR175">
        <v>4.6500000000000003E-4</v>
      </c>
      <c r="BS175">
        <v>4.6500000000000003E-4</v>
      </c>
      <c r="BT175">
        <v>5.3600000000000002E-4</v>
      </c>
      <c r="BU175">
        <v>5.3600000000000002E-4</v>
      </c>
      <c r="BV175">
        <v>5.3600000000000002E-4</v>
      </c>
      <c r="BW175">
        <v>5.3600000000000002E-4</v>
      </c>
      <c r="BX175">
        <v>5.3600000000000002E-4</v>
      </c>
      <c r="BY175">
        <v>1.0250000000000001E-3</v>
      </c>
      <c r="BZ175">
        <v>1.0250000000000001E-3</v>
      </c>
      <c r="CA175">
        <v>1.0250000000000001E-3</v>
      </c>
      <c r="CB175">
        <v>1.0250000000000001E-3</v>
      </c>
      <c r="CC175">
        <v>1.0250000000000001E-3</v>
      </c>
      <c r="CD175">
        <v>1.0250000000000001E-3</v>
      </c>
      <c r="CE175">
        <v>1.0250000000000001E-3</v>
      </c>
      <c r="CF175">
        <v>1.0250000000000001E-3</v>
      </c>
      <c r="CG175">
        <v>1.0250000000000001E-3</v>
      </c>
      <c r="CH175">
        <v>1.0250000000000001E-3</v>
      </c>
      <c r="CI175">
        <v>1.0250000000000001E-3</v>
      </c>
      <c r="CJ175">
        <v>1.0250000000000001E-3</v>
      </c>
      <c r="CK175">
        <v>1.0250000000000001E-3</v>
      </c>
      <c r="CL175">
        <v>1.0250000000000001E-3</v>
      </c>
      <c r="CM175">
        <v>1.0250000000000001E-3</v>
      </c>
      <c r="CN175">
        <v>1.0250000000000001E-3</v>
      </c>
      <c r="CO175">
        <v>1.0250000000000001E-3</v>
      </c>
      <c r="CP175">
        <v>1.0250000000000001E-3</v>
      </c>
      <c r="CQ175">
        <v>1.0250000000000001E-3</v>
      </c>
      <c r="CR175">
        <v>1.0250000000000001E-3</v>
      </c>
      <c r="CS175">
        <v>1.0250000000000001E-3</v>
      </c>
      <c r="CT175">
        <v>1.0250000000000001E-3</v>
      </c>
      <c r="CU175">
        <v>1.0250000000000001E-3</v>
      </c>
      <c r="CV175">
        <v>1.0250000000000001E-3</v>
      </c>
      <c r="CW175">
        <v>1.0250000000000001E-3</v>
      </c>
      <c r="CX175">
        <v>1.0250000000000001E-3</v>
      </c>
    </row>
    <row r="176" spans="1:102" x14ac:dyDescent="0.25">
      <c r="A176" t="s">
        <v>417</v>
      </c>
      <c r="B176" t="e">
        <v>#VALUE!</v>
      </c>
      <c r="C176" t="e">
        <v>#VALUE!</v>
      </c>
      <c r="D176" t="e">
        <v>#VALUE!</v>
      </c>
      <c r="E176" t="e">
        <v>#VALUE!</v>
      </c>
      <c r="F176" t="e">
        <v>#VALUE!</v>
      </c>
      <c r="G176" t="e">
        <v>#VALUE!</v>
      </c>
      <c r="H176" t="e">
        <v>#VALUE!</v>
      </c>
      <c r="I176" t="e">
        <v>#VALUE!</v>
      </c>
      <c r="J176" t="e">
        <v>#VALUE!</v>
      </c>
      <c r="K176" t="e">
        <v>#VALUE!</v>
      </c>
      <c r="L176" t="e">
        <v>#VALUE!</v>
      </c>
      <c r="M176" t="e">
        <v>#VALUE!</v>
      </c>
      <c r="N176" t="e">
        <v>#VALUE!</v>
      </c>
      <c r="O176" t="e">
        <v>#VALUE!</v>
      </c>
      <c r="P176" t="e">
        <v>#VALUE!</v>
      </c>
      <c r="Q176">
        <v>5.5000000000000002E-5</v>
      </c>
      <c r="R176">
        <v>5.5000000000000002E-5</v>
      </c>
      <c r="S176">
        <v>5.5000000000000002E-5</v>
      </c>
      <c r="T176">
        <v>5.5000000000000002E-5</v>
      </c>
      <c r="U176">
        <v>5.5000000000000002E-5</v>
      </c>
      <c r="V176">
        <v>5.5000000000000002E-5</v>
      </c>
      <c r="W176">
        <v>5.5000000000000002E-5</v>
      </c>
      <c r="X176">
        <v>5.5000000000000002E-5</v>
      </c>
      <c r="Y176">
        <v>5.5000000000000002E-5</v>
      </c>
      <c r="Z176">
        <v>5.5000000000000002E-5</v>
      </c>
      <c r="AA176">
        <v>5.5000000000000002E-5</v>
      </c>
      <c r="AB176">
        <v>5.5000000000000002E-5</v>
      </c>
      <c r="AC176">
        <v>5.5000000000000002E-5</v>
      </c>
      <c r="AD176">
        <v>5.5000000000000002E-5</v>
      </c>
      <c r="AE176">
        <v>5.5000000000000002E-5</v>
      </c>
      <c r="AF176">
        <v>5.5000000000000002E-5</v>
      </c>
      <c r="AG176">
        <v>5.5000000000000002E-5</v>
      </c>
      <c r="AH176">
        <v>5.5000000000000002E-5</v>
      </c>
      <c r="AI176">
        <v>5.5000000000000002E-5</v>
      </c>
      <c r="AJ176">
        <v>5.5000000000000002E-5</v>
      </c>
      <c r="AK176">
        <v>5.5000000000000002E-5</v>
      </c>
      <c r="AL176">
        <v>5.5000000000000002E-5</v>
      </c>
      <c r="AM176">
        <v>5.5000000000000002E-5</v>
      </c>
      <c r="AN176">
        <v>5.5000000000000002E-5</v>
      </c>
      <c r="AO176">
        <v>5.5000000000000002E-5</v>
      </c>
      <c r="AP176">
        <v>3.0299999999999999E-4</v>
      </c>
      <c r="AQ176">
        <v>3.0299999999999999E-4</v>
      </c>
      <c r="AR176">
        <v>3.0299999999999999E-4</v>
      </c>
      <c r="AS176">
        <v>3.0299999999999999E-4</v>
      </c>
      <c r="AT176">
        <v>3.0299999999999999E-4</v>
      </c>
      <c r="AU176">
        <v>4.2499999999999998E-4</v>
      </c>
      <c r="AV176">
        <v>4.2499999999999998E-4</v>
      </c>
      <c r="AW176">
        <v>4.2499999999999998E-4</v>
      </c>
      <c r="AX176">
        <v>4.2499999999999998E-4</v>
      </c>
      <c r="AY176">
        <v>4.2499999999999998E-4</v>
      </c>
      <c r="AZ176">
        <v>5.4100000000000003E-4</v>
      </c>
      <c r="BA176">
        <v>5.4100000000000003E-4</v>
      </c>
      <c r="BB176">
        <v>5.4100000000000003E-4</v>
      </c>
      <c r="BC176">
        <v>5.4100000000000003E-4</v>
      </c>
      <c r="BD176">
        <v>5.4100000000000003E-4</v>
      </c>
      <c r="BE176">
        <v>6.4400000000000004E-4</v>
      </c>
      <c r="BF176">
        <v>6.4400000000000004E-4</v>
      </c>
      <c r="BG176">
        <v>6.4400000000000004E-4</v>
      </c>
      <c r="BH176">
        <v>6.4400000000000004E-4</v>
      </c>
      <c r="BI176">
        <v>6.4400000000000004E-4</v>
      </c>
      <c r="BJ176">
        <v>6.96E-4</v>
      </c>
      <c r="BK176">
        <v>6.96E-4</v>
      </c>
      <c r="BL176">
        <v>6.96E-4</v>
      </c>
      <c r="BM176">
        <v>6.96E-4</v>
      </c>
      <c r="BN176">
        <v>6.96E-4</v>
      </c>
      <c r="BO176">
        <v>8.2399999999999997E-4</v>
      </c>
      <c r="BP176">
        <v>8.2399999999999997E-4</v>
      </c>
      <c r="BQ176">
        <v>8.2399999999999997E-4</v>
      </c>
      <c r="BR176">
        <v>8.2399999999999997E-4</v>
      </c>
      <c r="BS176">
        <v>8.2399999999999997E-4</v>
      </c>
      <c r="BT176">
        <v>1.008E-3</v>
      </c>
      <c r="BU176">
        <v>1.008E-3</v>
      </c>
      <c r="BV176">
        <v>1.008E-3</v>
      </c>
      <c r="BW176">
        <v>1.008E-3</v>
      </c>
      <c r="BX176">
        <v>1.008E-3</v>
      </c>
      <c r="BY176">
        <v>1.2639999999999999E-3</v>
      </c>
      <c r="BZ176">
        <v>1.2639999999999999E-3</v>
      </c>
      <c r="CA176">
        <v>1.2639999999999999E-3</v>
      </c>
      <c r="CB176">
        <v>1.2639999999999999E-3</v>
      </c>
      <c r="CC176">
        <v>1.2639999999999999E-3</v>
      </c>
      <c r="CD176">
        <v>1.2639999999999999E-3</v>
      </c>
      <c r="CE176">
        <v>1.2639999999999999E-3</v>
      </c>
      <c r="CF176">
        <v>1.2639999999999999E-3</v>
      </c>
      <c r="CG176">
        <v>1.2639999999999999E-3</v>
      </c>
      <c r="CH176">
        <v>1.2639999999999999E-3</v>
      </c>
      <c r="CI176">
        <v>1.2639999999999999E-3</v>
      </c>
      <c r="CJ176">
        <v>1.2639999999999999E-3</v>
      </c>
      <c r="CK176">
        <v>1.2639999999999999E-3</v>
      </c>
      <c r="CL176">
        <v>1.2639999999999999E-3</v>
      </c>
      <c r="CM176">
        <v>1.2639999999999999E-3</v>
      </c>
      <c r="CN176">
        <v>1.2639999999999999E-3</v>
      </c>
      <c r="CO176">
        <v>1.2639999999999999E-3</v>
      </c>
      <c r="CP176">
        <v>1.2639999999999999E-3</v>
      </c>
      <c r="CQ176">
        <v>1.2639999999999999E-3</v>
      </c>
      <c r="CR176">
        <v>1.2639999999999999E-3</v>
      </c>
      <c r="CS176">
        <v>1.2639999999999999E-3</v>
      </c>
      <c r="CT176">
        <v>1.2639999999999999E-3</v>
      </c>
      <c r="CU176">
        <v>1.2639999999999999E-3</v>
      </c>
      <c r="CV176">
        <v>1.2639999999999999E-3</v>
      </c>
      <c r="CW176">
        <v>1.2639999999999999E-3</v>
      </c>
      <c r="CX176">
        <v>1.2639999999999999E-3</v>
      </c>
    </row>
    <row r="177" spans="1:102" x14ac:dyDescent="0.25">
      <c r="A177" t="s">
        <v>419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7.2000000000000002E-5</v>
      </c>
      <c r="R177">
        <v>7.2000000000000002E-5</v>
      </c>
      <c r="S177">
        <v>7.2000000000000002E-5</v>
      </c>
      <c r="T177">
        <v>7.2000000000000002E-5</v>
      </c>
      <c r="U177">
        <v>7.2000000000000002E-5</v>
      </c>
      <c r="V177">
        <v>7.2000000000000002E-5</v>
      </c>
      <c r="W177">
        <v>7.2000000000000002E-5</v>
      </c>
      <c r="X177">
        <v>7.2000000000000002E-5</v>
      </c>
      <c r="Y177">
        <v>7.2000000000000002E-5</v>
      </c>
      <c r="Z177">
        <v>7.2000000000000002E-5</v>
      </c>
      <c r="AA177">
        <v>7.2000000000000002E-5</v>
      </c>
      <c r="AB177">
        <v>7.2000000000000002E-5</v>
      </c>
      <c r="AC177">
        <v>7.2000000000000002E-5</v>
      </c>
      <c r="AD177">
        <v>7.2000000000000002E-5</v>
      </c>
      <c r="AE177">
        <v>7.2000000000000002E-5</v>
      </c>
      <c r="AF177">
        <v>7.2000000000000002E-5</v>
      </c>
      <c r="AG177">
        <v>7.2000000000000002E-5</v>
      </c>
      <c r="AH177">
        <v>7.2000000000000002E-5</v>
      </c>
      <c r="AI177">
        <v>7.2000000000000002E-5</v>
      </c>
      <c r="AJ177">
        <v>7.2000000000000002E-5</v>
      </c>
      <c r="AK177">
        <v>7.2000000000000002E-5</v>
      </c>
      <c r="AL177">
        <v>7.2000000000000002E-5</v>
      </c>
      <c r="AM177">
        <v>7.2000000000000002E-5</v>
      </c>
      <c r="AN177">
        <v>7.2000000000000002E-5</v>
      </c>
      <c r="AO177">
        <v>7.2000000000000002E-5</v>
      </c>
      <c r="AP177">
        <v>1.9000000000000001E-4</v>
      </c>
      <c r="AQ177">
        <v>1.9000000000000001E-4</v>
      </c>
      <c r="AR177">
        <v>1.9000000000000001E-4</v>
      </c>
      <c r="AS177">
        <v>1.9000000000000001E-4</v>
      </c>
      <c r="AT177">
        <v>1.9000000000000001E-4</v>
      </c>
      <c r="AU177">
        <v>2.02E-4</v>
      </c>
      <c r="AV177">
        <v>2.02E-4</v>
      </c>
      <c r="AW177">
        <v>2.02E-4</v>
      </c>
      <c r="AX177">
        <v>2.02E-4</v>
      </c>
      <c r="AY177">
        <v>2.02E-4</v>
      </c>
      <c r="AZ177">
        <v>2.0100000000000001E-4</v>
      </c>
      <c r="BA177">
        <v>2.0100000000000001E-4</v>
      </c>
      <c r="BB177">
        <v>2.0100000000000001E-4</v>
      </c>
      <c r="BC177">
        <v>2.0100000000000001E-4</v>
      </c>
      <c r="BD177">
        <v>2.0100000000000001E-4</v>
      </c>
      <c r="BE177">
        <v>1.8200000000000001E-4</v>
      </c>
      <c r="BF177">
        <v>1.8200000000000001E-4</v>
      </c>
      <c r="BG177">
        <v>1.8200000000000001E-4</v>
      </c>
      <c r="BH177">
        <v>1.8200000000000001E-4</v>
      </c>
      <c r="BI177">
        <v>1.8200000000000001E-4</v>
      </c>
      <c r="BJ177">
        <v>1.6000000000000001E-4</v>
      </c>
      <c r="BK177">
        <v>1.6000000000000001E-4</v>
      </c>
      <c r="BL177">
        <v>1.6000000000000001E-4</v>
      </c>
      <c r="BM177">
        <v>1.6000000000000001E-4</v>
      </c>
      <c r="BN177">
        <v>1.6000000000000001E-4</v>
      </c>
      <c r="BO177">
        <v>1.5100000000000001E-4</v>
      </c>
      <c r="BP177">
        <v>1.5100000000000001E-4</v>
      </c>
      <c r="BQ177">
        <v>1.5100000000000001E-4</v>
      </c>
      <c r="BR177">
        <v>1.5100000000000001E-4</v>
      </c>
      <c r="BS177">
        <v>1.5100000000000001E-4</v>
      </c>
      <c r="BT177">
        <v>1.45E-4</v>
      </c>
      <c r="BU177">
        <v>1.45E-4</v>
      </c>
      <c r="BV177">
        <v>1.45E-4</v>
      </c>
      <c r="BW177">
        <v>1.45E-4</v>
      </c>
      <c r="BX177">
        <v>1.45E-4</v>
      </c>
      <c r="BY177">
        <v>1.5300000000000001E-4</v>
      </c>
      <c r="BZ177">
        <v>1.5300000000000001E-4</v>
      </c>
      <c r="CA177">
        <v>1.5300000000000001E-4</v>
      </c>
      <c r="CB177">
        <v>1.5300000000000001E-4</v>
      </c>
      <c r="CC177">
        <v>1.5300000000000001E-4</v>
      </c>
      <c r="CD177">
        <v>1.5300000000000001E-4</v>
      </c>
      <c r="CE177">
        <v>1.5300000000000001E-4</v>
      </c>
      <c r="CF177">
        <v>1.5300000000000001E-4</v>
      </c>
      <c r="CG177">
        <v>1.5300000000000001E-4</v>
      </c>
      <c r="CH177">
        <v>1.5300000000000001E-4</v>
      </c>
      <c r="CI177">
        <v>1.5300000000000001E-4</v>
      </c>
      <c r="CJ177">
        <v>1.5300000000000001E-4</v>
      </c>
      <c r="CK177">
        <v>1.5300000000000001E-4</v>
      </c>
      <c r="CL177">
        <v>1.5300000000000001E-4</v>
      </c>
      <c r="CM177">
        <v>1.5300000000000001E-4</v>
      </c>
      <c r="CN177">
        <v>1.5300000000000001E-4</v>
      </c>
      <c r="CO177">
        <v>1.5300000000000001E-4</v>
      </c>
      <c r="CP177">
        <v>1.5300000000000001E-4</v>
      </c>
      <c r="CQ177">
        <v>1.5300000000000001E-4</v>
      </c>
      <c r="CR177">
        <v>1.5300000000000001E-4</v>
      </c>
      <c r="CS177">
        <v>1.5300000000000001E-4</v>
      </c>
      <c r="CT177">
        <v>1.5300000000000001E-4</v>
      </c>
      <c r="CU177">
        <v>1.5300000000000001E-4</v>
      </c>
      <c r="CV177">
        <v>1.5300000000000001E-4</v>
      </c>
      <c r="CW177">
        <v>1.5300000000000001E-4</v>
      </c>
      <c r="CX177">
        <v>1.5300000000000001E-4</v>
      </c>
    </row>
    <row r="178" spans="1:102" x14ac:dyDescent="0.25">
      <c r="A178" t="s">
        <v>421</v>
      </c>
      <c r="B178" t="e">
        <v>#VALUE!</v>
      </c>
      <c r="C178" t="e">
        <v>#VALUE!</v>
      </c>
      <c r="D178" t="e">
        <v>#VALUE!</v>
      </c>
      <c r="E178" t="e">
        <v>#VALUE!</v>
      </c>
      <c r="F178" t="e">
        <v>#VALUE!</v>
      </c>
      <c r="G178" t="e">
        <v>#VALUE!</v>
      </c>
      <c r="H178" t="e">
        <v>#VALUE!</v>
      </c>
      <c r="I178" t="e">
        <v>#VALUE!</v>
      </c>
      <c r="J178" t="e">
        <v>#VALUE!</v>
      </c>
      <c r="K178" t="e">
        <v>#VALUE!</v>
      </c>
      <c r="L178" t="e">
        <v>#VALUE!</v>
      </c>
      <c r="M178" t="e">
        <v>#VALUE!</v>
      </c>
      <c r="N178" t="e">
        <v>#VALUE!</v>
      </c>
      <c r="O178" t="e">
        <v>#VALUE!</v>
      </c>
      <c r="P178" t="e">
        <v>#VALUE!</v>
      </c>
      <c r="Q178">
        <v>1.18E-4</v>
      </c>
      <c r="R178">
        <v>1.18E-4</v>
      </c>
      <c r="S178">
        <v>1.18E-4</v>
      </c>
      <c r="T178">
        <v>1.18E-4</v>
      </c>
      <c r="U178">
        <v>1.18E-4</v>
      </c>
      <c r="V178">
        <v>1.18E-4</v>
      </c>
      <c r="W178">
        <v>1.18E-4</v>
      </c>
      <c r="X178">
        <v>1.18E-4</v>
      </c>
      <c r="Y178">
        <v>1.18E-4</v>
      </c>
      <c r="Z178">
        <v>1.18E-4</v>
      </c>
      <c r="AA178">
        <v>1.18E-4</v>
      </c>
      <c r="AB178">
        <v>1.18E-4</v>
      </c>
      <c r="AC178">
        <v>1.18E-4</v>
      </c>
      <c r="AD178">
        <v>1.18E-4</v>
      </c>
      <c r="AE178">
        <v>1.18E-4</v>
      </c>
      <c r="AF178">
        <v>1.18E-4</v>
      </c>
      <c r="AG178">
        <v>1.18E-4</v>
      </c>
      <c r="AH178">
        <v>1.18E-4</v>
      </c>
      <c r="AI178">
        <v>1.18E-4</v>
      </c>
      <c r="AJ178">
        <v>1.18E-4</v>
      </c>
      <c r="AK178">
        <v>1.18E-4</v>
      </c>
      <c r="AL178">
        <v>1.18E-4</v>
      </c>
      <c r="AM178">
        <v>1.18E-4</v>
      </c>
      <c r="AN178">
        <v>1.18E-4</v>
      </c>
      <c r="AO178">
        <v>1.18E-4</v>
      </c>
      <c r="AP178">
        <v>4.46E-4</v>
      </c>
      <c r="AQ178">
        <v>4.46E-4</v>
      </c>
      <c r="AR178">
        <v>4.46E-4</v>
      </c>
      <c r="AS178">
        <v>4.46E-4</v>
      </c>
      <c r="AT178">
        <v>4.46E-4</v>
      </c>
      <c r="AU178">
        <v>4.8799999999999999E-4</v>
      </c>
      <c r="AV178">
        <v>4.8799999999999999E-4</v>
      </c>
      <c r="AW178">
        <v>4.8799999999999999E-4</v>
      </c>
      <c r="AX178">
        <v>4.8799999999999999E-4</v>
      </c>
      <c r="AY178">
        <v>4.8799999999999999E-4</v>
      </c>
      <c r="AZ178">
        <v>5.0299999999999997E-4</v>
      </c>
      <c r="BA178">
        <v>5.0299999999999997E-4</v>
      </c>
      <c r="BB178">
        <v>5.0299999999999997E-4</v>
      </c>
      <c r="BC178">
        <v>5.0299999999999997E-4</v>
      </c>
      <c r="BD178">
        <v>5.0299999999999997E-4</v>
      </c>
      <c r="BE178">
        <v>5.6700000000000001E-4</v>
      </c>
      <c r="BF178">
        <v>5.6700000000000001E-4</v>
      </c>
      <c r="BG178">
        <v>5.6700000000000001E-4</v>
      </c>
      <c r="BH178">
        <v>5.6700000000000001E-4</v>
      </c>
      <c r="BI178">
        <v>5.6700000000000001E-4</v>
      </c>
      <c r="BJ178">
        <v>6.6100000000000002E-4</v>
      </c>
      <c r="BK178">
        <v>6.6100000000000002E-4</v>
      </c>
      <c r="BL178">
        <v>6.6100000000000002E-4</v>
      </c>
      <c r="BM178">
        <v>6.6100000000000002E-4</v>
      </c>
      <c r="BN178">
        <v>6.6100000000000002E-4</v>
      </c>
      <c r="BO178">
        <v>8.3100000000000003E-4</v>
      </c>
      <c r="BP178">
        <v>8.3100000000000003E-4</v>
      </c>
      <c r="BQ178">
        <v>8.3100000000000003E-4</v>
      </c>
      <c r="BR178">
        <v>8.3100000000000003E-4</v>
      </c>
      <c r="BS178">
        <v>8.3100000000000003E-4</v>
      </c>
      <c r="BT178">
        <v>1.003E-3</v>
      </c>
      <c r="BU178">
        <v>1.003E-3</v>
      </c>
      <c r="BV178">
        <v>1.003E-3</v>
      </c>
      <c r="BW178">
        <v>1.003E-3</v>
      </c>
      <c r="BX178">
        <v>1.003E-3</v>
      </c>
      <c r="BY178">
        <v>1.292E-3</v>
      </c>
      <c r="BZ178">
        <v>1.292E-3</v>
      </c>
      <c r="CA178">
        <v>1.292E-3</v>
      </c>
      <c r="CB178">
        <v>1.292E-3</v>
      </c>
      <c r="CC178">
        <v>1.292E-3</v>
      </c>
      <c r="CD178">
        <v>1.292E-3</v>
      </c>
      <c r="CE178">
        <v>1.292E-3</v>
      </c>
      <c r="CF178">
        <v>1.292E-3</v>
      </c>
      <c r="CG178">
        <v>1.292E-3</v>
      </c>
      <c r="CH178">
        <v>1.292E-3</v>
      </c>
      <c r="CI178">
        <v>1.292E-3</v>
      </c>
      <c r="CJ178">
        <v>1.292E-3</v>
      </c>
      <c r="CK178">
        <v>1.292E-3</v>
      </c>
      <c r="CL178">
        <v>1.292E-3</v>
      </c>
      <c r="CM178">
        <v>1.292E-3</v>
      </c>
      <c r="CN178">
        <v>1.292E-3</v>
      </c>
      <c r="CO178">
        <v>1.292E-3</v>
      </c>
      <c r="CP178">
        <v>1.292E-3</v>
      </c>
      <c r="CQ178">
        <v>1.292E-3</v>
      </c>
      <c r="CR178">
        <v>1.292E-3</v>
      </c>
      <c r="CS178">
        <v>1.292E-3</v>
      </c>
      <c r="CT178">
        <v>1.292E-3</v>
      </c>
      <c r="CU178">
        <v>1.292E-3</v>
      </c>
      <c r="CV178">
        <v>1.292E-3</v>
      </c>
      <c r="CW178">
        <v>1.292E-3</v>
      </c>
      <c r="CX178">
        <v>1.292E-3</v>
      </c>
    </row>
    <row r="179" spans="1:102" x14ac:dyDescent="0.25">
      <c r="A179" t="s">
        <v>423</v>
      </c>
      <c r="B179" t="e">
        <v>#VALUE!</v>
      </c>
      <c r="C179" t="e">
        <v>#VALUE!</v>
      </c>
      <c r="D179" t="e">
        <v>#VALUE!</v>
      </c>
      <c r="E179" t="e">
        <v>#VALUE!</v>
      </c>
      <c r="F179" t="e">
        <v>#VALUE!</v>
      </c>
      <c r="G179" t="e">
        <v>#VALUE!</v>
      </c>
      <c r="H179" t="e">
        <v>#VALUE!</v>
      </c>
      <c r="I179" t="e">
        <v>#VALUE!</v>
      </c>
      <c r="J179" t="e">
        <v>#VALUE!</v>
      </c>
      <c r="K179" t="e">
        <v>#VALUE!</v>
      </c>
      <c r="L179" t="e">
        <v>#VALUE!</v>
      </c>
      <c r="M179" t="e">
        <v>#VALUE!</v>
      </c>
      <c r="N179" t="e">
        <v>#VALUE!</v>
      </c>
      <c r="O179" t="e">
        <v>#VALUE!</v>
      </c>
      <c r="P179" t="e">
        <v>#VALUE!</v>
      </c>
      <c r="Q179">
        <v>1.0000000000000001E-5</v>
      </c>
      <c r="R179">
        <v>1.0000000000000001E-5</v>
      </c>
      <c r="S179">
        <v>1.0000000000000001E-5</v>
      </c>
      <c r="T179">
        <v>1.0000000000000001E-5</v>
      </c>
      <c r="U179">
        <v>1.0000000000000001E-5</v>
      </c>
      <c r="V179">
        <v>1.0000000000000001E-5</v>
      </c>
      <c r="W179">
        <v>1.0000000000000001E-5</v>
      </c>
      <c r="X179">
        <v>1.0000000000000001E-5</v>
      </c>
      <c r="Y179">
        <v>1.0000000000000001E-5</v>
      </c>
      <c r="Z179">
        <v>1.0000000000000001E-5</v>
      </c>
      <c r="AA179">
        <v>1.0000000000000001E-5</v>
      </c>
      <c r="AB179">
        <v>1.0000000000000001E-5</v>
      </c>
      <c r="AC179">
        <v>1.0000000000000001E-5</v>
      </c>
      <c r="AD179">
        <v>1.0000000000000001E-5</v>
      </c>
      <c r="AE179">
        <v>1.0000000000000001E-5</v>
      </c>
      <c r="AF179">
        <v>1.0000000000000001E-5</v>
      </c>
      <c r="AG179">
        <v>1.0000000000000001E-5</v>
      </c>
      <c r="AH179">
        <v>1.0000000000000001E-5</v>
      </c>
      <c r="AI179">
        <v>1.0000000000000001E-5</v>
      </c>
      <c r="AJ179">
        <v>1.0000000000000001E-5</v>
      </c>
      <c r="AK179">
        <v>1.0000000000000001E-5</v>
      </c>
      <c r="AL179">
        <v>1.0000000000000001E-5</v>
      </c>
      <c r="AM179">
        <v>1.0000000000000001E-5</v>
      </c>
      <c r="AN179">
        <v>1.0000000000000001E-5</v>
      </c>
      <c r="AO179">
        <v>1.0000000000000001E-5</v>
      </c>
      <c r="AP179">
        <v>5.8999999999999998E-5</v>
      </c>
      <c r="AQ179">
        <v>5.8999999999999998E-5</v>
      </c>
      <c r="AR179">
        <v>5.8999999999999998E-5</v>
      </c>
      <c r="AS179">
        <v>5.8999999999999998E-5</v>
      </c>
      <c r="AT179">
        <v>5.8999999999999998E-5</v>
      </c>
      <c r="AU179">
        <v>9.6000000000000002E-5</v>
      </c>
      <c r="AV179">
        <v>9.6000000000000002E-5</v>
      </c>
      <c r="AW179">
        <v>9.6000000000000002E-5</v>
      </c>
      <c r="AX179">
        <v>9.6000000000000002E-5</v>
      </c>
      <c r="AY179">
        <v>9.6000000000000002E-5</v>
      </c>
      <c r="AZ179">
        <v>1.3999999999999999E-4</v>
      </c>
      <c r="BA179">
        <v>1.3999999999999999E-4</v>
      </c>
      <c r="BB179">
        <v>1.3999999999999999E-4</v>
      </c>
      <c r="BC179">
        <v>1.3999999999999999E-4</v>
      </c>
      <c r="BD179">
        <v>1.3999999999999999E-4</v>
      </c>
      <c r="BE179">
        <v>1.7699999999999999E-4</v>
      </c>
      <c r="BF179">
        <v>1.7699999999999999E-4</v>
      </c>
      <c r="BG179">
        <v>1.7699999999999999E-4</v>
      </c>
      <c r="BH179">
        <v>1.7699999999999999E-4</v>
      </c>
      <c r="BI179">
        <v>1.7699999999999999E-4</v>
      </c>
      <c r="BJ179">
        <v>2.03E-4</v>
      </c>
      <c r="BK179">
        <v>2.03E-4</v>
      </c>
      <c r="BL179">
        <v>2.03E-4</v>
      </c>
      <c r="BM179">
        <v>2.03E-4</v>
      </c>
      <c r="BN179">
        <v>2.03E-4</v>
      </c>
      <c r="BO179">
        <v>2.0599999999999999E-4</v>
      </c>
      <c r="BP179">
        <v>2.0599999999999999E-4</v>
      </c>
      <c r="BQ179">
        <v>2.0599999999999999E-4</v>
      </c>
      <c r="BR179">
        <v>2.0599999999999999E-4</v>
      </c>
      <c r="BS179">
        <v>2.0599999999999999E-4</v>
      </c>
      <c r="BT179">
        <v>1.8000000000000001E-4</v>
      </c>
      <c r="BU179">
        <v>1.8000000000000001E-4</v>
      </c>
      <c r="BV179">
        <v>1.8000000000000001E-4</v>
      </c>
      <c r="BW179">
        <v>1.8000000000000001E-4</v>
      </c>
      <c r="BX179">
        <v>1.8000000000000001E-4</v>
      </c>
      <c r="BY179">
        <v>1.2999999999999999E-4</v>
      </c>
      <c r="BZ179">
        <v>1.2999999999999999E-4</v>
      </c>
      <c r="CA179">
        <v>1.2999999999999999E-4</v>
      </c>
      <c r="CB179">
        <v>1.2999999999999999E-4</v>
      </c>
      <c r="CC179">
        <v>1.2999999999999999E-4</v>
      </c>
      <c r="CD179">
        <v>1.2999999999999999E-4</v>
      </c>
      <c r="CE179">
        <v>1.2999999999999999E-4</v>
      </c>
      <c r="CF179">
        <v>1.2999999999999999E-4</v>
      </c>
      <c r="CG179">
        <v>1.2999999999999999E-4</v>
      </c>
      <c r="CH179">
        <v>1.2999999999999999E-4</v>
      </c>
      <c r="CI179">
        <v>1.2999999999999999E-4</v>
      </c>
      <c r="CJ179">
        <v>1.2999999999999999E-4</v>
      </c>
      <c r="CK179">
        <v>1.2999999999999999E-4</v>
      </c>
      <c r="CL179">
        <v>1.2999999999999999E-4</v>
      </c>
      <c r="CM179">
        <v>1.2999999999999999E-4</v>
      </c>
      <c r="CN179">
        <v>1.2999999999999999E-4</v>
      </c>
      <c r="CO179">
        <v>1.2999999999999999E-4</v>
      </c>
      <c r="CP179">
        <v>1.2999999999999999E-4</v>
      </c>
      <c r="CQ179">
        <v>1.2999999999999999E-4</v>
      </c>
      <c r="CR179">
        <v>1.2999999999999999E-4</v>
      </c>
      <c r="CS179">
        <v>1.2999999999999999E-4</v>
      </c>
      <c r="CT179">
        <v>1.2999999999999999E-4</v>
      </c>
      <c r="CU179">
        <v>1.2999999999999999E-4</v>
      </c>
      <c r="CV179">
        <v>1.2999999999999999E-4</v>
      </c>
      <c r="CW179">
        <v>1.2999999999999999E-4</v>
      </c>
      <c r="CX179">
        <v>1.2999999999999999E-4</v>
      </c>
    </row>
    <row r="180" spans="1:102" x14ac:dyDescent="0.25">
      <c r="A180" t="s">
        <v>425</v>
      </c>
      <c r="B180" t="e">
        <v>#VALUE!</v>
      </c>
      <c r="C180" t="e">
        <v>#VALUE!</v>
      </c>
      <c r="D180" t="e">
        <v>#VALUE!</v>
      </c>
      <c r="E180" t="e">
        <v>#VALUE!</v>
      </c>
      <c r="F180" t="e">
        <v>#VALUE!</v>
      </c>
      <c r="G180" t="e">
        <v>#VALUE!</v>
      </c>
      <c r="H180" t="e">
        <v>#VALUE!</v>
      </c>
      <c r="I180" t="e">
        <v>#VALUE!</v>
      </c>
      <c r="J180" t="e">
        <v>#VALUE!</v>
      </c>
      <c r="K180" t="e">
        <v>#VALUE!</v>
      </c>
      <c r="L180" t="e">
        <v>#VALUE!</v>
      </c>
      <c r="M180" t="e">
        <v>#VALUE!</v>
      </c>
      <c r="N180" t="e">
        <v>#VALUE!</v>
      </c>
      <c r="O180" t="e">
        <v>#VALUE!</v>
      </c>
      <c r="P180" t="e">
        <v>#VALUE!</v>
      </c>
      <c r="Q180">
        <v>2.0999999999999999E-5</v>
      </c>
      <c r="R180">
        <v>2.0999999999999999E-5</v>
      </c>
      <c r="S180">
        <v>2.0999999999999999E-5</v>
      </c>
      <c r="T180">
        <v>2.0999999999999999E-5</v>
      </c>
      <c r="U180">
        <v>2.0999999999999999E-5</v>
      </c>
      <c r="V180">
        <v>2.0999999999999999E-5</v>
      </c>
      <c r="W180">
        <v>2.0999999999999999E-5</v>
      </c>
      <c r="X180">
        <v>2.0999999999999999E-5</v>
      </c>
      <c r="Y180">
        <v>2.0999999999999999E-5</v>
      </c>
      <c r="Z180">
        <v>2.0999999999999999E-5</v>
      </c>
      <c r="AA180">
        <v>2.0999999999999999E-5</v>
      </c>
      <c r="AB180">
        <v>2.0999999999999999E-5</v>
      </c>
      <c r="AC180">
        <v>2.0999999999999999E-5</v>
      </c>
      <c r="AD180">
        <v>2.0999999999999999E-5</v>
      </c>
      <c r="AE180">
        <v>2.0999999999999999E-5</v>
      </c>
      <c r="AF180">
        <v>2.0999999999999999E-5</v>
      </c>
      <c r="AG180">
        <v>2.0999999999999999E-5</v>
      </c>
      <c r="AH180">
        <v>2.0999999999999999E-5</v>
      </c>
      <c r="AI180">
        <v>2.0999999999999999E-5</v>
      </c>
      <c r="AJ180">
        <v>2.0999999999999999E-5</v>
      </c>
      <c r="AK180">
        <v>2.0999999999999999E-5</v>
      </c>
      <c r="AL180">
        <v>2.0999999999999999E-5</v>
      </c>
      <c r="AM180">
        <v>2.0999999999999999E-5</v>
      </c>
      <c r="AN180">
        <v>2.0999999999999999E-5</v>
      </c>
      <c r="AO180">
        <v>2.0999999999999999E-5</v>
      </c>
      <c r="AP180">
        <v>8.3999999999999995E-5</v>
      </c>
      <c r="AQ180">
        <v>8.3999999999999995E-5</v>
      </c>
      <c r="AR180">
        <v>8.3999999999999995E-5</v>
      </c>
      <c r="AS180">
        <v>8.3999999999999995E-5</v>
      </c>
      <c r="AT180">
        <v>8.3999999999999995E-5</v>
      </c>
      <c r="AU180">
        <v>1.05E-4</v>
      </c>
      <c r="AV180">
        <v>1.05E-4</v>
      </c>
      <c r="AW180">
        <v>1.05E-4</v>
      </c>
      <c r="AX180">
        <v>1.05E-4</v>
      </c>
      <c r="AY180">
        <v>1.05E-4</v>
      </c>
      <c r="AZ180">
        <v>1.17E-4</v>
      </c>
      <c r="BA180">
        <v>1.17E-4</v>
      </c>
      <c r="BB180">
        <v>1.17E-4</v>
      </c>
      <c r="BC180">
        <v>1.17E-4</v>
      </c>
      <c r="BD180">
        <v>1.17E-4</v>
      </c>
      <c r="BE180">
        <v>1.2E-4</v>
      </c>
      <c r="BF180">
        <v>1.2E-4</v>
      </c>
      <c r="BG180">
        <v>1.2E-4</v>
      </c>
      <c r="BH180">
        <v>1.2E-4</v>
      </c>
      <c r="BI180">
        <v>1.2E-4</v>
      </c>
      <c r="BJ180">
        <v>1.22E-4</v>
      </c>
      <c r="BK180">
        <v>1.22E-4</v>
      </c>
      <c r="BL180">
        <v>1.22E-4</v>
      </c>
      <c r="BM180">
        <v>1.22E-4</v>
      </c>
      <c r="BN180">
        <v>1.22E-4</v>
      </c>
      <c r="BO180">
        <v>1.25E-4</v>
      </c>
      <c r="BP180">
        <v>1.25E-4</v>
      </c>
      <c r="BQ180">
        <v>1.25E-4</v>
      </c>
      <c r="BR180">
        <v>1.25E-4</v>
      </c>
      <c r="BS180">
        <v>1.25E-4</v>
      </c>
      <c r="BT180">
        <v>1.2400000000000001E-4</v>
      </c>
      <c r="BU180">
        <v>1.2400000000000001E-4</v>
      </c>
      <c r="BV180">
        <v>1.2400000000000001E-4</v>
      </c>
      <c r="BW180">
        <v>1.2400000000000001E-4</v>
      </c>
      <c r="BX180">
        <v>1.2400000000000001E-4</v>
      </c>
      <c r="BY180">
        <v>1.1900000000000001E-4</v>
      </c>
      <c r="BZ180">
        <v>1.1900000000000001E-4</v>
      </c>
      <c r="CA180">
        <v>1.1900000000000001E-4</v>
      </c>
      <c r="CB180">
        <v>1.1900000000000001E-4</v>
      </c>
      <c r="CC180">
        <v>1.1900000000000001E-4</v>
      </c>
      <c r="CD180">
        <v>1.1900000000000001E-4</v>
      </c>
      <c r="CE180">
        <v>1.1900000000000001E-4</v>
      </c>
      <c r="CF180">
        <v>1.1900000000000001E-4</v>
      </c>
      <c r="CG180">
        <v>1.1900000000000001E-4</v>
      </c>
      <c r="CH180">
        <v>1.1900000000000001E-4</v>
      </c>
      <c r="CI180">
        <v>1.1900000000000001E-4</v>
      </c>
      <c r="CJ180">
        <v>1.1900000000000001E-4</v>
      </c>
      <c r="CK180">
        <v>1.1900000000000001E-4</v>
      </c>
      <c r="CL180">
        <v>1.1900000000000001E-4</v>
      </c>
      <c r="CM180">
        <v>1.1900000000000001E-4</v>
      </c>
      <c r="CN180">
        <v>1.1900000000000001E-4</v>
      </c>
      <c r="CO180">
        <v>1.1900000000000001E-4</v>
      </c>
      <c r="CP180">
        <v>1.1900000000000001E-4</v>
      </c>
      <c r="CQ180">
        <v>1.1900000000000001E-4</v>
      </c>
      <c r="CR180">
        <v>1.1900000000000001E-4</v>
      </c>
      <c r="CS180">
        <v>1.1900000000000001E-4</v>
      </c>
      <c r="CT180">
        <v>1.1900000000000001E-4</v>
      </c>
      <c r="CU180">
        <v>1.1900000000000001E-4</v>
      </c>
      <c r="CV180">
        <v>1.1900000000000001E-4</v>
      </c>
      <c r="CW180">
        <v>1.1900000000000001E-4</v>
      </c>
      <c r="CX180">
        <v>1.1900000000000001E-4</v>
      </c>
    </row>
    <row r="181" spans="1:102" x14ac:dyDescent="0.25">
      <c r="A181" t="s">
        <v>427</v>
      </c>
      <c r="B181" t="e">
        <v>#VALUE!</v>
      </c>
      <c r="C181" t="e">
        <v>#VALUE!</v>
      </c>
      <c r="D181" t="e">
        <v>#VALUE!</v>
      </c>
      <c r="E181" t="e">
        <v>#VALUE!</v>
      </c>
      <c r="F181" t="e">
        <v>#VALUE!</v>
      </c>
      <c r="G181" t="e">
        <v>#VALUE!</v>
      </c>
      <c r="H181" t="e">
        <v>#VALUE!</v>
      </c>
      <c r="I181" t="e">
        <v>#VALUE!</v>
      </c>
      <c r="J181" t="e">
        <v>#VALUE!</v>
      </c>
      <c r="K181" t="e">
        <v>#VALUE!</v>
      </c>
      <c r="L181" t="e">
        <v>#VALUE!</v>
      </c>
      <c r="M181" t="e">
        <v>#VALUE!</v>
      </c>
      <c r="N181" t="e">
        <v>#VALUE!</v>
      </c>
      <c r="O181" t="e">
        <v>#VALUE!</v>
      </c>
      <c r="P181" t="e">
        <v>#VALUE!</v>
      </c>
      <c r="Q181">
        <v>8.5000000000000006E-5</v>
      </c>
      <c r="R181">
        <v>8.5000000000000006E-5</v>
      </c>
      <c r="S181">
        <v>8.5000000000000006E-5</v>
      </c>
      <c r="T181">
        <v>8.5000000000000006E-5</v>
      </c>
      <c r="U181">
        <v>8.5000000000000006E-5</v>
      </c>
      <c r="V181">
        <v>8.5000000000000006E-5</v>
      </c>
      <c r="W181">
        <v>8.5000000000000006E-5</v>
      </c>
      <c r="X181">
        <v>8.5000000000000006E-5</v>
      </c>
      <c r="Y181">
        <v>8.5000000000000006E-5</v>
      </c>
      <c r="Z181">
        <v>8.5000000000000006E-5</v>
      </c>
      <c r="AA181">
        <v>8.5000000000000006E-5</v>
      </c>
      <c r="AB181">
        <v>8.5000000000000006E-5</v>
      </c>
      <c r="AC181">
        <v>8.5000000000000006E-5</v>
      </c>
      <c r="AD181">
        <v>8.5000000000000006E-5</v>
      </c>
      <c r="AE181">
        <v>8.5000000000000006E-5</v>
      </c>
      <c r="AF181">
        <v>8.5000000000000006E-5</v>
      </c>
      <c r="AG181">
        <v>8.5000000000000006E-5</v>
      </c>
      <c r="AH181">
        <v>8.5000000000000006E-5</v>
      </c>
      <c r="AI181">
        <v>8.5000000000000006E-5</v>
      </c>
      <c r="AJ181">
        <v>8.5000000000000006E-5</v>
      </c>
      <c r="AK181">
        <v>8.5000000000000006E-5</v>
      </c>
      <c r="AL181">
        <v>8.5000000000000006E-5</v>
      </c>
      <c r="AM181">
        <v>8.5000000000000006E-5</v>
      </c>
      <c r="AN181">
        <v>8.5000000000000006E-5</v>
      </c>
      <c r="AO181">
        <v>8.5000000000000006E-5</v>
      </c>
      <c r="AP181">
        <v>2.4800000000000001E-4</v>
      </c>
      <c r="AQ181">
        <v>2.4800000000000001E-4</v>
      </c>
      <c r="AR181">
        <v>2.4800000000000001E-4</v>
      </c>
      <c r="AS181">
        <v>2.4800000000000001E-4</v>
      </c>
      <c r="AT181">
        <v>2.4800000000000001E-4</v>
      </c>
      <c r="AU181">
        <v>2.9799999999999998E-4</v>
      </c>
      <c r="AV181">
        <v>2.9799999999999998E-4</v>
      </c>
      <c r="AW181">
        <v>2.9799999999999998E-4</v>
      </c>
      <c r="AX181">
        <v>2.9799999999999998E-4</v>
      </c>
      <c r="AY181">
        <v>2.9799999999999998E-4</v>
      </c>
      <c r="AZ181">
        <v>3.2499999999999999E-4</v>
      </c>
      <c r="BA181">
        <v>3.2499999999999999E-4</v>
      </c>
      <c r="BB181">
        <v>3.2499999999999999E-4</v>
      </c>
      <c r="BC181">
        <v>3.2499999999999999E-4</v>
      </c>
      <c r="BD181">
        <v>3.2499999999999999E-4</v>
      </c>
      <c r="BE181">
        <v>3.4099999999999999E-4</v>
      </c>
      <c r="BF181">
        <v>3.4099999999999999E-4</v>
      </c>
      <c r="BG181">
        <v>3.4099999999999999E-4</v>
      </c>
      <c r="BH181">
        <v>3.4099999999999999E-4</v>
      </c>
      <c r="BI181">
        <v>3.4099999999999999E-4</v>
      </c>
      <c r="BJ181">
        <v>3.4600000000000001E-4</v>
      </c>
      <c r="BK181">
        <v>3.4600000000000001E-4</v>
      </c>
      <c r="BL181">
        <v>3.4600000000000001E-4</v>
      </c>
      <c r="BM181">
        <v>3.4600000000000001E-4</v>
      </c>
      <c r="BN181">
        <v>3.4600000000000001E-4</v>
      </c>
      <c r="BO181">
        <v>3.3799999999999998E-4</v>
      </c>
      <c r="BP181">
        <v>3.3799999999999998E-4</v>
      </c>
      <c r="BQ181">
        <v>3.3799999999999998E-4</v>
      </c>
      <c r="BR181">
        <v>3.3799999999999998E-4</v>
      </c>
      <c r="BS181">
        <v>3.3799999999999998E-4</v>
      </c>
      <c r="BT181">
        <v>3.2200000000000002E-4</v>
      </c>
      <c r="BU181">
        <v>3.2200000000000002E-4</v>
      </c>
      <c r="BV181">
        <v>3.2200000000000002E-4</v>
      </c>
      <c r="BW181">
        <v>3.2200000000000002E-4</v>
      </c>
      <c r="BX181">
        <v>3.2200000000000002E-4</v>
      </c>
      <c r="BY181">
        <v>3.2299999999999999E-4</v>
      </c>
      <c r="BZ181">
        <v>3.2299999999999999E-4</v>
      </c>
      <c r="CA181">
        <v>3.2299999999999999E-4</v>
      </c>
      <c r="CB181">
        <v>3.2299999999999999E-4</v>
      </c>
      <c r="CC181">
        <v>3.2299999999999999E-4</v>
      </c>
      <c r="CD181">
        <v>3.2299999999999999E-4</v>
      </c>
      <c r="CE181">
        <v>3.2299999999999999E-4</v>
      </c>
      <c r="CF181">
        <v>3.2299999999999999E-4</v>
      </c>
      <c r="CG181">
        <v>3.2299999999999999E-4</v>
      </c>
      <c r="CH181">
        <v>3.2299999999999999E-4</v>
      </c>
      <c r="CI181">
        <v>3.2299999999999999E-4</v>
      </c>
      <c r="CJ181">
        <v>3.2299999999999999E-4</v>
      </c>
      <c r="CK181">
        <v>3.2299999999999999E-4</v>
      </c>
      <c r="CL181">
        <v>3.2299999999999999E-4</v>
      </c>
      <c r="CM181">
        <v>3.2299999999999999E-4</v>
      </c>
      <c r="CN181">
        <v>3.2299999999999999E-4</v>
      </c>
      <c r="CO181">
        <v>3.2299999999999999E-4</v>
      </c>
      <c r="CP181">
        <v>3.2299999999999999E-4</v>
      </c>
      <c r="CQ181">
        <v>3.2299999999999999E-4</v>
      </c>
      <c r="CR181">
        <v>3.2299999999999999E-4</v>
      </c>
      <c r="CS181">
        <v>3.2299999999999999E-4</v>
      </c>
      <c r="CT181">
        <v>3.2299999999999999E-4</v>
      </c>
      <c r="CU181">
        <v>3.2299999999999999E-4</v>
      </c>
      <c r="CV181">
        <v>3.2299999999999999E-4</v>
      </c>
      <c r="CW181">
        <v>3.2299999999999999E-4</v>
      </c>
      <c r="CX181">
        <v>3.2299999999999999E-4</v>
      </c>
    </row>
    <row r="182" spans="1:102" x14ac:dyDescent="0.25">
      <c r="A182" t="s">
        <v>429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7.2000000000000002E-5</v>
      </c>
      <c r="R182">
        <v>7.2000000000000002E-5</v>
      </c>
      <c r="S182">
        <v>7.2000000000000002E-5</v>
      </c>
      <c r="T182">
        <v>7.2000000000000002E-5</v>
      </c>
      <c r="U182">
        <v>7.2000000000000002E-5</v>
      </c>
      <c r="V182">
        <v>7.2000000000000002E-5</v>
      </c>
      <c r="W182">
        <v>7.2000000000000002E-5</v>
      </c>
      <c r="X182">
        <v>7.2000000000000002E-5</v>
      </c>
      <c r="Y182">
        <v>7.2000000000000002E-5</v>
      </c>
      <c r="Z182">
        <v>7.2000000000000002E-5</v>
      </c>
      <c r="AA182">
        <v>7.2000000000000002E-5</v>
      </c>
      <c r="AB182">
        <v>7.2000000000000002E-5</v>
      </c>
      <c r="AC182">
        <v>7.2000000000000002E-5</v>
      </c>
      <c r="AD182">
        <v>7.2000000000000002E-5</v>
      </c>
      <c r="AE182">
        <v>7.2000000000000002E-5</v>
      </c>
      <c r="AF182">
        <v>7.2000000000000002E-5</v>
      </c>
      <c r="AG182">
        <v>7.2000000000000002E-5</v>
      </c>
      <c r="AH182">
        <v>7.2000000000000002E-5</v>
      </c>
      <c r="AI182">
        <v>7.2000000000000002E-5</v>
      </c>
      <c r="AJ182">
        <v>7.2000000000000002E-5</v>
      </c>
      <c r="AK182">
        <v>7.2000000000000002E-5</v>
      </c>
      <c r="AL182">
        <v>7.2000000000000002E-5</v>
      </c>
      <c r="AM182">
        <v>7.2000000000000002E-5</v>
      </c>
      <c r="AN182">
        <v>7.2000000000000002E-5</v>
      </c>
      <c r="AO182">
        <v>7.2000000000000002E-5</v>
      </c>
      <c r="AP182">
        <v>1.9000000000000001E-4</v>
      </c>
      <c r="AQ182">
        <v>1.9000000000000001E-4</v>
      </c>
      <c r="AR182">
        <v>1.9000000000000001E-4</v>
      </c>
      <c r="AS182">
        <v>1.9000000000000001E-4</v>
      </c>
      <c r="AT182">
        <v>1.9000000000000001E-4</v>
      </c>
      <c r="AU182">
        <v>2.02E-4</v>
      </c>
      <c r="AV182">
        <v>2.02E-4</v>
      </c>
      <c r="AW182">
        <v>2.02E-4</v>
      </c>
      <c r="AX182">
        <v>2.02E-4</v>
      </c>
      <c r="AY182">
        <v>2.02E-4</v>
      </c>
      <c r="AZ182">
        <v>2.0100000000000001E-4</v>
      </c>
      <c r="BA182">
        <v>2.0100000000000001E-4</v>
      </c>
      <c r="BB182">
        <v>2.0100000000000001E-4</v>
      </c>
      <c r="BC182">
        <v>2.0100000000000001E-4</v>
      </c>
      <c r="BD182">
        <v>2.0100000000000001E-4</v>
      </c>
      <c r="BE182">
        <v>1.8200000000000001E-4</v>
      </c>
      <c r="BF182">
        <v>1.8200000000000001E-4</v>
      </c>
      <c r="BG182">
        <v>1.8200000000000001E-4</v>
      </c>
      <c r="BH182">
        <v>1.8200000000000001E-4</v>
      </c>
      <c r="BI182">
        <v>1.8200000000000001E-4</v>
      </c>
      <c r="BJ182">
        <v>1.6000000000000001E-4</v>
      </c>
      <c r="BK182">
        <v>1.6000000000000001E-4</v>
      </c>
      <c r="BL182">
        <v>1.6000000000000001E-4</v>
      </c>
      <c r="BM182">
        <v>1.6000000000000001E-4</v>
      </c>
      <c r="BN182">
        <v>1.6000000000000001E-4</v>
      </c>
      <c r="BO182">
        <v>1.5100000000000001E-4</v>
      </c>
      <c r="BP182">
        <v>1.5100000000000001E-4</v>
      </c>
      <c r="BQ182">
        <v>1.5100000000000001E-4</v>
      </c>
      <c r="BR182">
        <v>1.5100000000000001E-4</v>
      </c>
      <c r="BS182">
        <v>1.5100000000000001E-4</v>
      </c>
      <c r="BT182">
        <v>1.45E-4</v>
      </c>
      <c r="BU182">
        <v>1.45E-4</v>
      </c>
      <c r="BV182">
        <v>1.45E-4</v>
      </c>
      <c r="BW182">
        <v>1.45E-4</v>
      </c>
      <c r="BX182">
        <v>1.45E-4</v>
      </c>
      <c r="BY182">
        <v>1.5300000000000001E-4</v>
      </c>
      <c r="BZ182">
        <v>1.5300000000000001E-4</v>
      </c>
      <c r="CA182">
        <v>1.5300000000000001E-4</v>
      </c>
      <c r="CB182">
        <v>1.5300000000000001E-4</v>
      </c>
      <c r="CC182">
        <v>1.5300000000000001E-4</v>
      </c>
      <c r="CD182">
        <v>1.5300000000000001E-4</v>
      </c>
      <c r="CE182">
        <v>1.5300000000000001E-4</v>
      </c>
      <c r="CF182">
        <v>1.5300000000000001E-4</v>
      </c>
      <c r="CG182">
        <v>1.5300000000000001E-4</v>
      </c>
      <c r="CH182">
        <v>1.5300000000000001E-4</v>
      </c>
      <c r="CI182">
        <v>1.5300000000000001E-4</v>
      </c>
      <c r="CJ182">
        <v>1.5300000000000001E-4</v>
      </c>
      <c r="CK182">
        <v>1.5300000000000001E-4</v>
      </c>
      <c r="CL182">
        <v>1.5300000000000001E-4</v>
      </c>
      <c r="CM182">
        <v>1.5300000000000001E-4</v>
      </c>
      <c r="CN182">
        <v>1.5300000000000001E-4</v>
      </c>
      <c r="CO182">
        <v>1.5300000000000001E-4</v>
      </c>
      <c r="CP182">
        <v>1.5300000000000001E-4</v>
      </c>
      <c r="CQ182">
        <v>1.5300000000000001E-4</v>
      </c>
      <c r="CR182">
        <v>1.5300000000000001E-4</v>
      </c>
      <c r="CS182">
        <v>1.5300000000000001E-4</v>
      </c>
      <c r="CT182">
        <v>1.5300000000000001E-4</v>
      </c>
      <c r="CU182">
        <v>1.5300000000000001E-4</v>
      </c>
      <c r="CV182">
        <v>1.5300000000000001E-4</v>
      </c>
      <c r="CW182">
        <v>1.5300000000000001E-4</v>
      </c>
      <c r="CX182">
        <v>1.5300000000000001E-4</v>
      </c>
    </row>
    <row r="183" spans="1:102" x14ac:dyDescent="0.25">
      <c r="A183" t="s">
        <v>431</v>
      </c>
      <c r="B183" t="e">
        <v>#VALUE!</v>
      </c>
      <c r="C183" t="e">
        <v>#VALUE!</v>
      </c>
      <c r="D183" t="e">
        <v>#VALUE!</v>
      </c>
      <c r="E183" t="e">
        <v>#VALUE!</v>
      </c>
      <c r="F183" t="e">
        <v>#VALUE!</v>
      </c>
      <c r="G183" t="e">
        <v>#VALUE!</v>
      </c>
      <c r="H183" t="e">
        <v>#VALUE!</v>
      </c>
      <c r="I183" t="e">
        <v>#VALUE!</v>
      </c>
      <c r="J183" t="e">
        <v>#VALUE!</v>
      </c>
      <c r="K183" t="e">
        <v>#VALUE!</v>
      </c>
      <c r="L183" t="e">
        <v>#VALUE!</v>
      </c>
      <c r="M183" t="e">
        <v>#VALUE!</v>
      </c>
      <c r="N183" t="e">
        <v>#VALUE!</v>
      </c>
      <c r="O183" t="e">
        <v>#VALUE!</v>
      </c>
      <c r="P183" t="e">
        <v>#VALUE!</v>
      </c>
      <c r="Q183">
        <v>1.3899999999999999E-4</v>
      </c>
      <c r="R183">
        <v>1.3899999999999999E-4</v>
      </c>
      <c r="S183">
        <v>1.3899999999999999E-4</v>
      </c>
      <c r="T183">
        <v>1.3899999999999999E-4</v>
      </c>
      <c r="U183">
        <v>1.3899999999999999E-4</v>
      </c>
      <c r="V183">
        <v>1.3899999999999999E-4</v>
      </c>
      <c r="W183">
        <v>1.3899999999999999E-4</v>
      </c>
      <c r="X183">
        <v>1.3899999999999999E-4</v>
      </c>
      <c r="Y183">
        <v>1.3899999999999999E-4</v>
      </c>
      <c r="Z183">
        <v>1.3899999999999999E-4</v>
      </c>
      <c r="AA183">
        <v>1.3899999999999999E-4</v>
      </c>
      <c r="AB183">
        <v>1.3899999999999999E-4</v>
      </c>
      <c r="AC183">
        <v>1.3899999999999999E-4</v>
      </c>
      <c r="AD183">
        <v>1.3899999999999999E-4</v>
      </c>
      <c r="AE183">
        <v>1.3899999999999999E-4</v>
      </c>
      <c r="AF183">
        <v>1.3899999999999999E-4</v>
      </c>
      <c r="AG183">
        <v>1.3899999999999999E-4</v>
      </c>
      <c r="AH183">
        <v>1.3899999999999999E-4</v>
      </c>
      <c r="AI183">
        <v>1.3899999999999999E-4</v>
      </c>
      <c r="AJ183">
        <v>1.3899999999999999E-4</v>
      </c>
      <c r="AK183">
        <v>1.3899999999999999E-4</v>
      </c>
      <c r="AL183">
        <v>1.3899999999999999E-4</v>
      </c>
      <c r="AM183">
        <v>1.3899999999999999E-4</v>
      </c>
      <c r="AN183">
        <v>1.3899999999999999E-4</v>
      </c>
      <c r="AO183">
        <v>1.3899999999999999E-4</v>
      </c>
      <c r="AP183">
        <v>8.7299999999999997E-4</v>
      </c>
      <c r="AQ183">
        <v>8.7299999999999997E-4</v>
      </c>
      <c r="AR183">
        <v>8.7299999999999997E-4</v>
      </c>
      <c r="AS183">
        <v>8.7299999999999997E-4</v>
      </c>
      <c r="AT183">
        <v>8.7299999999999997E-4</v>
      </c>
      <c r="AU183">
        <v>1.155E-3</v>
      </c>
      <c r="AV183">
        <v>1.155E-3</v>
      </c>
      <c r="AW183">
        <v>1.155E-3</v>
      </c>
      <c r="AX183">
        <v>1.155E-3</v>
      </c>
      <c r="AY183">
        <v>1.155E-3</v>
      </c>
      <c r="AZ183">
        <v>1.3259999999999999E-3</v>
      </c>
      <c r="BA183">
        <v>1.3259999999999999E-3</v>
      </c>
      <c r="BB183">
        <v>1.3259999999999999E-3</v>
      </c>
      <c r="BC183">
        <v>1.3259999999999999E-3</v>
      </c>
      <c r="BD183">
        <v>1.3259999999999999E-3</v>
      </c>
      <c r="BE183">
        <v>1.3910000000000001E-3</v>
      </c>
      <c r="BF183">
        <v>1.3910000000000001E-3</v>
      </c>
      <c r="BG183">
        <v>1.3910000000000001E-3</v>
      </c>
      <c r="BH183">
        <v>1.3910000000000001E-3</v>
      </c>
      <c r="BI183">
        <v>1.3910000000000001E-3</v>
      </c>
      <c r="BJ183">
        <v>1.42E-3</v>
      </c>
      <c r="BK183">
        <v>1.42E-3</v>
      </c>
      <c r="BL183">
        <v>1.42E-3</v>
      </c>
      <c r="BM183">
        <v>1.42E-3</v>
      </c>
      <c r="BN183">
        <v>1.42E-3</v>
      </c>
      <c r="BO183">
        <v>1.408E-3</v>
      </c>
      <c r="BP183">
        <v>1.408E-3</v>
      </c>
      <c r="BQ183">
        <v>1.408E-3</v>
      </c>
      <c r="BR183">
        <v>1.408E-3</v>
      </c>
      <c r="BS183">
        <v>1.408E-3</v>
      </c>
      <c r="BT183">
        <v>1.3190000000000001E-3</v>
      </c>
      <c r="BU183">
        <v>1.3190000000000001E-3</v>
      </c>
      <c r="BV183">
        <v>1.3190000000000001E-3</v>
      </c>
      <c r="BW183">
        <v>1.3190000000000001E-3</v>
      </c>
      <c r="BX183">
        <v>1.3190000000000001E-3</v>
      </c>
      <c r="BY183">
        <v>1.17E-3</v>
      </c>
      <c r="BZ183">
        <v>1.17E-3</v>
      </c>
      <c r="CA183">
        <v>1.17E-3</v>
      </c>
      <c r="CB183">
        <v>1.17E-3</v>
      </c>
      <c r="CC183">
        <v>1.17E-3</v>
      </c>
      <c r="CD183">
        <v>1.17E-3</v>
      </c>
      <c r="CE183">
        <v>1.17E-3</v>
      </c>
      <c r="CF183">
        <v>1.17E-3</v>
      </c>
      <c r="CG183">
        <v>1.17E-3</v>
      </c>
      <c r="CH183">
        <v>1.17E-3</v>
      </c>
      <c r="CI183">
        <v>1.17E-3</v>
      </c>
      <c r="CJ183">
        <v>1.17E-3</v>
      </c>
      <c r="CK183">
        <v>1.17E-3</v>
      </c>
      <c r="CL183">
        <v>1.17E-3</v>
      </c>
      <c r="CM183">
        <v>1.17E-3</v>
      </c>
      <c r="CN183">
        <v>1.17E-3</v>
      </c>
      <c r="CO183">
        <v>1.17E-3</v>
      </c>
      <c r="CP183">
        <v>1.17E-3</v>
      </c>
      <c r="CQ183">
        <v>1.17E-3</v>
      </c>
      <c r="CR183">
        <v>1.17E-3</v>
      </c>
      <c r="CS183">
        <v>1.17E-3</v>
      </c>
      <c r="CT183">
        <v>1.17E-3</v>
      </c>
      <c r="CU183">
        <v>1.17E-3</v>
      </c>
      <c r="CV183">
        <v>1.17E-3</v>
      </c>
      <c r="CW183">
        <v>1.17E-3</v>
      </c>
      <c r="CX183">
        <v>1.17E-3</v>
      </c>
    </row>
    <row r="184" spans="1:102" x14ac:dyDescent="0.25">
      <c r="A184" t="s">
        <v>433</v>
      </c>
      <c r="B184" t="e">
        <v>#VALUE!</v>
      </c>
      <c r="C184" t="e">
        <v>#VALUE!</v>
      </c>
      <c r="D184" t="e">
        <v>#VALUE!</v>
      </c>
      <c r="E184" t="e">
        <v>#VALUE!</v>
      </c>
      <c r="F184" t="e">
        <v>#VALUE!</v>
      </c>
      <c r="G184" t="e">
        <v>#VALUE!</v>
      </c>
      <c r="H184" t="e">
        <v>#VALUE!</v>
      </c>
      <c r="I184" t="e">
        <v>#VALUE!</v>
      </c>
      <c r="J184" t="e">
        <v>#VALUE!</v>
      </c>
      <c r="K184" t="e">
        <v>#VALUE!</v>
      </c>
      <c r="L184" t="e">
        <v>#VALUE!</v>
      </c>
      <c r="M184" t="e">
        <v>#VALUE!</v>
      </c>
      <c r="N184" t="e">
        <v>#VALUE!</v>
      </c>
      <c r="O184" t="e">
        <v>#VALUE!</v>
      </c>
      <c r="P184" t="e">
        <v>#VALUE!</v>
      </c>
      <c r="Q184">
        <v>1.63E-4</v>
      </c>
      <c r="R184">
        <v>1.63E-4</v>
      </c>
      <c r="S184">
        <v>1.63E-4</v>
      </c>
      <c r="T184">
        <v>1.63E-4</v>
      </c>
      <c r="U184">
        <v>1.63E-4</v>
      </c>
      <c r="V184">
        <v>1.63E-4</v>
      </c>
      <c r="W184">
        <v>1.63E-4</v>
      </c>
      <c r="X184">
        <v>1.63E-4</v>
      </c>
      <c r="Y184">
        <v>1.63E-4</v>
      </c>
      <c r="Z184">
        <v>1.63E-4</v>
      </c>
      <c r="AA184">
        <v>1.63E-4</v>
      </c>
      <c r="AB184">
        <v>1.63E-4</v>
      </c>
      <c r="AC184">
        <v>1.63E-4</v>
      </c>
      <c r="AD184">
        <v>1.63E-4</v>
      </c>
      <c r="AE184">
        <v>1.63E-4</v>
      </c>
      <c r="AF184">
        <v>1.63E-4</v>
      </c>
      <c r="AG184">
        <v>1.63E-4</v>
      </c>
      <c r="AH184">
        <v>1.63E-4</v>
      </c>
      <c r="AI184">
        <v>1.63E-4</v>
      </c>
      <c r="AJ184">
        <v>1.63E-4</v>
      </c>
      <c r="AK184">
        <v>1.63E-4</v>
      </c>
      <c r="AL184">
        <v>1.63E-4</v>
      </c>
      <c r="AM184">
        <v>1.63E-4</v>
      </c>
      <c r="AN184">
        <v>1.63E-4</v>
      </c>
      <c r="AO184">
        <v>1.63E-4</v>
      </c>
      <c r="AP184">
        <v>3.7800000000000003E-4</v>
      </c>
      <c r="AQ184">
        <v>3.7800000000000003E-4</v>
      </c>
      <c r="AR184">
        <v>3.7800000000000003E-4</v>
      </c>
      <c r="AS184">
        <v>3.7800000000000003E-4</v>
      </c>
      <c r="AT184">
        <v>3.7800000000000003E-4</v>
      </c>
      <c r="AU184">
        <v>3.9199999999999999E-4</v>
      </c>
      <c r="AV184">
        <v>3.9199999999999999E-4</v>
      </c>
      <c r="AW184">
        <v>3.9199999999999999E-4</v>
      </c>
      <c r="AX184">
        <v>3.9199999999999999E-4</v>
      </c>
      <c r="AY184">
        <v>3.9199999999999999E-4</v>
      </c>
      <c r="AZ184">
        <v>3.7800000000000003E-4</v>
      </c>
      <c r="BA184">
        <v>3.7800000000000003E-4</v>
      </c>
      <c r="BB184">
        <v>3.7800000000000003E-4</v>
      </c>
      <c r="BC184">
        <v>3.7800000000000003E-4</v>
      </c>
      <c r="BD184">
        <v>3.7800000000000003E-4</v>
      </c>
      <c r="BE184">
        <v>3.4499999999999998E-4</v>
      </c>
      <c r="BF184">
        <v>3.4499999999999998E-4</v>
      </c>
      <c r="BG184">
        <v>3.4499999999999998E-4</v>
      </c>
      <c r="BH184">
        <v>3.4499999999999998E-4</v>
      </c>
      <c r="BI184">
        <v>3.4499999999999998E-4</v>
      </c>
      <c r="BJ184">
        <v>3.0200000000000002E-4</v>
      </c>
      <c r="BK184">
        <v>3.0200000000000002E-4</v>
      </c>
      <c r="BL184">
        <v>3.0200000000000002E-4</v>
      </c>
      <c r="BM184">
        <v>3.0200000000000002E-4</v>
      </c>
      <c r="BN184">
        <v>3.0200000000000002E-4</v>
      </c>
      <c r="BO184">
        <v>2.6499999999999999E-4</v>
      </c>
      <c r="BP184">
        <v>2.6499999999999999E-4</v>
      </c>
      <c r="BQ184">
        <v>2.6499999999999999E-4</v>
      </c>
      <c r="BR184">
        <v>2.6499999999999999E-4</v>
      </c>
      <c r="BS184">
        <v>2.6499999999999999E-4</v>
      </c>
      <c r="BT184">
        <v>2.2499999999999999E-4</v>
      </c>
      <c r="BU184">
        <v>2.2499999999999999E-4</v>
      </c>
      <c r="BV184">
        <v>2.2499999999999999E-4</v>
      </c>
      <c r="BW184">
        <v>2.2499999999999999E-4</v>
      </c>
      <c r="BX184">
        <v>2.2499999999999999E-4</v>
      </c>
      <c r="BY184">
        <v>1.37E-4</v>
      </c>
      <c r="BZ184">
        <v>1.37E-4</v>
      </c>
      <c r="CA184">
        <v>1.37E-4</v>
      </c>
      <c r="CB184">
        <v>1.37E-4</v>
      </c>
      <c r="CC184">
        <v>1.37E-4</v>
      </c>
      <c r="CD184">
        <v>1.37E-4</v>
      </c>
      <c r="CE184">
        <v>1.37E-4</v>
      </c>
      <c r="CF184">
        <v>1.37E-4</v>
      </c>
      <c r="CG184">
        <v>1.37E-4</v>
      </c>
      <c r="CH184">
        <v>1.37E-4</v>
      </c>
      <c r="CI184">
        <v>1.37E-4</v>
      </c>
      <c r="CJ184">
        <v>1.37E-4</v>
      </c>
      <c r="CK184">
        <v>1.37E-4</v>
      </c>
      <c r="CL184">
        <v>1.37E-4</v>
      </c>
      <c r="CM184">
        <v>1.37E-4</v>
      </c>
      <c r="CN184">
        <v>1.37E-4</v>
      </c>
      <c r="CO184">
        <v>1.37E-4</v>
      </c>
      <c r="CP184">
        <v>1.37E-4</v>
      </c>
      <c r="CQ184">
        <v>1.37E-4</v>
      </c>
      <c r="CR184">
        <v>1.37E-4</v>
      </c>
      <c r="CS184">
        <v>1.37E-4</v>
      </c>
      <c r="CT184">
        <v>1.37E-4</v>
      </c>
      <c r="CU184">
        <v>1.37E-4</v>
      </c>
      <c r="CV184">
        <v>1.37E-4</v>
      </c>
      <c r="CW184">
        <v>1.37E-4</v>
      </c>
      <c r="CX184">
        <v>1.37E-4</v>
      </c>
    </row>
    <row r="185" spans="1:102" x14ac:dyDescent="0.25">
      <c r="A185" t="s">
        <v>435</v>
      </c>
      <c r="B185" t="e">
        <v>#VALUE!</v>
      </c>
      <c r="C185" t="e">
        <v>#VALUE!</v>
      </c>
      <c r="D185" t="e">
        <v>#VALUE!</v>
      </c>
      <c r="E185" t="e">
        <v>#VALUE!</v>
      </c>
      <c r="F185" t="e">
        <v>#VALUE!</v>
      </c>
      <c r="G185" t="e">
        <v>#VALUE!</v>
      </c>
      <c r="H185" t="e">
        <v>#VALUE!</v>
      </c>
      <c r="I185" t="e">
        <v>#VALUE!</v>
      </c>
      <c r="J185" t="e">
        <v>#VALUE!</v>
      </c>
      <c r="K185" t="e">
        <v>#VALUE!</v>
      </c>
      <c r="L185" t="e">
        <v>#VALUE!</v>
      </c>
      <c r="M185" t="e">
        <v>#VALUE!</v>
      </c>
      <c r="N185" t="e">
        <v>#VALUE!</v>
      </c>
      <c r="O185" t="e">
        <v>#VALUE!</v>
      </c>
      <c r="P185" t="e">
        <v>#VALUE!</v>
      </c>
      <c r="Q185">
        <v>1.5999999999999999E-5</v>
      </c>
      <c r="R185">
        <v>1.5999999999999999E-5</v>
      </c>
      <c r="S185">
        <v>1.5999999999999999E-5</v>
      </c>
      <c r="T185">
        <v>1.5999999999999999E-5</v>
      </c>
      <c r="U185">
        <v>1.5999999999999999E-5</v>
      </c>
      <c r="V185">
        <v>1.5999999999999999E-5</v>
      </c>
      <c r="W185">
        <v>1.5999999999999999E-5</v>
      </c>
      <c r="X185">
        <v>1.5999999999999999E-5</v>
      </c>
      <c r="Y185">
        <v>1.5999999999999999E-5</v>
      </c>
      <c r="Z185">
        <v>1.5999999999999999E-5</v>
      </c>
      <c r="AA185">
        <v>1.5999999999999999E-5</v>
      </c>
      <c r="AB185">
        <v>1.5999999999999999E-5</v>
      </c>
      <c r="AC185">
        <v>1.5999999999999999E-5</v>
      </c>
      <c r="AD185">
        <v>1.5999999999999999E-5</v>
      </c>
      <c r="AE185">
        <v>1.5999999999999999E-5</v>
      </c>
      <c r="AF185">
        <v>1.5999999999999999E-5</v>
      </c>
      <c r="AG185">
        <v>1.5999999999999999E-5</v>
      </c>
      <c r="AH185">
        <v>1.5999999999999999E-5</v>
      </c>
      <c r="AI185">
        <v>1.5999999999999999E-5</v>
      </c>
      <c r="AJ185">
        <v>1.5999999999999999E-5</v>
      </c>
      <c r="AK185">
        <v>1.5999999999999999E-5</v>
      </c>
      <c r="AL185">
        <v>1.5999999999999999E-5</v>
      </c>
      <c r="AM185">
        <v>1.5999999999999999E-5</v>
      </c>
      <c r="AN185">
        <v>1.5999999999999999E-5</v>
      </c>
      <c r="AO185">
        <v>1.5999999999999999E-5</v>
      </c>
      <c r="AP185">
        <v>9.5000000000000005E-5</v>
      </c>
      <c r="AQ185">
        <v>9.5000000000000005E-5</v>
      </c>
      <c r="AR185">
        <v>9.5000000000000005E-5</v>
      </c>
      <c r="AS185">
        <v>9.5000000000000005E-5</v>
      </c>
      <c r="AT185">
        <v>9.5000000000000005E-5</v>
      </c>
      <c r="AU185">
        <v>1.4300000000000001E-4</v>
      </c>
      <c r="AV185">
        <v>1.4300000000000001E-4</v>
      </c>
      <c r="AW185">
        <v>1.4300000000000001E-4</v>
      </c>
      <c r="AX185">
        <v>1.4300000000000001E-4</v>
      </c>
      <c r="AY185">
        <v>1.4300000000000001E-4</v>
      </c>
      <c r="AZ185">
        <v>1.73E-4</v>
      </c>
      <c r="BA185">
        <v>1.73E-4</v>
      </c>
      <c r="BB185">
        <v>1.73E-4</v>
      </c>
      <c r="BC185">
        <v>1.73E-4</v>
      </c>
      <c r="BD185">
        <v>1.73E-4</v>
      </c>
      <c r="BE185">
        <v>2.43E-4</v>
      </c>
      <c r="BF185">
        <v>2.43E-4</v>
      </c>
      <c r="BG185">
        <v>2.43E-4</v>
      </c>
      <c r="BH185">
        <v>2.43E-4</v>
      </c>
      <c r="BI185">
        <v>2.43E-4</v>
      </c>
      <c r="BJ185">
        <v>4.1599999999999997E-4</v>
      </c>
      <c r="BK185">
        <v>4.1599999999999997E-4</v>
      </c>
      <c r="BL185">
        <v>4.1599999999999997E-4</v>
      </c>
      <c r="BM185">
        <v>4.1599999999999997E-4</v>
      </c>
      <c r="BN185">
        <v>4.1599999999999997E-4</v>
      </c>
      <c r="BO185">
        <v>4.5100000000000001E-4</v>
      </c>
      <c r="BP185">
        <v>4.5100000000000001E-4</v>
      </c>
      <c r="BQ185">
        <v>4.5100000000000001E-4</v>
      </c>
      <c r="BR185">
        <v>4.5100000000000001E-4</v>
      </c>
      <c r="BS185">
        <v>4.5100000000000001E-4</v>
      </c>
      <c r="BT185">
        <v>7.2999999999999996E-4</v>
      </c>
      <c r="BU185">
        <v>7.2999999999999996E-4</v>
      </c>
      <c r="BV185">
        <v>7.2999999999999996E-4</v>
      </c>
      <c r="BW185">
        <v>7.2999999999999996E-4</v>
      </c>
      <c r="BX185">
        <v>7.2999999999999996E-4</v>
      </c>
      <c r="BY185">
        <v>5.7600000000000001E-4</v>
      </c>
      <c r="BZ185">
        <v>5.7600000000000001E-4</v>
      </c>
      <c r="CA185">
        <v>5.7600000000000001E-4</v>
      </c>
      <c r="CB185">
        <v>5.7600000000000001E-4</v>
      </c>
      <c r="CC185">
        <v>5.7600000000000001E-4</v>
      </c>
      <c r="CD185">
        <v>5.7600000000000001E-4</v>
      </c>
      <c r="CE185">
        <v>5.7600000000000001E-4</v>
      </c>
      <c r="CF185">
        <v>5.7600000000000001E-4</v>
      </c>
      <c r="CG185">
        <v>5.7600000000000001E-4</v>
      </c>
      <c r="CH185">
        <v>5.7600000000000001E-4</v>
      </c>
      <c r="CI185">
        <v>5.7600000000000001E-4</v>
      </c>
      <c r="CJ185">
        <v>5.7600000000000001E-4</v>
      </c>
      <c r="CK185">
        <v>5.7600000000000001E-4</v>
      </c>
      <c r="CL185">
        <v>5.7600000000000001E-4</v>
      </c>
      <c r="CM185">
        <v>5.7600000000000001E-4</v>
      </c>
      <c r="CN185">
        <v>5.7600000000000001E-4</v>
      </c>
      <c r="CO185">
        <v>5.7600000000000001E-4</v>
      </c>
      <c r="CP185">
        <v>5.7600000000000001E-4</v>
      </c>
      <c r="CQ185">
        <v>5.7600000000000001E-4</v>
      </c>
      <c r="CR185">
        <v>5.7600000000000001E-4</v>
      </c>
      <c r="CS185">
        <v>5.7600000000000001E-4</v>
      </c>
      <c r="CT185">
        <v>5.7600000000000001E-4</v>
      </c>
      <c r="CU185">
        <v>5.7600000000000001E-4</v>
      </c>
      <c r="CV185">
        <v>5.7600000000000001E-4</v>
      </c>
      <c r="CW185">
        <v>5.7600000000000001E-4</v>
      </c>
      <c r="CX185">
        <v>5.7600000000000001E-4</v>
      </c>
    </row>
    <row r="186" spans="1:102" x14ac:dyDescent="0.25">
      <c r="A186" t="s">
        <v>437</v>
      </c>
      <c r="B186" t="e">
        <v>#VALUE!</v>
      </c>
      <c r="C186" t="e">
        <v>#VALUE!</v>
      </c>
      <c r="D186" t="e">
        <v>#VALUE!</v>
      </c>
      <c r="E186" t="e">
        <v>#VALUE!</v>
      </c>
      <c r="F186" t="e">
        <v>#VALUE!</v>
      </c>
      <c r="G186" t="e">
        <v>#VALUE!</v>
      </c>
      <c r="H186" t="e">
        <v>#VALUE!</v>
      </c>
      <c r="I186" t="e">
        <v>#VALUE!</v>
      </c>
      <c r="J186" t="e">
        <v>#VALUE!</v>
      </c>
      <c r="K186" t="e">
        <v>#VALUE!</v>
      </c>
      <c r="L186" t="e">
        <v>#VALUE!</v>
      </c>
      <c r="M186" t="e">
        <v>#VALUE!</v>
      </c>
      <c r="N186" t="e">
        <v>#VALUE!</v>
      </c>
      <c r="O186" t="e">
        <v>#VALUE!</v>
      </c>
      <c r="P186" t="e">
        <v>#VALUE!</v>
      </c>
      <c r="Q186">
        <v>1.06E-4</v>
      </c>
      <c r="R186">
        <v>1.06E-4</v>
      </c>
      <c r="S186">
        <v>1.06E-4</v>
      </c>
      <c r="T186">
        <v>1.06E-4</v>
      </c>
      <c r="U186">
        <v>1.06E-4</v>
      </c>
      <c r="V186">
        <v>1.06E-4</v>
      </c>
      <c r="W186">
        <v>1.06E-4</v>
      </c>
      <c r="X186">
        <v>1.06E-4</v>
      </c>
      <c r="Y186">
        <v>1.06E-4</v>
      </c>
      <c r="Z186">
        <v>1.06E-4</v>
      </c>
      <c r="AA186">
        <v>1.06E-4</v>
      </c>
      <c r="AB186">
        <v>1.06E-4</v>
      </c>
      <c r="AC186">
        <v>1.06E-4</v>
      </c>
      <c r="AD186">
        <v>1.06E-4</v>
      </c>
      <c r="AE186">
        <v>1.06E-4</v>
      </c>
      <c r="AF186">
        <v>1.06E-4</v>
      </c>
      <c r="AG186">
        <v>1.06E-4</v>
      </c>
      <c r="AH186">
        <v>1.06E-4</v>
      </c>
      <c r="AI186">
        <v>1.06E-4</v>
      </c>
      <c r="AJ186">
        <v>1.06E-4</v>
      </c>
      <c r="AK186">
        <v>1.06E-4</v>
      </c>
      <c r="AL186">
        <v>1.06E-4</v>
      </c>
      <c r="AM186">
        <v>1.06E-4</v>
      </c>
      <c r="AN186">
        <v>1.06E-4</v>
      </c>
      <c r="AO186">
        <v>1.06E-4</v>
      </c>
      <c r="AP186">
        <v>1.5300000000000001E-4</v>
      </c>
      <c r="AQ186">
        <v>1.5300000000000001E-4</v>
      </c>
      <c r="AR186">
        <v>1.5300000000000001E-4</v>
      </c>
      <c r="AS186">
        <v>1.5300000000000001E-4</v>
      </c>
      <c r="AT186">
        <v>1.5300000000000001E-4</v>
      </c>
      <c r="AU186">
        <v>1.2E-4</v>
      </c>
      <c r="AV186">
        <v>1.2E-4</v>
      </c>
      <c r="AW186">
        <v>1.2E-4</v>
      </c>
      <c r="AX186">
        <v>1.2E-4</v>
      </c>
      <c r="AY186">
        <v>1.2E-4</v>
      </c>
      <c r="AZ186">
        <v>8.6000000000000003E-5</v>
      </c>
      <c r="BA186">
        <v>8.6000000000000003E-5</v>
      </c>
      <c r="BB186">
        <v>8.6000000000000003E-5</v>
      </c>
      <c r="BC186">
        <v>8.6000000000000003E-5</v>
      </c>
      <c r="BD186">
        <v>8.6000000000000003E-5</v>
      </c>
      <c r="BE186">
        <v>7.6000000000000004E-5</v>
      </c>
      <c r="BF186">
        <v>7.6000000000000004E-5</v>
      </c>
      <c r="BG186">
        <v>7.6000000000000004E-5</v>
      </c>
      <c r="BH186">
        <v>7.6000000000000004E-5</v>
      </c>
      <c r="BI186">
        <v>7.6000000000000004E-5</v>
      </c>
      <c r="BJ186">
        <v>7.2999999999999999E-5</v>
      </c>
      <c r="BK186">
        <v>7.2999999999999999E-5</v>
      </c>
      <c r="BL186">
        <v>7.2999999999999999E-5</v>
      </c>
      <c r="BM186">
        <v>7.2999999999999999E-5</v>
      </c>
      <c r="BN186">
        <v>7.2999999999999999E-5</v>
      </c>
      <c r="BO186">
        <v>7.3999999999999996E-5</v>
      </c>
      <c r="BP186">
        <v>7.3999999999999996E-5</v>
      </c>
      <c r="BQ186">
        <v>7.3999999999999996E-5</v>
      </c>
      <c r="BR186">
        <v>7.3999999999999996E-5</v>
      </c>
      <c r="BS186">
        <v>7.3999999999999996E-5</v>
      </c>
      <c r="BT186">
        <v>7.7000000000000001E-5</v>
      </c>
      <c r="BU186">
        <v>7.7000000000000001E-5</v>
      </c>
      <c r="BV186">
        <v>7.7000000000000001E-5</v>
      </c>
      <c r="BW186">
        <v>7.7000000000000001E-5</v>
      </c>
      <c r="BX186">
        <v>7.7000000000000001E-5</v>
      </c>
      <c r="BY186">
        <v>9.2999999999999997E-5</v>
      </c>
      <c r="BZ186">
        <v>9.2999999999999997E-5</v>
      </c>
      <c r="CA186">
        <v>9.2999999999999997E-5</v>
      </c>
      <c r="CB186">
        <v>9.2999999999999997E-5</v>
      </c>
      <c r="CC186">
        <v>9.2999999999999997E-5</v>
      </c>
      <c r="CD186">
        <v>9.2999999999999997E-5</v>
      </c>
      <c r="CE186">
        <v>9.2999999999999997E-5</v>
      </c>
      <c r="CF186">
        <v>9.2999999999999997E-5</v>
      </c>
      <c r="CG186">
        <v>9.2999999999999997E-5</v>
      </c>
      <c r="CH186">
        <v>9.2999999999999997E-5</v>
      </c>
      <c r="CI186">
        <v>9.2999999999999997E-5</v>
      </c>
      <c r="CJ186">
        <v>9.2999999999999997E-5</v>
      </c>
      <c r="CK186">
        <v>9.2999999999999997E-5</v>
      </c>
      <c r="CL186">
        <v>9.2999999999999997E-5</v>
      </c>
      <c r="CM186">
        <v>9.2999999999999997E-5</v>
      </c>
      <c r="CN186">
        <v>9.2999999999999997E-5</v>
      </c>
      <c r="CO186">
        <v>9.2999999999999997E-5</v>
      </c>
      <c r="CP186">
        <v>9.2999999999999997E-5</v>
      </c>
      <c r="CQ186">
        <v>9.2999999999999997E-5</v>
      </c>
      <c r="CR186">
        <v>9.2999999999999997E-5</v>
      </c>
      <c r="CS186">
        <v>9.2999999999999997E-5</v>
      </c>
      <c r="CT186">
        <v>9.2999999999999997E-5</v>
      </c>
      <c r="CU186">
        <v>9.2999999999999997E-5</v>
      </c>
      <c r="CV186">
        <v>9.2999999999999997E-5</v>
      </c>
      <c r="CW186">
        <v>9.2999999999999997E-5</v>
      </c>
      <c r="CX186">
        <v>9.2999999999999997E-5</v>
      </c>
    </row>
    <row r="187" spans="1:102" x14ac:dyDescent="0.25">
      <c r="A187" t="s">
        <v>439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6.7000000000000002E-5</v>
      </c>
      <c r="R187">
        <v>6.7000000000000002E-5</v>
      </c>
      <c r="S187">
        <v>6.7000000000000002E-5</v>
      </c>
      <c r="T187">
        <v>6.7000000000000002E-5</v>
      </c>
      <c r="U187">
        <v>6.7000000000000002E-5</v>
      </c>
      <c r="V187">
        <v>6.7000000000000002E-5</v>
      </c>
      <c r="W187">
        <v>6.7000000000000002E-5</v>
      </c>
      <c r="X187">
        <v>6.7000000000000002E-5</v>
      </c>
      <c r="Y187">
        <v>6.7000000000000002E-5</v>
      </c>
      <c r="Z187">
        <v>6.7000000000000002E-5</v>
      </c>
      <c r="AA187">
        <v>6.7000000000000002E-5</v>
      </c>
      <c r="AB187">
        <v>6.7000000000000002E-5</v>
      </c>
      <c r="AC187">
        <v>6.7000000000000002E-5</v>
      </c>
      <c r="AD187">
        <v>6.7000000000000002E-5</v>
      </c>
      <c r="AE187">
        <v>6.7000000000000002E-5</v>
      </c>
      <c r="AF187">
        <v>6.7000000000000002E-5</v>
      </c>
      <c r="AG187">
        <v>6.7000000000000002E-5</v>
      </c>
      <c r="AH187">
        <v>6.7000000000000002E-5</v>
      </c>
      <c r="AI187">
        <v>6.7000000000000002E-5</v>
      </c>
      <c r="AJ187">
        <v>6.7000000000000002E-5</v>
      </c>
      <c r="AK187">
        <v>6.7000000000000002E-5</v>
      </c>
      <c r="AL187">
        <v>6.7000000000000002E-5</v>
      </c>
      <c r="AM187">
        <v>6.7000000000000002E-5</v>
      </c>
      <c r="AN187">
        <v>6.7000000000000002E-5</v>
      </c>
      <c r="AO187">
        <v>6.7000000000000002E-5</v>
      </c>
      <c r="AP187">
        <v>1.4799999999999999E-4</v>
      </c>
      <c r="AQ187">
        <v>1.4799999999999999E-4</v>
      </c>
      <c r="AR187">
        <v>1.4799999999999999E-4</v>
      </c>
      <c r="AS187">
        <v>1.4799999999999999E-4</v>
      </c>
      <c r="AT187">
        <v>1.4799999999999999E-4</v>
      </c>
      <c r="AU187">
        <v>1.4300000000000001E-4</v>
      </c>
      <c r="AV187">
        <v>1.4300000000000001E-4</v>
      </c>
      <c r="AW187">
        <v>1.4300000000000001E-4</v>
      </c>
      <c r="AX187">
        <v>1.4300000000000001E-4</v>
      </c>
      <c r="AY187">
        <v>1.4300000000000001E-4</v>
      </c>
      <c r="AZ187">
        <v>1.3200000000000001E-4</v>
      </c>
      <c r="BA187">
        <v>1.3200000000000001E-4</v>
      </c>
      <c r="BB187">
        <v>1.3200000000000001E-4</v>
      </c>
      <c r="BC187">
        <v>1.3200000000000001E-4</v>
      </c>
      <c r="BD187">
        <v>1.3200000000000001E-4</v>
      </c>
      <c r="BE187">
        <v>1.27E-4</v>
      </c>
      <c r="BF187">
        <v>1.27E-4</v>
      </c>
      <c r="BG187">
        <v>1.27E-4</v>
      </c>
      <c r="BH187">
        <v>1.27E-4</v>
      </c>
      <c r="BI187">
        <v>1.27E-4</v>
      </c>
      <c r="BJ187">
        <v>1.22E-4</v>
      </c>
      <c r="BK187">
        <v>1.22E-4</v>
      </c>
      <c r="BL187">
        <v>1.22E-4</v>
      </c>
      <c r="BM187">
        <v>1.22E-4</v>
      </c>
      <c r="BN187">
        <v>1.22E-4</v>
      </c>
      <c r="BO187">
        <v>1.16E-4</v>
      </c>
      <c r="BP187">
        <v>1.16E-4</v>
      </c>
      <c r="BQ187">
        <v>1.16E-4</v>
      </c>
      <c r="BR187">
        <v>1.16E-4</v>
      </c>
      <c r="BS187">
        <v>1.16E-4</v>
      </c>
      <c r="BT187">
        <v>1.0900000000000001E-4</v>
      </c>
      <c r="BU187">
        <v>1.0900000000000001E-4</v>
      </c>
      <c r="BV187">
        <v>1.0900000000000001E-4</v>
      </c>
      <c r="BW187">
        <v>1.0900000000000001E-4</v>
      </c>
      <c r="BX187">
        <v>1.0900000000000001E-4</v>
      </c>
      <c r="BY187">
        <v>8.5000000000000006E-5</v>
      </c>
      <c r="BZ187">
        <v>8.5000000000000006E-5</v>
      </c>
      <c r="CA187">
        <v>8.5000000000000006E-5</v>
      </c>
      <c r="CB187">
        <v>8.5000000000000006E-5</v>
      </c>
      <c r="CC187">
        <v>8.5000000000000006E-5</v>
      </c>
      <c r="CD187">
        <v>8.5000000000000006E-5</v>
      </c>
      <c r="CE187">
        <v>8.5000000000000006E-5</v>
      </c>
      <c r="CF187">
        <v>8.5000000000000006E-5</v>
      </c>
      <c r="CG187">
        <v>8.5000000000000006E-5</v>
      </c>
      <c r="CH187">
        <v>8.5000000000000006E-5</v>
      </c>
      <c r="CI187">
        <v>8.5000000000000006E-5</v>
      </c>
      <c r="CJ187">
        <v>8.5000000000000006E-5</v>
      </c>
      <c r="CK187">
        <v>8.5000000000000006E-5</v>
      </c>
      <c r="CL187">
        <v>8.5000000000000006E-5</v>
      </c>
      <c r="CM187">
        <v>8.5000000000000006E-5</v>
      </c>
      <c r="CN187">
        <v>8.5000000000000006E-5</v>
      </c>
      <c r="CO187">
        <v>8.5000000000000006E-5</v>
      </c>
      <c r="CP187">
        <v>8.5000000000000006E-5</v>
      </c>
      <c r="CQ187">
        <v>8.5000000000000006E-5</v>
      </c>
      <c r="CR187">
        <v>8.5000000000000006E-5</v>
      </c>
      <c r="CS187">
        <v>8.5000000000000006E-5</v>
      </c>
      <c r="CT187">
        <v>8.5000000000000006E-5</v>
      </c>
      <c r="CU187">
        <v>8.5000000000000006E-5</v>
      </c>
      <c r="CV187">
        <v>8.5000000000000006E-5</v>
      </c>
      <c r="CW187">
        <v>8.5000000000000006E-5</v>
      </c>
      <c r="CX187">
        <v>8.5000000000000006E-5</v>
      </c>
    </row>
    <row r="188" spans="1:102" x14ac:dyDescent="0.25">
      <c r="A188" t="s">
        <v>441</v>
      </c>
      <c r="B188" t="e">
        <v>#VALUE!</v>
      </c>
      <c r="C188" t="e">
        <v>#VALUE!</v>
      </c>
      <c r="D188" t="e">
        <v>#VALUE!</v>
      </c>
      <c r="E188" t="e">
        <v>#VALUE!</v>
      </c>
      <c r="F188" t="e">
        <v>#VALUE!</v>
      </c>
      <c r="G188" t="e">
        <v>#VALUE!</v>
      </c>
      <c r="H188" t="e">
        <v>#VALUE!</v>
      </c>
      <c r="I188" t="e">
        <v>#VALUE!</v>
      </c>
      <c r="J188" t="e">
        <v>#VALUE!</v>
      </c>
      <c r="K188" t="e">
        <v>#VALUE!</v>
      </c>
      <c r="L188" t="e">
        <v>#VALUE!</v>
      </c>
      <c r="M188" t="e">
        <v>#VALUE!</v>
      </c>
      <c r="N188" t="e">
        <v>#VALUE!</v>
      </c>
      <c r="O188" t="e">
        <v>#VALUE!</v>
      </c>
      <c r="P188" t="e">
        <v>#VALUE!</v>
      </c>
      <c r="Q188">
        <v>1.7000000000000001E-4</v>
      </c>
      <c r="R188">
        <v>1.7000000000000001E-4</v>
      </c>
      <c r="S188">
        <v>1.7000000000000001E-4</v>
      </c>
      <c r="T188">
        <v>1.7000000000000001E-4</v>
      </c>
      <c r="U188">
        <v>1.7000000000000001E-4</v>
      </c>
      <c r="V188">
        <v>1.7000000000000001E-4</v>
      </c>
      <c r="W188">
        <v>1.7000000000000001E-4</v>
      </c>
      <c r="X188">
        <v>1.7000000000000001E-4</v>
      </c>
      <c r="Y188">
        <v>1.7000000000000001E-4</v>
      </c>
      <c r="Z188">
        <v>1.7000000000000001E-4</v>
      </c>
      <c r="AA188">
        <v>1.7000000000000001E-4</v>
      </c>
      <c r="AB188">
        <v>1.7000000000000001E-4</v>
      </c>
      <c r="AC188">
        <v>1.7000000000000001E-4</v>
      </c>
      <c r="AD188">
        <v>1.7000000000000001E-4</v>
      </c>
      <c r="AE188">
        <v>1.7000000000000001E-4</v>
      </c>
      <c r="AF188">
        <v>1.7000000000000001E-4</v>
      </c>
      <c r="AG188">
        <v>1.7000000000000001E-4</v>
      </c>
      <c r="AH188">
        <v>1.7000000000000001E-4</v>
      </c>
      <c r="AI188">
        <v>1.7000000000000001E-4</v>
      </c>
      <c r="AJ188">
        <v>1.7000000000000001E-4</v>
      </c>
      <c r="AK188">
        <v>1.7000000000000001E-4</v>
      </c>
      <c r="AL188">
        <v>1.7000000000000001E-4</v>
      </c>
      <c r="AM188">
        <v>1.7000000000000001E-4</v>
      </c>
      <c r="AN188">
        <v>1.7000000000000001E-4</v>
      </c>
      <c r="AO188">
        <v>1.7000000000000001E-4</v>
      </c>
      <c r="AP188">
        <v>4.0999999999999999E-4</v>
      </c>
      <c r="AQ188">
        <v>4.0999999999999999E-4</v>
      </c>
      <c r="AR188">
        <v>4.0999999999999999E-4</v>
      </c>
      <c r="AS188">
        <v>4.0999999999999999E-4</v>
      </c>
      <c r="AT188">
        <v>4.0999999999999999E-4</v>
      </c>
      <c r="AU188">
        <v>4.37E-4</v>
      </c>
      <c r="AV188">
        <v>4.37E-4</v>
      </c>
      <c r="AW188">
        <v>4.37E-4</v>
      </c>
      <c r="AX188">
        <v>4.37E-4</v>
      </c>
      <c r="AY188">
        <v>4.37E-4</v>
      </c>
      <c r="AZ188">
        <v>4.3100000000000001E-4</v>
      </c>
      <c r="BA188">
        <v>4.3100000000000001E-4</v>
      </c>
      <c r="BB188">
        <v>4.3100000000000001E-4</v>
      </c>
      <c r="BC188">
        <v>4.3100000000000001E-4</v>
      </c>
      <c r="BD188">
        <v>4.3100000000000001E-4</v>
      </c>
      <c r="BE188">
        <v>4.06E-4</v>
      </c>
      <c r="BF188">
        <v>4.06E-4</v>
      </c>
      <c r="BG188">
        <v>4.06E-4</v>
      </c>
      <c r="BH188">
        <v>4.06E-4</v>
      </c>
      <c r="BI188">
        <v>4.06E-4</v>
      </c>
      <c r="BJ188">
        <v>3.6900000000000002E-4</v>
      </c>
      <c r="BK188">
        <v>3.6900000000000002E-4</v>
      </c>
      <c r="BL188">
        <v>3.6900000000000002E-4</v>
      </c>
      <c r="BM188">
        <v>3.6900000000000002E-4</v>
      </c>
      <c r="BN188">
        <v>3.6900000000000002E-4</v>
      </c>
      <c r="BO188">
        <v>3.4499999999999998E-4</v>
      </c>
      <c r="BP188">
        <v>3.4499999999999998E-4</v>
      </c>
      <c r="BQ188">
        <v>3.4499999999999998E-4</v>
      </c>
      <c r="BR188">
        <v>3.4499999999999998E-4</v>
      </c>
      <c r="BS188">
        <v>3.4499999999999998E-4</v>
      </c>
      <c r="BT188">
        <v>3.1700000000000001E-4</v>
      </c>
      <c r="BU188">
        <v>3.1700000000000001E-4</v>
      </c>
      <c r="BV188">
        <v>3.1700000000000001E-4</v>
      </c>
      <c r="BW188">
        <v>3.1700000000000001E-4</v>
      </c>
      <c r="BX188">
        <v>3.1700000000000001E-4</v>
      </c>
      <c r="BY188">
        <v>3.3100000000000002E-4</v>
      </c>
      <c r="BZ188">
        <v>3.3100000000000002E-4</v>
      </c>
      <c r="CA188">
        <v>3.3100000000000002E-4</v>
      </c>
      <c r="CB188">
        <v>3.3100000000000002E-4</v>
      </c>
      <c r="CC188">
        <v>3.3100000000000002E-4</v>
      </c>
      <c r="CD188">
        <v>3.3100000000000002E-4</v>
      </c>
      <c r="CE188">
        <v>3.3100000000000002E-4</v>
      </c>
      <c r="CF188">
        <v>3.3100000000000002E-4</v>
      </c>
      <c r="CG188">
        <v>3.3100000000000002E-4</v>
      </c>
      <c r="CH188">
        <v>3.3100000000000002E-4</v>
      </c>
      <c r="CI188">
        <v>3.3100000000000002E-4</v>
      </c>
      <c r="CJ188">
        <v>3.3100000000000002E-4</v>
      </c>
      <c r="CK188">
        <v>3.3100000000000002E-4</v>
      </c>
      <c r="CL188">
        <v>3.3100000000000002E-4</v>
      </c>
      <c r="CM188">
        <v>3.3100000000000002E-4</v>
      </c>
      <c r="CN188">
        <v>3.3100000000000002E-4</v>
      </c>
      <c r="CO188">
        <v>3.3100000000000002E-4</v>
      </c>
      <c r="CP188">
        <v>3.3100000000000002E-4</v>
      </c>
      <c r="CQ188">
        <v>3.3100000000000002E-4</v>
      </c>
      <c r="CR188">
        <v>3.3100000000000002E-4</v>
      </c>
      <c r="CS188">
        <v>3.3100000000000002E-4</v>
      </c>
      <c r="CT188">
        <v>3.3100000000000002E-4</v>
      </c>
      <c r="CU188">
        <v>3.3100000000000002E-4</v>
      </c>
      <c r="CV188">
        <v>3.3100000000000002E-4</v>
      </c>
      <c r="CW188">
        <v>3.3100000000000002E-4</v>
      </c>
      <c r="CX188">
        <v>3.3100000000000002E-4</v>
      </c>
    </row>
    <row r="189" spans="1:102" x14ac:dyDescent="0.25">
      <c r="A189" t="s">
        <v>443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8.8999999999999995E-5</v>
      </c>
      <c r="R189">
        <v>8.8999999999999995E-5</v>
      </c>
      <c r="S189">
        <v>8.8999999999999995E-5</v>
      </c>
      <c r="T189">
        <v>8.8999999999999995E-5</v>
      </c>
      <c r="U189">
        <v>8.8999999999999995E-5</v>
      </c>
      <c r="V189">
        <v>8.8999999999999995E-5</v>
      </c>
      <c r="W189">
        <v>8.8999999999999995E-5</v>
      </c>
      <c r="X189">
        <v>8.8999999999999995E-5</v>
      </c>
      <c r="Y189">
        <v>8.8999999999999995E-5</v>
      </c>
      <c r="Z189">
        <v>8.8999999999999995E-5</v>
      </c>
      <c r="AA189">
        <v>8.8999999999999995E-5</v>
      </c>
      <c r="AB189">
        <v>8.8999999999999995E-5</v>
      </c>
      <c r="AC189">
        <v>8.8999999999999995E-5</v>
      </c>
      <c r="AD189">
        <v>8.8999999999999995E-5</v>
      </c>
      <c r="AE189">
        <v>8.8999999999999995E-5</v>
      </c>
      <c r="AF189">
        <v>8.8999999999999995E-5</v>
      </c>
      <c r="AG189">
        <v>8.8999999999999995E-5</v>
      </c>
      <c r="AH189">
        <v>8.8999999999999995E-5</v>
      </c>
      <c r="AI189">
        <v>8.8999999999999995E-5</v>
      </c>
      <c r="AJ189">
        <v>8.8999999999999995E-5</v>
      </c>
      <c r="AK189">
        <v>8.8999999999999995E-5</v>
      </c>
      <c r="AL189">
        <v>8.8999999999999995E-5</v>
      </c>
      <c r="AM189">
        <v>8.8999999999999995E-5</v>
      </c>
      <c r="AN189">
        <v>8.8999999999999995E-5</v>
      </c>
      <c r="AO189">
        <v>8.8999999999999995E-5</v>
      </c>
      <c r="AP189">
        <v>3.0699999999999998E-4</v>
      </c>
      <c r="AQ189">
        <v>3.0699999999999998E-4</v>
      </c>
      <c r="AR189">
        <v>3.0699999999999998E-4</v>
      </c>
      <c r="AS189">
        <v>3.0699999999999998E-4</v>
      </c>
      <c r="AT189">
        <v>3.0699999999999998E-4</v>
      </c>
      <c r="AU189">
        <v>3.4600000000000001E-4</v>
      </c>
      <c r="AV189">
        <v>3.4600000000000001E-4</v>
      </c>
      <c r="AW189">
        <v>3.4600000000000001E-4</v>
      </c>
      <c r="AX189">
        <v>3.4600000000000001E-4</v>
      </c>
      <c r="AY189">
        <v>3.4600000000000001E-4</v>
      </c>
      <c r="AZ189">
        <v>3.6499999999999998E-4</v>
      </c>
      <c r="BA189">
        <v>3.6499999999999998E-4</v>
      </c>
      <c r="BB189">
        <v>3.6499999999999998E-4</v>
      </c>
      <c r="BC189">
        <v>3.6499999999999998E-4</v>
      </c>
      <c r="BD189">
        <v>3.6499999999999998E-4</v>
      </c>
      <c r="BE189">
        <v>3.6000000000000002E-4</v>
      </c>
      <c r="BF189">
        <v>3.6000000000000002E-4</v>
      </c>
      <c r="BG189">
        <v>3.6000000000000002E-4</v>
      </c>
      <c r="BH189">
        <v>3.6000000000000002E-4</v>
      </c>
      <c r="BI189">
        <v>3.6000000000000002E-4</v>
      </c>
      <c r="BJ189">
        <v>3.3199999999999999E-4</v>
      </c>
      <c r="BK189">
        <v>3.3199999999999999E-4</v>
      </c>
      <c r="BL189">
        <v>3.3199999999999999E-4</v>
      </c>
      <c r="BM189">
        <v>3.3199999999999999E-4</v>
      </c>
      <c r="BN189">
        <v>3.3199999999999999E-4</v>
      </c>
      <c r="BO189">
        <v>2.92E-4</v>
      </c>
      <c r="BP189">
        <v>2.92E-4</v>
      </c>
      <c r="BQ189">
        <v>2.92E-4</v>
      </c>
      <c r="BR189">
        <v>2.92E-4</v>
      </c>
      <c r="BS189">
        <v>2.92E-4</v>
      </c>
      <c r="BT189">
        <v>2.34E-4</v>
      </c>
      <c r="BU189">
        <v>2.34E-4</v>
      </c>
      <c r="BV189">
        <v>2.34E-4</v>
      </c>
      <c r="BW189">
        <v>2.34E-4</v>
      </c>
      <c r="BX189">
        <v>2.34E-4</v>
      </c>
      <c r="BY189">
        <v>1.65E-4</v>
      </c>
      <c r="BZ189">
        <v>1.65E-4</v>
      </c>
      <c r="CA189">
        <v>1.65E-4</v>
      </c>
      <c r="CB189">
        <v>1.65E-4</v>
      </c>
      <c r="CC189">
        <v>1.65E-4</v>
      </c>
      <c r="CD189">
        <v>1.65E-4</v>
      </c>
      <c r="CE189">
        <v>1.65E-4</v>
      </c>
      <c r="CF189">
        <v>1.65E-4</v>
      </c>
      <c r="CG189">
        <v>1.65E-4</v>
      </c>
      <c r="CH189">
        <v>1.65E-4</v>
      </c>
      <c r="CI189">
        <v>1.65E-4</v>
      </c>
      <c r="CJ189">
        <v>1.65E-4</v>
      </c>
      <c r="CK189">
        <v>1.65E-4</v>
      </c>
      <c r="CL189">
        <v>1.65E-4</v>
      </c>
      <c r="CM189">
        <v>1.65E-4</v>
      </c>
      <c r="CN189">
        <v>1.65E-4</v>
      </c>
      <c r="CO189">
        <v>1.65E-4</v>
      </c>
      <c r="CP189">
        <v>1.65E-4</v>
      </c>
      <c r="CQ189">
        <v>1.65E-4</v>
      </c>
      <c r="CR189">
        <v>1.65E-4</v>
      </c>
      <c r="CS189">
        <v>1.65E-4</v>
      </c>
      <c r="CT189">
        <v>1.65E-4</v>
      </c>
      <c r="CU189">
        <v>1.65E-4</v>
      </c>
      <c r="CV189">
        <v>1.65E-4</v>
      </c>
      <c r="CW189">
        <v>1.65E-4</v>
      </c>
      <c r="CX189">
        <v>1.65E-4</v>
      </c>
    </row>
    <row r="190" spans="1:102" x14ac:dyDescent="0.25">
      <c r="A190" t="s">
        <v>445</v>
      </c>
      <c r="B190" t="e">
        <v>#VALUE!</v>
      </c>
      <c r="C190" t="e">
        <v>#VALUE!</v>
      </c>
      <c r="D190" t="e">
        <v>#VALUE!</v>
      </c>
      <c r="E190" t="e">
        <v>#VALUE!</v>
      </c>
      <c r="F190" t="e">
        <v>#VALUE!</v>
      </c>
      <c r="G190" t="e">
        <v>#VALUE!</v>
      </c>
      <c r="H190" t="e">
        <v>#VALUE!</v>
      </c>
      <c r="I190" t="e">
        <v>#VALUE!</v>
      </c>
      <c r="J190" t="e">
        <v>#VALUE!</v>
      </c>
      <c r="K190" t="e">
        <v>#VALUE!</v>
      </c>
      <c r="L190" t="e">
        <v>#VALUE!</v>
      </c>
      <c r="M190" t="e">
        <v>#VALUE!</v>
      </c>
      <c r="N190" t="e">
        <v>#VALUE!</v>
      </c>
      <c r="O190" t="e">
        <v>#VALUE!</v>
      </c>
      <c r="P190" t="e">
        <v>#VALUE!</v>
      </c>
      <c r="Q190">
        <v>1.3899999999999999E-4</v>
      </c>
      <c r="R190">
        <v>1.3899999999999999E-4</v>
      </c>
      <c r="S190">
        <v>1.3899999999999999E-4</v>
      </c>
      <c r="T190">
        <v>1.3899999999999999E-4</v>
      </c>
      <c r="U190">
        <v>1.3899999999999999E-4</v>
      </c>
      <c r="V190">
        <v>1.3899999999999999E-4</v>
      </c>
      <c r="W190">
        <v>1.3899999999999999E-4</v>
      </c>
      <c r="X190">
        <v>1.3899999999999999E-4</v>
      </c>
      <c r="Y190">
        <v>1.3899999999999999E-4</v>
      </c>
      <c r="Z190">
        <v>1.3899999999999999E-4</v>
      </c>
      <c r="AA190">
        <v>1.3899999999999999E-4</v>
      </c>
      <c r="AB190">
        <v>1.3899999999999999E-4</v>
      </c>
      <c r="AC190">
        <v>1.3899999999999999E-4</v>
      </c>
      <c r="AD190">
        <v>1.3899999999999999E-4</v>
      </c>
      <c r="AE190">
        <v>1.3899999999999999E-4</v>
      </c>
      <c r="AF190">
        <v>1.3899999999999999E-4</v>
      </c>
      <c r="AG190">
        <v>1.3899999999999999E-4</v>
      </c>
      <c r="AH190">
        <v>1.3899999999999999E-4</v>
      </c>
      <c r="AI190">
        <v>1.3899999999999999E-4</v>
      </c>
      <c r="AJ190">
        <v>1.3899999999999999E-4</v>
      </c>
      <c r="AK190">
        <v>1.3899999999999999E-4</v>
      </c>
      <c r="AL190">
        <v>1.3899999999999999E-4</v>
      </c>
      <c r="AM190">
        <v>1.3899999999999999E-4</v>
      </c>
      <c r="AN190">
        <v>1.3899999999999999E-4</v>
      </c>
      <c r="AO190">
        <v>1.3899999999999999E-4</v>
      </c>
      <c r="AP190">
        <v>4.6299999999999998E-4</v>
      </c>
      <c r="AQ190">
        <v>4.6299999999999998E-4</v>
      </c>
      <c r="AR190">
        <v>4.6299999999999998E-4</v>
      </c>
      <c r="AS190">
        <v>4.6299999999999998E-4</v>
      </c>
      <c r="AT190">
        <v>4.6299999999999998E-4</v>
      </c>
      <c r="AU190">
        <v>5.2300000000000003E-4</v>
      </c>
      <c r="AV190">
        <v>5.2300000000000003E-4</v>
      </c>
      <c r="AW190">
        <v>5.2300000000000003E-4</v>
      </c>
      <c r="AX190">
        <v>5.2300000000000003E-4</v>
      </c>
      <c r="AY190">
        <v>5.2300000000000003E-4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2.9300000000000002E-4</v>
      </c>
      <c r="BF190">
        <v>2.9300000000000002E-4</v>
      </c>
      <c r="BG190">
        <v>2.9300000000000002E-4</v>
      </c>
      <c r="BH190">
        <v>2.9300000000000002E-4</v>
      </c>
      <c r="BI190">
        <v>2.9300000000000002E-4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 t="e">
        <v>#VALUE!</v>
      </c>
      <c r="BU190" t="e">
        <v>#VALUE!</v>
      </c>
      <c r="BV190" t="e">
        <v>#VALUE!</v>
      </c>
      <c r="BW190" t="e">
        <v>#VALUE!</v>
      </c>
      <c r="BX190" t="e">
        <v>#VALUE!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</row>
    <row r="191" spans="1:102" x14ac:dyDescent="0.25">
      <c r="A191" t="s">
        <v>447</v>
      </c>
      <c r="B191" t="e">
        <v>#VALUE!</v>
      </c>
      <c r="C191" t="e">
        <v>#VALUE!</v>
      </c>
      <c r="D191" t="e">
        <v>#VALUE!</v>
      </c>
      <c r="E191" t="e">
        <v>#VALUE!</v>
      </c>
      <c r="F191" t="e">
        <v>#VALUE!</v>
      </c>
      <c r="G191" t="e">
        <v>#VALUE!</v>
      </c>
      <c r="H191" t="e">
        <v>#VALUE!</v>
      </c>
      <c r="I191" t="e">
        <v>#VALUE!</v>
      </c>
      <c r="J191" t="e">
        <v>#VALUE!</v>
      </c>
      <c r="K191" t="e">
        <v>#VALUE!</v>
      </c>
      <c r="L191" t="e">
        <v>#VALUE!</v>
      </c>
      <c r="M191" t="e">
        <v>#VALUE!</v>
      </c>
      <c r="N191" t="e">
        <v>#VALUE!</v>
      </c>
      <c r="O191" t="e">
        <v>#VALUE!</v>
      </c>
      <c r="P191" t="e">
        <v>#VALUE!</v>
      </c>
      <c r="Q191">
        <v>3.2000000000000003E-4</v>
      </c>
      <c r="R191">
        <v>3.2000000000000003E-4</v>
      </c>
      <c r="S191">
        <v>3.2000000000000003E-4</v>
      </c>
      <c r="T191">
        <v>3.2000000000000003E-4</v>
      </c>
      <c r="U191">
        <v>3.2000000000000003E-4</v>
      </c>
      <c r="V191">
        <v>3.2000000000000003E-4</v>
      </c>
      <c r="W191">
        <v>3.2000000000000003E-4</v>
      </c>
      <c r="X191">
        <v>3.2000000000000003E-4</v>
      </c>
      <c r="Y191">
        <v>3.2000000000000003E-4</v>
      </c>
      <c r="Z191">
        <v>3.2000000000000003E-4</v>
      </c>
      <c r="AA191">
        <v>3.2000000000000003E-4</v>
      </c>
      <c r="AB191">
        <v>3.2000000000000003E-4</v>
      </c>
      <c r="AC191">
        <v>3.2000000000000003E-4</v>
      </c>
      <c r="AD191">
        <v>3.2000000000000003E-4</v>
      </c>
      <c r="AE191">
        <v>3.2000000000000003E-4</v>
      </c>
      <c r="AF191">
        <v>3.2000000000000003E-4</v>
      </c>
      <c r="AG191">
        <v>3.2000000000000003E-4</v>
      </c>
      <c r="AH191">
        <v>3.2000000000000003E-4</v>
      </c>
      <c r="AI191">
        <v>3.2000000000000003E-4</v>
      </c>
      <c r="AJ191">
        <v>3.2000000000000003E-4</v>
      </c>
      <c r="AK191">
        <v>3.2000000000000003E-4</v>
      </c>
      <c r="AL191">
        <v>3.2000000000000003E-4</v>
      </c>
      <c r="AM191">
        <v>3.2000000000000003E-4</v>
      </c>
      <c r="AN191">
        <v>3.2000000000000003E-4</v>
      </c>
      <c r="AO191">
        <v>3.2000000000000003E-4</v>
      </c>
      <c r="AP191">
        <v>7.1500000000000003E-4</v>
      </c>
      <c r="AQ191">
        <v>7.1500000000000003E-4</v>
      </c>
      <c r="AR191">
        <v>7.1500000000000003E-4</v>
      </c>
      <c r="AS191">
        <v>7.1500000000000003E-4</v>
      </c>
      <c r="AT191">
        <v>7.1500000000000003E-4</v>
      </c>
      <c r="AU191">
        <v>7.0200000000000004E-4</v>
      </c>
      <c r="AV191">
        <v>7.0200000000000004E-4</v>
      </c>
      <c r="AW191">
        <v>7.0200000000000004E-4</v>
      </c>
      <c r="AX191">
        <v>7.0200000000000004E-4</v>
      </c>
      <c r="AY191">
        <v>7.0200000000000004E-4</v>
      </c>
      <c r="AZ191">
        <v>6.6E-4</v>
      </c>
      <c r="BA191">
        <v>6.6E-4</v>
      </c>
      <c r="BB191">
        <v>6.6E-4</v>
      </c>
      <c r="BC191">
        <v>6.6E-4</v>
      </c>
      <c r="BD191">
        <v>6.6E-4</v>
      </c>
      <c r="BE191">
        <v>6.1399999999999996E-4</v>
      </c>
      <c r="BF191">
        <v>6.1399999999999996E-4</v>
      </c>
      <c r="BG191">
        <v>6.1399999999999996E-4</v>
      </c>
      <c r="BH191">
        <v>6.1399999999999996E-4</v>
      </c>
      <c r="BI191">
        <v>6.1399999999999996E-4</v>
      </c>
      <c r="BJ191">
        <v>5.8900000000000001E-4</v>
      </c>
      <c r="BK191">
        <v>5.8900000000000001E-4</v>
      </c>
      <c r="BL191">
        <v>5.8900000000000001E-4</v>
      </c>
      <c r="BM191">
        <v>5.8900000000000001E-4</v>
      </c>
      <c r="BN191">
        <v>5.8900000000000001E-4</v>
      </c>
      <c r="BO191">
        <v>5.9000000000000003E-4</v>
      </c>
      <c r="BP191">
        <v>5.9000000000000003E-4</v>
      </c>
      <c r="BQ191">
        <v>5.9000000000000003E-4</v>
      </c>
      <c r="BR191">
        <v>5.9000000000000003E-4</v>
      </c>
      <c r="BS191">
        <v>5.9000000000000003E-4</v>
      </c>
      <c r="BT191">
        <v>6.2E-4</v>
      </c>
      <c r="BU191">
        <v>6.2E-4</v>
      </c>
      <c r="BV191">
        <v>6.2E-4</v>
      </c>
      <c r="BW191">
        <v>6.2E-4</v>
      </c>
      <c r="BX191">
        <v>6.2E-4</v>
      </c>
      <c r="BY191">
        <v>6.7199999999999996E-4</v>
      </c>
      <c r="BZ191">
        <v>6.7199999999999996E-4</v>
      </c>
      <c r="CA191">
        <v>6.7199999999999996E-4</v>
      </c>
      <c r="CB191">
        <v>6.7199999999999996E-4</v>
      </c>
      <c r="CC191">
        <v>6.7199999999999996E-4</v>
      </c>
      <c r="CD191">
        <v>6.7199999999999996E-4</v>
      </c>
      <c r="CE191">
        <v>6.7199999999999996E-4</v>
      </c>
      <c r="CF191">
        <v>6.7199999999999996E-4</v>
      </c>
      <c r="CG191">
        <v>6.7199999999999996E-4</v>
      </c>
      <c r="CH191">
        <v>6.7199999999999996E-4</v>
      </c>
      <c r="CI191">
        <v>6.7199999999999996E-4</v>
      </c>
      <c r="CJ191">
        <v>6.7199999999999996E-4</v>
      </c>
      <c r="CK191">
        <v>6.7199999999999996E-4</v>
      </c>
      <c r="CL191">
        <v>6.7199999999999996E-4</v>
      </c>
      <c r="CM191">
        <v>6.7199999999999996E-4</v>
      </c>
      <c r="CN191">
        <v>6.7199999999999996E-4</v>
      </c>
      <c r="CO191">
        <v>6.7199999999999996E-4</v>
      </c>
      <c r="CP191">
        <v>6.7199999999999996E-4</v>
      </c>
      <c r="CQ191">
        <v>6.7199999999999996E-4</v>
      </c>
      <c r="CR191">
        <v>6.7199999999999996E-4</v>
      </c>
      <c r="CS191">
        <v>6.7199999999999996E-4</v>
      </c>
      <c r="CT191">
        <v>6.7199999999999996E-4</v>
      </c>
      <c r="CU191">
        <v>6.7199999999999996E-4</v>
      </c>
      <c r="CV191">
        <v>6.7199999999999996E-4</v>
      </c>
      <c r="CW191">
        <v>6.7199999999999996E-4</v>
      </c>
      <c r="CX191">
        <v>6.7199999999999996E-4</v>
      </c>
    </row>
    <row r="192" spans="1:102" x14ac:dyDescent="0.25">
      <c r="A192" t="s">
        <v>449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6.0999999999999999E-5</v>
      </c>
      <c r="R192">
        <v>6.0999999999999999E-5</v>
      </c>
      <c r="S192">
        <v>6.0999999999999999E-5</v>
      </c>
      <c r="T192">
        <v>6.0999999999999999E-5</v>
      </c>
      <c r="U192">
        <v>6.0999999999999999E-5</v>
      </c>
      <c r="V192">
        <v>6.0999999999999999E-5</v>
      </c>
      <c r="W192">
        <v>6.0999999999999999E-5</v>
      </c>
      <c r="X192">
        <v>6.0999999999999999E-5</v>
      </c>
      <c r="Y192">
        <v>6.0999999999999999E-5</v>
      </c>
      <c r="Z192">
        <v>6.0999999999999999E-5</v>
      </c>
      <c r="AA192">
        <v>6.0999999999999999E-5</v>
      </c>
      <c r="AB192">
        <v>6.0999999999999999E-5</v>
      </c>
      <c r="AC192">
        <v>6.0999999999999999E-5</v>
      </c>
      <c r="AD192">
        <v>6.0999999999999999E-5</v>
      </c>
      <c r="AE192">
        <v>6.0999999999999999E-5</v>
      </c>
      <c r="AF192">
        <v>6.0999999999999999E-5</v>
      </c>
      <c r="AG192">
        <v>6.0999999999999999E-5</v>
      </c>
      <c r="AH192">
        <v>6.0999999999999999E-5</v>
      </c>
      <c r="AI192">
        <v>6.0999999999999999E-5</v>
      </c>
      <c r="AJ192">
        <v>6.0999999999999999E-5</v>
      </c>
      <c r="AK192">
        <v>6.0999999999999999E-5</v>
      </c>
      <c r="AL192">
        <v>6.0999999999999999E-5</v>
      </c>
      <c r="AM192">
        <v>6.0999999999999999E-5</v>
      </c>
      <c r="AN192">
        <v>6.0999999999999999E-5</v>
      </c>
      <c r="AO192">
        <v>6.0999999999999999E-5</v>
      </c>
      <c r="AP192">
        <v>2.05E-4</v>
      </c>
      <c r="AQ192">
        <v>2.05E-4</v>
      </c>
      <c r="AR192">
        <v>2.05E-4</v>
      </c>
      <c r="AS192">
        <v>2.05E-4</v>
      </c>
      <c r="AT192">
        <v>2.05E-4</v>
      </c>
      <c r="AU192">
        <v>2.6699999999999998E-4</v>
      </c>
      <c r="AV192">
        <v>2.6699999999999998E-4</v>
      </c>
      <c r="AW192">
        <v>2.6699999999999998E-4</v>
      </c>
      <c r="AX192">
        <v>2.6699999999999998E-4</v>
      </c>
      <c r="AY192">
        <v>2.6699999999999998E-4</v>
      </c>
      <c r="AZ192">
        <v>3.1300000000000002E-4</v>
      </c>
      <c r="BA192">
        <v>3.1300000000000002E-4</v>
      </c>
      <c r="BB192">
        <v>3.1300000000000002E-4</v>
      </c>
      <c r="BC192">
        <v>3.1300000000000002E-4</v>
      </c>
      <c r="BD192">
        <v>3.1300000000000002E-4</v>
      </c>
      <c r="BE192">
        <v>3.21E-4</v>
      </c>
      <c r="BF192">
        <v>3.21E-4</v>
      </c>
      <c r="BG192">
        <v>3.21E-4</v>
      </c>
      <c r="BH192">
        <v>3.21E-4</v>
      </c>
      <c r="BI192">
        <v>3.21E-4</v>
      </c>
      <c r="BJ192">
        <v>2.9999999999999997E-4</v>
      </c>
      <c r="BK192">
        <v>2.9999999999999997E-4</v>
      </c>
      <c r="BL192">
        <v>2.9999999999999997E-4</v>
      </c>
      <c r="BM192">
        <v>2.9999999999999997E-4</v>
      </c>
      <c r="BN192">
        <v>2.9999999999999997E-4</v>
      </c>
      <c r="BO192">
        <v>2.6200000000000003E-4</v>
      </c>
      <c r="BP192">
        <v>2.6200000000000003E-4</v>
      </c>
      <c r="BQ192">
        <v>2.6200000000000003E-4</v>
      </c>
      <c r="BR192">
        <v>2.6200000000000003E-4</v>
      </c>
      <c r="BS192">
        <v>2.6200000000000003E-4</v>
      </c>
      <c r="BT192">
        <v>2.05E-4</v>
      </c>
      <c r="BU192">
        <v>2.05E-4</v>
      </c>
      <c r="BV192">
        <v>2.05E-4</v>
      </c>
      <c r="BW192">
        <v>2.05E-4</v>
      </c>
      <c r="BX192">
        <v>2.05E-4</v>
      </c>
      <c r="BY192">
        <v>1.2999999999999999E-4</v>
      </c>
      <c r="BZ192">
        <v>1.2999999999999999E-4</v>
      </c>
      <c r="CA192">
        <v>1.2999999999999999E-4</v>
      </c>
      <c r="CB192">
        <v>1.2999999999999999E-4</v>
      </c>
      <c r="CC192">
        <v>1.2999999999999999E-4</v>
      </c>
      <c r="CD192">
        <v>1.2999999999999999E-4</v>
      </c>
      <c r="CE192">
        <v>1.2999999999999999E-4</v>
      </c>
      <c r="CF192">
        <v>1.2999999999999999E-4</v>
      </c>
      <c r="CG192">
        <v>1.2999999999999999E-4</v>
      </c>
      <c r="CH192">
        <v>1.2999999999999999E-4</v>
      </c>
      <c r="CI192">
        <v>1.2999999999999999E-4</v>
      </c>
      <c r="CJ192">
        <v>1.2999999999999999E-4</v>
      </c>
      <c r="CK192">
        <v>1.2999999999999999E-4</v>
      </c>
      <c r="CL192">
        <v>1.2999999999999999E-4</v>
      </c>
      <c r="CM192">
        <v>1.2999999999999999E-4</v>
      </c>
      <c r="CN192">
        <v>1.2999999999999999E-4</v>
      </c>
      <c r="CO192">
        <v>1.2999999999999999E-4</v>
      </c>
      <c r="CP192">
        <v>1.2999999999999999E-4</v>
      </c>
      <c r="CQ192">
        <v>1.2999999999999999E-4</v>
      </c>
      <c r="CR192">
        <v>1.2999999999999999E-4</v>
      </c>
      <c r="CS192">
        <v>1.2999999999999999E-4</v>
      </c>
      <c r="CT192">
        <v>1.2999999999999999E-4</v>
      </c>
      <c r="CU192">
        <v>1.2999999999999999E-4</v>
      </c>
      <c r="CV192">
        <v>1.2999999999999999E-4</v>
      </c>
      <c r="CW192">
        <v>1.2999999999999999E-4</v>
      </c>
      <c r="CX192">
        <v>1.2999999999999999E-4</v>
      </c>
    </row>
    <row r="193" spans="1:102" x14ac:dyDescent="0.25">
      <c r="A193" t="s">
        <v>451</v>
      </c>
      <c r="B193" t="e">
        <v>#VALUE!</v>
      </c>
      <c r="C193" t="e">
        <v>#VALUE!</v>
      </c>
      <c r="D193" t="e">
        <v>#VALUE!</v>
      </c>
      <c r="E193" t="e">
        <v>#VALUE!</v>
      </c>
      <c r="F193" t="e">
        <v>#VALUE!</v>
      </c>
      <c r="G193" t="e">
        <v>#VALUE!</v>
      </c>
      <c r="H193" t="e">
        <v>#VALUE!</v>
      </c>
      <c r="I193" t="e">
        <v>#VALUE!</v>
      </c>
      <c r="J193" t="e">
        <v>#VALUE!</v>
      </c>
      <c r="K193" t="e">
        <v>#VALUE!</v>
      </c>
      <c r="L193" t="e">
        <v>#VALUE!</v>
      </c>
      <c r="M193" t="e">
        <v>#VALUE!</v>
      </c>
      <c r="N193" t="e">
        <v>#VALUE!</v>
      </c>
      <c r="O193" t="e">
        <v>#VALUE!</v>
      </c>
      <c r="P193" t="e">
        <v>#VALUE!</v>
      </c>
      <c r="Q193">
        <v>3.0000000000000001E-6</v>
      </c>
      <c r="R193">
        <v>3.0000000000000001E-6</v>
      </c>
      <c r="S193">
        <v>3.0000000000000001E-6</v>
      </c>
      <c r="T193">
        <v>3.0000000000000001E-6</v>
      </c>
      <c r="U193">
        <v>3.0000000000000001E-6</v>
      </c>
      <c r="V193">
        <v>3.0000000000000001E-6</v>
      </c>
      <c r="W193">
        <v>3.0000000000000001E-6</v>
      </c>
      <c r="X193">
        <v>3.0000000000000001E-6</v>
      </c>
      <c r="Y193">
        <v>3.0000000000000001E-6</v>
      </c>
      <c r="Z193">
        <v>3.0000000000000001E-6</v>
      </c>
      <c r="AA193">
        <v>3.0000000000000001E-6</v>
      </c>
      <c r="AB193">
        <v>3.0000000000000001E-6</v>
      </c>
      <c r="AC193">
        <v>3.0000000000000001E-6</v>
      </c>
      <c r="AD193">
        <v>3.0000000000000001E-6</v>
      </c>
      <c r="AE193">
        <v>3.0000000000000001E-6</v>
      </c>
      <c r="AF193">
        <v>3.0000000000000001E-6</v>
      </c>
      <c r="AG193">
        <v>3.0000000000000001E-6</v>
      </c>
      <c r="AH193">
        <v>3.0000000000000001E-6</v>
      </c>
      <c r="AI193">
        <v>3.0000000000000001E-6</v>
      </c>
      <c r="AJ193">
        <v>3.0000000000000001E-6</v>
      </c>
      <c r="AK193">
        <v>3.0000000000000001E-6</v>
      </c>
      <c r="AL193">
        <v>3.0000000000000001E-6</v>
      </c>
      <c r="AM193">
        <v>3.0000000000000001E-6</v>
      </c>
      <c r="AN193">
        <v>3.0000000000000001E-6</v>
      </c>
      <c r="AO193">
        <v>3.0000000000000001E-6</v>
      </c>
      <c r="AP193">
        <v>4.3000000000000002E-5</v>
      </c>
      <c r="AQ193">
        <v>4.3000000000000002E-5</v>
      </c>
      <c r="AR193">
        <v>4.3000000000000002E-5</v>
      </c>
      <c r="AS193">
        <v>4.3000000000000002E-5</v>
      </c>
      <c r="AT193">
        <v>4.3000000000000002E-5</v>
      </c>
      <c r="AU193">
        <v>7.6000000000000004E-5</v>
      </c>
      <c r="AV193">
        <v>7.6000000000000004E-5</v>
      </c>
      <c r="AW193">
        <v>7.6000000000000004E-5</v>
      </c>
      <c r="AX193">
        <v>7.6000000000000004E-5</v>
      </c>
      <c r="AY193">
        <v>7.6000000000000004E-5</v>
      </c>
      <c r="AZ193">
        <v>1.06E-4</v>
      </c>
      <c r="BA193">
        <v>1.06E-4</v>
      </c>
      <c r="BB193">
        <v>1.06E-4</v>
      </c>
      <c r="BC193">
        <v>1.06E-4</v>
      </c>
      <c r="BD193">
        <v>1.06E-4</v>
      </c>
      <c r="BE193">
        <v>9.7E-5</v>
      </c>
      <c r="BF193">
        <v>9.7E-5</v>
      </c>
      <c r="BG193">
        <v>9.7E-5</v>
      </c>
      <c r="BH193">
        <v>9.7E-5</v>
      </c>
      <c r="BI193">
        <v>9.7E-5</v>
      </c>
      <c r="BJ193">
        <v>9.2E-5</v>
      </c>
      <c r="BK193">
        <v>9.2E-5</v>
      </c>
      <c r="BL193">
        <v>9.2E-5</v>
      </c>
      <c r="BM193">
        <v>9.2E-5</v>
      </c>
      <c r="BN193">
        <v>9.2E-5</v>
      </c>
      <c r="BO193">
        <v>1.2300000000000001E-4</v>
      </c>
      <c r="BP193">
        <v>1.2300000000000001E-4</v>
      </c>
      <c r="BQ193">
        <v>1.2300000000000001E-4</v>
      </c>
      <c r="BR193">
        <v>1.2300000000000001E-4</v>
      </c>
      <c r="BS193">
        <v>1.2300000000000001E-4</v>
      </c>
      <c r="BT193">
        <v>1.46E-4</v>
      </c>
      <c r="BU193">
        <v>1.46E-4</v>
      </c>
      <c r="BV193">
        <v>1.46E-4</v>
      </c>
      <c r="BW193">
        <v>1.46E-4</v>
      </c>
      <c r="BX193">
        <v>1.46E-4</v>
      </c>
      <c r="BY193">
        <v>1.7799999999999999E-4</v>
      </c>
      <c r="BZ193">
        <v>1.7799999999999999E-4</v>
      </c>
      <c r="CA193">
        <v>1.7799999999999999E-4</v>
      </c>
      <c r="CB193">
        <v>1.7799999999999999E-4</v>
      </c>
      <c r="CC193">
        <v>1.7799999999999999E-4</v>
      </c>
      <c r="CD193">
        <v>1.7799999999999999E-4</v>
      </c>
      <c r="CE193">
        <v>1.7799999999999999E-4</v>
      </c>
      <c r="CF193">
        <v>1.7799999999999999E-4</v>
      </c>
      <c r="CG193">
        <v>1.7799999999999999E-4</v>
      </c>
      <c r="CH193">
        <v>1.7799999999999999E-4</v>
      </c>
      <c r="CI193">
        <v>1.7799999999999999E-4</v>
      </c>
      <c r="CJ193">
        <v>1.7799999999999999E-4</v>
      </c>
      <c r="CK193">
        <v>1.7799999999999999E-4</v>
      </c>
      <c r="CL193">
        <v>1.7799999999999999E-4</v>
      </c>
      <c r="CM193">
        <v>1.7799999999999999E-4</v>
      </c>
      <c r="CN193">
        <v>1.7799999999999999E-4</v>
      </c>
      <c r="CO193">
        <v>1.7799999999999999E-4</v>
      </c>
      <c r="CP193">
        <v>1.7799999999999999E-4</v>
      </c>
      <c r="CQ193">
        <v>1.7799999999999999E-4</v>
      </c>
      <c r="CR193">
        <v>1.7799999999999999E-4</v>
      </c>
      <c r="CS193">
        <v>1.7799999999999999E-4</v>
      </c>
      <c r="CT193">
        <v>1.7799999999999999E-4</v>
      </c>
      <c r="CU193">
        <v>1.7799999999999999E-4</v>
      </c>
      <c r="CV193">
        <v>1.7799999999999999E-4</v>
      </c>
      <c r="CW193">
        <v>1.7799999999999999E-4</v>
      </c>
      <c r="CX193">
        <v>1.7799999999999999E-4</v>
      </c>
    </row>
    <row r="194" spans="1:102" x14ac:dyDescent="0.25">
      <c r="A194" t="s">
        <v>453</v>
      </c>
      <c r="B194" t="e">
        <v>#VALUE!</v>
      </c>
      <c r="C194" t="e">
        <v>#VALUE!</v>
      </c>
      <c r="D194" t="e">
        <v>#VALUE!</v>
      </c>
      <c r="E194" t="e">
        <v>#VALUE!</v>
      </c>
      <c r="F194" t="e">
        <v>#VALUE!</v>
      </c>
      <c r="G194" t="e">
        <v>#VALUE!</v>
      </c>
      <c r="H194" t="e">
        <v>#VALUE!</v>
      </c>
      <c r="I194" t="e">
        <v>#VALUE!</v>
      </c>
      <c r="J194" t="e">
        <v>#VALUE!</v>
      </c>
      <c r="K194" t="e">
        <v>#VALUE!</v>
      </c>
      <c r="L194" t="e">
        <v>#VALUE!</v>
      </c>
      <c r="M194" t="e">
        <v>#VALUE!</v>
      </c>
      <c r="N194" t="e">
        <v>#VALUE!</v>
      </c>
      <c r="O194" t="e">
        <v>#VALUE!</v>
      </c>
      <c r="P194" t="e">
        <v>#VALUE!</v>
      </c>
      <c r="Q194">
        <v>3.1300000000000002E-4</v>
      </c>
      <c r="R194">
        <v>3.1300000000000002E-4</v>
      </c>
      <c r="S194">
        <v>3.1300000000000002E-4</v>
      </c>
      <c r="T194">
        <v>3.1300000000000002E-4</v>
      </c>
      <c r="U194">
        <v>3.1300000000000002E-4</v>
      </c>
      <c r="V194">
        <v>3.1300000000000002E-4</v>
      </c>
      <c r="W194">
        <v>3.1300000000000002E-4</v>
      </c>
      <c r="X194">
        <v>3.1300000000000002E-4</v>
      </c>
      <c r="Y194">
        <v>3.1300000000000002E-4</v>
      </c>
      <c r="Z194">
        <v>3.1300000000000002E-4</v>
      </c>
      <c r="AA194">
        <v>3.1300000000000002E-4</v>
      </c>
      <c r="AB194">
        <v>3.1300000000000002E-4</v>
      </c>
      <c r="AC194">
        <v>3.1300000000000002E-4</v>
      </c>
      <c r="AD194">
        <v>3.1300000000000002E-4</v>
      </c>
      <c r="AE194">
        <v>3.1300000000000002E-4</v>
      </c>
      <c r="AF194">
        <v>3.1300000000000002E-4</v>
      </c>
      <c r="AG194">
        <v>3.1300000000000002E-4</v>
      </c>
      <c r="AH194">
        <v>3.1300000000000002E-4</v>
      </c>
      <c r="AI194">
        <v>3.1300000000000002E-4</v>
      </c>
      <c r="AJ194">
        <v>3.1300000000000002E-4</v>
      </c>
      <c r="AK194">
        <v>3.1300000000000002E-4</v>
      </c>
      <c r="AL194">
        <v>3.1300000000000002E-4</v>
      </c>
      <c r="AM194">
        <v>3.1300000000000002E-4</v>
      </c>
      <c r="AN194">
        <v>3.1300000000000002E-4</v>
      </c>
      <c r="AO194">
        <v>3.1300000000000002E-4</v>
      </c>
      <c r="AP194">
        <v>1.1039999999999999E-3</v>
      </c>
      <c r="AQ194">
        <v>1.1039999999999999E-3</v>
      </c>
      <c r="AR194">
        <v>1.1039999999999999E-3</v>
      </c>
      <c r="AS194">
        <v>1.1039999999999999E-3</v>
      </c>
      <c r="AT194">
        <v>1.1039999999999999E-3</v>
      </c>
      <c r="AU194">
        <v>1.2700000000000001E-3</v>
      </c>
      <c r="AV194">
        <v>1.2700000000000001E-3</v>
      </c>
      <c r="AW194">
        <v>1.2700000000000001E-3</v>
      </c>
      <c r="AX194">
        <v>1.2700000000000001E-3</v>
      </c>
      <c r="AY194">
        <v>1.2700000000000001E-3</v>
      </c>
      <c r="AZ194">
        <v>1.39E-3</v>
      </c>
      <c r="BA194">
        <v>1.39E-3</v>
      </c>
      <c r="BB194">
        <v>1.39E-3</v>
      </c>
      <c r="BC194">
        <v>1.39E-3</v>
      </c>
      <c r="BD194">
        <v>1.39E-3</v>
      </c>
      <c r="BE194">
        <v>1.4779999999999999E-3</v>
      </c>
      <c r="BF194">
        <v>1.4779999999999999E-3</v>
      </c>
      <c r="BG194">
        <v>1.4779999999999999E-3</v>
      </c>
      <c r="BH194">
        <v>1.4779999999999999E-3</v>
      </c>
      <c r="BI194">
        <v>1.4779999999999999E-3</v>
      </c>
      <c r="BJ194">
        <v>1.464E-3</v>
      </c>
      <c r="BK194">
        <v>1.464E-3</v>
      </c>
      <c r="BL194">
        <v>1.464E-3</v>
      </c>
      <c r="BM194">
        <v>1.464E-3</v>
      </c>
      <c r="BN194">
        <v>1.464E-3</v>
      </c>
      <c r="BO194">
        <v>1.6230000000000001E-3</v>
      </c>
      <c r="BP194">
        <v>1.6230000000000001E-3</v>
      </c>
      <c r="BQ194">
        <v>1.6230000000000001E-3</v>
      </c>
      <c r="BR194">
        <v>1.6230000000000001E-3</v>
      </c>
      <c r="BS194">
        <v>1.6230000000000001E-3</v>
      </c>
      <c r="BT194">
        <v>1.928E-3</v>
      </c>
      <c r="BU194">
        <v>1.928E-3</v>
      </c>
      <c r="BV194">
        <v>1.928E-3</v>
      </c>
      <c r="BW194">
        <v>1.928E-3</v>
      </c>
      <c r="BX194">
        <v>1.928E-3</v>
      </c>
      <c r="BY194">
        <v>2.3670000000000002E-3</v>
      </c>
      <c r="BZ194">
        <v>2.3670000000000002E-3</v>
      </c>
      <c r="CA194">
        <v>2.3670000000000002E-3</v>
      </c>
      <c r="CB194">
        <v>2.3670000000000002E-3</v>
      </c>
      <c r="CC194">
        <v>2.3670000000000002E-3</v>
      </c>
      <c r="CD194">
        <v>2.3670000000000002E-3</v>
      </c>
      <c r="CE194">
        <v>2.3670000000000002E-3</v>
      </c>
      <c r="CF194">
        <v>2.3670000000000002E-3</v>
      </c>
      <c r="CG194">
        <v>2.3670000000000002E-3</v>
      </c>
      <c r="CH194">
        <v>2.3670000000000002E-3</v>
      </c>
      <c r="CI194">
        <v>2.3670000000000002E-3</v>
      </c>
      <c r="CJ194">
        <v>2.3670000000000002E-3</v>
      </c>
      <c r="CK194">
        <v>2.3670000000000002E-3</v>
      </c>
      <c r="CL194">
        <v>2.3670000000000002E-3</v>
      </c>
      <c r="CM194">
        <v>2.3670000000000002E-3</v>
      </c>
      <c r="CN194">
        <v>2.3670000000000002E-3</v>
      </c>
      <c r="CO194">
        <v>2.3670000000000002E-3</v>
      </c>
      <c r="CP194">
        <v>2.3670000000000002E-3</v>
      </c>
      <c r="CQ194">
        <v>2.3670000000000002E-3</v>
      </c>
      <c r="CR194">
        <v>2.3670000000000002E-3</v>
      </c>
      <c r="CS194">
        <v>2.3670000000000002E-3</v>
      </c>
      <c r="CT194">
        <v>2.3670000000000002E-3</v>
      </c>
      <c r="CU194">
        <v>2.3670000000000002E-3</v>
      </c>
      <c r="CV194">
        <v>2.3670000000000002E-3</v>
      </c>
      <c r="CW194">
        <v>2.3670000000000002E-3</v>
      </c>
      <c r="CX194">
        <v>2.3670000000000002E-3</v>
      </c>
    </row>
    <row r="195" spans="1:102" x14ac:dyDescent="0.25">
      <c r="A195" t="s">
        <v>455</v>
      </c>
      <c r="B195" t="e">
        <v>#VALUE!</v>
      </c>
      <c r="C195" t="e">
        <v>#VALUE!</v>
      </c>
      <c r="D195" t="e">
        <v>#VALUE!</v>
      </c>
      <c r="E195" t="e">
        <v>#VALUE!</v>
      </c>
      <c r="F195" t="e">
        <v>#VALUE!</v>
      </c>
      <c r="G195" t="e">
        <v>#VALUE!</v>
      </c>
      <c r="H195" t="e">
        <v>#VALUE!</v>
      </c>
      <c r="I195" t="e">
        <v>#VALUE!</v>
      </c>
      <c r="J195" t="e">
        <v>#VALUE!</v>
      </c>
      <c r="K195" t="e">
        <v>#VALUE!</v>
      </c>
      <c r="L195" t="e">
        <v>#VALUE!</v>
      </c>
      <c r="M195" t="e">
        <v>#VALUE!</v>
      </c>
      <c r="N195" t="e">
        <v>#VALUE!</v>
      </c>
      <c r="O195" t="e">
        <v>#VALUE!</v>
      </c>
      <c r="P195" t="e">
        <v>#VALUE!</v>
      </c>
      <c r="Q195">
        <v>8.2999999999999998E-5</v>
      </c>
      <c r="R195">
        <v>8.2999999999999998E-5</v>
      </c>
      <c r="S195">
        <v>8.2999999999999998E-5</v>
      </c>
      <c r="T195">
        <v>8.2999999999999998E-5</v>
      </c>
      <c r="U195">
        <v>8.2999999999999998E-5</v>
      </c>
      <c r="V195">
        <v>8.2999999999999998E-5</v>
      </c>
      <c r="W195">
        <v>8.2999999999999998E-5</v>
      </c>
      <c r="X195">
        <v>8.2999999999999998E-5</v>
      </c>
      <c r="Y195">
        <v>8.2999999999999998E-5</v>
      </c>
      <c r="Z195">
        <v>8.2999999999999998E-5</v>
      </c>
      <c r="AA195">
        <v>8.2999999999999998E-5</v>
      </c>
      <c r="AB195">
        <v>8.2999999999999998E-5</v>
      </c>
      <c r="AC195">
        <v>8.2999999999999998E-5</v>
      </c>
      <c r="AD195">
        <v>8.2999999999999998E-5</v>
      </c>
      <c r="AE195">
        <v>8.2999999999999998E-5</v>
      </c>
      <c r="AF195">
        <v>8.2999999999999998E-5</v>
      </c>
      <c r="AG195">
        <v>8.2999999999999998E-5</v>
      </c>
      <c r="AH195">
        <v>8.2999999999999998E-5</v>
      </c>
      <c r="AI195">
        <v>8.2999999999999998E-5</v>
      </c>
      <c r="AJ195">
        <v>8.2999999999999998E-5</v>
      </c>
      <c r="AK195">
        <v>8.2999999999999998E-5</v>
      </c>
      <c r="AL195">
        <v>8.2999999999999998E-5</v>
      </c>
      <c r="AM195">
        <v>8.2999999999999998E-5</v>
      </c>
      <c r="AN195">
        <v>8.2999999999999998E-5</v>
      </c>
      <c r="AO195">
        <v>8.2999999999999998E-5</v>
      </c>
      <c r="AP195">
        <v>7.1199999999999996E-4</v>
      </c>
      <c r="AQ195">
        <v>7.1199999999999996E-4</v>
      </c>
      <c r="AR195">
        <v>7.1199999999999996E-4</v>
      </c>
      <c r="AS195">
        <v>7.1199999999999996E-4</v>
      </c>
      <c r="AT195">
        <v>7.1199999999999996E-4</v>
      </c>
      <c r="AU195">
        <v>1.0579999999999999E-3</v>
      </c>
      <c r="AV195">
        <v>1.0579999999999999E-3</v>
      </c>
      <c r="AW195">
        <v>1.0579999999999999E-3</v>
      </c>
      <c r="AX195">
        <v>1.0579999999999999E-3</v>
      </c>
      <c r="AY195">
        <v>1.0579999999999999E-3</v>
      </c>
      <c r="AZ195">
        <v>1.3630000000000001E-3</v>
      </c>
      <c r="BA195">
        <v>1.3630000000000001E-3</v>
      </c>
      <c r="BB195">
        <v>1.3630000000000001E-3</v>
      </c>
      <c r="BC195">
        <v>1.3630000000000001E-3</v>
      </c>
      <c r="BD195">
        <v>1.3630000000000001E-3</v>
      </c>
      <c r="BE195">
        <v>1.66E-3</v>
      </c>
      <c r="BF195">
        <v>1.66E-3</v>
      </c>
      <c r="BG195">
        <v>1.66E-3</v>
      </c>
      <c r="BH195">
        <v>1.66E-3</v>
      </c>
      <c r="BI195">
        <v>1.66E-3</v>
      </c>
      <c r="BJ195">
        <v>2.2049999999999999E-3</v>
      </c>
      <c r="BK195">
        <v>2.2049999999999999E-3</v>
      </c>
      <c r="BL195">
        <v>2.2049999999999999E-3</v>
      </c>
      <c r="BM195">
        <v>2.2049999999999999E-3</v>
      </c>
      <c r="BN195">
        <v>2.2049999999999999E-3</v>
      </c>
      <c r="BO195">
        <v>2.6329999999999999E-3</v>
      </c>
      <c r="BP195">
        <v>2.6329999999999999E-3</v>
      </c>
      <c r="BQ195">
        <v>2.6329999999999999E-3</v>
      </c>
      <c r="BR195">
        <v>2.6329999999999999E-3</v>
      </c>
      <c r="BS195">
        <v>2.6329999999999999E-3</v>
      </c>
      <c r="BT195">
        <v>2.9910000000000002E-3</v>
      </c>
      <c r="BU195">
        <v>2.9910000000000002E-3</v>
      </c>
      <c r="BV195">
        <v>2.9910000000000002E-3</v>
      </c>
      <c r="BW195">
        <v>2.9910000000000002E-3</v>
      </c>
      <c r="BX195">
        <v>2.9910000000000002E-3</v>
      </c>
      <c r="BY195">
        <v>3.2810000000000001E-3</v>
      </c>
      <c r="BZ195">
        <v>3.2810000000000001E-3</v>
      </c>
      <c r="CA195">
        <v>3.2810000000000001E-3</v>
      </c>
      <c r="CB195">
        <v>3.2810000000000001E-3</v>
      </c>
      <c r="CC195">
        <v>3.2810000000000001E-3</v>
      </c>
      <c r="CD195">
        <v>3.2810000000000001E-3</v>
      </c>
      <c r="CE195">
        <v>3.2810000000000001E-3</v>
      </c>
      <c r="CF195">
        <v>3.2810000000000001E-3</v>
      </c>
      <c r="CG195">
        <v>3.2810000000000001E-3</v>
      </c>
      <c r="CH195">
        <v>3.2810000000000001E-3</v>
      </c>
      <c r="CI195">
        <v>3.2810000000000001E-3</v>
      </c>
      <c r="CJ195">
        <v>3.2810000000000001E-3</v>
      </c>
      <c r="CK195">
        <v>3.2810000000000001E-3</v>
      </c>
      <c r="CL195">
        <v>3.2810000000000001E-3</v>
      </c>
      <c r="CM195">
        <v>3.2810000000000001E-3</v>
      </c>
      <c r="CN195">
        <v>3.2810000000000001E-3</v>
      </c>
      <c r="CO195">
        <v>3.2810000000000001E-3</v>
      </c>
      <c r="CP195">
        <v>3.2810000000000001E-3</v>
      </c>
      <c r="CQ195">
        <v>3.2810000000000001E-3</v>
      </c>
      <c r="CR195">
        <v>3.2810000000000001E-3</v>
      </c>
      <c r="CS195">
        <v>3.2810000000000001E-3</v>
      </c>
      <c r="CT195">
        <v>3.2810000000000001E-3</v>
      </c>
      <c r="CU195">
        <v>3.2810000000000001E-3</v>
      </c>
      <c r="CV195">
        <v>3.2810000000000001E-3</v>
      </c>
      <c r="CW195">
        <v>3.2810000000000001E-3</v>
      </c>
      <c r="CX195">
        <v>3.2810000000000001E-3</v>
      </c>
    </row>
  </sheetData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A10"/>
  <sheetViews>
    <sheetView workbookViewId="0">
      <selection activeCell="AH4" sqref="AH4:AH104"/>
    </sheetView>
  </sheetViews>
  <sheetFormatPr defaultRowHeight="15" x14ac:dyDescent="0.25"/>
  <sheetData>
    <row r="1" spans="1:1" x14ac:dyDescent="0.25">
      <c r="A1" t="s">
        <v>519</v>
      </c>
    </row>
    <row r="2" spans="1:1" x14ac:dyDescent="0.25">
      <c r="A2" s="104" t="s">
        <v>520</v>
      </c>
    </row>
    <row r="4" spans="1:1" x14ac:dyDescent="0.25">
      <c r="A4" t="s">
        <v>496</v>
      </c>
    </row>
    <row r="5" spans="1:1" x14ac:dyDescent="0.25">
      <c r="A5" t="s">
        <v>497</v>
      </c>
    </row>
    <row r="6" spans="1:1" x14ac:dyDescent="0.25">
      <c r="A6" t="s">
        <v>498</v>
      </c>
    </row>
    <row r="7" spans="1:1" x14ac:dyDescent="0.25">
      <c r="A7" t="s">
        <v>499</v>
      </c>
    </row>
    <row r="8" spans="1:1" x14ac:dyDescent="0.25">
      <c r="A8" t="s">
        <v>500</v>
      </c>
    </row>
    <row r="9" spans="1:1" x14ac:dyDescent="0.25">
      <c r="A9" t="s">
        <v>501</v>
      </c>
    </row>
    <row r="10" spans="1:1" x14ac:dyDescent="0.25">
      <c r="A10" t="s">
        <v>502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Country selection</vt:lpstr>
      <vt:lpstr>Customisation</vt:lpstr>
      <vt:lpstr>Age data</vt:lpstr>
      <vt:lpstr>Output</vt:lpstr>
      <vt:lpstr>Life table</vt:lpstr>
      <vt:lpstr>USA</vt:lpstr>
      <vt:lpstr>PSA</vt:lpstr>
      <vt:lpstr>Sensitivity analysis output</vt:lpstr>
      <vt:lpstr>Model</vt:lpstr>
      <vt:lpstr>Parameters</vt:lpstr>
      <vt:lpstr>mortall</vt:lpstr>
      <vt:lpstr>mortcecx</vt:lpstr>
      <vt:lpstr>incidence</vt:lpstr>
      <vt:lpstr>changelog</vt:lpstr>
      <vt:lpstr>ceac_source</vt:lpstr>
      <vt:lpstr>ceac_target</vt:lpstr>
      <vt:lpstr>Country</vt:lpstr>
      <vt:lpstr>modeltype</vt:lpstr>
      <vt:lpstr>psa_res_target</vt:lpstr>
      <vt:lpstr>psa_result</vt:lpstr>
      <vt:lpstr>psa_source</vt:lpstr>
      <vt:lpstr>psa_target</vt:lpstr>
      <vt:lpstr>threshold</vt:lpstr>
      <vt:lpstr>threshold1</vt:lpstr>
      <vt:lpstr>threshold2</vt:lpstr>
      <vt:lpstr>threshold3</vt:lpstr>
      <vt:lpstr>Tornadochart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ZLR</cp:lastModifiedBy>
  <dcterms:created xsi:type="dcterms:W3CDTF">2012-09-28T15:05:22Z</dcterms:created>
  <dcterms:modified xsi:type="dcterms:W3CDTF">2022-08-04T09:58:59Z</dcterms:modified>
</cp:coreProperties>
</file>